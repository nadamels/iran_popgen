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vagheesh/Dropbox/India sharing/2_19_2019_Narasimhan_Patterson_Resubmission/Revision July 2019/Page proofing/RESUBMISSION AUGUST 27/Final supplement for Science/"/>
    </mc:Choice>
  </mc:AlternateContent>
  <xr:revisionPtr revIDLastSave="0" documentId="13_ncr:1_{162D9E29-EB6B-454B-8718-2806FED4FD94}" xr6:coauthVersionLast="36" xr6:coauthVersionMax="36" xr10:uidLastSave="{00000000-0000-0000-0000-000000000000}"/>
  <bookViews>
    <workbookView xWindow="0" yWindow="1180" windowWidth="33600" windowHeight="17360" tabRatio="736" xr2:uid="{00000000-000D-0000-FFFF-FFFF00000000}"/>
  </bookViews>
  <sheets>
    <sheet name="Table S1 (1605.people.523.new)" sheetId="1" r:id="rId1"/>
    <sheet name="Table S2 (714.new.libraries)" sheetId="10" r:id="rId2"/>
    <sheet name="Table S3 (69.families)" sheetId="13" r:id="rId3"/>
    <sheet name="Table S4 (269.carbon.dates)" sheetId="16" r:id="rId4"/>
    <sheet name="Table S5 (246.modern.groups)" sheetId="17" r:id="rId5"/>
  </sheets>
  <definedNames>
    <definedName name="_xlnm._FilterDatabase" localSheetId="0" hidden="1">'Table S1 (1605.people.523.new)'!$N$3:$N$1608</definedName>
    <definedName name="_xlnm._FilterDatabase" localSheetId="4" hidden="1">'Table S5 (246.modern.groups)'!$J$3:$J$251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182" i="16" l="1"/>
  <c r="O271" i="16"/>
  <c r="O267" i="16"/>
  <c r="O263" i="16"/>
  <c r="O262" i="16"/>
  <c r="O251" i="16"/>
  <c r="O258" i="16"/>
  <c r="O150" i="16"/>
  <c r="O265" i="16"/>
  <c r="O168" i="16"/>
  <c r="O252" i="16"/>
  <c r="O39" i="16"/>
  <c r="O58" i="16"/>
  <c r="O66" i="16"/>
  <c r="I126" i="1"/>
  <c r="I821" i="1"/>
  <c r="O19" i="16"/>
  <c r="O60" i="16"/>
  <c r="O55" i="16"/>
  <c r="O63" i="16"/>
  <c r="O75" i="16"/>
  <c r="O69" i="16"/>
  <c r="O77" i="16"/>
  <c r="O20" i="16"/>
  <c r="O131" i="16"/>
  <c r="O123" i="16"/>
  <c r="O119" i="16"/>
  <c r="O64" i="16"/>
  <c r="O62" i="16"/>
  <c r="O68" i="16"/>
  <c r="O128" i="16"/>
  <c r="O120" i="16"/>
  <c r="O110" i="16"/>
  <c r="O180" i="16"/>
  <c r="O71" i="16"/>
  <c r="O107" i="16"/>
  <c r="O228" i="16"/>
  <c r="O135" i="16"/>
  <c r="O139" i="16"/>
  <c r="O53" i="16"/>
  <c r="O199" i="16"/>
  <c r="O80" i="16"/>
  <c r="O188" i="16"/>
  <c r="O137" i="16"/>
  <c r="O154" i="16"/>
  <c r="O177" i="16"/>
  <c r="O125" i="16"/>
  <c r="O10" i="16"/>
  <c r="O6" i="16"/>
  <c r="O101" i="16"/>
  <c r="O234" i="16"/>
  <c r="O8" i="16"/>
  <c r="O130" i="16"/>
  <c r="O97" i="16"/>
  <c r="O18" i="16"/>
  <c r="O73" i="16"/>
  <c r="O61" i="16"/>
  <c r="O72" i="16"/>
  <c r="O67" i="16"/>
  <c r="O85" i="16"/>
  <c r="O102" i="16"/>
  <c r="O105" i="16"/>
  <c r="O100" i="16"/>
  <c r="O115" i="16"/>
  <c r="O90" i="16"/>
  <c r="O104" i="16"/>
  <c r="O94" i="16"/>
  <c r="O108" i="16"/>
  <c r="O95" i="16"/>
  <c r="O9" i="16"/>
  <c r="O22" i="16"/>
  <c r="O45" i="16"/>
  <c r="O49" i="16"/>
  <c r="O48" i="16"/>
  <c r="O40" i="16"/>
  <c r="O41" i="16"/>
  <c r="O47" i="16"/>
  <c r="O15" i="16"/>
  <c r="O33" i="16"/>
  <c r="O191" i="16"/>
  <c r="O197" i="16"/>
  <c r="O193" i="16"/>
  <c r="O172" i="16"/>
  <c r="O148" i="16"/>
  <c r="O181" i="16"/>
  <c r="O202" i="16"/>
  <c r="O219" i="16"/>
  <c r="O221" i="16"/>
  <c r="O206" i="16"/>
  <c r="O183" i="16"/>
  <c r="O218" i="16"/>
  <c r="O215" i="16"/>
  <c r="O169" i="16"/>
  <c r="O207" i="16"/>
  <c r="O198" i="16"/>
  <c r="O149" i="16"/>
  <c r="O224" i="16"/>
  <c r="O161" i="16"/>
  <c r="O194" i="16"/>
  <c r="O165" i="16"/>
  <c r="O162" i="16"/>
  <c r="O205" i="16"/>
  <c r="O201" i="16"/>
  <c r="O186" i="16"/>
  <c r="O189" i="16"/>
  <c r="O175" i="16"/>
  <c r="O200" i="16"/>
  <c r="O187" i="16"/>
  <c r="O214" i="16"/>
  <c r="O21" i="16"/>
  <c r="O226" i="16"/>
  <c r="O138" i="16"/>
  <c r="O240" i="16"/>
  <c r="O235" i="16"/>
  <c r="O259" i="16"/>
  <c r="O264" i="16"/>
  <c r="O245" i="16"/>
  <c r="O238" i="16"/>
  <c r="O247" i="16"/>
  <c r="O239" i="16"/>
  <c r="O246" i="16"/>
  <c r="O237" i="16"/>
  <c r="O248" i="16"/>
  <c r="O244" i="16"/>
  <c r="O241" i="16"/>
  <c r="O31" i="16"/>
  <c r="O134" i="16"/>
  <c r="O98" i="16"/>
  <c r="O87" i="16"/>
  <c r="O106" i="16"/>
  <c r="O229" i="16"/>
  <c r="O185" i="16"/>
  <c r="O155" i="16"/>
  <c r="O158" i="16"/>
  <c r="O170" i="16"/>
  <c r="O99" i="16"/>
  <c r="O212" i="16"/>
  <c r="O173" i="16"/>
  <c r="O151" i="16"/>
  <c r="O140" i="16"/>
  <c r="O152" i="16"/>
  <c r="O141" i="16"/>
  <c r="O163" i="16"/>
  <c r="O142" i="16"/>
  <c r="O159" i="16"/>
  <c r="O133" i="16"/>
  <c r="O145" i="16"/>
  <c r="O164" i="16"/>
  <c r="O213" i="16"/>
  <c r="O156" i="16"/>
  <c r="O42" i="16"/>
  <c r="O86" i="16"/>
  <c r="O195" i="16"/>
  <c r="O157" i="16"/>
  <c r="O184" i="16"/>
  <c r="O166" i="16"/>
  <c r="O196" i="16"/>
  <c r="O204" i="16"/>
  <c r="O146" i="16"/>
  <c r="O143" i="16"/>
  <c r="O174" i="16"/>
  <c r="O208" i="16"/>
  <c r="O124" i="16"/>
  <c r="O112" i="16"/>
  <c r="O147" i="16"/>
  <c r="O121" i="16"/>
  <c r="O126" i="16"/>
  <c r="O117" i="16"/>
  <c r="O118" i="16"/>
  <c r="O176" i="16"/>
  <c r="O178" i="16"/>
  <c r="O160" i="16"/>
  <c r="O136" i="16"/>
  <c r="O116" i="16"/>
  <c r="O132" i="16"/>
</calcChain>
</file>

<file path=xl/sharedStrings.xml><?xml version="1.0" encoding="utf-8"?>
<sst xmlns="http://schemas.openxmlformats.org/spreadsheetml/2006/main" count="62423" uniqueCount="8212">
  <si>
    <t>Master ID</t>
  </si>
  <si>
    <t>Sex</t>
  </si>
  <si>
    <t>Skeletal code</t>
  </si>
  <si>
    <t>Skeletal element</t>
  </si>
  <si>
    <t>Data type</t>
  </si>
  <si>
    <t xml:space="preserve">Average of 95.4% date range in calBP (defined as 1950 CE)  </t>
  </si>
  <si>
    <t>Date: One of two formats. (Format 1) 95.4% CI calibrated radiocarbon age (Conventional Radiocarbon Age B, Lab number) e.g. 5983-5747 calBCE (6980±50 B B, Beta-226472). (Format 2) Archaeological context date B, e.g. 2500-1700 BCE</t>
  </si>
  <si>
    <t>Location</t>
  </si>
  <si>
    <t>Site</t>
  </si>
  <si>
    <t>Country</t>
  </si>
  <si>
    <t>I5277</t>
  </si>
  <si>
    <t>M</t>
  </si>
  <si>
    <t>Afanasievo</t>
  </si>
  <si>
    <t>petrous</t>
  </si>
  <si>
    <t>S5277.E1.L1</t>
  </si>
  <si>
    <t>3264-2916 calBCE [3083-2916 calBCE (4375±20 BP, PSUAMS-2353), 3264-2929 calBCE (4420±20 BP, PSUAMS-2368)]</t>
  </si>
  <si>
    <t>Elo Bashi</t>
  </si>
  <si>
    <t>..</t>
  </si>
  <si>
    <t>Russia</t>
  </si>
  <si>
    <t>U4b3</t>
  </si>
  <si>
    <t>R1b1a2</t>
  </si>
  <si>
    <t>half</t>
  </si>
  <si>
    <t>PASS (Xcontam=0.007)</t>
  </si>
  <si>
    <t>I5271</t>
  </si>
  <si>
    <t>No</t>
  </si>
  <si>
    <t>F</t>
  </si>
  <si>
    <t>tooth (molar)</t>
  </si>
  <si>
    <t>S5271.E1.L1</t>
  </si>
  <si>
    <t>3013-2901 calBCE (4335±20 BP, PSUAMS-2406)</t>
  </si>
  <si>
    <t>Elo 1</t>
  </si>
  <si>
    <t>T2a1a</t>
  </si>
  <si>
    <t>QUESTIONABLE (damage=0.013)</t>
  </si>
  <si>
    <t>I5270</t>
  </si>
  <si>
    <t>tooth (premolar)</t>
  </si>
  <si>
    <t>S5270.E1.L1</t>
  </si>
  <si>
    <t>3322-2939 calBCE (4435±20 BP, PSUAMS-2405)</t>
  </si>
  <si>
    <t>T1a1</t>
  </si>
  <si>
    <t>R1b1a1a2a2</t>
  </si>
  <si>
    <t>I1829</t>
  </si>
  <si>
    <t>SS Sal 1/36</t>
  </si>
  <si>
    <t>bone (cranial)</t>
  </si>
  <si>
    <t>S1829.E1.L1</t>
  </si>
  <si>
    <t>3316-2915 calBCE [2915-2878 calBCE (4270±25 BP, PSUAMS-2109), 3316-2915 cal BCE (4409±34 BP, UBA-29307)]</t>
  </si>
  <si>
    <t>Altai Mountains, Saldyar-1 cemetery</t>
  </si>
  <si>
    <t>J2a2a</t>
  </si>
  <si>
    <t>PASS</t>
  </si>
  <si>
    <t>I2071</t>
  </si>
  <si>
    <t>230/6, tomb 10</t>
  </si>
  <si>
    <t>S2071.E1.L1</t>
  </si>
  <si>
    <t>3331-2704 calBCE [2926-2704 calBCE (4260±35 BP, Poz-83510), 3322-2923 calBCE (4423±29 BP, OxA-31219), 3331-2935 calBCE (4442±29 BP, OxA-31220)]</t>
  </si>
  <si>
    <t>Altai Mountains, Ust'-Kuyum</t>
  </si>
  <si>
    <t>H6a1b</t>
  </si>
  <si>
    <t>I3952</t>
  </si>
  <si>
    <t>StPet51, collection 6612, individual 5</t>
  </si>
  <si>
    <t>S3952.E1.L1,S3953.E1.L1</t>
  </si>
  <si>
    <t>2866-2579 calBCE (4120±30 BP, PSUAMS-1957)</t>
  </si>
  <si>
    <t>Altai Mountains, Yenisey River, left bank of Karasuk tributary, Karasuk III</t>
  </si>
  <si>
    <t>U5a1a1</t>
  </si>
  <si>
    <t>half,half</t>
  </si>
  <si>
    <t>PASS (Xcontam=0.004)</t>
  </si>
  <si>
    <t>I3954</t>
  </si>
  <si>
    <t>StPet52, collection 6612, individual 8</t>
  </si>
  <si>
    <t>S3954.E1.L1</t>
  </si>
  <si>
    <t>2872-2625 calBCE (4140±25 BP, PSUAMS-2293)</t>
  </si>
  <si>
    <t>I3950</t>
  </si>
  <si>
    <t>StPet48, collection 6612, individual 2</t>
  </si>
  <si>
    <t>S3950.E1.L1</t>
  </si>
  <si>
    <t>2878-2636 calBCE (4160±25 BP, PSUAMS-1955)</t>
  </si>
  <si>
    <t>U5b2a1a+16311</t>
  </si>
  <si>
    <t>Q1a2</t>
  </si>
  <si>
    <t>I5272</t>
  </si>
  <si>
    <t>S5272.E1.L1</t>
  </si>
  <si>
    <t>3003-2887 calBCE (4305±20 BP, PSUAMS-2351)</t>
  </si>
  <si>
    <t>U5a1g1</t>
  </si>
  <si>
    <t>I5273</t>
  </si>
  <si>
    <t>S5273.E1.L1</t>
  </si>
  <si>
    <t>3011-2887 calBCE (4310±25 BP, PSUAMS-2352)</t>
  </si>
  <si>
    <t>Lower Tyumechin 1</t>
  </si>
  <si>
    <t>I5279</t>
  </si>
  <si>
    <t>S5279.E1.L1</t>
  </si>
  <si>
    <t>3012-2897 calBCE (4330±20 BP, PSUAMS-2355)</t>
  </si>
  <si>
    <t>U4d1</t>
  </si>
  <si>
    <t>PASS (Xcontam=0.005)</t>
  </si>
  <si>
    <t>I5269</t>
  </si>
  <si>
    <t>S5269.E1.L1</t>
  </si>
  <si>
    <t>3016-2899 calBCE (4335±25 BP, PSUAMS-2350)</t>
  </si>
  <si>
    <t>I5278</t>
  </si>
  <si>
    <t>S5278.E1.L1</t>
  </si>
  <si>
    <t>3084-2911 calBCE (4370±25 BP, PSUAMS-2354)</t>
  </si>
  <si>
    <t>I2069</t>
  </si>
  <si>
    <t>230/4</t>
  </si>
  <si>
    <t>S2069.E1.L1</t>
  </si>
  <si>
    <t>3331-2922 calBCE (4430±40 BP, Poz-83425)</t>
  </si>
  <si>
    <t>Altai Autonomous Republic, Ust-Kanski, Altai Mountains, Kaminnaya Cave</t>
  </si>
  <si>
    <t>K1b2a</t>
  </si>
  <si>
    <t>I3388</t>
  </si>
  <si>
    <t>StPet53, collection 6612, kurgan 1, individual 6</t>
  </si>
  <si>
    <t>S3388.E1.L2</t>
  </si>
  <si>
    <t>U5a1d2b</t>
  </si>
  <si>
    <t>I6711</t>
  </si>
  <si>
    <t>bone</t>
  </si>
  <si>
    <t>S6711.E1.L1</t>
  </si>
  <si>
    <t>2950-2650 BCE [son of RISE511 with a date of 2909-2679 calBCE (4224±36 BP, OxA-31568)]</t>
  </si>
  <si>
    <t>R1b1a1a2a</t>
  </si>
  <si>
    <t>I6713</t>
  </si>
  <si>
    <t>bone (long bone)</t>
  </si>
  <si>
    <t>S6713.E1.L1</t>
  </si>
  <si>
    <t>3000-2000 BCE</t>
  </si>
  <si>
    <t>U5a1g2</t>
  </si>
  <si>
    <t>I3387</t>
  </si>
  <si>
    <t>S3387.E1.L3,S6164.E1.L1</t>
  </si>
  <si>
    <t>PASS (Xcontam=0.009)</t>
  </si>
  <si>
    <t>I6715</t>
  </si>
  <si>
    <t>S6715.E1.L1</t>
  </si>
  <si>
    <t>3300-2500 BCE</t>
  </si>
  <si>
    <t>S11112.E1.L1</t>
  </si>
  <si>
    <t>I11112</t>
  </si>
  <si>
    <t>16) Podsukhanikha II, kurgan 19A, burial 1</t>
  </si>
  <si>
    <t>bone (phalanx)</t>
  </si>
  <si>
    <t>Krasnoyarsk Krai, Minusinsk, Podsukhanika II</t>
  </si>
  <si>
    <t>H15b1</t>
  </si>
  <si>
    <t>S10565.E1.L2</t>
  </si>
  <si>
    <t>I10565</t>
  </si>
  <si>
    <t>2887-2677 calBCE (4186±27 BP, OxA-31221)</t>
  </si>
  <si>
    <t>T2c1a2</t>
  </si>
  <si>
    <t>S11752.Y1.E1.L1</t>
  </si>
  <si>
    <t>I11752</t>
  </si>
  <si>
    <t>BARN-039, Inskoy Dol, kurgan 6</t>
  </si>
  <si>
    <t>Inskoy Dol</t>
  </si>
  <si>
    <t>U4d3</t>
  </si>
  <si>
    <t>S10564.E1.L2</t>
  </si>
  <si>
    <t>I10564</t>
  </si>
  <si>
    <t>V1a</t>
  </si>
  <si>
    <t>I3951</t>
  </si>
  <si>
    <t>StPet50, collection 6612, individual 4</t>
  </si>
  <si>
    <t>S3951.E1.L1</t>
  </si>
  <si>
    <t>2879-2639 calBCE (4165±25 BP, PSUAMS-1956)</t>
  </si>
  <si>
    <t>I6712</t>
  </si>
  <si>
    <t>S6712.E1.L1</t>
  </si>
  <si>
    <t>2858-2505 calBCE (4095±25 BP, PSUAMS-3883)</t>
  </si>
  <si>
    <t>RISE509.SG</t>
  </si>
  <si>
    <t>AllentoftNature2015</t>
  </si>
  <si>
    <t>NA</t>
  </si>
  <si>
    <t>tooth</t>
  </si>
  <si>
    <t>minus</t>
  </si>
  <si>
    <t>RISE511.SG</t>
  </si>
  <si>
    <t>RISE511</t>
  </si>
  <si>
    <t>2909-2679 calBCE (4224±36 BP, OxA-31568)</t>
  </si>
  <si>
    <t>I6714</t>
  </si>
  <si>
    <t>Afanasievo_son.I3388_son.I3950_brother.I3949</t>
  </si>
  <si>
    <t>S6714.E1.L1</t>
  </si>
  <si>
    <t>2617-2472 calBCE (4020±25 BP, PSUAMS-3909)</t>
  </si>
  <si>
    <t>PASS (Xcontam=0.008)</t>
  </si>
  <si>
    <t>I3949</t>
  </si>
  <si>
    <t>Afanasievo_son.I3388_son.I3950_brother.I6714</t>
  </si>
  <si>
    <t>StPet47, collection 6612, individual 1</t>
  </si>
  <si>
    <t>S3949.E1.L1</t>
  </si>
  <si>
    <t>2837-2498 calBCE (4075±20 BP, PSUAMS-2292)</t>
  </si>
  <si>
    <t>BR_Onge-1.DG</t>
  </si>
  <si>
    <t>MallickNature2016</t>
  </si>
  <si>
    <t>Onge14</t>
  </si>
  <si>
    <t>Onge.DG</t>
  </si>
  <si>
    <t>AHG</t>
  </si>
  <si>
    <t>n/a</t>
  </si>
  <si>
    <t>present</t>
  </si>
  <si>
    <t>Andaman and Nicobar</t>
  </si>
  <si>
    <t>India</t>
  </si>
  <si>
    <t>BR_Onge-2.DG</t>
  </si>
  <si>
    <t>Onge3</t>
  </si>
  <si>
    <t>I8219</t>
  </si>
  <si>
    <t>Aligrama2_IA</t>
  </si>
  <si>
    <t>S8219.E1.L1</t>
  </si>
  <si>
    <t>974-836 calBCE (2760±20 BP, PSUAMS-4853)</t>
  </si>
  <si>
    <t>Pakistan</t>
  </si>
  <si>
    <t>M65a+@16311</t>
  </si>
  <si>
    <t>I6888</t>
  </si>
  <si>
    <t>S6888.E1.L1</t>
  </si>
  <si>
    <t>818-789 calBCE (2620±20 BP, PSUAMS-4423)</t>
  </si>
  <si>
    <t>Swat Valley, Aligrama</t>
  </si>
  <si>
    <t>H</t>
  </si>
  <si>
    <t>I8246</t>
  </si>
  <si>
    <t>S8246.E1.L1</t>
  </si>
  <si>
    <t>U2c1a</t>
  </si>
  <si>
    <t>G2a2a1</t>
  </si>
  <si>
    <t>S_Ami-1.DG</t>
  </si>
  <si>
    <t>NA13607</t>
  </si>
  <si>
    <t>Ami.DG</t>
  </si>
  <si>
    <t>Taiwan</t>
  </si>
  <si>
    <t>O2a2a1a2</t>
  </si>
  <si>
    <t>S_Ami-2.DG</t>
  </si>
  <si>
    <t>NA13616</t>
  </si>
  <si>
    <t>I1584</t>
  </si>
  <si>
    <t>LazaridisNature2016</t>
  </si>
  <si>
    <t>Anatolia_C</t>
  </si>
  <si>
    <t>M10-111, UN_L11</t>
  </si>
  <si>
    <t>S1584.E1.L1,S1584.E1.L3,S1584.E1.L2,S5431.E1.L1,S5432.E1.L1,S5395.E1.L1</t>
  </si>
  <si>
    <t>3943-3708 calBCE (5016±31 BP, OxA-32776)</t>
  </si>
  <si>
    <t>Northwest Anatolia, Marmara, Barcın</t>
  </si>
  <si>
    <t>Turkey</t>
  </si>
  <si>
    <t>K1a17</t>
  </si>
  <si>
    <t>half,half,half,half,half,half</t>
  </si>
  <si>
    <t>I2495</t>
  </si>
  <si>
    <t>LazaridisNature2017</t>
  </si>
  <si>
    <t>Anatolia_EBA</t>
  </si>
  <si>
    <t>A4-1, A-4-1 (1993)</t>
  </si>
  <si>
    <t>S2495.E1.L2,S2495.E1.L3</t>
  </si>
  <si>
    <t>2558-2295 calBCE (3925±35 BP, Poz-81111)</t>
  </si>
  <si>
    <t>Isparta, Harmanoren-Gondurle Hoyuk</t>
  </si>
  <si>
    <t>J1a</t>
  </si>
  <si>
    <t>I2683</t>
  </si>
  <si>
    <t>G3/95 [Olivia Cheronet thinks it is G4/93]</t>
  </si>
  <si>
    <t>S2683.E1.L2</t>
  </si>
  <si>
    <t>2618-2470 calBCE (4015±30 BP, PSUAMS-1988)</t>
  </si>
  <si>
    <t>T2b</t>
  </si>
  <si>
    <t>I2499</t>
  </si>
  <si>
    <t>U1c</t>
  </si>
  <si>
    <t>S2499.E1.L2,S2499.E1.L3,S2499.E1.L4,S2499.E1.L5</t>
  </si>
  <si>
    <t>2836-2472 calBCE (4040±35 BP, Poz-82213)</t>
  </si>
  <si>
    <t>K1a2</t>
  </si>
  <si>
    <t>half,half,half,half</t>
  </si>
  <si>
    <t>QUESTIONABLE (mtcontam=0.946-0.989)</t>
  </si>
  <si>
    <t>MA2210_final.SG</t>
  </si>
  <si>
    <t>DamgaardScience2018</t>
  </si>
  <si>
    <t>MA2210</t>
  </si>
  <si>
    <t>Anatolia_EBA.SG</t>
  </si>
  <si>
    <t>G-137, the well of layer V, individual no. 12.</t>
  </si>
  <si>
    <t>3000-2500 BCE</t>
  </si>
  <si>
    <t>Ovaören</t>
  </si>
  <si>
    <t>MA2212_final.SG</t>
  </si>
  <si>
    <t>MA2212</t>
  </si>
  <si>
    <t>G-137, the well of layer V, individual no. 2.</t>
  </si>
  <si>
    <t>W5</t>
  </si>
  <si>
    <t>J2a</t>
  </si>
  <si>
    <t>MA2213_final.SG</t>
  </si>
  <si>
    <t>MA2213</t>
  </si>
  <si>
    <t>G-137, the well of layer V, individual no. 10</t>
  </si>
  <si>
    <t>J1c10a</t>
  </si>
  <si>
    <t>MA2197_final.SG</t>
  </si>
  <si>
    <t>MA2197</t>
  </si>
  <si>
    <t>Anatolia_IA.SG</t>
  </si>
  <si>
    <t>P1056 94 07 11 North, Sector XV, Grid XXXVI-52 (5) Provisional Layer 10</t>
  </si>
  <si>
    <t>1300-600 BCE</t>
  </si>
  <si>
    <t xml:space="preserve">Kalehöyük </t>
  </si>
  <si>
    <t>U8b1b2</t>
  </si>
  <si>
    <t>MA2198_final.SG</t>
  </si>
  <si>
    <t>MA2198</t>
  </si>
  <si>
    <t>P1156 94 09 08, North, Sector XXVII, Grid XLVI-52 (67) B+C (Female C)</t>
  </si>
  <si>
    <t>MA2200_final.SG</t>
  </si>
  <si>
    <t>MA2200</t>
  </si>
  <si>
    <t>Anatolia_MLBA.SG</t>
  </si>
  <si>
    <t xml:space="preserve">HS 89-01, 89 08 17, Sector III, Grid XLI-54 (C), Provisional Layer 48 – IIIb </t>
  </si>
  <si>
    <t>2500-1200 BCE</t>
  </si>
  <si>
    <t>K1a+150</t>
  </si>
  <si>
    <t>BT</t>
  </si>
  <si>
    <t>MA2203_final.SG</t>
  </si>
  <si>
    <t>MA2203</t>
  </si>
  <si>
    <t>535 950810, North, Sector VI, Grid XXXIV-54 (M), Provisional Layer 61</t>
  </si>
  <si>
    <t>J1c</t>
  </si>
  <si>
    <t>MA2205_final.SG</t>
  </si>
  <si>
    <t>MA2205</t>
  </si>
  <si>
    <t>HS 11-1, 110705, North, Sector VIII, Grid XXX-55 (WW), Provisional Layer 75</t>
  </si>
  <si>
    <t>J2b1</t>
  </si>
  <si>
    <t>J</t>
  </si>
  <si>
    <t>MA2206_final.SG</t>
  </si>
  <si>
    <t>MA2206</t>
  </si>
  <si>
    <t>940826 S1 (Skeleton1), W4-W7 North, Sector I, Grid XLV-54 (GG) Provisional Layer 27</t>
  </si>
  <si>
    <t>U1a</t>
  </si>
  <si>
    <t>MA2208_final.SG</t>
  </si>
  <si>
    <t>MA2208</t>
  </si>
  <si>
    <t>940826, S2 (skeleton 2), North, Sector I, Grid XLV-54 (GG)</t>
  </si>
  <si>
    <t>H6a1b2e</t>
  </si>
  <si>
    <t>G2a2b</t>
  </si>
  <si>
    <t>I0723</t>
  </si>
  <si>
    <t>MathiesonNature2015</t>
  </si>
  <si>
    <t>Anatolia_N</t>
  </si>
  <si>
    <t>T1, M229 / UH</t>
  </si>
  <si>
    <t>S1512.E1.L1,S0723.E1.L1,S0723.E1.L3,S0723.E1.L2</t>
  </si>
  <si>
    <t>5995-5845 calBCE (7035±35 BP, PSUAMS-1965)</t>
  </si>
  <si>
    <t>Mentese</t>
  </si>
  <si>
    <t>X2m2</t>
  </si>
  <si>
    <t>G2a2a</t>
  </si>
  <si>
    <t>I0746</t>
  </si>
  <si>
    <t>L11-322</t>
  </si>
  <si>
    <t>S0746.E1.L1</t>
  </si>
  <si>
    <t>6067-5892 calBCE (7110±50 BP, Poz-82177)</t>
  </si>
  <si>
    <t>G2a2b2a1a1c</t>
  </si>
  <si>
    <t>I0709</t>
  </si>
  <si>
    <t>BAR20/ M13-170</t>
  </si>
  <si>
    <t>S0709.E1.L1</t>
  </si>
  <si>
    <t>6215-6056 calBCE (7255±30 BP, PSUAMS-2952)</t>
  </si>
  <si>
    <t>U3</t>
  </si>
  <si>
    <t>I0708</t>
  </si>
  <si>
    <t>BAR6 / L11-439</t>
  </si>
  <si>
    <t>S0708.E1.L1</t>
  </si>
  <si>
    <t>6221-6073 calBCE (7285±30 BP, PSUAMS-2103)</t>
  </si>
  <si>
    <t>N1b1a</t>
  </si>
  <si>
    <t>I1580</t>
  </si>
  <si>
    <t>L12-393</t>
  </si>
  <si>
    <t>S1580.E1.L1</t>
  </si>
  <si>
    <t>6387-6103 calBCE (7385±40 BP, PSUAMS-1964)</t>
  </si>
  <si>
    <t>H5</t>
  </si>
  <si>
    <t>I0745</t>
  </si>
  <si>
    <t>M11-363</t>
  </si>
  <si>
    <t>S0745.E1.L1</t>
  </si>
  <si>
    <t>6374-6227 calBCE (7405±30 BP, PSUAMS-2105)</t>
  </si>
  <si>
    <t>U8b1b1</t>
  </si>
  <si>
    <t>H2</t>
  </si>
  <si>
    <t>I1581</t>
  </si>
  <si>
    <t>L12-502</t>
  </si>
  <si>
    <t>S1581.E1.L1</t>
  </si>
  <si>
    <t>6376-6231 calBCE (7415±30 BP, PSUAMS-2104)</t>
  </si>
  <si>
    <t>I0744</t>
  </si>
  <si>
    <t>M10-275</t>
  </si>
  <si>
    <t>S0744.E1.L1</t>
  </si>
  <si>
    <t>6402-6243 calBCE (7455±30 BP, PSUAMS-2299)</t>
  </si>
  <si>
    <t>J1c11</t>
  </si>
  <si>
    <t>G2a2b2a</t>
  </si>
  <si>
    <t>PASS (Xcontam=0.01)</t>
  </si>
  <si>
    <t>I1583</t>
  </si>
  <si>
    <t>L14-200</t>
  </si>
  <si>
    <t>S1583.E1.L1</t>
  </si>
  <si>
    <t>6426-6236 calBCE (7460±50 BP, Poz-82231)</t>
  </si>
  <si>
    <t>G2a2a1a2a</t>
  </si>
  <si>
    <t>I1097</t>
  </si>
  <si>
    <t>BAR271 / M10-271</t>
  </si>
  <si>
    <t>S1097.E1.L1</t>
  </si>
  <si>
    <t>6424-6251 calBCE (7475±30 BP, PSUAMS-2297)</t>
  </si>
  <si>
    <t>W1-T119C</t>
  </si>
  <si>
    <t>PASS (Xcontam=0.011)</t>
  </si>
  <si>
    <t>I1098</t>
  </si>
  <si>
    <t>BAR99 / M10-352</t>
  </si>
  <si>
    <t>S1098.E1.L1</t>
  </si>
  <si>
    <t>6422-6253 calBCE (7475±25 BP, PSUAMS-2947)</t>
  </si>
  <si>
    <t>X2d2</t>
  </si>
  <si>
    <t>I0724</t>
  </si>
  <si>
    <t>T2 / UP</t>
  </si>
  <si>
    <t>S0724.E1.L1,S0724.E1.L3,S0724.E1.L2</t>
  </si>
  <si>
    <t>6400-5600 BCE</t>
  </si>
  <si>
    <t>K1a4</t>
  </si>
  <si>
    <t>I2c</t>
  </si>
  <si>
    <t>half,half,half</t>
  </si>
  <si>
    <t>I0725</t>
  </si>
  <si>
    <t>T4 / SSK15</t>
  </si>
  <si>
    <t>S0725.E1.L1</t>
  </si>
  <si>
    <t>N1a1a1</t>
  </si>
  <si>
    <t>I0726</t>
  </si>
  <si>
    <t>M15, M15.2, M15.2 / UF</t>
  </si>
  <si>
    <t>tooth (incisor)</t>
  </si>
  <si>
    <t>S0726.E1.L1,S0743.E1.L1,S1107.E1.L1</t>
  </si>
  <si>
    <t>I0727</t>
  </si>
  <si>
    <t>M24 / UA JK 16</t>
  </si>
  <si>
    <t>S0727.E1.L1,S0727.E1.L3,S0727.E1.L2</t>
  </si>
  <si>
    <t>I0736</t>
  </si>
  <si>
    <t>L11-216</t>
  </si>
  <si>
    <t>S0736.E1.L1</t>
  </si>
  <si>
    <t>6500-6200 BCE</t>
  </si>
  <si>
    <t>N1a1a1a</t>
  </si>
  <si>
    <t>I1096</t>
  </si>
  <si>
    <t>BAR26 / M10-76</t>
  </si>
  <si>
    <t>S1096.E1.L1</t>
  </si>
  <si>
    <t>I1099</t>
  </si>
  <si>
    <t>L11-5-488</t>
  </si>
  <si>
    <t>S1099.E1.L1</t>
  </si>
  <si>
    <t>PASS (Xcontam=0.017)</t>
  </si>
  <si>
    <t>I1100</t>
  </si>
  <si>
    <t>M11-351</t>
  </si>
  <si>
    <t>S1100.E1.L1</t>
  </si>
  <si>
    <t>I1101</t>
  </si>
  <si>
    <t>M11-352a</t>
  </si>
  <si>
    <t>S1101.E1.L1</t>
  </si>
  <si>
    <t>I1102</t>
  </si>
  <si>
    <t>M11-354</t>
  </si>
  <si>
    <t>S1102.E1.L1</t>
  </si>
  <si>
    <t>K1a3a</t>
  </si>
  <si>
    <t>C1a2</t>
  </si>
  <si>
    <t>PASS (Xcontam=0.015)</t>
  </si>
  <si>
    <t>I1103</t>
  </si>
  <si>
    <t>M11-S-350</t>
  </si>
  <si>
    <t>S1103.E1.L1</t>
  </si>
  <si>
    <t>K1b1b1</t>
  </si>
  <si>
    <t>Ancestor.REF</t>
  </si>
  <si>
    <t>ReferenceGenome</t>
  </si>
  <si>
    <t>Ancestor</t>
  </si>
  <si>
    <t>A</t>
  </si>
  <si>
    <t>MA1.SG</t>
  </si>
  <si>
    <t>RaghavanNature2013</t>
  </si>
  <si>
    <t>MA1</t>
  </si>
  <si>
    <t>MA1_HG.SG</t>
  </si>
  <si>
    <t>ANE</t>
  </si>
  <si>
    <t>Malta1</t>
  </si>
  <si>
    <t>22570-22140 calBCE (20240±60 BP, UCIAMS-79666)</t>
  </si>
  <si>
    <t>Mal'ta</t>
  </si>
  <si>
    <t>R</t>
  </si>
  <si>
    <t>AfontovaGora3_d</t>
  </si>
  <si>
    <t>FuNature2016</t>
  </si>
  <si>
    <t>AfontovaGora3</t>
  </si>
  <si>
    <t>L5121</t>
  </si>
  <si>
    <t>16480-15480 calBCE (14710±60 BP, MAMS-27186)</t>
  </si>
  <si>
    <t>Afontova Gora</t>
  </si>
  <si>
    <t>R1b</t>
  </si>
  <si>
    <t>I1409</t>
  </si>
  <si>
    <t>Armenia_C</t>
  </si>
  <si>
    <t>ARE20</t>
  </si>
  <si>
    <t>S1409.E1.L1</t>
  </si>
  <si>
    <t>4229-3985 calBCE (5260±30 BP, Poz-81110)</t>
  </si>
  <si>
    <t>Areni 1</t>
  </si>
  <si>
    <t>Armenia</t>
  </si>
  <si>
    <t>U4a</t>
  </si>
  <si>
    <t>I1632</t>
  </si>
  <si>
    <t>AR1/46</t>
  </si>
  <si>
    <t>S1632.E1.L1</t>
  </si>
  <si>
    <t>4230-4000 calBCE (5285±29 BP, OxA-18599)</t>
  </si>
  <si>
    <t>K1a8</t>
  </si>
  <si>
    <t>L1a1</t>
  </si>
  <si>
    <t>I1631</t>
  </si>
  <si>
    <t>AR1/43C</t>
  </si>
  <si>
    <t>S1631.E1.L1</t>
  </si>
  <si>
    <t>4250-4050 calBCE (5323±30 BP, OxA-19332)</t>
  </si>
  <si>
    <t>I1634</t>
  </si>
  <si>
    <t>AR1/44</t>
  </si>
  <si>
    <t>S1634.E1.L1</t>
  </si>
  <si>
    <t>4330-4060 calBCE (5366±31 BP, OxA-19331)</t>
  </si>
  <si>
    <t>H2a1</t>
  </si>
  <si>
    <t>I1407</t>
  </si>
  <si>
    <t>ARE12.1</t>
  </si>
  <si>
    <t>S1407.E1.L1</t>
  </si>
  <si>
    <t>4350-3500 BCE</t>
  </si>
  <si>
    <t>PASS (Xcontam=0.003)</t>
  </si>
  <si>
    <t>I1635</t>
  </si>
  <si>
    <t>Armenia_EBA</t>
  </si>
  <si>
    <t>KA1/12</t>
  </si>
  <si>
    <t>S1635.E1.L1</t>
  </si>
  <si>
    <t>2619-2465 calBCE (4005±35 BP, Poz-81102)</t>
  </si>
  <si>
    <t>Kalavan</t>
  </si>
  <si>
    <t>X2f</t>
  </si>
  <si>
    <t>R1b1a</t>
  </si>
  <si>
    <t>PASS (Xcontam=0.006)</t>
  </si>
  <si>
    <t>I1633</t>
  </si>
  <si>
    <t>KA1/14</t>
  </si>
  <si>
    <t>S1633.E1.L1</t>
  </si>
  <si>
    <t>2619-2410 calBCE (3990±35 BP, Poz-22234)</t>
  </si>
  <si>
    <t>H1u</t>
  </si>
  <si>
    <t>I1658</t>
  </si>
  <si>
    <t>TA3/R8, Talin tomb 115</t>
  </si>
  <si>
    <t>S1658.E1.L1</t>
  </si>
  <si>
    <t>3347-3092 calBCE (4492±29 BP, OxA-31874)</t>
  </si>
  <si>
    <t>Talin</t>
  </si>
  <si>
    <t>U3a2</t>
  </si>
  <si>
    <t>RISE397.SG</t>
  </si>
  <si>
    <t>RISE397</t>
  </si>
  <si>
    <t>Armenia_LBA.SG</t>
  </si>
  <si>
    <t>tomb 6 skeleton 2</t>
  </si>
  <si>
    <t>1048-855 calBCE (2807±31 BP, OxA-31002)</t>
  </si>
  <si>
    <t>Kapan</t>
  </si>
  <si>
    <t>RISE407.SG</t>
  </si>
  <si>
    <t>RISE407</t>
  </si>
  <si>
    <t>#5</t>
  </si>
  <si>
    <t>1115-895 calBCE (2827±40 BP, UBA-27938)</t>
  </si>
  <si>
    <t>Norabak</t>
  </si>
  <si>
    <t>RISE396.SG</t>
  </si>
  <si>
    <t>RISE396</t>
  </si>
  <si>
    <t>tomb 6 skeleton 1</t>
  </si>
  <si>
    <t>1192-937 calBCE (2879±31 BP, OxA-31001)</t>
  </si>
  <si>
    <t>RISE412.SG</t>
  </si>
  <si>
    <t>RISE412</t>
  </si>
  <si>
    <t>#10</t>
  </si>
  <si>
    <t>1193-945 calBCE (2885±31 BP, UBA-27940)</t>
  </si>
  <si>
    <t>Noratus</t>
  </si>
  <si>
    <t>RISE408.SG</t>
  </si>
  <si>
    <t>RISE408</t>
  </si>
  <si>
    <t>#6</t>
  </si>
  <si>
    <t>1209-1009 calBCE (2908±32 BP, UBA-27939)</t>
  </si>
  <si>
    <t>I1656</t>
  </si>
  <si>
    <t>Armenia_MBA</t>
  </si>
  <si>
    <t>Kat16</t>
  </si>
  <si>
    <t>S1656.E1.L1</t>
  </si>
  <si>
    <t>1501-1402 calBCE (3168±27 BP, OxA-31674)</t>
  </si>
  <si>
    <t>Katnaghbiur 1</t>
  </si>
  <si>
    <t>T1a1'3</t>
  </si>
  <si>
    <t>RISE423.SG</t>
  </si>
  <si>
    <t>RISE423</t>
  </si>
  <si>
    <t>Armenia_MBA.SG</t>
  </si>
  <si>
    <t>#21</t>
  </si>
  <si>
    <t>1402-1211 calBCE (3038±32 BP, UBA-27944)</t>
  </si>
  <si>
    <t>Nerquin Getashen</t>
  </si>
  <si>
    <t>E1b1b1b2</t>
  </si>
  <si>
    <t>RISE416.SG</t>
  </si>
  <si>
    <t>RISE416</t>
  </si>
  <si>
    <t>#14</t>
  </si>
  <si>
    <t>1643-1445 calBCE (3259±40 BP, UBA-27942)</t>
  </si>
  <si>
    <t>H3a2b</t>
  </si>
  <si>
    <t>RISE413.SG</t>
  </si>
  <si>
    <t>RISE413</t>
  </si>
  <si>
    <t>#11</t>
  </si>
  <si>
    <t>1906-1698 calBCE (3493±34 BP, UBA-28941)</t>
  </si>
  <si>
    <t>R1b1a1a</t>
  </si>
  <si>
    <t>S_Armenian-1.DG</t>
  </si>
  <si>
    <t>armenia293</t>
  </si>
  <si>
    <t>Armenian.DG</t>
  </si>
  <si>
    <t>Yerevan</t>
  </si>
  <si>
    <t>J2a1h2</t>
  </si>
  <si>
    <t>S_Armenian-2.DG</t>
  </si>
  <si>
    <t>S_Armenian-2</t>
  </si>
  <si>
    <t>Kars (ancestors from Kars, born in Akhuzyan)</t>
  </si>
  <si>
    <t>S_Atayal-1.DG</t>
  </si>
  <si>
    <t>NA13604</t>
  </si>
  <si>
    <t>Atayal.DG</t>
  </si>
  <si>
    <t>O1a1a1a</t>
  </si>
  <si>
    <t>S11526.E1.L1</t>
  </si>
  <si>
    <t>I11526</t>
  </si>
  <si>
    <t>2203-2041 calBCE (3735±20 BP, PSUAMS-4607)</t>
  </si>
  <si>
    <t>Kyrgyzstan</t>
  </si>
  <si>
    <t>R6a2</t>
  </si>
  <si>
    <t>S11527.E1.L1</t>
  </si>
  <si>
    <t>I11527</t>
  </si>
  <si>
    <t>2114-1928 calBCE (3630±20 BP, PSUAMS-4750)</t>
  </si>
  <si>
    <t>HV14</t>
  </si>
  <si>
    <t>I1497</t>
  </si>
  <si>
    <t>MathiesonNature2015 (capture of same sample shotgunned in Gamba2014)</t>
  </si>
  <si>
    <t>Baden_LCA</t>
  </si>
  <si>
    <t>HUNG353, CO1</t>
  </si>
  <si>
    <t>S1497.E1.L1</t>
  </si>
  <si>
    <t>2900-2700 calBCE (4421±27 BP, MAMS-14825)</t>
  </si>
  <si>
    <t>Apc-Berekalya I</t>
  </si>
  <si>
    <t>Hungary</t>
  </si>
  <si>
    <t>I2367</t>
  </si>
  <si>
    <t>LipsonNature2017</t>
  </si>
  <si>
    <t>GEN13a</t>
  </si>
  <si>
    <t>S2367.L1,S6081.E1.L1</t>
  </si>
  <si>
    <t>3332-2929 calBCE (4440±35 BP, Poz-88228)</t>
  </si>
  <si>
    <t>Budakalász, Luppa csárda</t>
  </si>
  <si>
    <t>HV</t>
  </si>
  <si>
    <t>G2a2b2a1a</t>
  </si>
  <si>
    <t>I2753</t>
  </si>
  <si>
    <t>GEN22</t>
  </si>
  <si>
    <t>S2753.L1</t>
  </si>
  <si>
    <t>3332-2929 calBCE (4440±35 BP, Poz-88231)</t>
  </si>
  <si>
    <t>Balatonlelle, Fels-Gamász</t>
  </si>
  <si>
    <t>U5a1</t>
  </si>
  <si>
    <t>I2a1a1a</t>
  </si>
  <si>
    <t>PASS (Xcontam=0.006, mtcontam=0.977)</t>
  </si>
  <si>
    <t>I2366</t>
  </si>
  <si>
    <t>GEN12a</t>
  </si>
  <si>
    <t>S2366.L1,S3540.L2,S6080.E1.L1</t>
  </si>
  <si>
    <t>3340-2945 calBCE (4455±35 BP, Poz-88227)</t>
  </si>
  <si>
    <t>H26a</t>
  </si>
  <si>
    <t>G2a2b2a1a1b1</t>
  </si>
  <si>
    <t>I2370</t>
  </si>
  <si>
    <t>GEN16a</t>
  </si>
  <si>
    <t>S2370.L1</t>
  </si>
  <si>
    <t>3346-2945 calBCE (4460±40 BP, Poz-88230)</t>
  </si>
  <si>
    <t>Alsonemedi</t>
  </si>
  <si>
    <t>I2754</t>
  </si>
  <si>
    <t>GEN23</t>
  </si>
  <si>
    <t>S2754.L1</t>
  </si>
  <si>
    <t>3337-3024 calBCE (4465±30 BP, Poz-83637)</t>
  </si>
  <si>
    <t>I2371</t>
  </si>
  <si>
    <t>GEN17a</t>
  </si>
  <si>
    <t>S2371.L1</t>
  </si>
  <si>
    <t>3359-3098 calBCE (4520±35 BP, Poz-83635)</t>
  </si>
  <si>
    <t>U5b3f</t>
  </si>
  <si>
    <t>PASS (Xcontam=0.013)</t>
  </si>
  <si>
    <t>I2369</t>
  </si>
  <si>
    <t>GEN15a</t>
  </si>
  <si>
    <t>S2369.L1</t>
  </si>
  <si>
    <t>3367-3103 calBCE (4545±35 BP, Poz-83634)</t>
  </si>
  <si>
    <t>J2a1a1</t>
  </si>
  <si>
    <t>G2a2b2a1a1c1a</t>
  </si>
  <si>
    <t>I2368</t>
  </si>
  <si>
    <t>GEN14a</t>
  </si>
  <si>
    <t>S2368.L1</t>
  </si>
  <si>
    <t>3300-2850 BCE</t>
  </si>
  <si>
    <t>U5b</t>
  </si>
  <si>
    <t>QUESTIONABLE_CRITICAL (mtcontam=0.408)</t>
  </si>
  <si>
    <t>I2763</t>
  </si>
  <si>
    <t>Vors1</t>
  </si>
  <si>
    <t>S2763.L1</t>
  </si>
  <si>
    <t>Vörs</t>
  </si>
  <si>
    <t>T2f</t>
  </si>
  <si>
    <t>I2752</t>
  </si>
  <si>
    <t>GEN21</t>
  </si>
  <si>
    <t>S2752.L1</t>
  </si>
  <si>
    <t>3600-2850 BCE</t>
  </si>
  <si>
    <t>K1a</t>
  </si>
  <si>
    <t>I2a1</t>
  </si>
  <si>
    <t>I2755</t>
  </si>
  <si>
    <t>GEN24</t>
  </si>
  <si>
    <t>S2755.L1</t>
  </si>
  <si>
    <t>U8b1a1</t>
  </si>
  <si>
    <t>I</t>
  </si>
  <si>
    <t>I2785</t>
  </si>
  <si>
    <t>GEN55</t>
  </si>
  <si>
    <t>S2785.L1</t>
  </si>
  <si>
    <t>Vámosgyörk, MHAT telep</t>
  </si>
  <si>
    <t>T2c1d1</t>
  </si>
  <si>
    <t>S_Balochi-1.DG</t>
  </si>
  <si>
    <t>HGDP00090</t>
  </si>
  <si>
    <t>Balochi.DG</t>
  </si>
  <si>
    <t>E1b1b1a1b2</t>
  </si>
  <si>
    <t>S_Balochi-2.DG</t>
  </si>
  <si>
    <t>S_Balochi-2</t>
  </si>
  <si>
    <t>L1a2</t>
  </si>
  <si>
    <t>I6889</t>
  </si>
  <si>
    <t>Barikot_H</t>
  </si>
  <si>
    <t>S6889.E1.L1</t>
  </si>
  <si>
    <t>H2b</t>
  </si>
  <si>
    <t>R1a1a1b</t>
  </si>
  <si>
    <t>I6890</t>
  </si>
  <si>
    <t>S6890.E1.L1</t>
  </si>
  <si>
    <t>M3a2</t>
  </si>
  <si>
    <t>I7714</t>
  </si>
  <si>
    <t>S7714.E1.L1</t>
  </si>
  <si>
    <t>Swat Valley, Saidu Sharif</t>
  </si>
  <si>
    <t>R30b1</t>
  </si>
  <si>
    <t>HG03006.SG</t>
  </si>
  <si>
    <t>1KGPhase3</t>
  </si>
  <si>
    <t>HG03006</t>
  </si>
  <si>
    <t>BEB.SG</t>
  </si>
  <si>
    <t>Bangladesh</t>
  </si>
  <si>
    <t>J2b2</t>
  </si>
  <si>
    <t>HG03007.SG</t>
  </si>
  <si>
    <t>HG03007</t>
  </si>
  <si>
    <t>HG03009.SG</t>
  </si>
  <si>
    <t>HG03009</t>
  </si>
  <si>
    <t>Bengalis</t>
  </si>
  <si>
    <t>H1a1d2b3a1a1</t>
  </si>
  <si>
    <t>HG03012.SG</t>
  </si>
  <si>
    <t>HG03012</t>
  </si>
  <si>
    <t>J2a1</t>
  </si>
  <si>
    <t>HG03585.SG</t>
  </si>
  <si>
    <t>HG03585</t>
  </si>
  <si>
    <t>R1a1a1b2a1</t>
  </si>
  <si>
    <t>HG03589.SG</t>
  </si>
  <si>
    <t>HG03589</t>
  </si>
  <si>
    <t>HG03793.SG</t>
  </si>
  <si>
    <t>HG03793</t>
  </si>
  <si>
    <t>HG03796.SG</t>
  </si>
  <si>
    <t>HG03796</t>
  </si>
  <si>
    <t>HG03593.SG</t>
  </si>
  <si>
    <t>HG03593</t>
  </si>
  <si>
    <t>C1b1a1b1</t>
  </si>
  <si>
    <t>HG03594.SG</t>
  </si>
  <si>
    <t>HG03594</t>
  </si>
  <si>
    <t>H1b2a</t>
  </si>
  <si>
    <t>HG03595.SG</t>
  </si>
  <si>
    <t>HG03595</t>
  </si>
  <si>
    <t>HG03598.SG</t>
  </si>
  <si>
    <t>HG03598</t>
  </si>
  <si>
    <t>HG03600.SG</t>
  </si>
  <si>
    <t>HG03600</t>
  </si>
  <si>
    <t>H1a1d2b3a1</t>
  </si>
  <si>
    <t>HG03603.SG</t>
  </si>
  <si>
    <t>HG03603</t>
  </si>
  <si>
    <t>R1a1a1b2a1b</t>
  </si>
  <si>
    <t>HG03604.SG</t>
  </si>
  <si>
    <t>HG03604</t>
  </si>
  <si>
    <t>HG03607.SG</t>
  </si>
  <si>
    <t>HG03607</t>
  </si>
  <si>
    <t>HG03611.SG</t>
  </si>
  <si>
    <t>HG03611</t>
  </si>
  <si>
    <t>HG03615.SG</t>
  </si>
  <si>
    <t>HG03615</t>
  </si>
  <si>
    <t>HG03616.SG</t>
  </si>
  <si>
    <t>HG03616</t>
  </si>
  <si>
    <t>HG03800.SG</t>
  </si>
  <si>
    <t>HG03800</t>
  </si>
  <si>
    <t>H1a1d2c1b1a</t>
  </si>
  <si>
    <t>HG03802.SG</t>
  </si>
  <si>
    <t>HG03802</t>
  </si>
  <si>
    <t>HG03803.SG</t>
  </si>
  <si>
    <t>HG03803</t>
  </si>
  <si>
    <t>HG03805.SG</t>
  </si>
  <si>
    <t>HG03805</t>
  </si>
  <si>
    <t>HG03808.SG</t>
  </si>
  <si>
    <t>HG03808</t>
  </si>
  <si>
    <t>HG03809.SG</t>
  </si>
  <si>
    <t>HG03809</t>
  </si>
  <si>
    <t>H1b2</t>
  </si>
  <si>
    <t>HG03812.SG</t>
  </si>
  <si>
    <t>HG03812</t>
  </si>
  <si>
    <t>H1a2a</t>
  </si>
  <si>
    <t>HG03814.SG</t>
  </si>
  <si>
    <t>HG03814</t>
  </si>
  <si>
    <t>HG03815.SG</t>
  </si>
  <si>
    <t>HG03815</t>
  </si>
  <si>
    <t>H1a1d2b1</t>
  </si>
  <si>
    <t>HG03817.SG</t>
  </si>
  <si>
    <t>HG03817</t>
  </si>
  <si>
    <t>HG03821.SG</t>
  </si>
  <si>
    <t>HG03821</t>
  </si>
  <si>
    <t>HG03823.SG</t>
  </si>
  <si>
    <t>HG03823</t>
  </si>
  <si>
    <t>HG03824.SG</t>
  </si>
  <si>
    <t>HG03824</t>
  </si>
  <si>
    <t>H1a1a</t>
  </si>
  <si>
    <t>HG03826.SG</t>
  </si>
  <si>
    <t>HG03826</t>
  </si>
  <si>
    <t>HG03829.SG</t>
  </si>
  <si>
    <t>HG03829</t>
  </si>
  <si>
    <t>HG03830.SG</t>
  </si>
  <si>
    <t>HG03830</t>
  </si>
  <si>
    <t>O2a2b1a1a6b</t>
  </si>
  <si>
    <t>HG03832.SG</t>
  </si>
  <si>
    <t>HG03832</t>
  </si>
  <si>
    <t>HG03833.SG</t>
  </si>
  <si>
    <t>HG03833</t>
  </si>
  <si>
    <t>HG03902.SG</t>
  </si>
  <si>
    <t>HG03902</t>
  </si>
  <si>
    <t>R1a1a1b2a1a</t>
  </si>
  <si>
    <t>HG03905.SG</t>
  </si>
  <si>
    <t>HG03905</t>
  </si>
  <si>
    <t>HG03907.SG</t>
  </si>
  <si>
    <t>HG03907</t>
  </si>
  <si>
    <t>HG03908.SG</t>
  </si>
  <si>
    <t>HG03908</t>
  </si>
  <si>
    <t>HG03910.SG</t>
  </si>
  <si>
    <t>HG03910</t>
  </si>
  <si>
    <t>HG03911.SG</t>
  </si>
  <si>
    <t>HG03911</t>
  </si>
  <si>
    <t>HG03913.SG</t>
  </si>
  <si>
    <t>HG03913</t>
  </si>
  <si>
    <t>HG03914.SG</t>
  </si>
  <si>
    <t>HG03914</t>
  </si>
  <si>
    <t>Q1b2</t>
  </si>
  <si>
    <t>HG03916.SG</t>
  </si>
  <si>
    <t>HG03916</t>
  </si>
  <si>
    <t>HG03917.SG</t>
  </si>
  <si>
    <t>HG03917</t>
  </si>
  <si>
    <t>C</t>
  </si>
  <si>
    <t>HG03919.SG</t>
  </si>
  <si>
    <t>HG03919</t>
  </si>
  <si>
    <t>HG03920.SG</t>
  </si>
  <si>
    <t>HG03920</t>
  </si>
  <si>
    <t>HG03922.SG</t>
  </si>
  <si>
    <t>HG03922</t>
  </si>
  <si>
    <t>HG03925.SG</t>
  </si>
  <si>
    <t>HG03925</t>
  </si>
  <si>
    <t>HG03926.SG</t>
  </si>
  <si>
    <t>HG03926</t>
  </si>
  <si>
    <t>R1a1a1b2a</t>
  </si>
  <si>
    <t>HG03928.SG</t>
  </si>
  <si>
    <t>HG03928</t>
  </si>
  <si>
    <t>HG03931.SG</t>
  </si>
  <si>
    <t>HG03931</t>
  </si>
  <si>
    <t>HG03934.SG</t>
  </si>
  <si>
    <t>HG03934</t>
  </si>
  <si>
    <t>HG03937.SG</t>
  </si>
  <si>
    <t>HG03937</t>
  </si>
  <si>
    <t>HG03940.SG</t>
  </si>
  <si>
    <t>HG03940</t>
  </si>
  <si>
    <t>HG03941.SG</t>
  </si>
  <si>
    <t>HG03941</t>
  </si>
  <si>
    <t>H1a1d2b</t>
  </si>
  <si>
    <t>HG04131.SG</t>
  </si>
  <si>
    <t>HG04131</t>
  </si>
  <si>
    <t>R1a1a1b2a2a</t>
  </si>
  <si>
    <t>HG04134.SG</t>
  </si>
  <si>
    <t>HG04134</t>
  </si>
  <si>
    <t>O2a2b1a1a6</t>
  </si>
  <si>
    <t>HG04140.SG</t>
  </si>
  <si>
    <t>HG04140</t>
  </si>
  <si>
    <t>O1b1a1a1b1a</t>
  </si>
  <si>
    <t>HG04141.SG</t>
  </si>
  <si>
    <t>HG04141</t>
  </si>
  <si>
    <t>HG04144.SG</t>
  </si>
  <si>
    <t>HG04144</t>
  </si>
  <si>
    <t>HG04146.SG</t>
  </si>
  <si>
    <t>HG04146</t>
  </si>
  <si>
    <t>H1a1d2c1b1</t>
  </si>
  <si>
    <t>HG04152.SG</t>
  </si>
  <si>
    <t>HG04152</t>
  </si>
  <si>
    <t>R2a3a2b2b1a</t>
  </si>
  <si>
    <t>HG04153.SG</t>
  </si>
  <si>
    <t>HG04153</t>
  </si>
  <si>
    <t>HG04155.SG</t>
  </si>
  <si>
    <t>HG04155</t>
  </si>
  <si>
    <t>HG04156.SG</t>
  </si>
  <si>
    <t>HG04156</t>
  </si>
  <si>
    <t>HG04158.SG</t>
  </si>
  <si>
    <t>HG04158</t>
  </si>
  <si>
    <t>R2a3a</t>
  </si>
  <si>
    <t>HG04159.SG</t>
  </si>
  <si>
    <t>HG04159</t>
  </si>
  <si>
    <t>HG04161.SG</t>
  </si>
  <si>
    <t>HG04161</t>
  </si>
  <si>
    <t>HG04162.SG</t>
  </si>
  <si>
    <t>HG04162</t>
  </si>
  <si>
    <t>HG04164.SG</t>
  </si>
  <si>
    <t>HG04164</t>
  </si>
  <si>
    <t>H1a1d1</t>
  </si>
  <si>
    <t>HG04171.SG</t>
  </si>
  <si>
    <t>HG04171</t>
  </si>
  <si>
    <t>HG04173.SG</t>
  </si>
  <si>
    <t>HG04173</t>
  </si>
  <si>
    <t>HG04176.SG</t>
  </si>
  <si>
    <t>HG04176</t>
  </si>
  <si>
    <t>HG04177.SG</t>
  </si>
  <si>
    <t>HG04177</t>
  </si>
  <si>
    <t>HG04180.SG</t>
  </si>
  <si>
    <t>HG04180</t>
  </si>
  <si>
    <t>HG04182.SG</t>
  </si>
  <si>
    <t>HG04182</t>
  </si>
  <si>
    <t>R2a3a2b2c</t>
  </si>
  <si>
    <t>HG04183.SG</t>
  </si>
  <si>
    <t>HG04183</t>
  </si>
  <si>
    <t>HG04185.SG</t>
  </si>
  <si>
    <t>HG04185</t>
  </si>
  <si>
    <t>H1a1d2b1a</t>
  </si>
  <si>
    <t>HG04186.SG</t>
  </si>
  <si>
    <t>HG04186</t>
  </si>
  <si>
    <t>HG04188.SG</t>
  </si>
  <si>
    <t>HG04188</t>
  </si>
  <si>
    <t>H1a2</t>
  </si>
  <si>
    <t>HG04189.SG</t>
  </si>
  <si>
    <t>HG04189</t>
  </si>
  <si>
    <t>HG04194.SG</t>
  </si>
  <si>
    <t>HG04194</t>
  </si>
  <si>
    <t>HG04195.SG</t>
  </si>
  <si>
    <t>HG04195</t>
  </si>
  <si>
    <t>I2312_all_d</t>
  </si>
  <si>
    <t>I2312</t>
  </si>
  <si>
    <t>Belt_Cave_M</t>
  </si>
  <si>
    <t>Belt4S</t>
  </si>
  <si>
    <t>S2312.E1.L1,S2312.E1.L7</t>
  </si>
  <si>
    <t>12000-8000 BCE</t>
  </si>
  <si>
    <t>Alborz Mountains, near Behshahr, Belt Cave</t>
  </si>
  <si>
    <t>Iran</t>
  </si>
  <si>
    <t>K2a</t>
  </si>
  <si>
    <t>minus,half</t>
  </si>
  <si>
    <t>mondal_PRBB-1.SG</t>
  </si>
  <si>
    <t>MondalNatureGenetics2016</t>
  </si>
  <si>
    <t>PRBB-1</t>
  </si>
  <si>
    <t>BEN.SG</t>
  </si>
  <si>
    <t>Bengali</t>
  </si>
  <si>
    <t>S_Bengali-1.DG</t>
  </si>
  <si>
    <t>Bengali.DG</t>
  </si>
  <si>
    <t>S_Bengali-2.DG</t>
  </si>
  <si>
    <t>mondal_BIR-08.SG</t>
  </si>
  <si>
    <t>BIR-08</t>
  </si>
  <si>
    <t>BIR.SG</t>
  </si>
  <si>
    <t>Birhor</t>
  </si>
  <si>
    <t>C2</t>
  </si>
  <si>
    <t>mondal_BIR-11.SG</t>
  </si>
  <si>
    <t>BIR-11</t>
  </si>
  <si>
    <t>mondal_BIR-12.SG</t>
  </si>
  <si>
    <t>BIR-12</t>
  </si>
  <si>
    <t>mondal_BIR-13.SG</t>
  </si>
  <si>
    <t>BIR-13</t>
  </si>
  <si>
    <t>mondal_BIR-14.SG</t>
  </si>
  <si>
    <t>BIR-14</t>
  </si>
  <si>
    <t>mondal_BIR-15.SG</t>
  </si>
  <si>
    <t>BIR-15</t>
  </si>
  <si>
    <t>mondal_BIR-16.SG</t>
  </si>
  <si>
    <t>BIR-16</t>
  </si>
  <si>
    <t>CT</t>
  </si>
  <si>
    <t>mondal_BIR-18.SG</t>
  </si>
  <si>
    <t>BIR-18</t>
  </si>
  <si>
    <t>mondal_BIR-22.SG</t>
  </si>
  <si>
    <t>BIR-22</t>
  </si>
  <si>
    <t>I4313</t>
  </si>
  <si>
    <t>Dzharkutan1_BA</t>
  </si>
  <si>
    <t>BMAC</t>
  </si>
  <si>
    <t>S4313.E1.L1</t>
  </si>
  <si>
    <t>1513-1431 calBCE (3210±20 BP, PSUAMS-2517)</t>
  </si>
  <si>
    <t>Dzharkutan</t>
  </si>
  <si>
    <t>Uzbekistan</t>
  </si>
  <si>
    <t>U3a'c</t>
  </si>
  <si>
    <t>I4163</t>
  </si>
  <si>
    <t>S4163.E1.L1</t>
  </si>
  <si>
    <t>1611-1453 calBCE (3250±25 BP, PSUAMS-2112)</t>
  </si>
  <si>
    <t>J1b</t>
  </si>
  <si>
    <t>I4315</t>
  </si>
  <si>
    <t>S4315.E1.L1</t>
  </si>
  <si>
    <t>1609-1465 calBCE (3255±15 BP, PSUAMS-2518)</t>
  </si>
  <si>
    <t>R2+13500+195</t>
  </si>
  <si>
    <t>R1b1</t>
  </si>
  <si>
    <t>I7411</t>
  </si>
  <si>
    <t>S7411.E1.L1</t>
  </si>
  <si>
    <t>1686-1534 calBCE (3335±20 BP, PSUAMS-3227)</t>
  </si>
  <si>
    <t>T2c1a</t>
  </si>
  <si>
    <t>I4312</t>
  </si>
  <si>
    <t>S4312.E1.L1</t>
  </si>
  <si>
    <t>1736-1621 calBCE (3370±20 BP, PSUAMS-2516)</t>
  </si>
  <si>
    <t>HV2a</t>
  </si>
  <si>
    <t>I7412</t>
  </si>
  <si>
    <t>S7412.E1.L1</t>
  </si>
  <si>
    <t>1749-1642 calBCE (3405±20 BP, PSUAMS-3228)</t>
  </si>
  <si>
    <t>H+16311</t>
  </si>
  <si>
    <t>I4285</t>
  </si>
  <si>
    <t>Sappali_Tepe_BA</t>
  </si>
  <si>
    <t>S4285.E1.L1</t>
  </si>
  <si>
    <t>1873-1661 calBCE (3430±25 BP, PSUAMS-2536)</t>
  </si>
  <si>
    <t>Sappali Tepe</t>
  </si>
  <si>
    <t>U7a3a</t>
  </si>
  <si>
    <t>L1a</t>
  </si>
  <si>
    <t>I5604</t>
  </si>
  <si>
    <t>Bustan_BA</t>
  </si>
  <si>
    <t>S5604.E1.L1</t>
  </si>
  <si>
    <t>1880-1697 calBCE (3465±20 BP, PSUAMS-2774)</t>
  </si>
  <si>
    <t>Bustan</t>
  </si>
  <si>
    <t>K1a1</t>
  </si>
  <si>
    <t>I7419</t>
  </si>
  <si>
    <t>S7419.E1.L1</t>
  </si>
  <si>
    <t>1881-1701 calBCE (3475±20 BP, PSUAMS-3229)</t>
  </si>
  <si>
    <t>R2a</t>
  </si>
  <si>
    <t>I7542</t>
  </si>
  <si>
    <t>S7542.E1.L1</t>
  </si>
  <si>
    <t>1885-1752 calBCE (3495±20 BP, PSUAMS-3231)</t>
  </si>
  <si>
    <t>HV13b</t>
  </si>
  <si>
    <t>I4286</t>
  </si>
  <si>
    <t>S4286.E1.L1</t>
  </si>
  <si>
    <t>1886-1756 calBCE (3500±20 BP, PSUAMS-2165)</t>
  </si>
  <si>
    <t>I1c</t>
  </si>
  <si>
    <t>I4289</t>
  </si>
  <si>
    <t>S4289.E1.L1</t>
  </si>
  <si>
    <t>1931-1767 calBCE (3525±25 BP, PSUAMS-2125)</t>
  </si>
  <si>
    <t>U1a2</t>
  </si>
  <si>
    <t>I7421</t>
  </si>
  <si>
    <t>S7421.E1.L1</t>
  </si>
  <si>
    <t>1931-1767 calBCE (3525±25 BP, PSUAMS-3120)</t>
  </si>
  <si>
    <t>J1b1b1</t>
  </si>
  <si>
    <t>I7416</t>
  </si>
  <si>
    <t>S7416.E1.L1</t>
  </si>
  <si>
    <t>1948-1777 calBCE (3545±20 BP, PSUAMS-3117)</t>
  </si>
  <si>
    <t>I7492</t>
  </si>
  <si>
    <t>S7492.E1.L1</t>
  </si>
  <si>
    <t>1971-1782 calBCE (3560±20 BP, PSUAMS-3121)</t>
  </si>
  <si>
    <t>I1781</t>
  </si>
  <si>
    <t>Gonur1_BA</t>
  </si>
  <si>
    <t>S1781.E1.L1,S1781.E1.L2,S1781.E1.L3</t>
  </si>
  <si>
    <t>2009-1772 calBCE (3550±30 BP, PSUAMS-2065)</t>
  </si>
  <si>
    <t>Gonur</t>
  </si>
  <si>
    <t>Turkmenistan</t>
  </si>
  <si>
    <t>T</t>
  </si>
  <si>
    <t>I2085</t>
  </si>
  <si>
    <t>S2085.E1.L1,S2085.E1.L2,S2085.E1.L3</t>
  </si>
  <si>
    <t>2011-1886 calBCE (3580±20 BP, PSUAMS-2313)</t>
  </si>
  <si>
    <t>E1b1b1</t>
  </si>
  <si>
    <t>I7414</t>
  </si>
  <si>
    <t>S7414.E1.L1</t>
  </si>
  <si>
    <t>2031-1915 calBCE (3615±20 BP, PSUAMS-3106)</t>
  </si>
  <si>
    <t>I2116</t>
  </si>
  <si>
    <t>S2116.E1.L1,S2116.E1.L2,S2116.E1.L3</t>
  </si>
  <si>
    <t>2118-1883 calBCE (3605±35 BP, Poz-83490)</t>
  </si>
  <si>
    <t>I1788</t>
  </si>
  <si>
    <t>S1788.E1.L1,S1788.E1.L2,S1788.E1.L3</t>
  </si>
  <si>
    <t>2127-1905 calBCE (3630±30 BP, PSUAMS-2066)</t>
  </si>
  <si>
    <t>I3374</t>
  </si>
  <si>
    <t>S3374.E1.L1,S3374.E1.L2,S3374.E1.L3</t>
  </si>
  <si>
    <t>2125-1945 calBCE (3645±20 BP, PSUAMS-2317)</t>
  </si>
  <si>
    <t>QUESTIONABLE (mtcontam=0.909-0.961)</t>
  </si>
  <si>
    <t>I6119</t>
  </si>
  <si>
    <t>S6119.E1.L1</t>
  </si>
  <si>
    <t>2130-1948 calBCE (3650±20 BP, PSUAMS-2840)</t>
  </si>
  <si>
    <t>J1</t>
  </si>
  <si>
    <t>I1790</t>
  </si>
  <si>
    <t>S1790.E1.L1,S1790.E1.L2,S1790.E1.L3</t>
  </si>
  <si>
    <t>2134-1957 calBCE (3660±20 BP, PSUAMS-2311)</t>
  </si>
  <si>
    <t>QUESTIONABLE (Z=2.1.for.damage.non-damage.comparison.for.L1)</t>
  </si>
  <si>
    <t>I2125</t>
  </si>
  <si>
    <t>S2125.E1.L1,S2125.E1.L2,S2125.E1.L3</t>
  </si>
  <si>
    <t>2136-1977 calBCE (3670±20 BP, PSUAMS-2315)</t>
  </si>
  <si>
    <t>I1787</t>
  </si>
  <si>
    <t>S1787.E1.L1,S1787.E1.L2</t>
  </si>
  <si>
    <t>2139-1981 calBCE (3680±20 BP, PSUAMS-2310)</t>
  </si>
  <si>
    <t>I1793</t>
  </si>
  <si>
    <t>S1793.E1.L1,S1793.E1.L2,S1793.E1.L3</t>
  </si>
  <si>
    <t>2190-2029 calBCE (3700±20 BP, PSUAMS-2312)</t>
  </si>
  <si>
    <t>I2087</t>
  </si>
  <si>
    <t>S2087.E1.L1,S2087.E1.L2,S2087.E1.L3</t>
  </si>
  <si>
    <t>2196-2034 calBCE (3715±20 BP, PSUAMS-2335)</t>
  </si>
  <si>
    <t>I1784</t>
  </si>
  <si>
    <t>S1784.E1.L1</t>
  </si>
  <si>
    <t>2201-2031 calBCE (3720±30 BP, Poz-83485)</t>
  </si>
  <si>
    <t>U7a2</t>
  </si>
  <si>
    <t>I2128</t>
  </si>
  <si>
    <t>S2128.E1.L1,S2128.E1.L2,S2128.E1.L3</t>
  </si>
  <si>
    <t>2198-2036 calBCE (3720±20 BP, PSUAMS-2316)</t>
  </si>
  <si>
    <t>QUESTIONABLE (mtcontam=0.937-0.963)</t>
  </si>
  <si>
    <t>I2121</t>
  </si>
  <si>
    <t>S2121.E1.L1,S2121.E1.L2,S2121.E1.L3</t>
  </si>
  <si>
    <t>2203-2041 calBCE (3735±20 BP, PSUAMS-2314)</t>
  </si>
  <si>
    <t>I6217</t>
  </si>
  <si>
    <t>S6217.E1.L1</t>
  </si>
  <si>
    <t>2285-2135 calBCE (3770±20 BP, PSUAMS-2806)</t>
  </si>
  <si>
    <t>I1782</t>
  </si>
  <si>
    <t>S1782.E1.L1,S1782.E1.L2,S1782.E1.L3</t>
  </si>
  <si>
    <t>2288-2142 calBCE (3785±20 BP, PSUAMS-2309)</t>
  </si>
  <si>
    <t>I6668</t>
  </si>
  <si>
    <t>Parkhai_LBA</t>
  </si>
  <si>
    <t>S6668.E1.L1</t>
  </si>
  <si>
    <t>1600-1000 BCE</t>
  </si>
  <si>
    <t>Parkhai II</t>
  </si>
  <si>
    <t>H29a</t>
  </si>
  <si>
    <t>I6675</t>
  </si>
  <si>
    <t>Sumbar_LBA</t>
  </si>
  <si>
    <t>S6675.E1.L1</t>
  </si>
  <si>
    <t>Sumbar</t>
  </si>
  <si>
    <t>W3b</t>
  </si>
  <si>
    <t>S11025.E1.L1</t>
  </si>
  <si>
    <t>I11025</t>
  </si>
  <si>
    <t>1600-1300 BCE</t>
  </si>
  <si>
    <t>QUESTIONABLE (mtcontam=0.919)</t>
  </si>
  <si>
    <t>S11026.E1.L1</t>
  </si>
  <si>
    <t>I11026</t>
  </si>
  <si>
    <t>U7a</t>
  </si>
  <si>
    <t>S11027.E1.L1</t>
  </si>
  <si>
    <t>I11027</t>
  </si>
  <si>
    <t>T2c</t>
  </si>
  <si>
    <t>S11519.E1.L1</t>
  </si>
  <si>
    <t>I11519</t>
  </si>
  <si>
    <t>I4156</t>
  </si>
  <si>
    <t>S4156.E1.L1</t>
  </si>
  <si>
    <t>H2a2a</t>
  </si>
  <si>
    <t>G</t>
  </si>
  <si>
    <t>I4157</t>
  </si>
  <si>
    <t>S4157.E1.L1</t>
  </si>
  <si>
    <t>T1</t>
  </si>
  <si>
    <t>I4159</t>
  </si>
  <si>
    <t>S4159.E1.L1</t>
  </si>
  <si>
    <t>R0</t>
  </si>
  <si>
    <t>I4899</t>
  </si>
  <si>
    <t>S4899.E1.L1</t>
  </si>
  <si>
    <t>I5605</t>
  </si>
  <si>
    <t>S5605.E1.L1</t>
  </si>
  <si>
    <t>W6</t>
  </si>
  <si>
    <t>I4288</t>
  </si>
  <si>
    <t>S4288.E1.L1</t>
  </si>
  <si>
    <t>2000-1600 BCE</t>
  </si>
  <si>
    <t>W</t>
  </si>
  <si>
    <t>I7420</t>
  </si>
  <si>
    <t>S7420.E1.L1</t>
  </si>
  <si>
    <t>W3a1</t>
  </si>
  <si>
    <t>I4161</t>
  </si>
  <si>
    <t>S4161.E1.L1</t>
  </si>
  <si>
    <t>2100-1800 BCE</t>
  </si>
  <si>
    <t>S10410.E1.L2</t>
  </si>
  <si>
    <t>I10410</t>
  </si>
  <si>
    <t>1900-1700 BCE</t>
  </si>
  <si>
    <t>S10411.E1.L2</t>
  </si>
  <si>
    <t>I10411</t>
  </si>
  <si>
    <t>2300-2200 BCE</t>
  </si>
  <si>
    <t>S11042.E1.L1</t>
  </si>
  <si>
    <t>I11042</t>
  </si>
  <si>
    <t>2300-2250 BCE</t>
  </si>
  <si>
    <t>HV18</t>
  </si>
  <si>
    <t>I4314</t>
  </si>
  <si>
    <t>Dzharkutan1_BA_LowCov</t>
  </si>
  <si>
    <t>BMAC_LowCov</t>
  </si>
  <si>
    <t>S4314.E1.L1</t>
  </si>
  <si>
    <t>1885-1701 calBCE (3480±25 BP, PSUAMS-2800)</t>
  </si>
  <si>
    <t>QUESTIONABLE (2500-5000 SNPs)</t>
  </si>
  <si>
    <t>I6118</t>
  </si>
  <si>
    <t>Gonur1_BA_LowCov</t>
  </si>
  <si>
    <t>S6118.E1.L1</t>
  </si>
  <si>
    <t>2500-1600 BCE</t>
  </si>
  <si>
    <t>J1b1a3</t>
  </si>
  <si>
    <t>I6120</t>
  </si>
  <si>
    <t>S6120.E1.L1</t>
  </si>
  <si>
    <t>R2</t>
  </si>
  <si>
    <t>I6122</t>
  </si>
  <si>
    <t>S6122.E1.L1</t>
  </si>
  <si>
    <t>N1a2</t>
  </si>
  <si>
    <t>I6125</t>
  </si>
  <si>
    <t>S6125.E1.L1</t>
  </si>
  <si>
    <t>I6126</t>
  </si>
  <si>
    <t>S6126.E1.L1</t>
  </si>
  <si>
    <t>N2</t>
  </si>
  <si>
    <t>I6127</t>
  </si>
  <si>
    <t>S6127.E1.L1</t>
  </si>
  <si>
    <t>I6218</t>
  </si>
  <si>
    <t>S6218.E1.L1</t>
  </si>
  <si>
    <t>U8b1a2+16311</t>
  </si>
  <si>
    <t>QUESTIONABLE (2500-5000.SNPs)</t>
  </si>
  <si>
    <t>I6310</t>
  </si>
  <si>
    <t>S6310.E1.L1</t>
  </si>
  <si>
    <t>I6312</t>
  </si>
  <si>
    <t>S6312.E1.L1</t>
  </si>
  <si>
    <t>I6318</t>
  </si>
  <si>
    <t>S6318.E1.L1</t>
  </si>
  <si>
    <t>I3365</t>
  </si>
  <si>
    <t>S3365.E1.L2</t>
  </si>
  <si>
    <t>2500-1700 BCE</t>
  </si>
  <si>
    <t>I7101</t>
  </si>
  <si>
    <t>S7101.E1.L1</t>
  </si>
  <si>
    <t>U1a1c1</t>
  </si>
  <si>
    <t>I7102</t>
  </si>
  <si>
    <t>Gonur 2005 Area 10 pit N3300 (1) N22m</t>
  </si>
  <si>
    <t>S7102.E1.L1</t>
  </si>
  <si>
    <t>HV12b1</t>
  </si>
  <si>
    <t>I7170</t>
  </si>
  <si>
    <t>S7170.E1.L1</t>
  </si>
  <si>
    <t>I7171</t>
  </si>
  <si>
    <t>Gonur 2006 Area 13 pit 3536 25m</t>
  </si>
  <si>
    <t>S7171.E1.L1</t>
  </si>
  <si>
    <t>I7173</t>
  </si>
  <si>
    <t>Gonur 2013 Area 22 shaft tomb N4236 N8m</t>
  </si>
  <si>
    <t>S7173.E1.L1</t>
  </si>
  <si>
    <t>S11040.E1.L1</t>
  </si>
  <si>
    <t>I11040</t>
  </si>
  <si>
    <t>2000-1800 BCE</t>
  </si>
  <si>
    <t>I4158</t>
  </si>
  <si>
    <t>Bustan_BA_o_LowCov</t>
  </si>
  <si>
    <t>BMAC_o_LowCov</t>
  </si>
  <si>
    <t>S4158.E1.L1</t>
  </si>
  <si>
    <t>I2122</t>
  </si>
  <si>
    <t>Gonur1_BA_o2</t>
  </si>
  <si>
    <t>BMAC_o2</t>
  </si>
  <si>
    <t>S2122.E1.L1,S2122.E1.L2,S2122.E1.L3</t>
  </si>
  <si>
    <t>2139-1981 calBCE (3680±20 BP, PSUAMS-2152)</t>
  </si>
  <si>
    <t>I1789</t>
  </si>
  <si>
    <t>S1789.E1.L1,S1789.E1.L2,S1789.E1.L3</t>
  </si>
  <si>
    <t>2277-2030 calBCE (3735±35 BP, Poz-83486)</t>
  </si>
  <si>
    <t>P</t>
  </si>
  <si>
    <t>I7493</t>
  </si>
  <si>
    <t>Sappali_Tepe_BA_o</t>
  </si>
  <si>
    <t>S7493.E1.L1</t>
  </si>
  <si>
    <t>U2e2a1d</t>
  </si>
  <si>
    <t>I4901</t>
  </si>
  <si>
    <t>Dzharkutan2_BA</t>
  </si>
  <si>
    <t>S4901.E1.L1</t>
  </si>
  <si>
    <t>U5a2+16294</t>
  </si>
  <si>
    <t>I5608</t>
  </si>
  <si>
    <t>S5608.E1.L1</t>
  </si>
  <si>
    <t>I4a</t>
  </si>
  <si>
    <t>I8525</t>
  </si>
  <si>
    <t>U</t>
  </si>
  <si>
    <t>S8525.E1.L1</t>
  </si>
  <si>
    <t>E1b1b1a</t>
  </si>
  <si>
    <t>I6117</t>
  </si>
  <si>
    <t>S6117.E1.L1</t>
  </si>
  <si>
    <t>I7495</t>
  </si>
  <si>
    <t>Sappali_Tepe2_BA</t>
  </si>
  <si>
    <t>BMAC2</t>
  </si>
  <si>
    <t>S7495.E1.L1</t>
  </si>
  <si>
    <t>1971-1782 calBCE (3560±20 BP, PSUAMS-3122)</t>
  </si>
  <si>
    <t>H2a</t>
  </si>
  <si>
    <t>I7494</t>
  </si>
  <si>
    <t>S7494.E1.L1</t>
  </si>
  <si>
    <t>2010-1883 calBCE (3575±20 BP, PSUAMS-3230)</t>
  </si>
  <si>
    <t>HV20</t>
  </si>
  <si>
    <t>I6124</t>
  </si>
  <si>
    <t>Gonur3_BA</t>
  </si>
  <si>
    <t>S6124.E1.L1</t>
  </si>
  <si>
    <t>2193-2031 calBCE (3705±20 BP, PSUAMS-2804)</t>
  </si>
  <si>
    <t>H14a</t>
  </si>
  <si>
    <t>BOT15.SG</t>
  </si>
  <si>
    <t>BOT15</t>
  </si>
  <si>
    <t>Botai.SG</t>
  </si>
  <si>
    <t>Botai Excavation 15</t>
  </si>
  <si>
    <t>3343-3026 calBCE (4474±37 BP, UBA-32663)</t>
  </si>
  <si>
    <t>Botai</t>
  </si>
  <si>
    <t>Kazakhstan</t>
  </si>
  <si>
    <t>N1c2b2</t>
  </si>
  <si>
    <t>BOT14.SG</t>
  </si>
  <si>
    <t>BOT14</t>
  </si>
  <si>
    <t>Botai Excavation 14, 1983</t>
  </si>
  <si>
    <t>3518-3109 calBCE (4598±46 BP, UBA-32662)</t>
  </si>
  <si>
    <t>K1b2</t>
  </si>
  <si>
    <t>R1b1a1a1</t>
  </si>
  <si>
    <t>BOT2016.SG</t>
  </si>
  <si>
    <t>BOT2016</t>
  </si>
  <si>
    <t xml:space="preserve">Botai 2016 </t>
  </si>
  <si>
    <t>3632-3368 calBCE (4695±50 BP, UBA-32666)</t>
  </si>
  <si>
    <t>Z1a</t>
  </si>
  <si>
    <t>S_Brahmin-1.DG</t>
  </si>
  <si>
    <t>S_Brahmin-1</t>
  </si>
  <si>
    <t>Brahmin.DG</t>
  </si>
  <si>
    <t>Visakhapatnam</t>
  </si>
  <si>
    <t>S_Brahmin-2.DG</t>
  </si>
  <si>
    <t>S_Brahmin-2</t>
  </si>
  <si>
    <t>S_Brahui-2.DG</t>
  </si>
  <si>
    <t>HGDP00019</t>
  </si>
  <si>
    <t>Brahui.DG</t>
  </si>
  <si>
    <t>O2a1c1a5a</t>
  </si>
  <si>
    <t>S_Brahui-1.DG</t>
  </si>
  <si>
    <t>HGDP00027</t>
  </si>
  <si>
    <t>S_Burusho-2.DG</t>
  </si>
  <si>
    <t>HGDP00338</t>
  </si>
  <si>
    <t>Burusho.DG</t>
  </si>
  <si>
    <t>S_Burusho-1.DG</t>
  </si>
  <si>
    <t>HGDP00428</t>
  </si>
  <si>
    <t>H1a1d2</t>
  </si>
  <si>
    <t>S11521.E1.L1</t>
  </si>
  <si>
    <t>I11521</t>
  </si>
  <si>
    <t>Bustan_BA_o1</t>
  </si>
  <si>
    <t>S11520.E1.L1</t>
  </si>
  <si>
    <t>I11520</t>
  </si>
  <si>
    <t>Bustan_BA_o2</t>
  </si>
  <si>
    <t>1613-1509 calBCE (3280±20 BP, PSUAMS-4605)</t>
  </si>
  <si>
    <t>HV2a2</t>
  </si>
  <si>
    <t>R2a3a2</t>
  </si>
  <si>
    <t>S11028.E1.L1</t>
  </si>
  <si>
    <t>I11028</t>
  </si>
  <si>
    <t>3331-2972 calBCE (4445±25 BP, PSUAMS-4780)</t>
  </si>
  <si>
    <t>W1+119</t>
  </si>
  <si>
    <t>S11734.E1.L1</t>
  </si>
  <si>
    <t>I11734</t>
  </si>
  <si>
    <t>Kumsay_EBA</t>
  </si>
  <si>
    <t>Central_Steppe_EMBA</t>
  </si>
  <si>
    <t>3022-2911 calBCE (4360±20 BP, PSUAMS-4619)</t>
  </si>
  <si>
    <t>Q1a2b2</t>
  </si>
  <si>
    <t>S11732.E1.L1</t>
  </si>
  <si>
    <t>I11732</t>
  </si>
  <si>
    <t>3078-2912 calBCE (4365±20 BP, PSUAMS-4751)</t>
  </si>
  <si>
    <t>H6a</t>
  </si>
  <si>
    <t>S11531.E1.L1</t>
  </si>
  <si>
    <t>I11531</t>
  </si>
  <si>
    <t>3087-2919 calBCE (4385±20 BP, PSUAMS-4617)</t>
  </si>
  <si>
    <t>C5c+16234</t>
  </si>
  <si>
    <t>S11737.E1.L1</t>
  </si>
  <si>
    <t>I11737</t>
  </si>
  <si>
    <t>Mereke_MBA</t>
  </si>
  <si>
    <t>2195-2032 calBCE (3710±20 BP, PSUAMS-4902)</t>
  </si>
  <si>
    <t>Mereke</t>
  </si>
  <si>
    <t>U5a1b</t>
  </si>
  <si>
    <t>N1a</t>
  </si>
  <si>
    <t>S11735.E1.L1</t>
  </si>
  <si>
    <t>I11735</t>
  </si>
  <si>
    <t>2462-2299 calBCE (3885±20 BP, PSUAMS-4901)</t>
  </si>
  <si>
    <t>I1b</t>
  </si>
  <si>
    <t>S11501.E1.L1</t>
  </si>
  <si>
    <t>I11501</t>
  </si>
  <si>
    <t>3341-3097 calBCE (4495±25 BP, PSUAMS-4604)</t>
  </si>
  <si>
    <t>S11736.E1.L1</t>
  </si>
  <si>
    <t>I11736</t>
  </si>
  <si>
    <t>U4</t>
  </si>
  <si>
    <t>I6716</t>
  </si>
  <si>
    <t>Krasnoyarsk_MLBA</t>
  </si>
  <si>
    <t>Central_Steppe_MLBA</t>
  </si>
  <si>
    <t>S6716.E1.L1</t>
  </si>
  <si>
    <t>1740-1534 calBCE [1740-1614 calBCE (3370±25 BP, PSUAMS-3910), 1686-1534 calBCE (3335±20 BP, PSUAMS-4254)]</t>
  </si>
  <si>
    <t>Krasnoyarsk Krai, near Orak Ulus, Orak burial place</t>
  </si>
  <si>
    <t>W1c</t>
  </si>
  <si>
    <t>I1851</t>
  </si>
  <si>
    <t>SS7800-24, Ust-Bir IV, grave 28</t>
  </si>
  <si>
    <t>S1851.E1.L1</t>
  </si>
  <si>
    <t>1611-1459 calBCE (3255±20 BP, PSUAMS-2436)</t>
  </si>
  <si>
    <t>Minusinsk Basin, Ust-Bir IV</t>
  </si>
  <si>
    <t>I1853</t>
  </si>
  <si>
    <t>SS8993-10, Potroshilovo II, enclosure 7</t>
  </si>
  <si>
    <t>S1853.E1.L1</t>
  </si>
  <si>
    <t>1611-1503 calBCE (3270±20 BP, PSUAMS-2437)</t>
  </si>
  <si>
    <t>Minusinsk Basin, Potroshilovo II</t>
  </si>
  <si>
    <t>I1821</t>
  </si>
  <si>
    <t>SS8993-8, Potroshilovo II, enclosure 5, grave 1</t>
  </si>
  <si>
    <t>S1821.E1.L1</t>
  </si>
  <si>
    <t>1612-1506 calBCE (3275±20 BP, PSUAMS-2435)</t>
  </si>
  <si>
    <t>I4787</t>
  </si>
  <si>
    <t>Taldysay_MLBA1</t>
  </si>
  <si>
    <t>S4787.E1.L1</t>
  </si>
  <si>
    <t>1379-1196 calBCE (3015±20 BP, PSUAMS-2614)</t>
  </si>
  <si>
    <t>Aktobe, Koboda, Taldysay</t>
  </si>
  <si>
    <t>H3g</t>
  </si>
  <si>
    <t>I4790</t>
  </si>
  <si>
    <t>Oy_Dzhaylau_MLBA</t>
  </si>
  <si>
    <t>S4790.E1.L1</t>
  </si>
  <si>
    <t>1527-1439 calBCE (3220±20 BP, PSUAMS-2547)</t>
  </si>
  <si>
    <t>W1</t>
  </si>
  <si>
    <t>I7060</t>
  </si>
  <si>
    <t>S7060.E1.L1</t>
  </si>
  <si>
    <t>1608-1437 calBCE (3235±25 BP, PSUAMS-3728)</t>
  </si>
  <si>
    <t>I4791</t>
  </si>
  <si>
    <t>S4791.E1.L1</t>
  </si>
  <si>
    <t>1609-1450 calBCE (3245±20 BP, PSUAMS-2548)</t>
  </si>
  <si>
    <t>J1b1a1</t>
  </si>
  <si>
    <t>R1a</t>
  </si>
  <si>
    <t>I4783</t>
  </si>
  <si>
    <t>Kazakh_Mys_MLBA</t>
  </si>
  <si>
    <t>S4783.E1.L1</t>
  </si>
  <si>
    <t>1610-1454 calBCE (3250±20 BP, PSUAMS-2612)</t>
  </si>
  <si>
    <t>Kazakh Mys</t>
  </si>
  <si>
    <t>H1</t>
  </si>
  <si>
    <t>I1828</t>
  </si>
  <si>
    <t>SS7800-23, Ust-Bir IV, grave 26</t>
  </si>
  <si>
    <t>S1828.E1.L1</t>
  </si>
  <si>
    <t>1611-1503 calBCE (3270±20 BP, PSUAMS-2960)</t>
  </si>
  <si>
    <t>K1a4b</t>
  </si>
  <si>
    <t>I4322</t>
  </si>
  <si>
    <t>S4322.E1.L1</t>
  </si>
  <si>
    <t>1611-1503 calBCE (3270±20 BP, PSUAMS-2544)</t>
  </si>
  <si>
    <t>U2e1h</t>
  </si>
  <si>
    <t>R1a1</t>
  </si>
  <si>
    <t>I4789</t>
  </si>
  <si>
    <t>S4789.E1.L1,S7058.E1.L1</t>
  </si>
  <si>
    <t>1617-1498 calBCE (3270±25 BP, PSUAMS-2964)</t>
  </si>
  <si>
    <t>I6718</t>
  </si>
  <si>
    <t>S6718.E1.L1</t>
  </si>
  <si>
    <t>1616-1501 calBCE (3275±25 BP, PSUAMS-3911)</t>
  </si>
  <si>
    <t>I1852</t>
  </si>
  <si>
    <t>SS7800-9, Ust-Bir IV, grave 10</t>
  </si>
  <si>
    <t>S1852.E1.L1</t>
  </si>
  <si>
    <t>1623-1518 calBCE (3295±20 BP, PSUAMS-2865)</t>
  </si>
  <si>
    <t>T2b34</t>
  </si>
  <si>
    <t>I4321</t>
  </si>
  <si>
    <t>S4321.E1.L1</t>
  </si>
  <si>
    <t>1640-1527 calBCE (3310±20 BP, PSUAMS-2962)</t>
  </si>
  <si>
    <t>J1c2m</t>
  </si>
  <si>
    <t>I1856</t>
  </si>
  <si>
    <t>SS8993-9, Potroshilovo II, enclosure 5, grave 3</t>
  </si>
  <si>
    <t>S1856.E1.L1</t>
  </si>
  <si>
    <t>1685-1531 calBCE (3330±25 BP, PSUAMS-2067)</t>
  </si>
  <si>
    <t>K1a+195</t>
  </si>
  <si>
    <t>I3788</t>
  </si>
  <si>
    <t>BI (XIII-XI BCE) No21</t>
  </si>
  <si>
    <t>S3788.E1.L1</t>
  </si>
  <si>
    <t>1683-1532 calBCE (3330±20 BP, PSUAMS-2499)</t>
  </si>
  <si>
    <t>U4b1a1a</t>
  </si>
  <si>
    <t>I4782</t>
  </si>
  <si>
    <t>S4782.E1.L1</t>
  </si>
  <si>
    <t>1736-1621 calBCE (3370±20 BP, PSUAMS-2915)</t>
  </si>
  <si>
    <t>U5b2b</t>
  </si>
  <si>
    <t>I4323</t>
  </si>
  <si>
    <t>Kyzlbulak_MLBA1</t>
  </si>
  <si>
    <t>S4323.E1.L1</t>
  </si>
  <si>
    <t>1741-1627 calBCE (3385±20 BP, PSUAMS-2963)</t>
  </si>
  <si>
    <t>U2e1'2'3</t>
  </si>
  <si>
    <t>I3861</t>
  </si>
  <si>
    <t>BI No 22, Grave 4</t>
  </si>
  <si>
    <t>S3861.E1.L1</t>
  </si>
  <si>
    <t>1872-1684 calBCE (3435±20 BP, PSUAMS-3115)</t>
  </si>
  <si>
    <t>U4a1</t>
  </si>
  <si>
    <t>I3770</t>
  </si>
  <si>
    <t>Zevakinskiy_BA</t>
  </si>
  <si>
    <t>S3770.E1.L1</t>
  </si>
  <si>
    <t>2132-1940 calBCE (3645±25 BP, PSUAMS-2079)</t>
  </si>
  <si>
    <t>Zevakinskiy stone fence</t>
  </si>
  <si>
    <t>I4153</t>
  </si>
  <si>
    <t>Kashkarchi_BA</t>
  </si>
  <si>
    <t>S4153.E1.L1</t>
  </si>
  <si>
    <t>1200-1000 BCE</t>
  </si>
  <si>
    <t>Ferghana, Burial Kashkarchi</t>
  </si>
  <si>
    <t>I4255</t>
  </si>
  <si>
    <t>S4255.E1.L1</t>
  </si>
  <si>
    <t>N1a1a1a1</t>
  </si>
  <si>
    <t>I10112</t>
  </si>
  <si>
    <t>S10112.E1.L1</t>
  </si>
  <si>
    <t>1600-1400 BCE</t>
  </si>
  <si>
    <t>H2a1a</t>
  </si>
  <si>
    <t>R1a1a1b2a2b</t>
  </si>
  <si>
    <t>I3389</t>
  </si>
  <si>
    <t>StPet56, collection 3390, individual 4</t>
  </si>
  <si>
    <t>S3389.E1.L2</t>
  </si>
  <si>
    <t>1900-1400 BCE</t>
  </si>
  <si>
    <t>H27+16093</t>
  </si>
  <si>
    <t>I3390</t>
  </si>
  <si>
    <t>StPet57, collection 3390, individual 2</t>
  </si>
  <si>
    <t>S3390.E1.L2</t>
  </si>
  <si>
    <t>I3391</t>
  </si>
  <si>
    <t>StPet59, collection 3390, individual 6</t>
  </si>
  <si>
    <t>S3391.E1.L2</t>
  </si>
  <si>
    <t>U5b2c</t>
  </si>
  <si>
    <t>R1a1a1b2</t>
  </si>
  <si>
    <t>I3392</t>
  </si>
  <si>
    <t>StPet60, collection 3390, individual 7</t>
  </si>
  <si>
    <t>S3392.E1.L2</t>
  </si>
  <si>
    <t>I3394</t>
  </si>
  <si>
    <t>StPet62, collection 3864, individual 2</t>
  </si>
  <si>
    <t>S3394.E1.L2</t>
  </si>
  <si>
    <t>I3395</t>
  </si>
  <si>
    <t>StPet63, collection 3864, individual 3</t>
  </si>
  <si>
    <t>S3395.E1.L2</t>
  </si>
  <si>
    <t>I3396</t>
  </si>
  <si>
    <t>StPet65, collection 3864, individual 5</t>
  </si>
  <si>
    <t>S3396.E1.L2</t>
  </si>
  <si>
    <t>R1a1a1b1a2b1</t>
  </si>
  <si>
    <t>I10110</t>
  </si>
  <si>
    <t>S10110.E1.L1</t>
  </si>
  <si>
    <t>1400-900 BCE</t>
  </si>
  <si>
    <t>I10111</t>
  </si>
  <si>
    <t>S10111.E1.L1</t>
  </si>
  <si>
    <t>S11541.E1.L1</t>
  </si>
  <si>
    <t>I11541</t>
  </si>
  <si>
    <t>Georgievsky_LBA</t>
  </si>
  <si>
    <t>1500-1100 BCE</t>
  </si>
  <si>
    <t>R1a1a</t>
  </si>
  <si>
    <t>I11214</t>
  </si>
  <si>
    <t>S11214.Y1.E1.L1</t>
  </si>
  <si>
    <t>2000-900 BCE</t>
  </si>
  <si>
    <t>Chumysh-Perekat-1</t>
  </si>
  <si>
    <t>H7b</t>
  </si>
  <si>
    <t>I3393</t>
  </si>
  <si>
    <t>StPet61, collection 3864, individual 1</t>
  </si>
  <si>
    <t>S3393.E1.L2</t>
  </si>
  <si>
    <t>EBA1.SG</t>
  </si>
  <si>
    <t>EBA1</t>
  </si>
  <si>
    <t>CentralSteppe_EMBA.SG</t>
  </si>
  <si>
    <t>2286-2037 calBCE (3752±35 BP, UBA-32665)</t>
  </si>
  <si>
    <t>Gregorievka 2</t>
  </si>
  <si>
    <t>C4+152</t>
  </si>
  <si>
    <t>EBA2.SG</t>
  </si>
  <si>
    <t>EBA2</t>
  </si>
  <si>
    <t>2620-2468 calBCE (4013±33 BP, UBA-32664)</t>
  </si>
  <si>
    <t>Sjolpan 4</t>
  </si>
  <si>
    <t>C4a1a4a</t>
  </si>
  <si>
    <t>S11538.E1.L1</t>
  </si>
  <si>
    <t>I11538</t>
  </si>
  <si>
    <t>Chanchar_LBA</t>
  </si>
  <si>
    <t>Chanchar</t>
  </si>
  <si>
    <t>KK1.SG</t>
  </si>
  <si>
    <t>JonesNatureCommunications2015</t>
  </si>
  <si>
    <t>KK1</t>
  </si>
  <si>
    <t>Kotias.SG</t>
  </si>
  <si>
    <t>CHG</t>
  </si>
  <si>
    <t>Kotias</t>
  </si>
  <si>
    <t>7940-7600 calBCE [7938-7580 calBCE (8665±65 BP, RTT-5246), 7946-7612 calBCE (8745±40, OxA-28256)]</t>
  </si>
  <si>
    <t>Kotias Klde</t>
  </si>
  <si>
    <t>Georgia</t>
  </si>
  <si>
    <t>H13c</t>
  </si>
  <si>
    <t>SATP.SG</t>
  </si>
  <si>
    <t>SATP</t>
  </si>
  <si>
    <t>Satsurblia.SG</t>
  </si>
  <si>
    <t>Satsurblia</t>
  </si>
  <si>
    <t>11430-11180 calBCE (11415±50 BP, OxA-34632)</t>
  </si>
  <si>
    <t>Chimp.REF</t>
  </si>
  <si>
    <t>Genome</t>
  </si>
  <si>
    <t>Chimp</t>
  </si>
  <si>
    <t>S_Chukchi-1.DG</t>
  </si>
  <si>
    <t>S_Chukchi-1</t>
  </si>
  <si>
    <t>Chukchi.DG</t>
  </si>
  <si>
    <t>Sireniki, Chukchi Peninsula, First sampling location</t>
  </si>
  <si>
    <t>R1a1a1b1a2b3a</t>
  </si>
  <si>
    <t>I7272</t>
  </si>
  <si>
    <t>OlaldeNature2018</t>
  </si>
  <si>
    <t>BRAN_23</t>
  </si>
  <si>
    <t>S7272.E1.L1</t>
  </si>
  <si>
    <t>3630-3377 calBCE (4715±20 BP, PSUAMS-4239)</t>
  </si>
  <si>
    <t>Brandysek</t>
  </si>
  <si>
    <t>Czech Republic</t>
  </si>
  <si>
    <t>K2a5</t>
  </si>
  <si>
    <t>I2a2a2a</t>
  </si>
  <si>
    <t>I6677</t>
  </si>
  <si>
    <t>S6677.E1.L1</t>
  </si>
  <si>
    <t>2900-2350 BCE</t>
  </si>
  <si>
    <t>I7949</t>
  </si>
  <si>
    <t>S7949.E1.L1</t>
  </si>
  <si>
    <t>U5a1i1</t>
  </si>
  <si>
    <t>MA973.SG</t>
  </si>
  <si>
    <t>SaagCurrentBiology2017</t>
  </si>
  <si>
    <t>Kunila2</t>
  </si>
  <si>
    <t>Corded_Ware_Estonia.SG</t>
  </si>
  <si>
    <t>Kursi, Jõgeva</t>
  </si>
  <si>
    <t>Estonia</t>
  </si>
  <si>
    <t>J1c3</t>
  </si>
  <si>
    <t>R1a1a1b1a</t>
  </si>
  <si>
    <t>MA826.RISE00.SG</t>
  </si>
  <si>
    <t>SaagCurrentBiology2017.merge.with.AllentoftNature2015</t>
  </si>
  <si>
    <t>Sope</t>
  </si>
  <si>
    <t>2575-2350 calBCE (3969±32 BP, UBA-29064)</t>
  </si>
  <si>
    <t>Jäbara, Ida-Viru, Sope</t>
  </si>
  <si>
    <t>H5a1</t>
  </si>
  <si>
    <t>PASS (literature.merge)</t>
  </si>
  <si>
    <t>MA968.MA976.SG</t>
  </si>
  <si>
    <t>Ardu1</t>
  </si>
  <si>
    <t>2871-2505 calBCE (4110±40 BP, Poz-10824)</t>
  </si>
  <si>
    <t>Ardu, Harju</t>
  </si>
  <si>
    <t>T2a1</t>
  </si>
  <si>
    <t>MA969.SG</t>
  </si>
  <si>
    <t>Ardu2</t>
  </si>
  <si>
    <t>R1a1a1</t>
  </si>
  <si>
    <t>MA971.SG</t>
  </si>
  <si>
    <t>Kunila1</t>
  </si>
  <si>
    <t>2850-2050 BCE</t>
  </si>
  <si>
    <t>U5b1b</t>
  </si>
  <si>
    <t>I1540</t>
  </si>
  <si>
    <t>Corded_Ware_Germany_o</t>
  </si>
  <si>
    <t>ESP28</t>
  </si>
  <si>
    <t>S1540.L1</t>
  </si>
  <si>
    <t>2500-2050 BCE</t>
  </si>
  <si>
    <t>Esperstedt</t>
  </si>
  <si>
    <t>Germany</t>
  </si>
  <si>
    <t>J1c5</t>
  </si>
  <si>
    <t>B_Dai-4.DG</t>
  </si>
  <si>
    <t>PrueferNature2013</t>
  </si>
  <si>
    <t>HGDP01308</t>
  </si>
  <si>
    <t>Dai.DG</t>
  </si>
  <si>
    <t>China</t>
  </si>
  <si>
    <t>A_Dai-5.DG</t>
  </si>
  <si>
    <t>MeyerScience2012</t>
  </si>
  <si>
    <t>A_Dai-5</t>
  </si>
  <si>
    <t>S_Dai-2.DG</t>
  </si>
  <si>
    <t>HGDP01312</t>
  </si>
  <si>
    <t>O1b1a1a1b1b</t>
  </si>
  <si>
    <t>S_Dai-1.DG</t>
  </si>
  <si>
    <t>HGDP01314</t>
  </si>
  <si>
    <t>S_Dai-3.DG</t>
  </si>
  <si>
    <t>HGDP01315</t>
  </si>
  <si>
    <t>I3447</t>
  </si>
  <si>
    <t>Dali_EBA</t>
  </si>
  <si>
    <t>S3447.E1.L1</t>
  </si>
  <si>
    <t>2850-2495 calBCE (4075±25 BP, PSUAMS-2071)</t>
  </si>
  <si>
    <t>Byan Zherek, eastern spur, Dali</t>
  </si>
  <si>
    <t>Darra.I.Kur_d</t>
  </si>
  <si>
    <t>Darra.I.Kur</t>
  </si>
  <si>
    <t>Darra_i_kur_MBA</t>
  </si>
  <si>
    <t>2850-2460 calBCE (3989±31 BP, OxA-31781)</t>
  </si>
  <si>
    <t>Darra-i-Kur Cave</t>
  </si>
  <si>
    <t>Afghanistan</t>
  </si>
  <si>
    <t>R1b1a1a2a1a</t>
  </si>
  <si>
    <t>Denisova_published.DG</t>
  </si>
  <si>
    <t>Denisova</t>
  </si>
  <si>
    <t>Denisovan_published.DG</t>
  </si>
  <si>
    <t>50000 BCE</t>
  </si>
  <si>
    <t>Denisova Cave, Altai</t>
  </si>
  <si>
    <t>Dungan1.DG</t>
  </si>
  <si>
    <t>Dungan1</t>
  </si>
  <si>
    <t>Dungan.DG</t>
  </si>
  <si>
    <t>Dungan2.DG</t>
  </si>
  <si>
    <t>Dungan2</t>
  </si>
  <si>
    <t>Popovo2</t>
  </si>
  <si>
    <t>MittnikNatureCommunications2018</t>
  </si>
  <si>
    <t>Popovo_HG</t>
  </si>
  <si>
    <t>EEHG</t>
  </si>
  <si>
    <t>7500-5000 BCE</t>
  </si>
  <si>
    <t>Popovo, Archangelsk</t>
  </si>
  <si>
    <t>U4d</t>
  </si>
  <si>
    <t>I0061</t>
  </si>
  <si>
    <t>MathiesonNature2015 (1240k of same same sample with 390k in HaakLazaridis2015)</t>
  </si>
  <si>
    <t>Karelia_HG</t>
  </si>
  <si>
    <t>UzOO74</t>
  </si>
  <si>
    <t>S0230.L1,S0393.L1,S0670.L1</t>
  </si>
  <si>
    <t>6773-5886 BCE [other dates in the layer used in the Bayesian modeling analysis we used to obtain this range are (7280±80 BP, OxA-1665), 6410-6050 calBCE (7350±90 BP, OxA-2266), 6390-6030 calBCE (7330±90 BP, OxA-1667), 6590-6240 calBCE (7560±90 BP, OxA-1668), 6590-6240 calBCE (7560±90 BP, OxA-1669), 6360-6000 calBCE (7280±90 BP, OxA-2124), 6530-6210 calBCE (7510±90 BP, OxA-2125), 6850-6410 calBCE (7750±110 BP, OxA-1973), layer date]</t>
  </si>
  <si>
    <t>Karelia, Yuzhnyy Oleni Ostrov</t>
  </si>
  <si>
    <t>C1</t>
  </si>
  <si>
    <t>plus,plus,half</t>
  </si>
  <si>
    <t>I0124</t>
  </si>
  <si>
    <t>Samara_HG</t>
  </si>
  <si>
    <t>SVP HB 44, settlement, grave 1</t>
  </si>
  <si>
    <t>S0124.E1.L3</t>
  </si>
  <si>
    <t>5657-5541 calBCE (6680±30 BP, Beta-392490)</t>
  </si>
  <si>
    <t>Samara, Sok River, Lebyazhinka</t>
  </si>
  <si>
    <t>U5a1d</t>
  </si>
  <si>
    <t>I0211</t>
  </si>
  <si>
    <t>UzOO40</t>
  </si>
  <si>
    <t>S1254.L1</t>
  </si>
  <si>
    <t>DA362.SG</t>
  </si>
  <si>
    <t>DA362</t>
  </si>
  <si>
    <t>Shamanka_EN.SG</t>
  </si>
  <si>
    <t>ESHG</t>
  </si>
  <si>
    <t>Grave 49-1</t>
  </si>
  <si>
    <t>5362-5221 calBCE (6319±33 BP, OxA-24793)</t>
  </si>
  <si>
    <t>Shamanka II</t>
  </si>
  <si>
    <t>D4e1</t>
  </si>
  <si>
    <t>DA253.SG</t>
  </si>
  <si>
    <t>DA253</t>
  </si>
  <si>
    <t>Grave 7</t>
  </si>
  <si>
    <t>5371-5221 calBCE (6329±33 BP, OxA-20562)</t>
  </si>
  <si>
    <t>F1b1+@152</t>
  </si>
  <si>
    <t>DA251.SG</t>
  </si>
  <si>
    <t>DA251</t>
  </si>
  <si>
    <t>Grave 108-3</t>
  </si>
  <si>
    <t>5468-5304 calBCE (6373±32 BP, OxA-21503)</t>
  </si>
  <si>
    <t>D4j</t>
  </si>
  <si>
    <t>N1</t>
  </si>
  <si>
    <t>DA252.SG</t>
  </si>
  <si>
    <t>DA252</t>
  </si>
  <si>
    <t>Grave 42-1</t>
  </si>
  <si>
    <t>5469-5312 calBCE (6386±34 BP, OxA-26192)</t>
  </si>
  <si>
    <t>G2a1</t>
  </si>
  <si>
    <t>DA250.SG</t>
  </si>
  <si>
    <t>DA250</t>
  </si>
  <si>
    <t>Grave 6</t>
  </si>
  <si>
    <t>5516-5367 calBCE (6483±37 BP, OxA-27054)</t>
  </si>
  <si>
    <t>NO1</t>
  </si>
  <si>
    <t>DA248.SG</t>
  </si>
  <si>
    <t>DA248</t>
  </si>
  <si>
    <t>Grave 63-1</t>
  </si>
  <si>
    <t>5755-5635 calBCE (6815±38 BP, OxA-25327)</t>
  </si>
  <si>
    <t>C4</t>
  </si>
  <si>
    <t>DA247.SG</t>
  </si>
  <si>
    <t>DA247</t>
  </si>
  <si>
    <t>Grave 51</t>
  </si>
  <si>
    <t>5837-5664 calBCE (6856±40 BP, OxA-21526)</t>
  </si>
  <si>
    <t>N</t>
  </si>
  <si>
    <t>DA246.SG</t>
  </si>
  <si>
    <t>DA246</t>
  </si>
  <si>
    <t>Grave 42-2</t>
  </si>
  <si>
    <t>5877-5676 calBCE (6886±43 BP, OxA-24774)</t>
  </si>
  <si>
    <t>DA249.SG</t>
  </si>
  <si>
    <t>DA249</t>
  </si>
  <si>
    <t>Grave 66-1</t>
  </si>
  <si>
    <t>5988-5791 calBCE (7005±40 BP, OxA-21535)</t>
  </si>
  <si>
    <t>DA245.SG</t>
  </si>
  <si>
    <t>DA245</t>
  </si>
  <si>
    <t>Grave 76</t>
  </si>
  <si>
    <t>6065-5916 calBCE (7123±37 BP, OxA-26456)</t>
  </si>
  <si>
    <t>mota.SG</t>
  </si>
  <si>
    <t>LlorenteScience2015</t>
  </si>
  <si>
    <t>Ethiopia_4500BP.SG</t>
  </si>
  <si>
    <t>Mota</t>
  </si>
  <si>
    <t>2575-2469 calBCE (3997±29 BP, OxA-29631)</t>
  </si>
  <si>
    <t>Gamo Highlands, Mota Cave</t>
  </si>
  <si>
    <t>Ethiopia</t>
  </si>
  <si>
    <t>L3x2a</t>
  </si>
  <si>
    <t>PASS (Xcontam=0.0125)</t>
  </si>
  <si>
    <t>I1955</t>
  </si>
  <si>
    <t>Ganj_Dareh_H</t>
  </si>
  <si>
    <t>GD1/50</t>
  </si>
  <si>
    <t>S1955.E1.L1</t>
  </si>
  <si>
    <t>1430-1485 calCE (330±30 BP, Beta-432801)</t>
  </si>
  <si>
    <t>Ganj Dareh</t>
  </si>
  <si>
    <t>U1a1</t>
  </si>
  <si>
    <t>I1947</t>
  </si>
  <si>
    <t>Ganj_Dareh_N</t>
  </si>
  <si>
    <t>GD22</t>
  </si>
  <si>
    <t>S1947.E1.L1,S1947.E1.L2,S1947.E1.L3</t>
  </si>
  <si>
    <t>8210-7836 calBCE (8860±30 BP, Beta-432800)</t>
  </si>
  <si>
    <t>I1954</t>
  </si>
  <si>
    <t>GD41</t>
  </si>
  <si>
    <t>S1954.E1.L1,S1954.E1.L2,S1954.E1.L3</t>
  </si>
  <si>
    <t>8294-7992 calBCE (9000±40 BP, Beta-436170)</t>
  </si>
  <si>
    <t>I7527</t>
  </si>
  <si>
    <t>GANJ_25_M</t>
  </si>
  <si>
    <t>S7527.E1.L1</t>
  </si>
  <si>
    <t>8200-7700 BCE</t>
  </si>
  <si>
    <t>I1949</t>
  </si>
  <si>
    <t>GD37</t>
  </si>
  <si>
    <t>S1949.E1.L1,S1949.E1.L2,S1949.E1.L3</t>
  </si>
  <si>
    <t>8241-7962 calBCE (8915±40 BP, PSUAMS-2261)</t>
  </si>
  <si>
    <t>R1</t>
  </si>
  <si>
    <t>I1951</t>
  </si>
  <si>
    <t>GD39</t>
  </si>
  <si>
    <t>S1951.E1.L1,S1951.E1.L3</t>
  </si>
  <si>
    <t>8202-7681 calBCE (8800±50 BP, Poz-81109)</t>
  </si>
  <si>
    <t>HV*</t>
  </si>
  <si>
    <t>QUESTIONABLE_CRITICAL (mtcontam=0.426-0.980)</t>
  </si>
  <si>
    <t>I1944</t>
  </si>
  <si>
    <t>GD14B</t>
  </si>
  <si>
    <t>S1944.E1.L1,S1944.E1.L2,S1944.E1.L3</t>
  </si>
  <si>
    <t>8000-7700 BCE</t>
  </si>
  <si>
    <t>QUESTIONABLE (mtcontam=0.894-0.975)</t>
  </si>
  <si>
    <t>I1945</t>
  </si>
  <si>
    <t>GD16</t>
  </si>
  <si>
    <t>S1945.E1.L2,S1945.E1.L3</t>
  </si>
  <si>
    <t>I1290</t>
  </si>
  <si>
    <t>GD13A</t>
  </si>
  <si>
    <t>S1628.E1.L1,S1628.E1.L3,S1628.E1.L2,S1290.E1.L1,S1290.E1.L2,S1290.E1.L3</t>
  </si>
  <si>
    <t>8179-7613 calBCE (8780±50 BP, Poz-81100)</t>
  </si>
  <si>
    <t>X2</t>
  </si>
  <si>
    <t>I1946</t>
  </si>
  <si>
    <t>Ganj_Dareh_N_father.of.I1947_father.of.I1952</t>
  </si>
  <si>
    <t>GD20</t>
  </si>
  <si>
    <t>S1946.E1.L2,S1946.E1.L3</t>
  </si>
  <si>
    <t>8250-7850 BCE [father of I1947 at 8210-7845 calBCE (8860±30 BP, Beta-432800), father of I1952 at 8219-7761 calBCE (8850±50 BP, Poz-81114)]</t>
  </si>
  <si>
    <t>I1952</t>
  </si>
  <si>
    <t>Ganj_Dareh_N_son.of.I1946_brother.of.I1947</t>
  </si>
  <si>
    <t>GD40</t>
  </si>
  <si>
    <t>S1952.E1.L1,S1952.E1.L2</t>
  </si>
  <si>
    <t>8219-7761 calBCE (8850±50 BP, Poz-81114)</t>
  </si>
  <si>
    <t>I8504</t>
  </si>
  <si>
    <t>S8504.E1.L1</t>
  </si>
  <si>
    <t>3092-2925 calBCE (4400±25 BP, PSUAMS-3986)</t>
  </si>
  <si>
    <t>T2d2</t>
  </si>
  <si>
    <t>I8510</t>
  </si>
  <si>
    <t>S8510.E1.L1</t>
  </si>
  <si>
    <t>3341-3094 calBCE (4490±25 BP, PSUAMS-3987)</t>
  </si>
  <si>
    <t>I8503</t>
  </si>
  <si>
    <t>S8503.E1.L1</t>
  </si>
  <si>
    <t>I8524</t>
  </si>
  <si>
    <t>S8524.E1.L1</t>
  </si>
  <si>
    <t>I8526</t>
  </si>
  <si>
    <t>S8526.E1.L1</t>
  </si>
  <si>
    <t>J1d6</t>
  </si>
  <si>
    <t>I8527</t>
  </si>
  <si>
    <t>S8527.E1.L1</t>
  </si>
  <si>
    <t>I8528</t>
  </si>
  <si>
    <t>S8528.E1.L1</t>
  </si>
  <si>
    <t>I8529</t>
  </si>
  <si>
    <t>S8529.E1.L1</t>
  </si>
  <si>
    <t>Q</t>
  </si>
  <si>
    <t>I8530</t>
  </si>
  <si>
    <t>S8530.E1.L1</t>
  </si>
  <si>
    <t>I1</t>
  </si>
  <si>
    <t>QUESTIONABLE (mtcontam=0.944)</t>
  </si>
  <si>
    <t>I8532</t>
  </si>
  <si>
    <t>S8532.E1.L1</t>
  </si>
  <si>
    <t>I8531</t>
  </si>
  <si>
    <t>S8531.E1.L1</t>
  </si>
  <si>
    <t>H1bm</t>
  </si>
  <si>
    <t>I8505</t>
  </si>
  <si>
    <t>S8505.E1.L1</t>
  </si>
  <si>
    <t>I8502</t>
  </si>
  <si>
    <t>S8502.E1.L1</t>
  </si>
  <si>
    <t>3309-2923 calBCE (4420±25 BP, PSUAMS-4038)</t>
  </si>
  <si>
    <t>NA20847.SG</t>
  </si>
  <si>
    <t>NA20847</t>
  </si>
  <si>
    <t>GIH.SG</t>
  </si>
  <si>
    <t>Gujaratis, Houston Texas</t>
  </si>
  <si>
    <t>USA</t>
  </si>
  <si>
    <t>NA20854.SG</t>
  </si>
  <si>
    <t>NA20854</t>
  </si>
  <si>
    <t>NA20858.SG</t>
  </si>
  <si>
    <t>NA20858</t>
  </si>
  <si>
    <t>G1a</t>
  </si>
  <si>
    <t>NA20862.SG</t>
  </si>
  <si>
    <t>NA20862</t>
  </si>
  <si>
    <t>NA20866.SG</t>
  </si>
  <si>
    <t>NA20866</t>
  </si>
  <si>
    <t>NA20881.SG</t>
  </si>
  <si>
    <t>NA20881</t>
  </si>
  <si>
    <t>NA20882.SG</t>
  </si>
  <si>
    <t>NA20882</t>
  </si>
  <si>
    <t>NA20885.SG</t>
  </si>
  <si>
    <t>NA20885</t>
  </si>
  <si>
    <t>NA20898.SG</t>
  </si>
  <si>
    <t>NA20898</t>
  </si>
  <si>
    <t>NA20899.SG</t>
  </si>
  <si>
    <t>NA20899</t>
  </si>
  <si>
    <t>NA20903.SG</t>
  </si>
  <si>
    <t>NA20903</t>
  </si>
  <si>
    <t>R2a3a2b</t>
  </si>
  <si>
    <t>NA20904.SG</t>
  </si>
  <si>
    <t>NA20904</t>
  </si>
  <si>
    <t>NA20910.SG</t>
  </si>
  <si>
    <t>NA20910</t>
  </si>
  <si>
    <t>NA20911.SG</t>
  </si>
  <si>
    <t>NA20911</t>
  </si>
  <si>
    <t>C1b1a1a1a1a1a</t>
  </si>
  <si>
    <t>NA21097.SG</t>
  </si>
  <si>
    <t>NA21097</t>
  </si>
  <si>
    <t>NA21116.SG</t>
  </si>
  <si>
    <t>NA21116</t>
  </si>
  <si>
    <t>H1a1d2c1b</t>
  </si>
  <si>
    <t>NA21123.SG</t>
  </si>
  <si>
    <t>NA21123</t>
  </si>
  <si>
    <t>C1b1a1a1a1a1a1a1</t>
  </si>
  <si>
    <t>NA21125.SG</t>
  </si>
  <si>
    <t>NA21125</t>
  </si>
  <si>
    <t>NA20845.SG</t>
  </si>
  <si>
    <t>NA20845</t>
  </si>
  <si>
    <t>NA20846.SG</t>
  </si>
  <si>
    <t>NA20846</t>
  </si>
  <si>
    <t>NA20849.SG</t>
  </si>
  <si>
    <t>NA20849</t>
  </si>
  <si>
    <t>NA20850.SG</t>
  </si>
  <si>
    <t>NA20850</t>
  </si>
  <si>
    <t>NA20851.SG</t>
  </si>
  <si>
    <t>NA20851</t>
  </si>
  <si>
    <t>NA20852.SG</t>
  </si>
  <si>
    <t>NA20852</t>
  </si>
  <si>
    <t>NA20853.SG</t>
  </si>
  <si>
    <t>NA20853</t>
  </si>
  <si>
    <t>NA20856.SG</t>
  </si>
  <si>
    <t>NA20856</t>
  </si>
  <si>
    <t>NA20859.SG</t>
  </si>
  <si>
    <t>NA20859</t>
  </si>
  <si>
    <t>NA20861.SG</t>
  </si>
  <si>
    <t>NA20861</t>
  </si>
  <si>
    <t>NA20863.SG</t>
  </si>
  <si>
    <t>NA20863</t>
  </si>
  <si>
    <t>NA20864.SG</t>
  </si>
  <si>
    <t>NA20864</t>
  </si>
  <si>
    <t>NA20867.SG</t>
  </si>
  <si>
    <t>NA20867</t>
  </si>
  <si>
    <t>NA20868.SG</t>
  </si>
  <si>
    <t>NA20868</t>
  </si>
  <si>
    <t>NA20869.SG</t>
  </si>
  <si>
    <t>NA20869</t>
  </si>
  <si>
    <t>NA20870.SG</t>
  </si>
  <si>
    <t>NA20870</t>
  </si>
  <si>
    <t>NA20871.SG</t>
  </si>
  <si>
    <t>NA20871</t>
  </si>
  <si>
    <t>H1a1d2c1a1</t>
  </si>
  <si>
    <t>NA20872.SG</t>
  </si>
  <si>
    <t>NA20872</t>
  </si>
  <si>
    <t>NA20874.SG</t>
  </si>
  <si>
    <t>NA20874</t>
  </si>
  <si>
    <t>NA20875.SG</t>
  </si>
  <si>
    <t>NA20875</t>
  </si>
  <si>
    <t>NA20876.SG</t>
  </si>
  <si>
    <t>NA20876</t>
  </si>
  <si>
    <t>NA20877.SG</t>
  </si>
  <si>
    <t>NA20877</t>
  </si>
  <si>
    <t>NA20878.SG</t>
  </si>
  <si>
    <t>NA20878</t>
  </si>
  <si>
    <t>NA20884.SG</t>
  </si>
  <si>
    <t>NA20884</t>
  </si>
  <si>
    <t>NA20886.SG</t>
  </si>
  <si>
    <t>NA20886</t>
  </si>
  <si>
    <t>NA20887.SG</t>
  </si>
  <si>
    <t>NA20887</t>
  </si>
  <si>
    <t>NA20888.SG</t>
  </si>
  <si>
    <t>NA20888</t>
  </si>
  <si>
    <t>NA20889.SG</t>
  </si>
  <si>
    <t>NA20889</t>
  </si>
  <si>
    <t>NA20890.SG</t>
  </si>
  <si>
    <t>NA20890</t>
  </si>
  <si>
    <t>NA20891.SG</t>
  </si>
  <si>
    <t>NA20891</t>
  </si>
  <si>
    <t>NA20892.SG</t>
  </si>
  <si>
    <t>NA20892</t>
  </si>
  <si>
    <t>NA20893.SG</t>
  </si>
  <si>
    <t>NA20893</t>
  </si>
  <si>
    <t>NA20894.SG</t>
  </si>
  <si>
    <t>NA20894</t>
  </si>
  <si>
    <t>NA20895.SG</t>
  </si>
  <si>
    <t>NA20895</t>
  </si>
  <si>
    <t>NA20896.SG</t>
  </si>
  <si>
    <t>NA20896</t>
  </si>
  <si>
    <t>NA20897.SG</t>
  </si>
  <si>
    <t>NA20897</t>
  </si>
  <si>
    <t>NA20900.SG</t>
  </si>
  <si>
    <t>NA20900</t>
  </si>
  <si>
    <t>NA20901.SG</t>
  </si>
  <si>
    <t>NA20901</t>
  </si>
  <si>
    <t>NA20902.SG</t>
  </si>
  <si>
    <t>NA20902</t>
  </si>
  <si>
    <t>NA20905.SG</t>
  </si>
  <si>
    <t>NA20905</t>
  </si>
  <si>
    <t>NA20906.SG</t>
  </si>
  <si>
    <t>NA20906</t>
  </si>
  <si>
    <t>NA20908.SG</t>
  </si>
  <si>
    <t>NA20908</t>
  </si>
  <si>
    <t>NA21086.SG</t>
  </si>
  <si>
    <t>NA21086</t>
  </si>
  <si>
    <t>NA21087.SG</t>
  </si>
  <si>
    <t>NA21087</t>
  </si>
  <si>
    <t>H1a1d2c2a</t>
  </si>
  <si>
    <t>NA21088.SG</t>
  </si>
  <si>
    <t>NA21088</t>
  </si>
  <si>
    <t>NA21089.SG</t>
  </si>
  <si>
    <t>NA21089</t>
  </si>
  <si>
    <t>NA21090.SG</t>
  </si>
  <si>
    <t>NA21090</t>
  </si>
  <si>
    <t>NA21091.SG</t>
  </si>
  <si>
    <t>NA21091</t>
  </si>
  <si>
    <t>C1b1a1a1a1a1a1a1a</t>
  </si>
  <si>
    <t>NA21092.SG</t>
  </si>
  <si>
    <t>NA21092</t>
  </si>
  <si>
    <t>NA21093.SG</t>
  </si>
  <si>
    <t>NA21093</t>
  </si>
  <si>
    <t>H1a2a1</t>
  </si>
  <si>
    <t>NA21094.SG</t>
  </si>
  <si>
    <t>NA21094</t>
  </si>
  <si>
    <t>C1b1a1a1a1a1a1a</t>
  </si>
  <si>
    <t>NA21095.SG</t>
  </si>
  <si>
    <t>NA21095</t>
  </si>
  <si>
    <t>NA21098.SG</t>
  </si>
  <si>
    <t>NA21098</t>
  </si>
  <si>
    <t>NA21099.SG</t>
  </si>
  <si>
    <t>NA21099</t>
  </si>
  <si>
    <t>NA21100.SG</t>
  </si>
  <si>
    <t>NA21100</t>
  </si>
  <si>
    <t>NA21101.SG</t>
  </si>
  <si>
    <t>NA21101</t>
  </si>
  <si>
    <t>NA21102.SG</t>
  </si>
  <si>
    <t>NA21102</t>
  </si>
  <si>
    <t>NA21103.SG</t>
  </si>
  <si>
    <t>NA21103</t>
  </si>
  <si>
    <t>NA21104.SG</t>
  </si>
  <si>
    <t>NA21104</t>
  </si>
  <si>
    <t>NA21105.SG</t>
  </si>
  <si>
    <t>NA21105</t>
  </si>
  <si>
    <t>NA21106.SG</t>
  </si>
  <si>
    <t>NA21106</t>
  </si>
  <si>
    <t>NA21107.SG</t>
  </si>
  <si>
    <t>NA21107</t>
  </si>
  <si>
    <t>H1a1d2c1a</t>
  </si>
  <si>
    <t>NA21108.SG</t>
  </si>
  <si>
    <t>NA21108</t>
  </si>
  <si>
    <t>NA21109.SG</t>
  </si>
  <si>
    <t>NA21109</t>
  </si>
  <si>
    <t>NA21110.SG</t>
  </si>
  <si>
    <t>NA21110</t>
  </si>
  <si>
    <t>NA21111.SG</t>
  </si>
  <si>
    <t>NA21111</t>
  </si>
  <si>
    <t>H1a2a1a</t>
  </si>
  <si>
    <t>NA21112.SG</t>
  </si>
  <si>
    <t>NA21112</t>
  </si>
  <si>
    <t>NA21113.SG</t>
  </si>
  <si>
    <t>NA21113</t>
  </si>
  <si>
    <t>NA21114.SG</t>
  </si>
  <si>
    <t>NA21114</t>
  </si>
  <si>
    <t>NA21115.SG</t>
  </si>
  <si>
    <t>NA21115</t>
  </si>
  <si>
    <t>NA21117.SG</t>
  </si>
  <si>
    <t>NA21117</t>
  </si>
  <si>
    <t>NA21118.SG</t>
  </si>
  <si>
    <t>NA21118</t>
  </si>
  <si>
    <t>C1b1a1a1a1a1</t>
  </si>
  <si>
    <t>NA21119.SG</t>
  </si>
  <si>
    <t>NA21119</t>
  </si>
  <si>
    <t>NA21120.SG</t>
  </si>
  <si>
    <t>NA21120</t>
  </si>
  <si>
    <t>NA21122.SG</t>
  </si>
  <si>
    <t>NA21122</t>
  </si>
  <si>
    <t>NA21124.SG</t>
  </si>
  <si>
    <t>NA21124</t>
  </si>
  <si>
    <t>NA21126.SG</t>
  </si>
  <si>
    <t>NA21126</t>
  </si>
  <si>
    <t>NA21127.SG</t>
  </si>
  <si>
    <t>NA21127</t>
  </si>
  <si>
    <t>NA21128.SG</t>
  </si>
  <si>
    <t>NA21128</t>
  </si>
  <si>
    <t>NA21129.SG</t>
  </si>
  <si>
    <t>NA21129</t>
  </si>
  <si>
    <t>NA21130.SG</t>
  </si>
  <si>
    <t>NA21130</t>
  </si>
  <si>
    <t>NA21133.SG</t>
  </si>
  <si>
    <t>NA21133</t>
  </si>
  <si>
    <t>C1b1a1a</t>
  </si>
  <si>
    <t>NA21135.SG</t>
  </si>
  <si>
    <t>NA21135</t>
  </si>
  <si>
    <t>NA21137.SG</t>
  </si>
  <si>
    <t>NA21137</t>
  </si>
  <si>
    <t>NA21141.SG</t>
  </si>
  <si>
    <t>NA21141</t>
  </si>
  <si>
    <t>NA21142.SG</t>
  </si>
  <si>
    <t>NA21142</t>
  </si>
  <si>
    <t>NA21143.SG</t>
  </si>
  <si>
    <t>NA21143</t>
  </si>
  <si>
    <t>NA21144.SG</t>
  </si>
  <si>
    <t>NA21144</t>
  </si>
  <si>
    <t>I2403</t>
  </si>
  <si>
    <t>MathiesonNature2018</t>
  </si>
  <si>
    <t>Globular_Amphora</t>
  </si>
  <si>
    <t>S2403.E1.L1</t>
  </si>
  <si>
    <t>2870-2575 calBCE (4120±30 BP, Beta-430712)</t>
  </si>
  <si>
    <t>Kierzkowo</t>
  </si>
  <si>
    <t>Poland</t>
  </si>
  <si>
    <t>U5b2b1</t>
  </si>
  <si>
    <t>I2405_published</t>
  </si>
  <si>
    <t>I2405</t>
  </si>
  <si>
    <t>8.2a</t>
  </si>
  <si>
    <t>S2405.E1.L1</t>
  </si>
  <si>
    <t>3335-3020 calBCE (4460±30 BP, Beta-430713)</t>
  </si>
  <si>
    <t>I2a2</t>
  </si>
  <si>
    <t>ILK002</t>
  </si>
  <si>
    <t>Globular_Amphora_Ukraine</t>
  </si>
  <si>
    <t>2890-2694 calBCE (4192±22 BP, MAMS-30073)</t>
  </si>
  <si>
    <t>Ilatka</t>
  </si>
  <si>
    <t>Ukraine</t>
  </si>
  <si>
    <t>I2a2a1b2</t>
  </si>
  <si>
    <t>ILK003</t>
  </si>
  <si>
    <t>2900-2709 calBCE (4225±22 BP, MAMS-30074)</t>
  </si>
  <si>
    <t>ILK001</t>
  </si>
  <si>
    <t>2899-2706 calBCE (4221±22 BP, MAMS-30072)</t>
  </si>
  <si>
    <t>I2a2a1b</t>
  </si>
  <si>
    <t>I2433</t>
  </si>
  <si>
    <t>S2433.E1.L1</t>
  </si>
  <si>
    <t>3100-2900 BCE (mother to directly dated I2407: 3095-2915 calBCE (4390±30 BP, Beta-430714)</t>
  </si>
  <si>
    <t>H28</t>
  </si>
  <si>
    <t>I2440</t>
  </si>
  <si>
    <t>S2440.E1.L1</t>
  </si>
  <si>
    <t>3100-2900 BCE (father to directly dated I2407: 3095-2915 calBCE (4390±30 BP, Beta-430714)</t>
  </si>
  <si>
    <t>H1b</t>
  </si>
  <si>
    <t>I2</t>
  </si>
  <si>
    <t>I2434</t>
  </si>
  <si>
    <t>S2434.E1.L1</t>
  </si>
  <si>
    <t>3400-2800 BCE</t>
  </si>
  <si>
    <t>U5b1d1</t>
  </si>
  <si>
    <t>I2441</t>
  </si>
  <si>
    <t>S2441.E1.L1</t>
  </si>
  <si>
    <t>K1b1a1</t>
  </si>
  <si>
    <t>I1783</t>
  </si>
  <si>
    <t>Gonur1_BA_o</t>
  </si>
  <si>
    <t>S1783.E1.L2,S1783.E1.L3</t>
  </si>
  <si>
    <t>2275-2024 calBCE (3725±35 BP, Poz-83484)</t>
  </si>
  <si>
    <t>QUESTIONABLE (mtcontam=0.949-0.967)</t>
  </si>
  <si>
    <t>I1792</t>
  </si>
  <si>
    <t>S1792.E1.L1,S1792.E1.L2,S1792.E1.L3</t>
  </si>
  <si>
    <t>2458-2202 calBCE (3840±35 BP, Poz-83487)</t>
  </si>
  <si>
    <t>S11039.E1.L1</t>
  </si>
  <si>
    <t>I11039</t>
  </si>
  <si>
    <t>Gonur4_BA</t>
  </si>
  <si>
    <t>2297-2147 calBCE (3805±20 BP, PSUAMS-4602)</t>
  </si>
  <si>
    <t>QUESTIONABLE (mtcontam=0.941)</t>
  </si>
  <si>
    <t>I4243</t>
  </si>
  <si>
    <t>Hajji_Firuz_BA</t>
  </si>
  <si>
    <t>F11 3</t>
  </si>
  <si>
    <t>S4243.E1.L2</t>
  </si>
  <si>
    <t>2465-2286 calBCE (3875±25 BP, PSUAMS-2113)</t>
  </si>
  <si>
    <t>Hajji Firuz</t>
  </si>
  <si>
    <t>I4349</t>
  </si>
  <si>
    <t>Hajji_Firuz_C</t>
  </si>
  <si>
    <t>F11 4 merged with F11 B3 3</t>
  </si>
  <si>
    <t>S4349.E1.L1,S4352.E1.L1</t>
  </si>
  <si>
    <t>5887-5724 calBCE (6915±40 BP, PSUAMS-2126)</t>
  </si>
  <si>
    <t>U1a4</t>
  </si>
  <si>
    <t>J2b</t>
  </si>
  <si>
    <t>I2323</t>
  </si>
  <si>
    <t>FH5, F10 B1 prenatal</t>
  </si>
  <si>
    <t>S2323.E1.L2,S2323.E1.L3,S2323.E1.L4,S2323.E1.L5</t>
  </si>
  <si>
    <t>6060-5851 calBCE (7090±50 BP, Poz-81115)</t>
  </si>
  <si>
    <t>K1a20</t>
  </si>
  <si>
    <t xml:space="preserve">PASS </t>
  </si>
  <si>
    <t>I2328</t>
  </si>
  <si>
    <t>FH9, F10 B1 skull 7</t>
  </si>
  <si>
    <t>S2328.E1.L2,S2328.E1.L3,S2328.E1.L4,S2328.E1.L5</t>
  </si>
  <si>
    <t>6013-5898 calBCE (7075±30 BP, PSUAMS-2345)</t>
  </si>
  <si>
    <t>K1b1a</t>
  </si>
  <si>
    <t>I4241</t>
  </si>
  <si>
    <t>F10 B1 S3</t>
  </si>
  <si>
    <t>S4241.E1.L2</t>
  </si>
  <si>
    <t>6016-5899 calBCE (7080±30 BP, PSUAMS-2163)</t>
  </si>
  <si>
    <t>K1a3</t>
  </si>
  <si>
    <t>I4351</t>
  </si>
  <si>
    <t>F11 B3 1</t>
  </si>
  <si>
    <t>S4351.E1.L1</t>
  </si>
  <si>
    <t>6056-5894 calBCE (7100±45 BP, PSUAMS-2151)</t>
  </si>
  <si>
    <t>I2327</t>
  </si>
  <si>
    <t>Hajji_Firuz_IA</t>
  </si>
  <si>
    <t>FH8, K10 B1</t>
  </si>
  <si>
    <t>S2327.E1.L2,S2327.E1.L3,S2327.E1.L4,S2327.E1.L5</t>
  </si>
  <si>
    <t>1193-1019 calBCE (2910±20 BP, PSUAMS-4413)</t>
  </si>
  <si>
    <t>K1a17a</t>
  </si>
  <si>
    <t>B_Han-3.DG</t>
  </si>
  <si>
    <t>HGDP00775</t>
  </si>
  <si>
    <t>Han.DG</t>
  </si>
  <si>
    <t>O1b1a1a1b</t>
  </si>
  <si>
    <t>A_Han-4.DG</t>
  </si>
  <si>
    <t>A_Han-4</t>
  </si>
  <si>
    <t>S_Han-1.DG</t>
  </si>
  <si>
    <t>HGDP00783</t>
  </si>
  <si>
    <t>S_Han-2.DG</t>
  </si>
  <si>
    <t>HGDP00785</t>
  </si>
  <si>
    <t>O1a1a1a1a1</t>
  </si>
  <si>
    <t>S_Hazara-1.DG</t>
  </si>
  <si>
    <t>HGDP00124</t>
  </si>
  <si>
    <t>Hazara.DG</t>
  </si>
  <si>
    <t>O2a1c1a</t>
  </si>
  <si>
    <t>S_Hazara-2.DG</t>
  </si>
  <si>
    <t>HGDP00125</t>
  </si>
  <si>
    <t>C2e1a1</t>
  </si>
  <si>
    <t>Hazaras3.DG</t>
  </si>
  <si>
    <t>Hazaras3</t>
  </si>
  <si>
    <t>Hazaras.DG</t>
  </si>
  <si>
    <t>Href.REF</t>
  </si>
  <si>
    <t>Href</t>
  </si>
  <si>
    <t>mondal_IL-01.SG</t>
  </si>
  <si>
    <t>IL-01</t>
  </si>
  <si>
    <t>ILA.SG</t>
  </si>
  <si>
    <t>Irula</t>
  </si>
  <si>
    <t>mondal_IL-04.SG</t>
  </si>
  <si>
    <t>IL-04</t>
  </si>
  <si>
    <t>mondal_IL-07.SG</t>
  </si>
  <si>
    <t>IL-07</t>
  </si>
  <si>
    <t>mondal_IL-08.SG</t>
  </si>
  <si>
    <t>IL-08</t>
  </si>
  <si>
    <t>mondal_IL-09.SG</t>
  </si>
  <si>
    <t>IL-09</t>
  </si>
  <si>
    <t>mondal_IL-10.SG</t>
  </si>
  <si>
    <t>IL-10</t>
  </si>
  <si>
    <t>mondal_IL-11.SG</t>
  </si>
  <si>
    <t>IL-11</t>
  </si>
  <si>
    <t>mondal_IL-12.SG</t>
  </si>
  <si>
    <t>IL-12</t>
  </si>
  <si>
    <t>DE</t>
  </si>
  <si>
    <t>mondal_IL-15.SG</t>
  </si>
  <si>
    <t>IL-15</t>
  </si>
  <si>
    <t>H3</t>
  </si>
  <si>
    <t>mondal_IL-16.SG</t>
  </si>
  <si>
    <t>IL-16</t>
  </si>
  <si>
    <t>Manny.SG</t>
  </si>
  <si>
    <t>RaghavanNature2014</t>
  </si>
  <si>
    <t>Manny</t>
  </si>
  <si>
    <t>Indian.SG</t>
  </si>
  <si>
    <t>S10409.E1.L2</t>
  </si>
  <si>
    <t>I10409</t>
  </si>
  <si>
    <t>Gonur2_BA</t>
  </si>
  <si>
    <t>2280-2044 calBCE (3755±25 BP, PSUAMS-4599)</t>
  </si>
  <si>
    <t>R5a2b</t>
  </si>
  <si>
    <t>S11041.E1.L1</t>
  </si>
  <si>
    <t>I11041</t>
  </si>
  <si>
    <t>2140-1972 calBCE (3675±25 BP, PSUAMS-4603)</t>
  </si>
  <si>
    <t>I2123</t>
  </si>
  <si>
    <t>S2123.E1.L1,S2123.E1.L2,S2123.E1.L3</t>
  </si>
  <si>
    <t>2452-2140 calBCE (3815±35 BP, Poz-83491)</t>
  </si>
  <si>
    <t>I11466</t>
  </si>
  <si>
    <t>Shahr_I_Sokhta_BA2</t>
  </si>
  <si>
    <t>S11466.Y1.E1.L1</t>
  </si>
  <si>
    <t>2500-2000 BCE</t>
  </si>
  <si>
    <t>M30b</t>
  </si>
  <si>
    <t>I11459</t>
  </si>
  <si>
    <t>S11459.Y1.E1.L1</t>
  </si>
  <si>
    <t>W3a1b</t>
  </si>
  <si>
    <t>I11456</t>
  </si>
  <si>
    <t>S11456.Y1.E1.L1</t>
  </si>
  <si>
    <t>2600-2500 BCE</t>
  </si>
  <si>
    <t>I8728</t>
  </si>
  <si>
    <t>S8728.E1.L1</t>
  </si>
  <si>
    <t>R7</t>
  </si>
  <si>
    <t>I8726</t>
  </si>
  <si>
    <t>S8726.E1.L1</t>
  </si>
  <si>
    <t>3100-3000 BCE</t>
  </si>
  <si>
    <t>U2c1</t>
  </si>
  <si>
    <t>J2a1h</t>
  </si>
  <si>
    <t>I11471</t>
  </si>
  <si>
    <t>S11471.Y1.E1.L1</t>
  </si>
  <si>
    <t>3328-3022 calBCE (4450±20 BP, PSUAMS-4592)</t>
  </si>
  <si>
    <t>I11460</t>
  </si>
  <si>
    <t>Shahr_I_Sokhta_BA2_LowCov</t>
  </si>
  <si>
    <t>S11460.Y1.E1.L1</t>
  </si>
  <si>
    <t>3200-2100 BCE</t>
  </si>
  <si>
    <t>I11488</t>
  </si>
  <si>
    <t>S11488.Y1.E1.L1</t>
  </si>
  <si>
    <t>I11480</t>
  </si>
  <si>
    <t>S11480.Y1.E1.L1</t>
  </si>
  <si>
    <t>2900-2800 BCE</t>
  </si>
  <si>
    <t>S11458.Y1.E1.L1</t>
  </si>
  <si>
    <t>I11458</t>
  </si>
  <si>
    <t>I1293</t>
  </si>
  <si>
    <t>Iran_HotuIIIb</t>
  </si>
  <si>
    <t>S1293.E1.L1</t>
  </si>
  <si>
    <t>9100-8600 BCE</t>
  </si>
  <si>
    <t>Alborz Mountains, near Behshahr, Hotu Cave</t>
  </si>
  <si>
    <t>I1293_all</t>
  </si>
  <si>
    <t>Iran_HotuIIIb_all</t>
  </si>
  <si>
    <t>S1293.E1.L1,S1293.E1.L2,S1293.E1.L3,S1293.E1.L4</t>
  </si>
  <si>
    <t>HV2</t>
  </si>
  <si>
    <t>half,minus,minus,minus</t>
  </si>
  <si>
    <t>S_Iranian-2.DG</t>
  </si>
  <si>
    <t>iran11</t>
  </si>
  <si>
    <t>Iranian.DG</t>
  </si>
  <si>
    <t>Iran migrants sampled in Kuwait</t>
  </si>
  <si>
    <t>S_Iranian-1.DG</t>
  </si>
  <si>
    <t>iran17</t>
  </si>
  <si>
    <t>Q1b1a1</t>
  </si>
  <si>
    <t>IrtyshBarabinskTatars1.DG</t>
  </si>
  <si>
    <t>IrtyshBarabinskTatars1</t>
  </si>
  <si>
    <t>IrtyshBarabinskTatars2.DG</t>
  </si>
  <si>
    <t>IrtyshBarabinskTatars2</t>
  </si>
  <si>
    <t>S_Irula-1.DG</t>
  </si>
  <si>
    <t>S_Irula-1</t>
  </si>
  <si>
    <t>Irula.DG</t>
  </si>
  <si>
    <t>S_Irula-2.DG</t>
  </si>
  <si>
    <t>S_Irula-2</t>
  </si>
  <si>
    <t>HG03713.SG</t>
  </si>
  <si>
    <t>HG03713</t>
  </si>
  <si>
    <t>ITU.SG</t>
  </si>
  <si>
    <t>Telugu sampled from Great Britain</t>
  </si>
  <si>
    <t>HG03714.SG</t>
  </si>
  <si>
    <t>HG03714</t>
  </si>
  <si>
    <t>HG03715.SG</t>
  </si>
  <si>
    <t>HG03715</t>
  </si>
  <si>
    <t>HG03716.SG</t>
  </si>
  <si>
    <t>HG03716</t>
  </si>
  <si>
    <t>HG03717.SG</t>
  </si>
  <si>
    <t>HG03717</t>
  </si>
  <si>
    <t>HG03718.SG</t>
  </si>
  <si>
    <t>HG03718</t>
  </si>
  <si>
    <t>HG03720.SG</t>
  </si>
  <si>
    <t>HG03720</t>
  </si>
  <si>
    <t>HG03722.SG</t>
  </si>
  <si>
    <t>HG03722</t>
  </si>
  <si>
    <t>HG03727.SG</t>
  </si>
  <si>
    <t>HG03727</t>
  </si>
  <si>
    <t>HG03729.SG</t>
  </si>
  <si>
    <t>HG03729</t>
  </si>
  <si>
    <t>R2a3a2b2b</t>
  </si>
  <si>
    <t>HG03730.SG</t>
  </si>
  <si>
    <t>HG03730</t>
  </si>
  <si>
    <t>HG03731.SG</t>
  </si>
  <si>
    <t>HG03731</t>
  </si>
  <si>
    <t>HG03742.SG</t>
  </si>
  <si>
    <t>HG03742</t>
  </si>
  <si>
    <t>NO</t>
  </si>
  <si>
    <t>HG03770.SG</t>
  </si>
  <si>
    <t>HG03770</t>
  </si>
  <si>
    <t>HG03771.SG</t>
  </si>
  <si>
    <t>HG03771</t>
  </si>
  <si>
    <t>HG03772.SG</t>
  </si>
  <si>
    <t>HG03772</t>
  </si>
  <si>
    <t>HG03773.SG</t>
  </si>
  <si>
    <t>HG03773</t>
  </si>
  <si>
    <t>HG03774.SG</t>
  </si>
  <si>
    <t>HG03774</t>
  </si>
  <si>
    <t>HG03775.SG</t>
  </si>
  <si>
    <t>HG03775</t>
  </si>
  <si>
    <t>HG03777.SG</t>
  </si>
  <si>
    <t>HG03777</t>
  </si>
  <si>
    <t>H1a1d2b3a1a</t>
  </si>
  <si>
    <t>HG03778.SG</t>
  </si>
  <si>
    <t>HG03778</t>
  </si>
  <si>
    <t>H1a1d2c</t>
  </si>
  <si>
    <t>HG03779.SG</t>
  </si>
  <si>
    <t>HG03779</t>
  </si>
  <si>
    <t>HG03780.SG</t>
  </si>
  <si>
    <t>HG03780</t>
  </si>
  <si>
    <t>HG03781.SG</t>
  </si>
  <si>
    <t>HG03781</t>
  </si>
  <si>
    <t>HG03782.SG</t>
  </si>
  <si>
    <t>HG03782</t>
  </si>
  <si>
    <t>HG03784.SG</t>
  </si>
  <si>
    <t>HG03784</t>
  </si>
  <si>
    <t>HG03785.SG</t>
  </si>
  <si>
    <t>HG03785</t>
  </si>
  <si>
    <t>HG03786.SG</t>
  </si>
  <si>
    <t>HG03786</t>
  </si>
  <si>
    <t>HG03787.SG</t>
  </si>
  <si>
    <t>HG03787</t>
  </si>
  <si>
    <t>HG03788.SG</t>
  </si>
  <si>
    <t>HG03788</t>
  </si>
  <si>
    <t>HG03789.SG</t>
  </si>
  <si>
    <t>HG03789</t>
  </si>
  <si>
    <t>HG03790.SG</t>
  </si>
  <si>
    <t>HG03790</t>
  </si>
  <si>
    <t>HG03792.SG</t>
  </si>
  <si>
    <t>HG03792</t>
  </si>
  <si>
    <t>H3a2a2</t>
  </si>
  <si>
    <t>HG03861.SG</t>
  </si>
  <si>
    <t>HG03861</t>
  </si>
  <si>
    <t>HG03862.SG</t>
  </si>
  <si>
    <t>HG03862</t>
  </si>
  <si>
    <t>HG03863.SG</t>
  </si>
  <si>
    <t>HG03863</t>
  </si>
  <si>
    <t>HG03864.SG</t>
  </si>
  <si>
    <t>HG03864</t>
  </si>
  <si>
    <t>Q1b2a</t>
  </si>
  <si>
    <t>HG03866.SG</t>
  </si>
  <si>
    <t>HG03866</t>
  </si>
  <si>
    <t>HG03867.SG</t>
  </si>
  <si>
    <t>HG03867</t>
  </si>
  <si>
    <t>C1b1a1a1a1</t>
  </si>
  <si>
    <t>HG03868.SG</t>
  </si>
  <si>
    <t>HG03868</t>
  </si>
  <si>
    <t>HG03869.SG</t>
  </si>
  <si>
    <t>HG03869</t>
  </si>
  <si>
    <t>HG03870.SG</t>
  </si>
  <si>
    <t>HG03870</t>
  </si>
  <si>
    <t>H3a1</t>
  </si>
  <si>
    <t>HG03871.SG</t>
  </si>
  <si>
    <t>HG03871</t>
  </si>
  <si>
    <t>HG03872.SG</t>
  </si>
  <si>
    <t>HG03872</t>
  </si>
  <si>
    <t>HG03873.SG</t>
  </si>
  <si>
    <t>HG03873</t>
  </si>
  <si>
    <t>HG03874.SG</t>
  </si>
  <si>
    <t>HG03874</t>
  </si>
  <si>
    <t>HG03875.SG</t>
  </si>
  <si>
    <t>HG03875</t>
  </si>
  <si>
    <t>HG03882.SG</t>
  </si>
  <si>
    <t>HG03882</t>
  </si>
  <si>
    <t>HG03960.SG</t>
  </si>
  <si>
    <t>HG03960</t>
  </si>
  <si>
    <t>HG03963.SG</t>
  </si>
  <si>
    <t>HG03963</t>
  </si>
  <si>
    <t>HG03965.SG</t>
  </si>
  <si>
    <t>HG03965</t>
  </si>
  <si>
    <t>H3a2a1a</t>
  </si>
  <si>
    <t>HG03967.SG</t>
  </si>
  <si>
    <t>HG03967</t>
  </si>
  <si>
    <t>HG03968.SG</t>
  </si>
  <si>
    <t>HG03968</t>
  </si>
  <si>
    <t>HG03969.SG</t>
  </si>
  <si>
    <t>HG03969</t>
  </si>
  <si>
    <t>HG03971.SG</t>
  </si>
  <si>
    <t>HG03971</t>
  </si>
  <si>
    <t>HG03973.SG</t>
  </si>
  <si>
    <t>HG03973</t>
  </si>
  <si>
    <t>HG03974.SG</t>
  </si>
  <si>
    <t>HG03974</t>
  </si>
  <si>
    <t>HG03976.SG</t>
  </si>
  <si>
    <t>HG03976</t>
  </si>
  <si>
    <t>HG03977.SG</t>
  </si>
  <si>
    <t>HG03977</t>
  </si>
  <si>
    <t>HG03978.SG</t>
  </si>
  <si>
    <t>HG03978</t>
  </si>
  <si>
    <t>R2a3a2b2b1</t>
  </si>
  <si>
    <t>HG04001.SG</t>
  </si>
  <si>
    <t>HG04001</t>
  </si>
  <si>
    <t>HG04002.SG</t>
  </si>
  <si>
    <t>HG04002</t>
  </si>
  <si>
    <t>H1a1d2a</t>
  </si>
  <si>
    <t>HG04014.SG</t>
  </si>
  <si>
    <t>HG04014</t>
  </si>
  <si>
    <t>HG04015.SG</t>
  </si>
  <si>
    <t>HG04015</t>
  </si>
  <si>
    <t>HG04017.SG</t>
  </si>
  <si>
    <t>HG04017</t>
  </si>
  <si>
    <t>HG04018.SG</t>
  </si>
  <si>
    <t>HG04018</t>
  </si>
  <si>
    <t>HG04019.SG</t>
  </si>
  <si>
    <t>HG04019</t>
  </si>
  <si>
    <t>HG04020.SG</t>
  </si>
  <si>
    <t>HG04020</t>
  </si>
  <si>
    <t>HG04022.SG</t>
  </si>
  <si>
    <t>HG04022</t>
  </si>
  <si>
    <t>HG04023.SG</t>
  </si>
  <si>
    <t>HG04023</t>
  </si>
  <si>
    <t>HG04025.SG</t>
  </si>
  <si>
    <t>HG04025</t>
  </si>
  <si>
    <t>HG04026.SG</t>
  </si>
  <si>
    <t>HG04026</t>
  </si>
  <si>
    <t>HG04054.SG</t>
  </si>
  <si>
    <t>HG04054</t>
  </si>
  <si>
    <t>HG04056.SG</t>
  </si>
  <si>
    <t>HG04056</t>
  </si>
  <si>
    <t>HG04059.SG</t>
  </si>
  <si>
    <t>HG04059</t>
  </si>
  <si>
    <t>HG04060.SG</t>
  </si>
  <si>
    <t>HG04060</t>
  </si>
  <si>
    <t>HG04061.SG</t>
  </si>
  <si>
    <t>HG04061</t>
  </si>
  <si>
    <t>HG04062.SG</t>
  </si>
  <si>
    <t>HG04062</t>
  </si>
  <si>
    <t>HG04063.SG</t>
  </si>
  <si>
    <t>HG04063</t>
  </si>
  <si>
    <t>HG04070.SG</t>
  </si>
  <si>
    <t>HG04070</t>
  </si>
  <si>
    <t>HG04076.SG</t>
  </si>
  <si>
    <t>HG04076</t>
  </si>
  <si>
    <t>HG04080.SG</t>
  </si>
  <si>
    <t>HG04080</t>
  </si>
  <si>
    <t>HG04090.SG</t>
  </si>
  <si>
    <t>HG04090</t>
  </si>
  <si>
    <t>HG04093.SG</t>
  </si>
  <si>
    <t>HG04093</t>
  </si>
  <si>
    <t>HG04094.SG</t>
  </si>
  <si>
    <t>HG04094</t>
  </si>
  <si>
    <t>HG04096.SG</t>
  </si>
  <si>
    <t>HG04096</t>
  </si>
  <si>
    <t>HG04098.SG</t>
  </si>
  <si>
    <t>HG04098</t>
  </si>
  <si>
    <t>HG04118.SG</t>
  </si>
  <si>
    <t>HG04118</t>
  </si>
  <si>
    <t>HG04198.SG</t>
  </si>
  <si>
    <t>HG04198</t>
  </si>
  <si>
    <t>H1b1</t>
  </si>
  <si>
    <t>HG04200.SG</t>
  </si>
  <si>
    <t>HG04200</t>
  </si>
  <si>
    <t>HG04202.SG</t>
  </si>
  <si>
    <t>HG04202</t>
  </si>
  <si>
    <t>HG04206.SG</t>
  </si>
  <si>
    <t>HG04206</t>
  </si>
  <si>
    <t>HG04209.SG</t>
  </si>
  <si>
    <t>HG04209</t>
  </si>
  <si>
    <t>HG04211.SG</t>
  </si>
  <si>
    <t>HG04211</t>
  </si>
  <si>
    <t>HG04212.SG</t>
  </si>
  <si>
    <t>HG04212</t>
  </si>
  <si>
    <t>HG04214.SG</t>
  </si>
  <si>
    <t>HG04214</t>
  </si>
  <si>
    <t>HG04216.SG</t>
  </si>
  <si>
    <t>HG04216</t>
  </si>
  <si>
    <t>HG04219.SG</t>
  </si>
  <si>
    <t>HG04219</t>
  </si>
  <si>
    <t>HG04222.SG</t>
  </si>
  <si>
    <t>HG04222</t>
  </si>
  <si>
    <t>HG04225.SG</t>
  </si>
  <si>
    <t>HG04225</t>
  </si>
  <si>
    <t>HG04235.SG</t>
  </si>
  <si>
    <t>HG04235</t>
  </si>
  <si>
    <t>H1a1d2b2</t>
  </si>
  <si>
    <t>HG04238.SG</t>
  </si>
  <si>
    <t>HG04238</t>
  </si>
  <si>
    <t>HG04239.SG</t>
  </si>
  <si>
    <t>HG04239</t>
  </si>
  <si>
    <t>mondal_JAR-27.SG</t>
  </si>
  <si>
    <t>JAR-27</t>
  </si>
  <si>
    <t>JAR.SG</t>
  </si>
  <si>
    <t>Jarawa</t>
  </si>
  <si>
    <t>D1</t>
  </si>
  <si>
    <t>mondal_JAR-32.SG</t>
  </si>
  <si>
    <t>JAR-32</t>
  </si>
  <si>
    <t>mondal_JAR-54.SG</t>
  </si>
  <si>
    <t>JAR-54</t>
  </si>
  <si>
    <t>mondal_JAR-61.SG</t>
  </si>
  <si>
    <t>JAR-61</t>
  </si>
  <si>
    <t>S_Kalash-2.DG</t>
  </si>
  <si>
    <t>HGDP00286</t>
  </si>
  <si>
    <t>Kalash.DG</t>
  </si>
  <si>
    <t>S_Kalash-1.DG</t>
  </si>
  <si>
    <t>HGDP00328</t>
  </si>
  <si>
    <t>Kalmyks1.DG</t>
  </si>
  <si>
    <t>Kalmyks1</t>
  </si>
  <si>
    <t>Kalmyks.DG</t>
  </si>
  <si>
    <t>Kalmyks2.DG</t>
  </si>
  <si>
    <t>Kalmyks2</t>
  </si>
  <si>
    <t>I6708</t>
  </si>
  <si>
    <t>Kanai_MBA</t>
  </si>
  <si>
    <t>S6708.E1.L1</t>
  </si>
  <si>
    <t>2193-2031 calBCE (3705±20 BP, PSUAMS-2916)</t>
  </si>
  <si>
    <t>Northwestern Kazakhstan, Kanai Cemetery</t>
  </si>
  <si>
    <t>C2b</t>
  </si>
  <si>
    <t>S_Kapu-1.DG</t>
  </si>
  <si>
    <t>S_Kapu-1</t>
  </si>
  <si>
    <t>Kapu.DG</t>
  </si>
  <si>
    <t>S_Kapu-2.DG</t>
  </si>
  <si>
    <t>S_Kapu-2</t>
  </si>
  <si>
    <t>Yamnaya.SG</t>
  </si>
  <si>
    <t>Yamnaya</t>
  </si>
  <si>
    <t>Karagash_EMBA_Yamnaya.SG</t>
  </si>
  <si>
    <t>Kurgan 1, 2</t>
  </si>
  <si>
    <t>3018-2887 calBCE (4315±34 BP, UBA-32667)</t>
  </si>
  <si>
    <t>Karagash</t>
  </si>
  <si>
    <t>Karakalpaks1.DG</t>
  </si>
  <si>
    <t>Karakalpaks1</t>
  </si>
  <si>
    <t>Karakalpaks.DG</t>
  </si>
  <si>
    <t>Karakalpaks2.DG</t>
  </si>
  <si>
    <t>Karakalpaks2</t>
  </si>
  <si>
    <t>Karakalpaks3.DG</t>
  </si>
  <si>
    <t>Karakalpaks3</t>
  </si>
  <si>
    <t>B_Karitiana-3.DG</t>
  </si>
  <si>
    <t>HGDP01015</t>
  </si>
  <si>
    <t>Karitiana.DG</t>
  </si>
  <si>
    <t>Brazil</t>
  </si>
  <si>
    <t>Q1a2a1a1</t>
  </si>
  <si>
    <t>A_Karitiana-4.DG</t>
  </si>
  <si>
    <t>A_Karitiana-4</t>
  </si>
  <si>
    <t>S_Karitiana-1.DG</t>
  </si>
  <si>
    <t>HGDP01012</t>
  </si>
  <si>
    <t>S_Karitiana-2.DG</t>
  </si>
  <si>
    <t>HGDP01018</t>
  </si>
  <si>
    <t>BR_Kashmiri_Pandit-1.DG</t>
  </si>
  <si>
    <t>BR_Kashmiri_Pandit-1</t>
  </si>
  <si>
    <t>Kashmiri_Pandit.DG</t>
  </si>
  <si>
    <t>Draw, Jammu and Kashmir</t>
  </si>
  <si>
    <t>Q1a1b1</t>
  </si>
  <si>
    <t>Kazakhs2.DG</t>
  </si>
  <si>
    <t>Kazakhs2</t>
  </si>
  <si>
    <t>Kazakhs.DG</t>
  </si>
  <si>
    <t>Kazakhs3.DG</t>
  </si>
  <si>
    <t>Kazakhs3</t>
  </si>
  <si>
    <t>DA231.SG</t>
  </si>
  <si>
    <t>DamgaardNature2018</t>
  </si>
  <si>
    <t>DA231</t>
  </si>
  <si>
    <t>Kazakhstan_Andronovo.SG</t>
  </si>
  <si>
    <t>CGG_2_016405, Mitjurino, 24th april 1989, Mitjurino, 24th april 1989</t>
  </si>
  <si>
    <t>1611-1425 calBCE (3225±43 BP, UBA-33602)</t>
  </si>
  <si>
    <t>Tian Shan, Central Steppe</t>
  </si>
  <si>
    <t>DA11.SG</t>
  </si>
  <si>
    <t>DA11</t>
  </si>
  <si>
    <t>Kazakhstan_CentralSaka.SG</t>
  </si>
  <si>
    <t>CGG_2_015449, KG17, Kurgan Borli, Osakarovskij</t>
  </si>
  <si>
    <t>788-432 calBCE (2489±39 BP, UBA-31137)</t>
  </si>
  <si>
    <t>DA10.SG</t>
  </si>
  <si>
    <t>DA10</t>
  </si>
  <si>
    <t>CGG_2_015448, KG16, Karaganda, Kurgan Sjartas, Shetskiy</t>
  </si>
  <si>
    <t>800-400 BCE</t>
  </si>
  <si>
    <t>C4a1a</t>
  </si>
  <si>
    <t>DA16.SG</t>
  </si>
  <si>
    <t>DA16</t>
  </si>
  <si>
    <t>CGG_2_015473, KG41, Nazar 2, Kurgan 1, Karkarali</t>
  </si>
  <si>
    <t>756-416 calBCE (2459±28 BP, UBA-31141)</t>
  </si>
  <si>
    <t>DA14.SG</t>
  </si>
  <si>
    <t>DA14</t>
  </si>
  <si>
    <t>CGG_2_015471, KG39, Karasjoky 1, Kurgan 8, Karkarali</t>
  </si>
  <si>
    <t>767-430 calBCE (2468±39 BP, UBA-31139)</t>
  </si>
  <si>
    <t>H101</t>
  </si>
  <si>
    <t>DA15.SG</t>
  </si>
  <si>
    <t>DA15</t>
  </si>
  <si>
    <t>CGG_2_015472, KG40, Karasjoky 6, Kurgan 1, Karkarali</t>
  </si>
  <si>
    <t>769-429 calBCE (2470±43 BP, UBA-31140)</t>
  </si>
  <si>
    <t>C4d</t>
  </si>
  <si>
    <t>DA13.SG</t>
  </si>
  <si>
    <t>DA13</t>
  </si>
  <si>
    <t>CGG_2_015470, KG38, Taldy 2, Kurgan 5, Karkarali</t>
  </si>
  <si>
    <t>769-431 calBCE (2471±31 BP, UBA-31138)</t>
  </si>
  <si>
    <t>A+152+16362+16189</t>
  </si>
  <si>
    <t>DA206.SG</t>
  </si>
  <si>
    <t>DA206</t>
  </si>
  <si>
    <t>Kazakhstan_Kangju.SG</t>
  </si>
  <si>
    <t>CGG_2_019104, Konyrtobe burial site, kurgan 1, grave 19, Konyrtobe burial site, kurgan 1, grave 19</t>
  </si>
  <si>
    <t>85-339 calCE (1805±49 BP, UBA-33606)</t>
  </si>
  <si>
    <t>DA121.SG</t>
  </si>
  <si>
    <t>DA121</t>
  </si>
  <si>
    <t>CGG_2_016119, IS2, Kok-Mardan, Kurgan7, Object 7, Issyk, Tian Shan</t>
  </si>
  <si>
    <t>252-422 calCE (1687±37 BP, UBA-31224)</t>
  </si>
  <si>
    <t>H6a1a</t>
  </si>
  <si>
    <t>DA125.SG</t>
  </si>
  <si>
    <t>DA125</t>
  </si>
  <si>
    <t>CGG_2_016123, IS6, Kok-Mardan, Issyk, Tian Shan</t>
  </si>
  <si>
    <t>130-323 calCE (1804±28 BP, UBA-31227)</t>
  </si>
  <si>
    <t>U2e2a1</t>
  </si>
  <si>
    <t>DA123.SG</t>
  </si>
  <si>
    <t>DA123</t>
  </si>
  <si>
    <t>CGG_2_016121, IS4, Kok-Mardan, Kurgan 7, Object 2, Issyk, Tian Shan</t>
  </si>
  <si>
    <t>50-450 CE</t>
  </si>
  <si>
    <t>C4a1</t>
  </si>
  <si>
    <t>DA226.SG</t>
  </si>
  <si>
    <t>DA226</t>
  </si>
  <si>
    <t>CGG_2_019112, Konyrtobe burial site, kurgan 1, grave 15, Konyrtobe burial site, kurgan 1, grave 15</t>
  </si>
  <si>
    <t>DA229.SG</t>
  </si>
  <si>
    <t>DA229</t>
  </si>
  <si>
    <t>A8a1</t>
  </si>
  <si>
    <t>DA204.SG</t>
  </si>
  <si>
    <t>DA204</t>
  </si>
  <si>
    <t>Kazakhstan_Karakhanid.SG</t>
  </si>
  <si>
    <t>CGG_2_019095, Butakty 1, grave 34, Butakty 1, grave 34</t>
  </si>
  <si>
    <t>883-1022 calCE (1089±38 BP, UBA-33607)</t>
  </si>
  <si>
    <t>DA203.SG</t>
  </si>
  <si>
    <t>DA203</t>
  </si>
  <si>
    <t>CGG_2_019094, Cemetery Butakty 1, grave 25, Cemetery Butakty 1, grave 25</t>
  </si>
  <si>
    <t>800-1100 CE</t>
  </si>
  <si>
    <t>G2a2</t>
  </si>
  <si>
    <t>DA205.SG</t>
  </si>
  <si>
    <t>DA205</t>
  </si>
  <si>
    <t>CGG_2_019096, Butakty 1, grave 32, Butakty 1, grave 32</t>
  </si>
  <si>
    <t>DA87.SG</t>
  </si>
  <si>
    <t>DA87</t>
  </si>
  <si>
    <t>Kazakhstan_Kimak.SG</t>
  </si>
  <si>
    <t>607-769 calCE (1352±45 BP, UBA-31205)</t>
  </si>
  <si>
    <t>A+152+16362</t>
  </si>
  <si>
    <t>DA179.SG</t>
  </si>
  <si>
    <t>DA179</t>
  </si>
  <si>
    <t>Kazakhstan_Kipchak1.SG</t>
  </si>
  <si>
    <t xml:space="preserve">CGG_2_016112, Kar17, Nurataldy 2, kurgan 2 </t>
  </si>
  <si>
    <t>1000-1200 CE</t>
  </si>
  <si>
    <t>D4</t>
  </si>
  <si>
    <t>G2a2b2a1a1a2</t>
  </si>
  <si>
    <t>DA23.SG</t>
  </si>
  <si>
    <t>DA23</t>
  </si>
  <si>
    <t>Kazakhstan_Kipchak2.SG</t>
  </si>
  <si>
    <t>CGG_2_015425, KS57, Lisakovsk I, Kipchak</t>
  </si>
  <si>
    <t>1030-1167 calCE (920±25 BP, UBA-31146)</t>
  </si>
  <si>
    <t>F1b1b</t>
  </si>
  <si>
    <t>C2b1a</t>
  </si>
  <si>
    <t>DA95.SG</t>
  </si>
  <si>
    <t>DA95</t>
  </si>
  <si>
    <t>Kazakhstan_Nomad_HP.SG</t>
  </si>
  <si>
    <t>CGG_2_016417, Pav 31, Gregorievka excavated year 2000, Pavlodar</t>
  </si>
  <si>
    <t>236-427 calCE (1697±45 BP, UBA-31209)</t>
  </si>
  <si>
    <t>D4b1</t>
  </si>
  <si>
    <t>N1c1a1</t>
  </si>
  <si>
    <t>DA177.SG</t>
  </si>
  <si>
    <t>DA177</t>
  </si>
  <si>
    <t>CGG_2_016101, Kar6, Komaricyno</t>
  </si>
  <si>
    <t>200-500 CE</t>
  </si>
  <si>
    <t>D4j1b</t>
  </si>
  <si>
    <t>DA20.SG</t>
  </si>
  <si>
    <t>DA20</t>
  </si>
  <si>
    <t>Kazakhstan_Nomad_Hun_Sarmatian.SG</t>
  </si>
  <si>
    <t>365-197 calBCE (2203±27 BP, UBA-31145)</t>
  </si>
  <si>
    <t>C4a1a+195</t>
  </si>
  <si>
    <t>Q1a2a</t>
  </si>
  <si>
    <t>DA27.SG</t>
  </si>
  <si>
    <t>DA27</t>
  </si>
  <si>
    <t>CGG_2_015429, KS61, Halvay, Kurgan 3, 3A, Kostanay</t>
  </si>
  <si>
    <t>334-535 calCE (1641±33 BP, UBA-31149)</t>
  </si>
  <si>
    <t>C4b1</t>
  </si>
  <si>
    <t>DA92.SG</t>
  </si>
  <si>
    <t>DA92</t>
  </si>
  <si>
    <t>Kazakhstan_Nomad_IA.SG</t>
  </si>
  <si>
    <t>CGG_2_016402, Pav 16, Kenjekol, Karjer, excavation 2010, Pavlodar</t>
  </si>
  <si>
    <t>92 calBCE - 130 calCE (1972±47 BP, UBA-31207)</t>
  </si>
  <si>
    <t>J1b1a1+146</t>
  </si>
  <si>
    <t>DA18.SG</t>
  </si>
  <si>
    <t>DA18</t>
  </si>
  <si>
    <t>763-416 calBCE (2463±45 BP, UBA-31143)</t>
  </si>
  <si>
    <t>U5b1c2</t>
  </si>
  <si>
    <t>DA221.SG</t>
  </si>
  <si>
    <t>DA221</t>
  </si>
  <si>
    <t>CGG_2_019115, Karagaly 1 burial site, grave 9, Karagaly 1 burial site, grave 9</t>
  </si>
  <si>
    <t>799-539 calBCE (2526±40 BP, UBA-33605)</t>
  </si>
  <si>
    <t>Q1a2a1c</t>
  </si>
  <si>
    <t>DA129.SG</t>
  </si>
  <si>
    <t>DA129</t>
  </si>
  <si>
    <t>CGG_2_016127, IS10, Kyzylasker, Object 1, Issyk Tian Shan</t>
  </si>
  <si>
    <t>536-212 calBCE (2324±42 BP, UBA-31231)</t>
  </si>
  <si>
    <t>DA26.SG</t>
  </si>
  <si>
    <t>DA26</t>
  </si>
  <si>
    <t>Kazakhstan_Sarmatian.SG</t>
  </si>
  <si>
    <t>CGG_2_015428, KS60, Bestamak 138, Kostanay</t>
  </si>
  <si>
    <t>800 BCE - 100 CE</t>
  </si>
  <si>
    <t>U4a2</t>
  </si>
  <si>
    <t>DA30.SG</t>
  </si>
  <si>
    <t>DA30</t>
  </si>
  <si>
    <t>CGG_2_015432, KS64, Naurzum, Kurgan (3), Naurzumskijzapobednik</t>
  </si>
  <si>
    <t>96 calBCE - 66 calCE (2013±32 BP, UBA-31152)</t>
  </si>
  <si>
    <t>DA130.SG</t>
  </si>
  <si>
    <t>DA130</t>
  </si>
  <si>
    <t>Kazakhstan_TianShanSaka.SG</t>
  </si>
  <si>
    <t>CGG_2_016128, IS11, Ornek, Object 1, Kurgan 2, Issyk Tian Shan</t>
  </si>
  <si>
    <t>367-183 calBCE (2199±32 BP, UBA-31232)</t>
  </si>
  <si>
    <t>Kazkahs1.DG</t>
  </si>
  <si>
    <t>Kazkahs1</t>
  </si>
  <si>
    <t>Kazkahs.DG</t>
  </si>
  <si>
    <t>BR_Kharia-1.DG</t>
  </si>
  <si>
    <t>stockplate15_D7</t>
  </si>
  <si>
    <t>Kharia.DG</t>
  </si>
  <si>
    <t>Tapkara, Chattisgarh</t>
  </si>
  <si>
    <t>S_Khonda_Dora-1.DG</t>
  </si>
  <si>
    <t>S_Khonda_Dora-1</t>
  </si>
  <si>
    <t>Khonda_Dora.DG</t>
  </si>
  <si>
    <t>I0433</t>
  </si>
  <si>
    <t>Khvalynsk_EN</t>
  </si>
  <si>
    <t>SVP HB 46, grave 1</t>
  </si>
  <si>
    <t>S0433.E1.L1</t>
  </si>
  <si>
    <t>4689-4543 calBCE (5760±25 BP, PSUAMS-4032)</t>
  </si>
  <si>
    <t>Saratovo, Saratov oblast, Khvalynsk II</t>
  </si>
  <si>
    <t>U5a1i</t>
  </si>
  <si>
    <t>I0122</t>
  </si>
  <si>
    <t>SVP35</t>
  </si>
  <si>
    <t>S0122.E1.L2,S0122.E2.L1</t>
  </si>
  <si>
    <t>4934-4780 calBCE (5960±25 BP, PSUAMS-4031)</t>
  </si>
  <si>
    <t>plus,half</t>
  </si>
  <si>
    <t>I0434</t>
  </si>
  <si>
    <t>SVP HB 47, grave 17</t>
  </si>
  <si>
    <t>S0434.E1.L1</t>
  </si>
  <si>
    <t>5051-4860 calBCE (6070±25 BP, PSUAMS-4033)</t>
  </si>
  <si>
    <t>Q1a</t>
  </si>
  <si>
    <t>Kostenki14</t>
  </si>
  <si>
    <t>A5187,A5195,A5196,A5197,A5198,A5305</t>
  </si>
  <si>
    <t>36730-34310 calBCE (33250±500 BP, OxA-X-2395-15)</t>
  </si>
  <si>
    <t>Kostenki</t>
  </si>
  <si>
    <t>BR_Kurumba-1.DG</t>
  </si>
  <si>
    <t>BR_Kurumba-1</t>
  </si>
  <si>
    <t>Kurumba.DG</t>
  </si>
  <si>
    <t>Palakkad, Kerala</t>
  </si>
  <si>
    <t>S_Kusunda-1.DG</t>
  </si>
  <si>
    <t>Kusunda02</t>
  </si>
  <si>
    <t>Kusunda.DG</t>
  </si>
  <si>
    <t>Ghorahi, Dang</t>
  </si>
  <si>
    <t>Nepal</t>
  </si>
  <si>
    <t>S_Kusunda-2.DG</t>
  </si>
  <si>
    <t>Kusunda15</t>
  </si>
  <si>
    <t>Damauli, Tanahu</t>
  </si>
  <si>
    <t>Kyrgyz1.DG</t>
  </si>
  <si>
    <t>Kyrgyz1</t>
  </si>
  <si>
    <t>Kyrgyz.DG</t>
  </si>
  <si>
    <t>Kyrgyz2.DG</t>
  </si>
  <si>
    <t>Kyrgyz2</t>
  </si>
  <si>
    <t>DA106.SG</t>
  </si>
  <si>
    <t>DA106</t>
  </si>
  <si>
    <t>Kyrgyzstan_Nomad_Med.SG</t>
  </si>
  <si>
    <t>CGG_2_016022, Kyr 64, Kurgan nr. 28,Boz-Adyr</t>
  </si>
  <si>
    <t>1058-1269 calCE (833±34 BP, UBA-31218)</t>
  </si>
  <si>
    <t>C4b1a</t>
  </si>
  <si>
    <t>C2b1a2a</t>
  </si>
  <si>
    <t>DA99.SG</t>
  </si>
  <si>
    <t>DA99</t>
  </si>
  <si>
    <t>CGG_2_016015, Kyr 57, Kurgan nr. 2, Kyzyl-Too</t>
  </si>
  <si>
    <t>1045-1273 calCE (841±50 BP, UBA-31212)</t>
  </si>
  <si>
    <t>C4a2c</t>
  </si>
  <si>
    <t>DA116.SG</t>
  </si>
  <si>
    <t>DA116</t>
  </si>
  <si>
    <t>CGG_2_016024, Kyr 66, Kurgan nr. 36, Boz-Adyr</t>
  </si>
  <si>
    <t>1047-1261 calCE (856±35 BP, UBA-31221)</t>
  </si>
  <si>
    <t>G2a+152</t>
  </si>
  <si>
    <t>DA118.SG</t>
  </si>
  <si>
    <t>DA118</t>
  </si>
  <si>
    <t>CGG_2_016026, Kyr 68, Kurgan nr. 38, Boz-Adyr</t>
  </si>
  <si>
    <t>1025-1155 calCE (950±27 BP, UBA-31223)</t>
  </si>
  <si>
    <t>F2g</t>
  </si>
  <si>
    <t>DA70.SG</t>
  </si>
  <si>
    <t>DA70</t>
  </si>
  <si>
    <t>Kyrgyzstan_TianShanHun.SG</t>
  </si>
  <si>
    <t>CGG_2_015996, Kyr 38, Kurgan nr. 18 (child), Baskya 2</t>
  </si>
  <si>
    <t>24-234 calCE (1891±44 BP, UBA-31195)</t>
  </si>
  <si>
    <t>DA68.SG</t>
  </si>
  <si>
    <t>DA68</t>
  </si>
  <si>
    <t>CGG_2_015994, Kyr 36, Kurgan nr. 21, Baskya 2</t>
  </si>
  <si>
    <t>537-647 calCE (1479±31 BP, UBA-31193)</t>
  </si>
  <si>
    <t>M11a</t>
  </si>
  <si>
    <t>DA66.SG</t>
  </si>
  <si>
    <t>DA66</t>
  </si>
  <si>
    <t>CGG_2_015992, Kyr 34, Kurgan nr. 10 , Baskya 2</t>
  </si>
  <si>
    <t>423-584 calCE (1546±33 BP, UBA-31192)</t>
  </si>
  <si>
    <t>H6b2</t>
  </si>
  <si>
    <t>DA385.SG</t>
  </si>
  <si>
    <t>DA385</t>
  </si>
  <si>
    <t>CGG_2_015989, Kyr 31, Kurgan nr. 1 (individ. 1, buried with individ. 2.), Baskya 2</t>
  </si>
  <si>
    <t>396-571 calCE (1577±42 BP, UBA-31173)</t>
  </si>
  <si>
    <t>H13a2a</t>
  </si>
  <si>
    <t>DA52.SG</t>
  </si>
  <si>
    <t>DA52</t>
  </si>
  <si>
    <t>CGG_2_015978, Kyr 20, Kurgan nr. K60, Keden</t>
  </si>
  <si>
    <t>391-541 calCE (1606±33 BP, UBA-31161)</t>
  </si>
  <si>
    <t>G2a1d2</t>
  </si>
  <si>
    <t>DA65.SG</t>
  </si>
  <si>
    <t>DA65</t>
  </si>
  <si>
    <t>CGG_2_015991, Kyr 33, Kurgan nr. 19, Baskya 2</t>
  </si>
  <si>
    <t>339-539 calCE (1629±40 BP, UBA-31191)</t>
  </si>
  <si>
    <t>N9a9</t>
  </si>
  <si>
    <t>DA74.SG</t>
  </si>
  <si>
    <t>DA74</t>
  </si>
  <si>
    <t>CGG_2_016000, Kyr 42, Kurgan nr. 30 (child, buried together with another individual), Baskya 2</t>
  </si>
  <si>
    <t>332-547 calCE (1624±46 BP, UBA-31199)</t>
  </si>
  <si>
    <t>Q1a1b</t>
  </si>
  <si>
    <t>DA69.SG</t>
  </si>
  <si>
    <t>DA69</t>
  </si>
  <si>
    <t>CGG_2_015995, Kyr 37, Kurgan nr. 25, Baskya 2</t>
  </si>
  <si>
    <t>334-535 calCE (1642±31 BP, UBA-31194)</t>
  </si>
  <si>
    <t>U5b2a1a2</t>
  </si>
  <si>
    <t>DA72.SG</t>
  </si>
  <si>
    <t>DA72</t>
  </si>
  <si>
    <t>CGG_2_015998, Kyr 40, Kurgan nr. 7, Baskya 2</t>
  </si>
  <si>
    <t>243-529 calCE (1679±44 BP, UBA-31197)</t>
  </si>
  <si>
    <t>M10a1+16129</t>
  </si>
  <si>
    <t>DA80.SG</t>
  </si>
  <si>
    <t>DA80</t>
  </si>
  <si>
    <t>CGG_2_016006, Kyr 48, Kurgan nr. 5 (individ. 2 out of three individuals buried together, individual 3. is a child), Baskya 2</t>
  </si>
  <si>
    <t>176-529 calCE (1704±52 BP, UBA-31200)</t>
  </si>
  <si>
    <t>A1a</t>
  </si>
  <si>
    <t>DA54.SG</t>
  </si>
  <si>
    <t>DA54</t>
  </si>
  <si>
    <t>CGG_2_015980, Kyr 22, Kurgan nr. K70, Keden</t>
  </si>
  <si>
    <t>255-415 calCE (1693±31 BP, UBA-31163)</t>
  </si>
  <si>
    <t>C4+152+16093</t>
  </si>
  <si>
    <t>DA73.SG</t>
  </si>
  <si>
    <t>DA73</t>
  </si>
  <si>
    <t>CGG_2_015999, Kyr 41, Kurgan nr. 2, Baskya 2</t>
  </si>
  <si>
    <t>175-420 calCE (1723±48 BP, UBA-31198)</t>
  </si>
  <si>
    <t>DA82.SG</t>
  </si>
  <si>
    <t>DA82</t>
  </si>
  <si>
    <t>CGG_2_016008, Kyr 50, Kurgan nr. 4, Japyryk</t>
  </si>
  <si>
    <t>29-250 calCE (1867±46 BP, UBA-31202)</t>
  </si>
  <si>
    <t>DA81.SG</t>
  </si>
  <si>
    <t>DA81</t>
  </si>
  <si>
    <t>CGG_2_016007, Kyr 49, Kurgan nr. 50, Japyryk</t>
  </si>
  <si>
    <t>133-383 calCE (1770±50 BP, UBA-31201)</t>
  </si>
  <si>
    <t>A16</t>
  </si>
  <si>
    <t>R1b1c</t>
  </si>
  <si>
    <t>DA85.SG</t>
  </si>
  <si>
    <t>DA85</t>
  </si>
  <si>
    <t>CGG_2_016010, Kyr 52, Kurgan nr. 2, Japyryk</t>
  </si>
  <si>
    <t>129-380 calCE (1781±46 BP, UBA-31203)</t>
  </si>
  <si>
    <t>DA98.SG</t>
  </si>
  <si>
    <t>DA98</t>
  </si>
  <si>
    <t>CGG_2_016014, Kyr 56, Kurgan nr. 14 (individual 2.), Uch-Kurbu</t>
  </si>
  <si>
    <t>23-236 calCE (1890±46 BP, UBA-31211)</t>
  </si>
  <si>
    <t>DA96.SG</t>
  </si>
  <si>
    <t>DA96</t>
  </si>
  <si>
    <t>CGG_2_016012, Kyr 54, Kurgan nr. 9, Uch-Kurbu</t>
  </si>
  <si>
    <t>248-401 calCE (1709±34 BP, UBA-31210)</t>
  </si>
  <si>
    <t>D4j5</t>
  </si>
  <si>
    <t>DA100.SG</t>
  </si>
  <si>
    <t>DA100</t>
  </si>
  <si>
    <t>CGG_2_016016, Kyr 58, Kurgan nr. 8, Uch-Kurbu</t>
  </si>
  <si>
    <t>178-423 calCE (1719±48 BP, UBA-31213)</t>
  </si>
  <si>
    <t>DA101.SG</t>
  </si>
  <si>
    <t>DA101</t>
  </si>
  <si>
    <t>CGG_2_016017, Kyr 59, Kurgan nr. 14 (individual 1.(child)), Uch-Kurbu</t>
  </si>
  <si>
    <t>136-333 calCE (1783±29 BP, UBA-31214)</t>
  </si>
  <si>
    <t>DA104.SG</t>
  </si>
  <si>
    <t>DA104</t>
  </si>
  <si>
    <t>CGG_2_016020, Kyr 62, Kurgan nr. 1 / 2 (grav 2), Uch-Kurbu</t>
  </si>
  <si>
    <t>0-700 CE</t>
  </si>
  <si>
    <t>DA55.SG</t>
  </si>
  <si>
    <t>DA55</t>
  </si>
  <si>
    <t>Kyrgyzstan_TianShanSaka.SG</t>
  </si>
  <si>
    <t>CGG_2_015981, Kyr 23, Kurgan nr. K65, Keden</t>
  </si>
  <si>
    <t>160 calBCE - 51 calCE (2034±32 BP, UBA-31164)</t>
  </si>
  <si>
    <t>HV6</t>
  </si>
  <si>
    <t>DA47.SG</t>
  </si>
  <si>
    <t>DA47</t>
  </si>
  <si>
    <t>CGG_2_015973, Kyr 15, Kurgan nr. K9 (individ. nr. 1), Keden</t>
  </si>
  <si>
    <t>346 calBCE - 3 calCE (2093±43 BP, UBA-31157)</t>
  </si>
  <si>
    <t>DA58.SG</t>
  </si>
  <si>
    <t>DA58</t>
  </si>
  <si>
    <t>CGG_2_015984, Kyr 26, Kurgan nr. 3, Baskya 1</t>
  </si>
  <si>
    <t>201-40 calBCE (2094±33 BP, UBA-31167)</t>
  </si>
  <si>
    <t>DA57.SG</t>
  </si>
  <si>
    <t>DA57</t>
  </si>
  <si>
    <t>CGG_2_015983, Kyr 25, Kurgan nr. 7, Baskya 1</t>
  </si>
  <si>
    <t>202-42 calBCE (2099±32 BP, UBA-31166)</t>
  </si>
  <si>
    <t>D4j8</t>
  </si>
  <si>
    <t>DA49.SG</t>
  </si>
  <si>
    <t>DA49</t>
  </si>
  <si>
    <t>CGG_2_015975, Kyr 17, Kurgan nr. K45, Keden</t>
  </si>
  <si>
    <t>371-165 calBCE (2186±35 BP, UBA-31158)</t>
  </si>
  <si>
    <t>DA51.SG</t>
  </si>
  <si>
    <t>DA51</t>
  </si>
  <si>
    <t>CGG_2_015977, Kyr 19, Kurgan nr. K53, Keden</t>
  </si>
  <si>
    <t>383-200 calBCE (2220±37 BP, UBA-31160)</t>
  </si>
  <si>
    <t>DA53.SG</t>
  </si>
  <si>
    <t>DA53</t>
  </si>
  <si>
    <t>CGG_2_015979, Kyr 21, Kurgan nr. K71, Keden</t>
  </si>
  <si>
    <t>536-363 calBCE (2344±34 BP, UBA-31162)</t>
  </si>
  <si>
    <t>DA48.SG</t>
  </si>
  <si>
    <t>DA48</t>
  </si>
  <si>
    <t>CGG_2_015974, Kyr 16, Kurgan nr. K9 (individ. nr. 2), Keden</t>
  </si>
  <si>
    <t>600 BCE - 100 CE</t>
  </si>
  <si>
    <t>H4d</t>
  </si>
  <si>
    <t>DA50.SG</t>
  </si>
  <si>
    <t>DA50</t>
  </si>
  <si>
    <t>CGG_2_015976, Kyr 18, Kurgan nr. K50, Keden</t>
  </si>
  <si>
    <t>650-50 BCE</t>
  </si>
  <si>
    <t>I4438</t>
  </si>
  <si>
    <t>Latvia_HG</t>
  </si>
  <si>
    <t>S4438.E1.L1</t>
  </si>
  <si>
    <t>5462-5220 calBCE (6335±35 BP, PSUAMS-2235)</t>
  </si>
  <si>
    <t>Zvejnieki</t>
  </si>
  <si>
    <t>Latvia</t>
  </si>
  <si>
    <t>U4b1a2</t>
  </si>
  <si>
    <t>I4552</t>
  </si>
  <si>
    <t>S4552.E1.L1</t>
  </si>
  <si>
    <t>5479-5374 calBCE (6460±25 BP, PSUAMS-2837)</t>
  </si>
  <si>
    <t>I4553</t>
  </si>
  <si>
    <t>S4553.E1.L1</t>
  </si>
  <si>
    <t>5482-5375 calBCE (6470±25 BP, PSUAMS-2838)</t>
  </si>
  <si>
    <t>U5a1c</t>
  </si>
  <si>
    <t>I4434</t>
  </si>
  <si>
    <t>S4434.E1.L1</t>
  </si>
  <si>
    <t>5606-5385 calBCE (6530±35 BP, PSUAMS-2231)</t>
  </si>
  <si>
    <t>U5a2d</t>
  </si>
  <si>
    <t>R1b1a1a2</t>
  </si>
  <si>
    <t>I4595</t>
  </si>
  <si>
    <t>ZVEJ8, Grave 99</t>
  </si>
  <si>
    <t>S4595.E1.L1</t>
  </si>
  <si>
    <t>5728-5646 calBCE (6800±25 BP, PSUAMS-2683)</t>
  </si>
  <si>
    <t>U2e1</t>
  </si>
  <si>
    <t>I4439</t>
  </si>
  <si>
    <t>ZVEJ20</t>
  </si>
  <si>
    <t>S4439.E1.L1</t>
  </si>
  <si>
    <t>5763-5633 calBCE (6815±40 BP, PSUAMS-2236)</t>
  </si>
  <si>
    <t>I4551</t>
  </si>
  <si>
    <t>S4551.E1.L1</t>
  </si>
  <si>
    <t>5775-5666 calBCE (6845±25 BP, PSUAMS-2836)</t>
  </si>
  <si>
    <t>U5a2c3</t>
  </si>
  <si>
    <t>I4432</t>
  </si>
  <si>
    <t>S4432.E1.L1</t>
  </si>
  <si>
    <t>6075-5920 calBCE (7140±40 BP, PSUAMS-2230)</t>
  </si>
  <si>
    <t>U5a2c</t>
  </si>
  <si>
    <t>I4596</t>
  </si>
  <si>
    <t>S4596.E1.L1</t>
  </si>
  <si>
    <t>6061-5990 calBCE (7150±25 BP, PSUAMS-2839)</t>
  </si>
  <si>
    <t>I4550</t>
  </si>
  <si>
    <t>S4550.E1.L1</t>
  </si>
  <si>
    <t>6601-6476 calBCE (7715±25 BP, PSUAMS-2835)</t>
  </si>
  <si>
    <t>U5b2a1a</t>
  </si>
  <si>
    <t>I4441</t>
  </si>
  <si>
    <t>S4441.E1.L1</t>
  </si>
  <si>
    <t>4837-4713 calBCE (5900±30 BP, PSUAMS-2265)</t>
  </si>
  <si>
    <t>I4440</t>
  </si>
  <si>
    <t>S4440.E1.L1</t>
  </si>
  <si>
    <t>5220-5039 calBCE (6180±30 BP, PSUAMS-2264)</t>
  </si>
  <si>
    <t>I4628</t>
  </si>
  <si>
    <t>ZVEJ27</t>
  </si>
  <si>
    <t>S4628.E1.L1</t>
  </si>
  <si>
    <t>5302-4852 calBCE (6145±80 BP, Ua-19883)</t>
  </si>
  <si>
    <t>I4626</t>
  </si>
  <si>
    <t>ZVEJ25</t>
  </si>
  <si>
    <t>S4626.E1.L1</t>
  </si>
  <si>
    <t>5841-5636 calBCE (6840±55 BP, Hela-1212)</t>
  </si>
  <si>
    <t>I4632</t>
  </si>
  <si>
    <t>ZVEJ32, HG1</t>
  </si>
  <si>
    <t>S4632.E1.L1</t>
  </si>
  <si>
    <t>6467-6249 calBCE (7525±60 BP, LuS-8220)</t>
  </si>
  <si>
    <t>I4630</t>
  </si>
  <si>
    <t>ZVEJ30</t>
  </si>
  <si>
    <t>S4630.E1.L1</t>
  </si>
  <si>
    <t>7465-7078 calBCE (8240±70 BP)</t>
  </si>
  <si>
    <t>I5069</t>
  </si>
  <si>
    <t>LBK_EN</t>
  </si>
  <si>
    <t>KH55</t>
  </si>
  <si>
    <t>S5069.E1.L1</t>
  </si>
  <si>
    <t>5198-4936 calBCE (6090±25 BP, PSUAMS-4326)</t>
  </si>
  <si>
    <t>Kleinhadersdorf Flur Marchleiten</t>
  </si>
  <si>
    <t>Austria</t>
  </si>
  <si>
    <t>N1a1</t>
  </si>
  <si>
    <t>I5070</t>
  </si>
  <si>
    <t>SCH1</t>
  </si>
  <si>
    <t>S5070.E1.L1</t>
  </si>
  <si>
    <t>5208-5003 calBCE (6140±25 BP, PSUAMS-4224)</t>
  </si>
  <si>
    <t>Schletz</t>
  </si>
  <si>
    <t>K1a1a</t>
  </si>
  <si>
    <t>I5204</t>
  </si>
  <si>
    <t>SCH14/2</t>
  </si>
  <si>
    <t>S5204.E1.L1</t>
  </si>
  <si>
    <t>5500-4500 BCE</t>
  </si>
  <si>
    <t>J1c2</t>
  </si>
  <si>
    <t>I5205</t>
  </si>
  <si>
    <t>SCH2</t>
  </si>
  <si>
    <t>S5205.E1.L1</t>
  </si>
  <si>
    <t>I5206</t>
  </si>
  <si>
    <t>SCH3</t>
  </si>
  <si>
    <t>S5206.E1.L1</t>
  </si>
  <si>
    <t>I5207</t>
  </si>
  <si>
    <t>SCH4</t>
  </si>
  <si>
    <t>S5207.E1.L1</t>
  </si>
  <si>
    <t>H67</t>
  </si>
  <si>
    <t>I5208</t>
  </si>
  <si>
    <t>SCH5</t>
  </si>
  <si>
    <t>S5208.E1.L1</t>
  </si>
  <si>
    <t>I5068</t>
  </si>
  <si>
    <t>KH40</t>
  </si>
  <si>
    <t>S5068.E1.L1</t>
  </si>
  <si>
    <t>5500-4775 BCE</t>
  </si>
  <si>
    <t>T2b23</t>
  </si>
  <si>
    <t>J2</t>
  </si>
  <si>
    <t>I0054</t>
  </si>
  <si>
    <t>UWS4</t>
  </si>
  <si>
    <t>S0223.L1,S0396.L1,S0397.L1</t>
  </si>
  <si>
    <t>5222-5022 calBCE (6180±34 BP, MAMS-21485)</t>
  </si>
  <si>
    <t>Unterwiederstedt</t>
  </si>
  <si>
    <t>J1c17</t>
  </si>
  <si>
    <t>plus,plus,plus</t>
  </si>
  <si>
    <t>I0795</t>
  </si>
  <si>
    <t>KAR6</t>
  </si>
  <si>
    <t>S0795.L1</t>
  </si>
  <si>
    <t>5217-5041 calBCE (6174±29 BP, MAMS-22823)</t>
  </si>
  <si>
    <t>Karsdorf</t>
  </si>
  <si>
    <t>I0022</t>
  </si>
  <si>
    <t>LBK1976</t>
  </si>
  <si>
    <t>S0022.L2</t>
  </si>
  <si>
    <t>5500-4850 BCE</t>
  </si>
  <si>
    <t>Stuttgart-Muehlhausen, Viesenhaeuser Hof</t>
  </si>
  <si>
    <t>T2e</t>
  </si>
  <si>
    <t>I0025</t>
  </si>
  <si>
    <t>LBK1992</t>
  </si>
  <si>
    <t>S0025.L2</t>
  </si>
  <si>
    <t>I0026</t>
  </si>
  <si>
    <t>LBK2155</t>
  </si>
  <si>
    <t>S0026.L2</t>
  </si>
  <si>
    <t>I0797</t>
  </si>
  <si>
    <t>KAR16A</t>
  </si>
  <si>
    <t>S0797.L1</t>
  </si>
  <si>
    <t>H46b</t>
  </si>
  <si>
    <t>T1a</t>
  </si>
  <si>
    <t>I0821</t>
  </si>
  <si>
    <t>LipsonNature2017 (supplement of MathiesonNature2015, which itself was supplement of HaakLazaridis2015)</t>
  </si>
  <si>
    <t>HAL24</t>
  </si>
  <si>
    <t>S2024.L1,S2024.L2</t>
  </si>
  <si>
    <t>5201-4850 calBCE (6076±34 BP, KIA-40348)</t>
  </si>
  <si>
    <t>Halberstadt-Sonntagsfeld</t>
  </si>
  <si>
    <t>I0100</t>
  </si>
  <si>
    <t>HAL4</t>
  </si>
  <si>
    <t>S2006.L1,S0273.L1,S1227.L1</t>
  </si>
  <si>
    <t>5202-4852 calBCE (6080±32 BP, KIA-40341)</t>
  </si>
  <si>
    <t>I0659</t>
  </si>
  <si>
    <t>HAL2</t>
  </si>
  <si>
    <t>S2004.aL1,S2004.L2</t>
  </si>
  <si>
    <t>5211-4963 calBCE (6130±40 BP, KIA-40350)</t>
  </si>
  <si>
    <t>N1a1a1a2</t>
  </si>
  <si>
    <t>I0046</t>
  </si>
  <si>
    <t>HAL5</t>
  </si>
  <si>
    <t>S2007.L1,S2007.L2</t>
  </si>
  <si>
    <t>5211-4991 calBCE (6136±34 BP, MAMS-21479)</t>
  </si>
  <si>
    <t>I0048</t>
  </si>
  <si>
    <t>HAL25</t>
  </si>
  <si>
    <t>S2025.L1,S2025.L2</t>
  </si>
  <si>
    <t>5210-5002 calBCE (6153±33 BP, MAMS-21482)</t>
  </si>
  <si>
    <t>I0056</t>
  </si>
  <si>
    <t>HAL14</t>
  </si>
  <si>
    <t>S2013.L1,S0225.L1</t>
  </si>
  <si>
    <t>5213-5009 calBCE (6156±35 BP, MAMS-21480)</t>
  </si>
  <si>
    <t>I0057</t>
  </si>
  <si>
    <t>HAL34</t>
  </si>
  <si>
    <t>S2031.L1,S2031.L2</t>
  </si>
  <si>
    <t>5219-5021 calBCE (6173±34 BP, MAMS-21483)</t>
  </si>
  <si>
    <t>I1550</t>
  </si>
  <si>
    <t>HAL19</t>
  </si>
  <si>
    <t>S2019.L1,S2019.L2</t>
  </si>
  <si>
    <t>I0018</t>
  </si>
  <si>
    <t>LipsonNature2017 (new libraries added in to previously published data LazaridisNature2014)</t>
  </si>
  <si>
    <t>Stuttgart</t>
  </si>
  <si>
    <t>S0018.L2,T9004</t>
  </si>
  <si>
    <t>5310-5070 calBCE (6246±30 BP, MAMS-24635)</t>
  </si>
  <si>
    <t>I2014</t>
  </si>
  <si>
    <t>HAL15a</t>
  </si>
  <si>
    <t>S2014.L2</t>
  </si>
  <si>
    <t>5199-4857 calBCE (6081±30 BP, KIA-40344)</t>
  </si>
  <si>
    <t>N1a1a1a3</t>
  </si>
  <si>
    <t>G2</t>
  </si>
  <si>
    <t>I2008</t>
  </si>
  <si>
    <t>HAL07a</t>
  </si>
  <si>
    <t>S2008.L1,S2008.L2</t>
  </si>
  <si>
    <t>5212-4992 calBCE (6137±35 BP, KIA-40342)</t>
  </si>
  <si>
    <t>I2037</t>
  </si>
  <si>
    <t>HAL39b</t>
  </si>
  <si>
    <t>S2037.L1,S2037.L2</t>
  </si>
  <si>
    <t>5210-5002 calBCE (6144±32 BP, KIA-40343)</t>
  </si>
  <si>
    <t>H1e</t>
  </si>
  <si>
    <t>I2029</t>
  </si>
  <si>
    <t>HAL31a</t>
  </si>
  <si>
    <t>S2029.L1,S2029.L2</t>
  </si>
  <si>
    <t>5295-5057 calBCE (6211±32 BP, KIA-40349)</t>
  </si>
  <si>
    <t>K1</t>
  </si>
  <si>
    <t>I2017</t>
  </si>
  <si>
    <t>HAL18a</t>
  </si>
  <si>
    <t>S2017.L1,S2017.L2</t>
  </si>
  <si>
    <t>I2021</t>
  </si>
  <si>
    <t>HAL21a</t>
  </si>
  <si>
    <t>S2021.L1,S2021.L2</t>
  </si>
  <si>
    <t>I2022</t>
  </si>
  <si>
    <t>HAL22b</t>
  </si>
  <si>
    <t>S2022.L2</t>
  </si>
  <si>
    <t>I2026</t>
  </si>
  <si>
    <t>HAL27a</t>
  </si>
  <si>
    <t>S2026.aL1,S2026.L2</t>
  </si>
  <si>
    <t>I2030</t>
  </si>
  <si>
    <t>HAL32b</t>
  </si>
  <si>
    <t>S2030.L1,S2030.L2</t>
  </si>
  <si>
    <t>H26</t>
  </si>
  <si>
    <t>I2032</t>
  </si>
  <si>
    <t>HAL35b</t>
  </si>
  <si>
    <t>S2032.L1,S2032.L2</t>
  </si>
  <si>
    <t>I2036</t>
  </si>
  <si>
    <t>HAL38a</t>
  </si>
  <si>
    <t>S2036.L1,S2036.L2</t>
  </si>
  <si>
    <t>V1</t>
  </si>
  <si>
    <t>I2038</t>
  </si>
  <si>
    <t>HAL40a</t>
  </si>
  <si>
    <t>S2038.L1,S2038.L2</t>
  </si>
  <si>
    <t>5350-5000 BCE [1d.rel.I2005]</t>
  </si>
  <si>
    <t>S_Madiga-1.DG</t>
  </si>
  <si>
    <t>S_Madiga-1</t>
  </si>
  <si>
    <t>Madiga.DG</t>
  </si>
  <si>
    <t>S_Madiga-2.DG</t>
  </si>
  <si>
    <t>S_Madiga-2</t>
  </si>
  <si>
    <t>S_Makrani-2.DG</t>
  </si>
  <si>
    <t>HGDP00157</t>
  </si>
  <si>
    <t>Makrani.DG</t>
  </si>
  <si>
    <t>S_Makrani-1.DG</t>
  </si>
  <si>
    <t>HGDP00160</t>
  </si>
  <si>
    <t>BR_Mala-1.DG</t>
  </si>
  <si>
    <t>BR_Mala-1</t>
  </si>
  <si>
    <t>Mala.DG</t>
  </si>
  <si>
    <t>Vishakapatman, Andhra Pradesh</t>
  </si>
  <si>
    <t>S_Mala-2.DG</t>
  </si>
  <si>
    <t>S_Mala-2</t>
  </si>
  <si>
    <t>S_Mala-3.DG</t>
  </si>
  <si>
    <t>S_Mala-3</t>
  </si>
  <si>
    <t>H3b1</t>
  </si>
  <si>
    <t>B_Mbuti-4.DG</t>
  </si>
  <si>
    <t>HGDP00982</t>
  </si>
  <si>
    <t>Mbuti.DG</t>
  </si>
  <si>
    <t>Congo</t>
  </si>
  <si>
    <t>E2b1a1</t>
  </si>
  <si>
    <t>A_Mbuti-5.DG</t>
  </si>
  <si>
    <t>A_Mbuti-5</t>
  </si>
  <si>
    <t>S_Mbuti-3.DG</t>
  </si>
  <si>
    <t>HGDP00449</t>
  </si>
  <si>
    <t>B2b1</t>
  </si>
  <si>
    <t>S_Mbuti-1.DG</t>
  </si>
  <si>
    <t>HGDP00474</t>
  </si>
  <si>
    <t>E1b1a1a1d1</t>
  </si>
  <si>
    <t>S_Mbuti-2.DG</t>
  </si>
  <si>
    <t>HGDP00476</t>
  </si>
  <si>
    <t>I4785</t>
  </si>
  <si>
    <t>Myrzhyk_MLBA_LowCov</t>
  </si>
  <si>
    <t>S4785.E1.L1</t>
  </si>
  <si>
    <t>1600-500 BCE</t>
  </si>
  <si>
    <t>Myrzhyk</t>
  </si>
  <si>
    <t>QUESTIONABLE (2500.to.5000.SNPs)</t>
  </si>
  <si>
    <t>DA383_final.SG</t>
  </si>
  <si>
    <t>DA383</t>
  </si>
  <si>
    <t>Namazga_CA_o.SG</t>
  </si>
  <si>
    <t>Excavation 1, burial 1, 6286-1</t>
  </si>
  <si>
    <t>3400-3000 BCE</t>
  </si>
  <si>
    <t>Takhirbai 3</t>
  </si>
  <si>
    <t>W3a2</t>
  </si>
  <si>
    <t>DA380_final.SG</t>
  </si>
  <si>
    <t>DA380</t>
  </si>
  <si>
    <t>Namazga_CA.SG</t>
  </si>
  <si>
    <t>Excavation 1, burial 42, 6286-37</t>
  </si>
  <si>
    <t>3364-3097 calBCE (4528±40 BP, UBA-33659)</t>
  </si>
  <si>
    <t>Kara-Depe</t>
  </si>
  <si>
    <t>U2b</t>
  </si>
  <si>
    <t>DA381_final.SG</t>
  </si>
  <si>
    <t>DA381</t>
  </si>
  <si>
    <t>Excavation 2, room 18, near tolos B, 6286-89</t>
  </si>
  <si>
    <t>3365-3097 calBCE (4530±40 BP, UBA-33660)</t>
  </si>
  <si>
    <t>J1+16193</t>
  </si>
  <si>
    <t>DA379_final.SG</t>
  </si>
  <si>
    <t>DA379</t>
  </si>
  <si>
    <t>Namazga_CA.SG_1d.rel.DA380_final.SG</t>
  </si>
  <si>
    <t>Excavation 1, burial 43, 6286-38</t>
  </si>
  <si>
    <t>3370-3023 calBCE (4515±57 BP, UBA-33658)</t>
  </si>
  <si>
    <t>RISE670.SG</t>
  </si>
  <si>
    <t>RISE670</t>
  </si>
  <si>
    <t>Okunevo_BA.SG</t>
  </si>
  <si>
    <t>kurgan 2, grave 4, scull 7, 7053-49</t>
  </si>
  <si>
    <t>2141-1885 calBCE (3635±50 BP, UBA-31595)</t>
  </si>
  <si>
    <t>Verkhni Askiz</t>
  </si>
  <si>
    <t>A8a</t>
  </si>
  <si>
    <t>Q1a2b</t>
  </si>
  <si>
    <t>RISE683.SG</t>
  </si>
  <si>
    <t>RISE683</t>
  </si>
  <si>
    <t>kurgan 4, grave 4, skull A, 7053-191</t>
  </si>
  <si>
    <t>2138-1915 calBCE (3646±40 BP, UBA-31594)</t>
  </si>
  <si>
    <t>Uybat V</t>
  </si>
  <si>
    <t>RISE516.SG</t>
  </si>
  <si>
    <t>RISE516</t>
  </si>
  <si>
    <t>kurgan 1, grave 3, sk.2, 7053-2</t>
  </si>
  <si>
    <t>2201-2036 calBCE (3725±25 BP, UCIAMS-147668)</t>
  </si>
  <si>
    <t>RISE662.SG</t>
  </si>
  <si>
    <t>RISE662</t>
  </si>
  <si>
    <t>2290-1949 calBCE (3718±59 BP, UBA-31592)</t>
  </si>
  <si>
    <t>Okunev Ulus</t>
  </si>
  <si>
    <t>RISE674.SG</t>
  </si>
  <si>
    <t>RISE674</t>
  </si>
  <si>
    <t>kurgan 2, grave 21, sk.1, 7053-85</t>
  </si>
  <si>
    <t>2281-1976 calBCE (3719±46 BP, UBA-31596)</t>
  </si>
  <si>
    <t>RISE515.SG</t>
  </si>
  <si>
    <t>RISE515</t>
  </si>
  <si>
    <t>kurgan 1, grave 3, sk.1, 7053-1</t>
  </si>
  <si>
    <t>2340-2145 calBCE (3810±25 BP, UCIAMS-147669)</t>
  </si>
  <si>
    <t>RISE684.SG</t>
  </si>
  <si>
    <t>RISE684</t>
  </si>
  <si>
    <t>kurgan 4, grave 12, 7053-206</t>
  </si>
  <si>
    <t>2464-2141 calBCE (3830±55 BP, UBA-31598)</t>
  </si>
  <si>
    <t>C5c</t>
  </si>
  <si>
    <t>RISE664.SG</t>
  </si>
  <si>
    <t>RISE664</t>
  </si>
  <si>
    <t>2459-2206 calBCE (3850±38 BP, UBA-31593)</t>
  </si>
  <si>
    <t>RISE718.SG</t>
  </si>
  <si>
    <t>RISE718</t>
  </si>
  <si>
    <t>IPDN 6/H, Kurgan 3</t>
  </si>
  <si>
    <t>2573-2348 calBCE (3964±31 BP, UBA-31600)</t>
  </si>
  <si>
    <t>Syda 5, Tumen</t>
  </si>
  <si>
    <t>RISE677.SG</t>
  </si>
  <si>
    <t>RISE677</t>
  </si>
  <si>
    <t>kurgan 1, grave 4, 7053-160</t>
  </si>
  <si>
    <t>2831-2233 calBCE (3961±62 BP, UBA-31599)</t>
  </si>
  <si>
    <t>Uybat III</t>
  </si>
  <si>
    <t>RISE675.SG</t>
  </si>
  <si>
    <t>RISE675</t>
  </si>
  <si>
    <t>kurgan 1, grave 1, sk.1, 7053-169</t>
  </si>
  <si>
    <t>2859-2350 calBCE (4023±56 BP, UBA-31597)</t>
  </si>
  <si>
    <t>D4+195</t>
  </si>
  <si>
    <t>RISE667.SG</t>
  </si>
  <si>
    <t>RISE667</t>
  </si>
  <si>
    <t>kurgan 1, grave 22, 7053-29</t>
  </si>
  <si>
    <t>2900-1800 BCE</t>
  </si>
  <si>
    <t>RISE671.SG</t>
  </si>
  <si>
    <t>RISE671</t>
  </si>
  <si>
    <t>kurgan 2, grave 4, scull 3, 7053-45</t>
  </si>
  <si>
    <t>RISE672.SG</t>
  </si>
  <si>
    <t>RISE672</t>
  </si>
  <si>
    <t>kurgan 2, grave 8, sk.3, 7053-61</t>
  </si>
  <si>
    <t>RISE673.SG</t>
  </si>
  <si>
    <t>RISE673</t>
  </si>
  <si>
    <t>kurgan 2, grave 9, 7053-62</t>
  </si>
  <si>
    <t>RISE680.SG</t>
  </si>
  <si>
    <t>RISE680</t>
  </si>
  <si>
    <t>kurgan 1, grave 1a, 7053-170</t>
  </si>
  <si>
    <t>RISE681.SG</t>
  </si>
  <si>
    <t>RISE681</t>
  </si>
  <si>
    <t>kurgan 1, grave 3a-5a, sk.C, 7053-176</t>
  </si>
  <si>
    <t>RISE685.SG</t>
  </si>
  <si>
    <t>RISE685</t>
  </si>
  <si>
    <t>kurgan 1, grave 3a-5a, sk.B, 7053-175</t>
  </si>
  <si>
    <t>RISE719.SG</t>
  </si>
  <si>
    <t>RISE719</t>
  </si>
  <si>
    <t>IPDN 6/H, Kurgan 4</t>
  </si>
  <si>
    <t>mondal_ONG-1.SG</t>
  </si>
  <si>
    <t>ONG-1</t>
  </si>
  <si>
    <t>ONG.SG</t>
  </si>
  <si>
    <t>Onge</t>
  </si>
  <si>
    <t>mondal_ONG-12.SG</t>
  </si>
  <si>
    <t>ONG-12</t>
  </si>
  <si>
    <t>mondal_ONG-14.SG</t>
  </si>
  <si>
    <t>ONG-14</t>
  </si>
  <si>
    <t>mondal_ONG-4.SG</t>
  </si>
  <si>
    <t>ONG-4</t>
  </si>
  <si>
    <t>mondal_ONG-8.SG</t>
  </si>
  <si>
    <t>ONG-8</t>
  </si>
  <si>
    <t>mondal_ONG-9.SG</t>
  </si>
  <si>
    <t>ONG-9</t>
  </si>
  <si>
    <t>S12455.Y1.E1.L1</t>
  </si>
  <si>
    <t>I12455</t>
  </si>
  <si>
    <t>1000-800 BCE</t>
  </si>
  <si>
    <t>M5a</t>
  </si>
  <si>
    <t>S12456.Y1.E1.L1</t>
  </si>
  <si>
    <t>I12456</t>
  </si>
  <si>
    <t>I1c1</t>
  </si>
  <si>
    <t>S12457.Y1.E1.L1</t>
  </si>
  <si>
    <t>I12457</t>
  </si>
  <si>
    <t>S12458.Y1.E1.L1</t>
  </si>
  <si>
    <t>I12458</t>
  </si>
  <si>
    <t>S12459.Y1.E1.L1</t>
  </si>
  <si>
    <t>I12459</t>
  </si>
  <si>
    <t>M65a1</t>
  </si>
  <si>
    <t>L1</t>
  </si>
  <si>
    <t>S12979.Y1.E1.L1</t>
  </si>
  <si>
    <t>I12979</t>
  </si>
  <si>
    <t>S12980.Y1.E1.L1</t>
  </si>
  <si>
    <t>I12980</t>
  </si>
  <si>
    <t>S12981.Y1.E1.L1</t>
  </si>
  <si>
    <t>I12981</t>
  </si>
  <si>
    <t>M70</t>
  </si>
  <si>
    <t>S12982.Y1.E1.L1</t>
  </si>
  <si>
    <t>I12982</t>
  </si>
  <si>
    <t>H14</t>
  </si>
  <si>
    <t>S12984.Y1.E1.L1</t>
  </si>
  <si>
    <t>I12984</t>
  </si>
  <si>
    <t>S12986.Y1.E1.L1</t>
  </si>
  <si>
    <t>S12987.Y1.E1.L1</t>
  </si>
  <si>
    <t>I12987</t>
  </si>
  <si>
    <t>S12988.Y1.E1.L1</t>
  </si>
  <si>
    <t>I12988</t>
  </si>
  <si>
    <t>U2c1b</t>
  </si>
  <si>
    <t>S13220.Y1.E1.L1</t>
  </si>
  <si>
    <t>I13220</t>
  </si>
  <si>
    <t>S13221.Y1.E1.L1</t>
  </si>
  <si>
    <t>I13221</t>
  </si>
  <si>
    <t>S13222.Y1.E1.L1</t>
  </si>
  <si>
    <t>I13222</t>
  </si>
  <si>
    <t>S13223.Y1.E1.L1</t>
  </si>
  <si>
    <t>I13223</t>
  </si>
  <si>
    <t>S13224.Y1.E1.L1</t>
  </si>
  <si>
    <t>I13224</t>
  </si>
  <si>
    <t>S13226.Y1.E1.L1</t>
  </si>
  <si>
    <t>I13226</t>
  </si>
  <si>
    <t>S13227.Y1.E1.L1</t>
  </si>
  <si>
    <t>I13227</t>
  </si>
  <si>
    <t>S13228.Y1.E1.L1</t>
  </si>
  <si>
    <t>I13228</t>
  </si>
  <si>
    <t>S12985.Y1.E1.L1</t>
  </si>
  <si>
    <t>I12985</t>
  </si>
  <si>
    <t>S12983.Y1.E1.L1</t>
  </si>
  <si>
    <t>I12983</t>
  </si>
  <si>
    <t>S13219.Y1.E1.L1</t>
  </si>
  <si>
    <t>I13219</t>
  </si>
  <si>
    <t>S12450.Y1.E1.L1</t>
  </si>
  <si>
    <t>I12450</t>
  </si>
  <si>
    <t>S12451.Y1.E1.L1</t>
  </si>
  <si>
    <t>I12451</t>
  </si>
  <si>
    <t>S12452.Y1.E1.L1</t>
  </si>
  <si>
    <t>970-550 BCE</t>
  </si>
  <si>
    <t>S12449.Y1.E1.L1</t>
  </si>
  <si>
    <t>I12449</t>
  </si>
  <si>
    <t>U1a1c1d</t>
  </si>
  <si>
    <t>S12146.Y1.E1.L1</t>
  </si>
  <si>
    <t>I12146</t>
  </si>
  <si>
    <t>S11562.E1.L1</t>
  </si>
  <si>
    <t>I11562</t>
  </si>
  <si>
    <t>1-1000 CE</t>
  </si>
  <si>
    <t>S11565.E1.L1</t>
  </si>
  <si>
    <t>I11565</t>
  </si>
  <si>
    <t>J1b1</t>
  </si>
  <si>
    <t>S12968.Y1.E1.L1</t>
  </si>
  <si>
    <t>I12968</t>
  </si>
  <si>
    <t>S12444.Y1.E1.L1</t>
  </si>
  <si>
    <t>I12444</t>
  </si>
  <si>
    <t>S12445.Y1.E1.L1</t>
  </si>
  <si>
    <t>I12445</t>
  </si>
  <si>
    <t>S12446.Y1.E1.L1</t>
  </si>
  <si>
    <t>I12446</t>
  </si>
  <si>
    <t>U2b2</t>
  </si>
  <si>
    <t>S12447.Y1.E1.L1</t>
  </si>
  <si>
    <t>I12447</t>
  </si>
  <si>
    <t>S12448.Y1.E1.L1</t>
  </si>
  <si>
    <t>I12448</t>
  </si>
  <si>
    <t>U2a2</t>
  </si>
  <si>
    <t>S12453.Y1.E1.L1</t>
  </si>
  <si>
    <t>I12453</t>
  </si>
  <si>
    <t>S12454.Y1.E1.L1</t>
  </si>
  <si>
    <t>I12454</t>
  </si>
  <si>
    <t>S12460.Y1.E1.L1</t>
  </si>
  <si>
    <t>I12460</t>
  </si>
  <si>
    <t>S12461.Y1.E1.L1</t>
  </si>
  <si>
    <t>I12461</t>
  </si>
  <si>
    <t>M30d1</t>
  </si>
  <si>
    <t>S12462.Y1.E1.L1</t>
  </si>
  <si>
    <t>I12462</t>
  </si>
  <si>
    <t>S12463.Y1.E1.L1</t>
  </si>
  <si>
    <t>I12463</t>
  </si>
  <si>
    <t>N1a1b1</t>
  </si>
  <si>
    <t>S12464.Y1.E1.L1</t>
  </si>
  <si>
    <t>I12464</t>
  </si>
  <si>
    <t>S12465.Y1.E1.L1</t>
  </si>
  <si>
    <t>I12465</t>
  </si>
  <si>
    <t>S12466.Y1.E1.L1</t>
  </si>
  <si>
    <t>I12466</t>
  </si>
  <si>
    <t>S12470.Y1.E1.L1</t>
  </si>
  <si>
    <t>I12470</t>
  </si>
  <si>
    <t>M30c1</t>
  </si>
  <si>
    <t>S12471.Y1.E1.L1</t>
  </si>
  <si>
    <t>I12471</t>
  </si>
  <si>
    <t>HV17</t>
  </si>
  <si>
    <t>I2a2a1b1b1</t>
  </si>
  <si>
    <t>S12472.Y1.E1.L1</t>
  </si>
  <si>
    <t>I12139</t>
  </si>
  <si>
    <t>S12473.Y1.E1.L1</t>
  </si>
  <si>
    <t>I12473</t>
  </si>
  <si>
    <t>S12475.Y1.E1.L1</t>
  </si>
  <si>
    <t>I12475</t>
  </si>
  <si>
    <t>H3ac</t>
  </si>
  <si>
    <t>S12477.Y1.E1.L1</t>
  </si>
  <si>
    <t>I12477</t>
  </si>
  <si>
    <t>S12468.Y1.E1.L1</t>
  </si>
  <si>
    <t>I12149</t>
  </si>
  <si>
    <t>S12476.Y1.E1.L1</t>
  </si>
  <si>
    <t>I5399</t>
  </si>
  <si>
    <t>J1d3a</t>
  </si>
  <si>
    <t>S_Papuan-2.DG</t>
  </si>
  <si>
    <t>SkoglundNature2015</t>
  </si>
  <si>
    <t>HGDP00540</t>
  </si>
  <si>
    <t>Papuan.DG</t>
  </si>
  <si>
    <t>New Guinea, Iatmul and Kwoma societies of the Middle Sepik River region</t>
  </si>
  <si>
    <t>Papua New Guinea</t>
  </si>
  <si>
    <t>S</t>
  </si>
  <si>
    <t>S_Papuan-3.DG</t>
  </si>
  <si>
    <t>HGDP00541</t>
  </si>
  <si>
    <t>M1</t>
  </si>
  <si>
    <t>S_Papuan-4.DG</t>
  </si>
  <si>
    <t>HGDP00543</t>
  </si>
  <si>
    <t>S1d</t>
  </si>
  <si>
    <t>S_Papuan-5.DG</t>
  </si>
  <si>
    <t>HGDP00545</t>
  </si>
  <si>
    <t>C1b2a1d1</t>
  </si>
  <si>
    <t>S_Papuan-6.DG</t>
  </si>
  <si>
    <t>HGDP00547</t>
  </si>
  <si>
    <t>S_Papuan-7.DG</t>
  </si>
  <si>
    <t>HGDP00548</t>
  </si>
  <si>
    <t>S_Papuan-8.DG</t>
  </si>
  <si>
    <t>HGDP00549</t>
  </si>
  <si>
    <t>S_Papuan-1.DG</t>
  </si>
  <si>
    <t>HGDP00550</t>
  </si>
  <si>
    <t>S_Papuan-13.DG</t>
  </si>
  <si>
    <t>HGDP00552</t>
  </si>
  <si>
    <t>S_Papuan-10.DG</t>
  </si>
  <si>
    <t>HGDP00553</t>
  </si>
  <si>
    <t>M1a1</t>
  </si>
  <si>
    <t>S_Papuan-14.DG</t>
  </si>
  <si>
    <t>HGDP00554</t>
  </si>
  <si>
    <t>S_Papuan-11.DG</t>
  </si>
  <si>
    <t>HGDP00555</t>
  </si>
  <si>
    <t>K2b1</t>
  </si>
  <si>
    <t>S_Papuan-12.DG</t>
  </si>
  <si>
    <t>HGDP00556</t>
  </si>
  <si>
    <t>S_Papuan-9.DG</t>
  </si>
  <si>
    <t>S_Papuan-9</t>
  </si>
  <si>
    <t>B_Papuan-15.DG</t>
  </si>
  <si>
    <t>HGDP00546</t>
  </si>
  <si>
    <t>A_Papuan-16.DG</t>
  </si>
  <si>
    <t>A_Papuan-16</t>
  </si>
  <si>
    <t>I6674</t>
  </si>
  <si>
    <t>Parkhai_MBA</t>
  </si>
  <si>
    <t>Parkhai_Anau_EN</t>
  </si>
  <si>
    <t>S6674.E1.L1</t>
  </si>
  <si>
    <t>2338-2039 calBCE (3775±40 BP, PSUAMS-2951)</t>
  </si>
  <si>
    <t>I6669</t>
  </si>
  <si>
    <t>Parkhai_EN</t>
  </si>
  <si>
    <t>StPet25, site II, grave K-256, individual 1</t>
  </si>
  <si>
    <t>S6669.E1.L1</t>
  </si>
  <si>
    <t>3082-2909 calBCE (4365±25 BP, PSUAMS-2950)</t>
  </si>
  <si>
    <t>I4634</t>
  </si>
  <si>
    <t>S4634.E1.L1</t>
  </si>
  <si>
    <t>3264-2924 calBCE (4415±25 BP, PSUAMS-3757)</t>
  </si>
  <si>
    <t>I4259</t>
  </si>
  <si>
    <t>S4259.E1.L1</t>
  </si>
  <si>
    <t>3307-2928 calBCE (4425±20 BP, PSUAMS-2799)</t>
  </si>
  <si>
    <t>I6671</t>
  </si>
  <si>
    <t>Parkhai_EBA</t>
  </si>
  <si>
    <t>StPet27, site II, grave K-235, individual 13</t>
  </si>
  <si>
    <t>S6671.E1.L1</t>
  </si>
  <si>
    <t>3000-2200 BCE</t>
  </si>
  <si>
    <t>I4085</t>
  </si>
  <si>
    <t>Tepe_Anau_EN</t>
  </si>
  <si>
    <t>ANAU1</t>
  </si>
  <si>
    <t>S4085.E1.L1</t>
  </si>
  <si>
    <t>4000-3000 BCE</t>
  </si>
  <si>
    <t>Turkestan, Tepe Anau</t>
  </si>
  <si>
    <t>I4086</t>
  </si>
  <si>
    <t>ANAU2</t>
  </si>
  <si>
    <t>S4086.E1.L1</t>
  </si>
  <si>
    <t>U1a1d</t>
  </si>
  <si>
    <t>I4087</t>
  </si>
  <si>
    <t>ANAU3</t>
  </si>
  <si>
    <t>S4087.E1.L1</t>
  </si>
  <si>
    <t>PASS (Xcontam=0.012)</t>
  </si>
  <si>
    <t>I4635</t>
  </si>
  <si>
    <t>S4635.E1.L1</t>
  </si>
  <si>
    <t>I6670</t>
  </si>
  <si>
    <t>Parkhai_EBA_LowCov</t>
  </si>
  <si>
    <t>Parkhai_Anau_EN_LowCov</t>
  </si>
  <si>
    <t>S6670.E1.L1</t>
  </si>
  <si>
    <t>I6667</t>
  </si>
  <si>
    <t>Parkhai_LBA_o</t>
  </si>
  <si>
    <t>S6667.E1.L1</t>
  </si>
  <si>
    <t>1497-1413 calBCE (3170±20 BP, PSUAMS-2998)</t>
  </si>
  <si>
    <t>S_Pathan-1.DG</t>
  </si>
  <si>
    <t>HGDP00216</t>
  </si>
  <si>
    <t>Pathan.DG</t>
  </si>
  <si>
    <t>S_Pathan-2.DG</t>
  </si>
  <si>
    <t>HGDP00232</t>
  </si>
  <si>
    <t>HG02491.SG</t>
  </si>
  <si>
    <t>HG02491</t>
  </si>
  <si>
    <t>PJL.SG</t>
  </si>
  <si>
    <t>HG02600.SG</t>
  </si>
  <si>
    <t>HG02600</t>
  </si>
  <si>
    <t>HG02601.SG</t>
  </si>
  <si>
    <t>HG02601</t>
  </si>
  <si>
    <t>HG02687.SG</t>
  </si>
  <si>
    <t>HG02687</t>
  </si>
  <si>
    <t>HG02688.SG</t>
  </si>
  <si>
    <t>HG02688</t>
  </si>
  <si>
    <t>HG02724.SG</t>
  </si>
  <si>
    <t>HG02724</t>
  </si>
  <si>
    <t>HG02783.SG</t>
  </si>
  <si>
    <t>HG02783</t>
  </si>
  <si>
    <t>HG02790.SG</t>
  </si>
  <si>
    <t>HG02790</t>
  </si>
  <si>
    <t>HG01583.SG</t>
  </si>
  <si>
    <t>HG01583</t>
  </si>
  <si>
    <t>HG01586.SG</t>
  </si>
  <si>
    <t>HG01586</t>
  </si>
  <si>
    <t>HG01589.SG</t>
  </si>
  <si>
    <t>HG01589</t>
  </si>
  <si>
    <t>HG01593.SG</t>
  </si>
  <si>
    <t>HG01593</t>
  </si>
  <si>
    <t>HG02490.SG</t>
  </si>
  <si>
    <t>HG02490</t>
  </si>
  <si>
    <t>J2a1a</t>
  </si>
  <si>
    <t>HG02493.SG</t>
  </si>
  <si>
    <t>HG02493</t>
  </si>
  <si>
    <t>HG02494.SG</t>
  </si>
  <si>
    <t>HG02494</t>
  </si>
  <si>
    <t>HG02597.SG</t>
  </si>
  <si>
    <t>HG02597</t>
  </si>
  <si>
    <t>HG02603.SG</t>
  </si>
  <si>
    <t>HG02603</t>
  </si>
  <si>
    <t>HG02604.SG</t>
  </si>
  <si>
    <t>HG02604</t>
  </si>
  <si>
    <t>HG02648.SG</t>
  </si>
  <si>
    <t>HG02648</t>
  </si>
  <si>
    <t>HG02649.SG</t>
  </si>
  <si>
    <t>HG02649</t>
  </si>
  <si>
    <t>HG02651.SG</t>
  </si>
  <si>
    <t>HG02651</t>
  </si>
  <si>
    <t>J2a1c</t>
  </si>
  <si>
    <t>HG02652.SG</t>
  </si>
  <si>
    <t>HG02652</t>
  </si>
  <si>
    <t>HG02654.SG</t>
  </si>
  <si>
    <t>HG02654</t>
  </si>
  <si>
    <t>HG02655.SG</t>
  </si>
  <si>
    <t>HG02655</t>
  </si>
  <si>
    <t>HG02657.SG</t>
  </si>
  <si>
    <t>HG02657</t>
  </si>
  <si>
    <t>HG02658.SG</t>
  </si>
  <si>
    <t>HG02658</t>
  </si>
  <si>
    <t>HG02660.SG</t>
  </si>
  <si>
    <t>HG02660</t>
  </si>
  <si>
    <t>HG02661.SG</t>
  </si>
  <si>
    <t>HG02661</t>
  </si>
  <si>
    <t>HG02681.SG</t>
  </si>
  <si>
    <t>HG02681</t>
  </si>
  <si>
    <t>G2a2a1a2a1a</t>
  </si>
  <si>
    <t>HG02682.SG</t>
  </si>
  <si>
    <t>HG02682</t>
  </si>
  <si>
    <t>HG02684.SG</t>
  </si>
  <si>
    <t>HG02684</t>
  </si>
  <si>
    <t>H3b</t>
  </si>
  <si>
    <t>HG02685.SG</t>
  </si>
  <si>
    <t>HG02685</t>
  </si>
  <si>
    <t>HG02690.SG</t>
  </si>
  <si>
    <t>HG02690</t>
  </si>
  <si>
    <t>HG02691.SG</t>
  </si>
  <si>
    <t>HG02691</t>
  </si>
  <si>
    <t>HG02694.SG</t>
  </si>
  <si>
    <t>HG02694</t>
  </si>
  <si>
    <t>HG02696.SG</t>
  </si>
  <si>
    <t>HG02696</t>
  </si>
  <si>
    <t>HG02697.SG</t>
  </si>
  <si>
    <t>HG02697</t>
  </si>
  <si>
    <t>HG02699.SG</t>
  </si>
  <si>
    <t>HG02699</t>
  </si>
  <si>
    <t>HG02700.SG</t>
  </si>
  <si>
    <t>HG02700</t>
  </si>
  <si>
    <t>HG02725.SG</t>
  </si>
  <si>
    <t>HG02725</t>
  </si>
  <si>
    <t>HG02727.SG</t>
  </si>
  <si>
    <t>HG02727</t>
  </si>
  <si>
    <t>HG02728.SG</t>
  </si>
  <si>
    <t>HG02728</t>
  </si>
  <si>
    <t>HG02731.SG</t>
  </si>
  <si>
    <t>HG02731</t>
  </si>
  <si>
    <t>HG02733.SG</t>
  </si>
  <si>
    <t>HG02733</t>
  </si>
  <si>
    <t>HG02734.SG</t>
  </si>
  <si>
    <t>HG02734</t>
  </si>
  <si>
    <t>HG02736.SG</t>
  </si>
  <si>
    <t>HG02736</t>
  </si>
  <si>
    <t>HG02737.SG</t>
  </si>
  <si>
    <t>HG02737</t>
  </si>
  <si>
    <t>HG02774.SG</t>
  </si>
  <si>
    <t>HG02774</t>
  </si>
  <si>
    <t>HG02775.SG</t>
  </si>
  <si>
    <t>HG02775</t>
  </si>
  <si>
    <t>HG02778.SG</t>
  </si>
  <si>
    <t>HG02778</t>
  </si>
  <si>
    <t>HG02780.SG</t>
  </si>
  <si>
    <t>HG02780</t>
  </si>
  <si>
    <t>HG02784.SG</t>
  </si>
  <si>
    <t>HG02784</t>
  </si>
  <si>
    <t>HG02786.SG</t>
  </si>
  <si>
    <t>HG02786</t>
  </si>
  <si>
    <t>HG02787.SG</t>
  </si>
  <si>
    <t>HG02787</t>
  </si>
  <si>
    <t>HG02789.SG</t>
  </si>
  <si>
    <t>HG02789</t>
  </si>
  <si>
    <t>G2b1a</t>
  </si>
  <si>
    <t>HG02792.SG</t>
  </si>
  <si>
    <t>HG02792</t>
  </si>
  <si>
    <t>HG02793.SG</t>
  </si>
  <si>
    <t>HG02793</t>
  </si>
  <si>
    <t>HG03015.SG</t>
  </si>
  <si>
    <t>HG03015</t>
  </si>
  <si>
    <t>HG03016.SG</t>
  </si>
  <si>
    <t>HG03016</t>
  </si>
  <si>
    <t>HG03018.SG</t>
  </si>
  <si>
    <t>HG03018</t>
  </si>
  <si>
    <t>HG03019.SG</t>
  </si>
  <si>
    <t>HG03019</t>
  </si>
  <si>
    <t>HG03021.SG</t>
  </si>
  <si>
    <t>HG03021</t>
  </si>
  <si>
    <t>HG03022.SG</t>
  </si>
  <si>
    <t>HG03022</t>
  </si>
  <si>
    <t>HG03228.SG</t>
  </si>
  <si>
    <t>HG03228</t>
  </si>
  <si>
    <t>C1b1a1</t>
  </si>
  <si>
    <t>HG03229.SG</t>
  </si>
  <si>
    <t>HG03229</t>
  </si>
  <si>
    <t>HG03234.SG</t>
  </si>
  <si>
    <t>HG03234</t>
  </si>
  <si>
    <t>HG03235.SG</t>
  </si>
  <si>
    <t>HG03235</t>
  </si>
  <si>
    <t>HG03237.SG</t>
  </si>
  <si>
    <t>HG03237</t>
  </si>
  <si>
    <t>HG03238.SG</t>
  </si>
  <si>
    <t>HG03238</t>
  </si>
  <si>
    <t>HG03488.SG</t>
  </si>
  <si>
    <t>HG03488</t>
  </si>
  <si>
    <t>HG03490.SG</t>
  </si>
  <si>
    <t>HG03490</t>
  </si>
  <si>
    <t>HG03491.SG</t>
  </si>
  <si>
    <t>HG03491</t>
  </si>
  <si>
    <t>HG03619.SG</t>
  </si>
  <si>
    <t>HG03619</t>
  </si>
  <si>
    <t>HG03624.SG</t>
  </si>
  <si>
    <t>HG03624</t>
  </si>
  <si>
    <t>HG03625.SG</t>
  </si>
  <si>
    <t>HG03625</t>
  </si>
  <si>
    <t>HG03629.SG</t>
  </si>
  <si>
    <t>HG03629</t>
  </si>
  <si>
    <t>HG03631.SG</t>
  </si>
  <si>
    <t>HG03631</t>
  </si>
  <si>
    <t>HG03634.SG</t>
  </si>
  <si>
    <t>HG03634</t>
  </si>
  <si>
    <t>HG03636.SG</t>
  </si>
  <si>
    <t>HG03636</t>
  </si>
  <si>
    <t>HG03640.SG</t>
  </si>
  <si>
    <t>HG03640</t>
  </si>
  <si>
    <t>HG03649.SG</t>
  </si>
  <si>
    <t>HG03649</t>
  </si>
  <si>
    <t>HG03652.SG</t>
  </si>
  <si>
    <t>HG03652</t>
  </si>
  <si>
    <t>HG03653.SG</t>
  </si>
  <si>
    <t>HG03653</t>
  </si>
  <si>
    <t>HG03660.SG</t>
  </si>
  <si>
    <t>HG03660</t>
  </si>
  <si>
    <t>HG03663.SG</t>
  </si>
  <si>
    <t>HG03663</t>
  </si>
  <si>
    <t>HG03667.SG</t>
  </si>
  <si>
    <t>HG03667</t>
  </si>
  <si>
    <t>HG03668.SG</t>
  </si>
  <si>
    <t>HG03668</t>
  </si>
  <si>
    <t>HG03702.SG</t>
  </si>
  <si>
    <t>HG03702</t>
  </si>
  <si>
    <t>HG03703.SG</t>
  </si>
  <si>
    <t>HG03703</t>
  </si>
  <si>
    <t>HG03705.SG</t>
  </si>
  <si>
    <t>HG03705</t>
  </si>
  <si>
    <t>HG03706.SG</t>
  </si>
  <si>
    <t>HG03706</t>
  </si>
  <si>
    <t>HG03708.SG</t>
  </si>
  <si>
    <t>HG03708</t>
  </si>
  <si>
    <t>G2a1a</t>
  </si>
  <si>
    <t>HG03709.SG</t>
  </si>
  <si>
    <t>HG03709</t>
  </si>
  <si>
    <t>HG03762.SG</t>
  </si>
  <si>
    <t>HG03762</t>
  </si>
  <si>
    <t>HG03765.SG</t>
  </si>
  <si>
    <t>HG03765</t>
  </si>
  <si>
    <t>HG03767.SG</t>
  </si>
  <si>
    <t>HG03767</t>
  </si>
  <si>
    <t>I0432</t>
  </si>
  <si>
    <t>Poltavka_o</t>
  </si>
  <si>
    <t>SVP42</t>
  </si>
  <si>
    <t>S0432.E1.L1</t>
  </si>
  <si>
    <t>2925-2491 calBCE (4180±84 BP, AA-12569)</t>
  </si>
  <si>
    <t>Samara, Sok River, Sok I</t>
  </si>
  <si>
    <t>I1710</t>
  </si>
  <si>
    <t>PPNB</t>
  </si>
  <si>
    <t>PPN</t>
  </si>
  <si>
    <t>AG83_6</t>
  </si>
  <si>
    <t>S1710.E1.L1</t>
  </si>
  <si>
    <t>7733-7526 calBCE (8580±60 BP, Poz-81098)</t>
  </si>
  <si>
    <t>'Ain Ghazal</t>
  </si>
  <si>
    <t>Jordan</t>
  </si>
  <si>
    <t>T1a2</t>
  </si>
  <si>
    <t>I1707</t>
  </si>
  <si>
    <t>AG83_5</t>
  </si>
  <si>
    <t>S1707.E1.L1</t>
  </si>
  <si>
    <t>7722-7541 calBCE (8590±50 BP, Poz-81097)</t>
  </si>
  <si>
    <t>R0a</t>
  </si>
  <si>
    <t>I1701</t>
  </si>
  <si>
    <t>AG83_3</t>
  </si>
  <si>
    <t>S1701.E1.L1,S1701.E1.L3</t>
  </si>
  <si>
    <t>7750-7569 calBCE (8620±50 BP, Poz-81094)</t>
  </si>
  <si>
    <t>K1a18</t>
  </si>
  <si>
    <t>QUESTIONABLE (mtcontam=0.903-0.981)</t>
  </si>
  <si>
    <t>I1704</t>
  </si>
  <si>
    <t>AG89_1</t>
  </si>
  <si>
    <t>S1704.E1.L1</t>
  </si>
  <si>
    <t>7446-7058 calBCE (8190±60 BP, Poz-81095, date suspect because C:N ratio of 4.72)</t>
  </si>
  <si>
    <t>I1415_published</t>
  </si>
  <si>
    <t>I1415</t>
  </si>
  <si>
    <t>AG84/2</t>
  </si>
  <si>
    <t>S1415.E1.L1,S1415.E1.L2,S1415.E1.L3</t>
  </si>
  <si>
    <t>8197-7653 calBCE (8790±50 BP, Poz-81101, date suspect because C:N ratio of 4.15)</t>
  </si>
  <si>
    <t>QUESTIONABLE_CRITICAL (mtcontam=0.601-0.951)</t>
  </si>
  <si>
    <t>I1699</t>
  </si>
  <si>
    <t>PPNC</t>
  </si>
  <si>
    <t>AG84_5</t>
  </si>
  <si>
    <t>S1699.E1.L1</t>
  </si>
  <si>
    <t>6800-6700 BCE</t>
  </si>
  <si>
    <t>R0a2</t>
  </si>
  <si>
    <t>I1679</t>
  </si>
  <si>
    <t>AG037C</t>
  </si>
  <si>
    <t>S1679.E1.L1</t>
  </si>
  <si>
    <t>6900-6800 BCE</t>
  </si>
  <si>
    <t>QUESTIONABLE (mtcontam=0.844)</t>
  </si>
  <si>
    <t>I1414_published</t>
  </si>
  <si>
    <t>I1414</t>
  </si>
  <si>
    <t>AG84/1</t>
  </si>
  <si>
    <t>S1414.E1.L1,S1414.E1.L2,S1414.E1.L3</t>
  </si>
  <si>
    <t>8300-7900 BCE</t>
  </si>
  <si>
    <t>QUESTIONABLE_CRITICAL (mtcontam=0.607-0.973)</t>
  </si>
  <si>
    <t>I1700_published</t>
  </si>
  <si>
    <t>I1700</t>
  </si>
  <si>
    <t>AG88_1</t>
  </si>
  <si>
    <t>S1700.E1.L1,S1700.E1.L2,S1700.E1.L3</t>
  </si>
  <si>
    <t>I1727</t>
  </si>
  <si>
    <t>AG_83_3082</t>
  </si>
  <si>
    <t>S1727.E1.L1</t>
  </si>
  <si>
    <t>QUESTIONABLE (mtcontam=0.855)</t>
  </si>
  <si>
    <t>I1709</t>
  </si>
  <si>
    <t>PPNB_LowCov</t>
  </si>
  <si>
    <t>PPN_LowCov</t>
  </si>
  <si>
    <t>AG84_8</t>
  </si>
  <si>
    <t>S1709.E1.L1</t>
  </si>
  <si>
    <t>U8b1a</t>
  </si>
  <si>
    <t>mondal_PRBB-2.SG</t>
  </si>
  <si>
    <t>PRBB-2</t>
  </si>
  <si>
    <t>PUN.SG</t>
  </si>
  <si>
    <t>Punjabi</t>
  </si>
  <si>
    <t>S_Punjabi-1.DG</t>
  </si>
  <si>
    <t>Punjabi.DG</t>
  </si>
  <si>
    <t>Lahore</t>
  </si>
  <si>
    <t>S_Punjabi-2.DG</t>
  </si>
  <si>
    <t>S_Punjabi-3.DG</t>
  </si>
  <si>
    <t>S_Punjabi-4.DG</t>
  </si>
  <si>
    <t>S_Punjabi-4</t>
  </si>
  <si>
    <t>mondal_RAI-11.SG</t>
  </si>
  <si>
    <t>RAI-11</t>
  </si>
  <si>
    <t>RAJ.SG</t>
  </si>
  <si>
    <t>Rajput</t>
  </si>
  <si>
    <t>mondal_RAI-12.SG</t>
  </si>
  <si>
    <t>RAI-12</t>
  </si>
  <si>
    <t>mondal_RAI-13.SG</t>
  </si>
  <si>
    <t>RAI-13</t>
  </si>
  <si>
    <t>H3a2</t>
  </si>
  <si>
    <t>mondal_RAI-15.SG</t>
  </si>
  <si>
    <t>RAI-15</t>
  </si>
  <si>
    <t>mondal_RAI-2.SG</t>
  </si>
  <si>
    <t>RAI-2</t>
  </si>
  <si>
    <t>mondal_RAI-3.SG</t>
  </si>
  <si>
    <t>RAI-3</t>
  </si>
  <si>
    <t>mondal_RAI-4.SG</t>
  </si>
  <si>
    <t>RAI-4</t>
  </si>
  <si>
    <t>C1b1a1a1</t>
  </si>
  <si>
    <t>mondal_RAI-5.SG</t>
  </si>
  <si>
    <t>RAI-5</t>
  </si>
  <si>
    <t>mondal_RAI-8.SG</t>
  </si>
  <si>
    <t>RAI-8</t>
  </si>
  <si>
    <t>E</t>
  </si>
  <si>
    <t>mondal_RAI-9.SG</t>
  </si>
  <si>
    <t>RAI-9</t>
  </si>
  <si>
    <t>I1687_published</t>
  </si>
  <si>
    <t>I1687</t>
  </si>
  <si>
    <t>NAT13</t>
  </si>
  <si>
    <t>S1687.E1.L1,S1687.E1.L2,S1687.E1.L3</t>
  </si>
  <si>
    <t>11520-11110 calBCE (11405±120 BP, RTK-6607)</t>
  </si>
  <si>
    <t>Raqefet Cave</t>
  </si>
  <si>
    <t>Israel</t>
  </si>
  <si>
    <t>I0861</t>
  </si>
  <si>
    <t>Nat10</t>
  </si>
  <si>
    <t>S0861.E1.L3,S0861.E1.L2,S0861.E1.L1,S0861.E2.L1,S0861.E2.L2,S0861.E4.L2,S0861.E4.L1</t>
  </si>
  <si>
    <t>11840-9760 BCE</t>
  </si>
  <si>
    <t>J2a2</t>
  </si>
  <si>
    <t>half,half,half,half,half,half,half</t>
  </si>
  <si>
    <t>I1069</t>
  </si>
  <si>
    <t>Nat5</t>
  </si>
  <si>
    <t>S1069.E1.L1,S1069.E1.L2,S1069.E1.L3</t>
  </si>
  <si>
    <t>H5b1</t>
  </si>
  <si>
    <t>I1072</t>
  </si>
  <si>
    <t>NAT9</t>
  </si>
  <si>
    <t>S1072.E3.L1,S1072.E3.L2,S1072.E2.L2,S1072.E2.L1,S1072.E1.L2,S1072.E1.L3,S1072.E1.L1,S1692.E1.L1</t>
  </si>
  <si>
    <t>N1b</t>
  </si>
  <si>
    <t>half,half,half,half,half,half,half,half</t>
  </si>
  <si>
    <t>QUESTIONABLE_CRITICAL (mtcontam=0.489-0.973)</t>
  </si>
  <si>
    <t>I1685_published</t>
  </si>
  <si>
    <t>I1685</t>
  </si>
  <si>
    <t>NAT4</t>
  </si>
  <si>
    <t>S1685.E1.L1,S1685.E1.L2,S1685.E1.L3</t>
  </si>
  <si>
    <t>QUESTIONABLE_CRITICAL (mtcontam=0.653-0.886)</t>
  </si>
  <si>
    <t>I1690_published</t>
  </si>
  <si>
    <t>I1690</t>
  </si>
  <si>
    <t>NAT6</t>
  </si>
  <si>
    <t>S1690.E1.L1,S1690.E1.L2,S1690.E1.L3</t>
  </si>
  <si>
    <t>E1b1b</t>
  </si>
  <si>
    <t>S_Relli-1.DG</t>
  </si>
  <si>
    <t>S_Relli-1</t>
  </si>
  <si>
    <t>Relli.DG</t>
  </si>
  <si>
    <t>S_Relli-2.DG</t>
  </si>
  <si>
    <t>S_Relli-2</t>
  </si>
  <si>
    <t>mondal_RIA-12.SG</t>
  </si>
  <si>
    <t>RIA-12</t>
  </si>
  <si>
    <t>RIA.SG</t>
  </si>
  <si>
    <t>Riang</t>
  </si>
  <si>
    <t>mondal_RIA-14.SG</t>
  </si>
  <si>
    <t>RIA-14</t>
  </si>
  <si>
    <t>mondal_RIA-19.SG</t>
  </si>
  <si>
    <t>RIA-19</t>
  </si>
  <si>
    <t>mondal_RIA-20.SG</t>
  </si>
  <si>
    <t>RIA-20</t>
  </si>
  <si>
    <t>mondal_RIA-23.SG</t>
  </si>
  <si>
    <t>RIA-23</t>
  </si>
  <si>
    <t>mondal_RIA-24.SG</t>
  </si>
  <si>
    <t>RIA-24</t>
  </si>
  <si>
    <t>mondal_RIA-41.SG</t>
  </si>
  <si>
    <t>RIA-41</t>
  </si>
  <si>
    <t>mondal_RIA-42.SG</t>
  </si>
  <si>
    <t>RIA-42</t>
  </si>
  <si>
    <t>O2a2b1a1a6b3</t>
  </si>
  <si>
    <t>mondal_RIA-45.SG</t>
  </si>
  <si>
    <t>RIA-45</t>
  </si>
  <si>
    <t>mondal_RIA-63.SG</t>
  </si>
  <si>
    <t>RIA-63</t>
  </si>
  <si>
    <t>O2a2b1a1a6a</t>
  </si>
  <si>
    <t>I4089</t>
  </si>
  <si>
    <t>Romania_C</t>
  </si>
  <si>
    <t>URZI48</t>
  </si>
  <si>
    <t>S4089.E1.L1</t>
  </si>
  <si>
    <t>3761-3645 calBCE (4915±25 BP, PSUAMS-1746)</t>
  </si>
  <si>
    <t>Urziceni</t>
  </si>
  <si>
    <t>Romania</t>
  </si>
  <si>
    <t>C1a2a</t>
  </si>
  <si>
    <t>I4088</t>
  </si>
  <si>
    <t>URZI16</t>
  </si>
  <si>
    <t>S4088.E1.L1</t>
  </si>
  <si>
    <t>4331-4076 calBCE (5380±25 BP, PSUAMS-1832)</t>
  </si>
  <si>
    <t>RISE512.SG</t>
  </si>
  <si>
    <t>RISE512</t>
  </si>
  <si>
    <t>Russia_Andronovo.SG</t>
  </si>
  <si>
    <t>6652-39</t>
  </si>
  <si>
    <t>1446-1298 calBCE (3119±27 BP, OxA-31217)</t>
  </si>
  <si>
    <t>Kytmanovo</t>
  </si>
  <si>
    <t>RISE503.SG</t>
  </si>
  <si>
    <t>RISE503</t>
  </si>
  <si>
    <t>6652-41</t>
  </si>
  <si>
    <t>1727-1511 calBCE (3328±38 BP, OxA-31445)</t>
  </si>
  <si>
    <t>U2e2</t>
  </si>
  <si>
    <t>RISE505.SG</t>
  </si>
  <si>
    <t>RISE505</t>
  </si>
  <si>
    <t>6652-42</t>
  </si>
  <si>
    <t>1746-1626 calBCE (3391±27 BP, OxA-31216)</t>
  </si>
  <si>
    <t>U4a1b</t>
  </si>
  <si>
    <t>RISE500.SG</t>
  </si>
  <si>
    <t>RISE500</t>
  </si>
  <si>
    <t>6652-38</t>
  </si>
  <si>
    <t>1700-1500 BCE</t>
  </si>
  <si>
    <t>RISE394.SG</t>
  </si>
  <si>
    <t>RISE394</t>
  </si>
  <si>
    <t>Russia_Sintashta_MLBA.SG</t>
  </si>
  <si>
    <t>burial 6 skeleton 1</t>
  </si>
  <si>
    <t>1949-1754 calBCE (3532±34 BP, OxA-30993)</t>
  </si>
  <si>
    <t>Bulanovo</t>
  </si>
  <si>
    <t>U2e1e</t>
  </si>
  <si>
    <t>RISE395.SG</t>
  </si>
  <si>
    <t>RISE395</t>
  </si>
  <si>
    <t>kurgan 25 burial 12</t>
  </si>
  <si>
    <t>1960-1756 calBCE (3540±33 BP, OxA-30996)</t>
  </si>
  <si>
    <t>Bol'shekaraganskii</t>
  </si>
  <si>
    <t>RISE392.SG</t>
  </si>
  <si>
    <t>RISE392</t>
  </si>
  <si>
    <t>kurgan 4 burial B</t>
  </si>
  <si>
    <t>2126-1896 calBCE (3626±33 BP, OxA-30999)</t>
  </si>
  <si>
    <t>Stepnoe VII Cemetery</t>
  </si>
  <si>
    <t>J2b1a2a</t>
  </si>
  <si>
    <t>RISE386.SG</t>
  </si>
  <si>
    <t>RISE386</t>
  </si>
  <si>
    <t>burial 4</t>
  </si>
  <si>
    <t>2298-2045 calBCE (3775±34 BP, OxA-30991)</t>
  </si>
  <si>
    <t>J1c1b1a</t>
  </si>
  <si>
    <t>I7722</t>
  </si>
  <si>
    <t>Saidu_Sharif_H_o</t>
  </si>
  <si>
    <t>S7722.E1.L1</t>
  </si>
  <si>
    <t>I4910</t>
  </si>
  <si>
    <t>Sarazm_EN</t>
  </si>
  <si>
    <t>S4910.E1.L1</t>
  </si>
  <si>
    <t>3636-3521 calBCE (4765±20 BP, PSUAMS-2624)</t>
  </si>
  <si>
    <t>Sarazm</t>
  </si>
  <si>
    <t>Tajikistan</t>
  </si>
  <si>
    <t>J1d</t>
  </si>
  <si>
    <t>I4290</t>
  </si>
  <si>
    <t>S4290.E1.L1,S4290.E1.L2,S4290.E1.L3,S4290.E1.L4,S4290.E1.L5</t>
  </si>
  <si>
    <t>half,half,half,half,half</t>
  </si>
  <si>
    <t>QUESTIONABLE (mtcontam=0.898-0.997)</t>
  </si>
  <si>
    <t>I6799</t>
  </si>
  <si>
    <t>Satan_MLBA_Alakul</t>
  </si>
  <si>
    <t>S6799.E1.L1</t>
  </si>
  <si>
    <t>1876-1688 calBCE (3445±20 BP, PSUAMS-2981)</t>
  </si>
  <si>
    <t>Satan</t>
  </si>
  <si>
    <t>I1665</t>
  </si>
  <si>
    <t>Seh_Gabi_C</t>
  </si>
  <si>
    <t>SG19</t>
  </si>
  <si>
    <t>S1665.E1.L1</t>
  </si>
  <si>
    <t>3956-3796 calBCE (5070±30 BP, Poz-81106)</t>
  </si>
  <si>
    <t>Seh Gabi</t>
  </si>
  <si>
    <t>I1674</t>
  </si>
  <si>
    <t>SG21</t>
  </si>
  <si>
    <t>S1674.E1.L1</t>
  </si>
  <si>
    <t>3972-3800 calBCE (5105±35 BP, Poz-81108)</t>
  </si>
  <si>
    <t>I1661</t>
  </si>
  <si>
    <t>SG16</t>
  </si>
  <si>
    <t>S1661.E1.L1,S1661.E4.L1,S1661.E5.L1</t>
  </si>
  <si>
    <t>4696-4491 calBCE (5740±40 BP, Poz-81104)</t>
  </si>
  <si>
    <t>H29</t>
  </si>
  <si>
    <t>I1662</t>
  </si>
  <si>
    <t>SG7</t>
  </si>
  <si>
    <t>S1662.E1.L1</t>
  </si>
  <si>
    <t>4831-4612 calBCE (5860±40 BP, Poz-81105)</t>
  </si>
  <si>
    <t>K1a12a</t>
  </si>
  <si>
    <t>I1670</t>
  </si>
  <si>
    <t>SG11</t>
  </si>
  <si>
    <t>S1670.E1.L2,S1670.E1.L3,S1670.E1.L1</t>
  </si>
  <si>
    <t>4839-4617 calBCE (5870±40 BP, Poz-81107)</t>
  </si>
  <si>
    <t>QUESTIONABLE (mtcontam=0.913-0.962)</t>
  </si>
  <si>
    <t>I1671</t>
  </si>
  <si>
    <t>Seh_Gabi_LN</t>
  </si>
  <si>
    <t>SG2</t>
  </si>
  <si>
    <t>S1671.E1.L2,S1671.E1.L1</t>
  </si>
  <si>
    <t>5837-5659 calBCE (6850±50 BP, OxA-33168)</t>
  </si>
  <si>
    <t>QUESTIONABLE (mtcontam=0.922-0.963)</t>
  </si>
  <si>
    <t>I11462</t>
  </si>
  <si>
    <t>Shahr_I_Sokhta_BA1</t>
  </si>
  <si>
    <t>S11462.Y1.E1.L1</t>
  </si>
  <si>
    <t>2911-2880 calBCE (4270±20 BP, PSUAMS-4778)</t>
  </si>
  <si>
    <t>M33a2a</t>
  </si>
  <si>
    <t>I11479</t>
  </si>
  <si>
    <t>S11479.Y1.E1.L1</t>
  </si>
  <si>
    <t>R30b</t>
  </si>
  <si>
    <t>I8725</t>
  </si>
  <si>
    <t>S8725.E1.L1</t>
  </si>
  <si>
    <t>3010-2881 calBCE (4300±25 BP, PSUAMS-3989)</t>
  </si>
  <si>
    <t>I8724</t>
  </si>
  <si>
    <t>S8724.E1.L1</t>
  </si>
  <si>
    <t>I11474</t>
  </si>
  <si>
    <t>S11474.Y1.E1.L1</t>
  </si>
  <si>
    <t>I11476</t>
  </si>
  <si>
    <t>S11476.Y1.E1.L1</t>
  </si>
  <si>
    <t>T1a3</t>
  </si>
  <si>
    <t>I11478</t>
  </si>
  <si>
    <t>S11478.Y1.E1.L1</t>
  </si>
  <si>
    <t>I11483</t>
  </si>
  <si>
    <t>S11483.Y1.E1.L1</t>
  </si>
  <si>
    <t>U1a1a</t>
  </si>
  <si>
    <t>I11461</t>
  </si>
  <si>
    <t>Shahr_I_Sokhta_BA1_LowCov</t>
  </si>
  <si>
    <t>S11461.Y1.E1.L1</t>
  </si>
  <si>
    <t>L3f2b</t>
  </si>
  <si>
    <t>QUESTIONABLE (2500.to.5000.SNPS)</t>
  </si>
  <si>
    <t>I11469</t>
  </si>
  <si>
    <t>S11469.Y1.E1.L1</t>
  </si>
  <si>
    <t>H40a</t>
  </si>
  <si>
    <t>I11468</t>
  </si>
  <si>
    <t>Shahr_I_Sokhta_BA1.1d.rel.I11483</t>
  </si>
  <si>
    <t>S11468.Y1.E1.L1</t>
  </si>
  <si>
    <t>I11472</t>
  </si>
  <si>
    <t>Shahr_I_Sokhta_BA3</t>
  </si>
  <si>
    <t>S11472.Y1.E1.L1</t>
  </si>
  <si>
    <t>2900-2700 BCE</t>
  </si>
  <si>
    <t>DA339.SG</t>
  </si>
  <si>
    <t>DA339</t>
  </si>
  <si>
    <t>Shamanka_EBA.SG</t>
  </si>
  <si>
    <t>Grave 111</t>
  </si>
  <si>
    <t>2199-1980 calBCE (3700±33 BP)</t>
  </si>
  <si>
    <t>DA334.SG</t>
  </si>
  <si>
    <t>DA334</t>
  </si>
  <si>
    <t>Grave 107</t>
  </si>
  <si>
    <t>2281-2061 calBCE (3764±20 BP)</t>
  </si>
  <si>
    <t>C4a2a1</t>
  </si>
  <si>
    <t>DA337.SG</t>
  </si>
  <si>
    <t>DA337</t>
  </si>
  <si>
    <t>Grave 9</t>
  </si>
  <si>
    <t>2462-2299 calBCE (3886±21 BP)</t>
  </si>
  <si>
    <t>C4a1a3</t>
  </si>
  <si>
    <t>DA335.SG</t>
  </si>
  <si>
    <t>DA335</t>
  </si>
  <si>
    <t>Grave 5</t>
  </si>
  <si>
    <t>DA336.SG</t>
  </si>
  <si>
    <t>DA336</t>
  </si>
  <si>
    <t>Grave 3</t>
  </si>
  <si>
    <t>DA338.SG</t>
  </si>
  <si>
    <t>DA338</t>
  </si>
  <si>
    <t>Grave 2</t>
  </si>
  <si>
    <t>T_Sherpa-1.DG</t>
  </si>
  <si>
    <t>T_Sherpa-1</t>
  </si>
  <si>
    <t>Sherpa.DG</t>
  </si>
  <si>
    <t>Khumbu</t>
  </si>
  <si>
    <t>T_Sherpa-2.DG</t>
  </si>
  <si>
    <t>T_Sherpa-2</t>
  </si>
  <si>
    <t>Sidelkino.SG</t>
  </si>
  <si>
    <t>Sidelkino</t>
  </si>
  <si>
    <t>Sidelkino_HG.SG</t>
  </si>
  <si>
    <t>Sidelkino441</t>
  </si>
  <si>
    <t>9386-9231 calBCE (9836±48 BP, UBA-31465)</t>
  </si>
  <si>
    <t>U5a2</t>
  </si>
  <si>
    <t>S_Sindhi-2.DG</t>
  </si>
  <si>
    <t>HGDP00195</t>
  </si>
  <si>
    <t>Sindhi.DG</t>
  </si>
  <si>
    <t>S_Sindhi-1.DG</t>
  </si>
  <si>
    <t>HGDP00208</t>
  </si>
  <si>
    <t>I1015</t>
  </si>
  <si>
    <t>Sintashta_MLBA_o3</t>
  </si>
  <si>
    <t>S1015.E2.L1</t>
  </si>
  <si>
    <t>Kamennyi Ambar 5 Cemetery</t>
  </si>
  <si>
    <t>I1028</t>
  </si>
  <si>
    <t>S1081.E1.L1,S1028.E1.L1</t>
  </si>
  <si>
    <t>1878-1664 calBCE (3440±30 BP, Beta-436293)</t>
  </si>
  <si>
    <t>U2e1'2</t>
  </si>
  <si>
    <t>I0941</t>
  </si>
  <si>
    <t>I10974</t>
  </si>
  <si>
    <t>Loebanr_IA</t>
  </si>
  <si>
    <t>SPGT</t>
  </si>
  <si>
    <t>S10974.Y1.E1.L1</t>
  </si>
  <si>
    <t>1006-904 calBCE (2800±20 BP, PSUAMS-4867)</t>
  </si>
  <si>
    <t>I8999</t>
  </si>
  <si>
    <t>S8999.E1.L1</t>
  </si>
  <si>
    <t>911-822 calBCE (2725±20 BP, PSUAMS-4851)</t>
  </si>
  <si>
    <t>U3b1a1</t>
  </si>
  <si>
    <t>I6545</t>
  </si>
  <si>
    <t>Barikot_IA</t>
  </si>
  <si>
    <t>S6545.E1.L1</t>
  </si>
  <si>
    <t>921-831 calBCE (2740±20 BP, PSUAMS-2786)</t>
  </si>
  <si>
    <t>J1b1b3</t>
  </si>
  <si>
    <t>I6546</t>
  </si>
  <si>
    <t>S6546.E1.L1</t>
  </si>
  <si>
    <t>974-836 calBCE (2760±20 BP, PSUAMS-2787)</t>
  </si>
  <si>
    <t>I6547</t>
  </si>
  <si>
    <t>S6547.E1.L1</t>
  </si>
  <si>
    <t>I6548</t>
  </si>
  <si>
    <t>S6548.E1.L1</t>
  </si>
  <si>
    <t>H1a1</t>
  </si>
  <si>
    <t>I8190</t>
  </si>
  <si>
    <t>Udegram_IA</t>
  </si>
  <si>
    <t>S8190.E1.L1</t>
  </si>
  <si>
    <t>992-830 calBCE (2760±30 BP, Beta-428664, based on 14C date on I1796, UDG31, Grave 28, Individual 1, which is genetically a duplicate and dropped due to lower quality)</t>
  </si>
  <si>
    <t>I1994</t>
  </si>
  <si>
    <t>S1994.E1.L1,S1994.E1.L2,S1994.E1.L3</t>
  </si>
  <si>
    <t>1027-848 calBCE (2800±30 BP, Beta-428666)</t>
  </si>
  <si>
    <t>I1985</t>
  </si>
  <si>
    <t>1192-939 calBCE (2880±30 BP, Beta-428667)</t>
  </si>
  <si>
    <t>E1b1b1b2a</t>
  </si>
  <si>
    <t>I6556</t>
  </si>
  <si>
    <t>S6556.E1.L1</t>
  </si>
  <si>
    <t>894-798 calBCE (2670±20 BP, PSUAMS-2792)</t>
  </si>
  <si>
    <t>I6292</t>
  </si>
  <si>
    <t>S6292.E1.L1</t>
  </si>
  <si>
    <t>895-801 calBCE (2675±20 BP, PSUAMS-2794)</t>
  </si>
  <si>
    <t>T2g1a</t>
  </si>
  <si>
    <t>I5396</t>
  </si>
  <si>
    <t>Katelai_IA</t>
  </si>
  <si>
    <t>S5396.E1.L1</t>
  </si>
  <si>
    <t>904-817 calBCE (2715±20 BP, PSUAMS-2790)</t>
  </si>
  <si>
    <t>I6555</t>
  </si>
  <si>
    <t>S6555.E1.L1</t>
  </si>
  <si>
    <t>906-820 calBCE (2720±20 BP, PSUAMS-2797)</t>
  </si>
  <si>
    <t>M4a</t>
  </si>
  <si>
    <t>I5400</t>
  </si>
  <si>
    <t>S5400.E1.L1</t>
  </si>
  <si>
    <t>927-831 calBCE (2745±20 BP, PSUAMS-2793)</t>
  </si>
  <si>
    <t>I5397</t>
  </si>
  <si>
    <t>S5397.E1.L1</t>
  </si>
  <si>
    <t>968-833 calBCE (2750±20 BP, PSUAMS-2791)</t>
  </si>
  <si>
    <t>M35b+16304</t>
  </si>
  <si>
    <t>I6553</t>
  </si>
  <si>
    <t>S6553.E1.L1</t>
  </si>
  <si>
    <t>971-834 calBCE (2755±20 BP, PSUAMS-2795)</t>
  </si>
  <si>
    <t>I6195</t>
  </si>
  <si>
    <t>S6195.E1.L1</t>
  </si>
  <si>
    <t>1011-909 calBCE (2810±20 BP, PSUAMS-2841)</t>
  </si>
  <si>
    <t>U4c1</t>
  </si>
  <si>
    <t>I6557</t>
  </si>
  <si>
    <t>Arkotkila_IA</t>
  </si>
  <si>
    <t>S6557.E1.L1</t>
  </si>
  <si>
    <t>I5398</t>
  </si>
  <si>
    <t>S5398.E1.L1</t>
  </si>
  <si>
    <t>Z3a1a</t>
  </si>
  <si>
    <t>S5399.E1.L1</t>
  </si>
  <si>
    <t>I6194</t>
  </si>
  <si>
    <t>S8195.E1.L1,S6194.E1.L1</t>
  </si>
  <si>
    <t>1200-800 BCE</t>
  </si>
  <si>
    <t>I6197</t>
  </si>
  <si>
    <t>S7725.E1.L1,S6197.E1.L1</t>
  </si>
  <si>
    <t>M65a</t>
  </si>
  <si>
    <t>I6198</t>
  </si>
  <si>
    <t>S6902.E1.L1</t>
  </si>
  <si>
    <t>I6897</t>
  </si>
  <si>
    <t>S6897.E1.L1</t>
  </si>
  <si>
    <t>I6899</t>
  </si>
  <si>
    <t>S6899.E1.L1</t>
  </si>
  <si>
    <t>I6900</t>
  </si>
  <si>
    <t>S6900.E1.L1</t>
  </si>
  <si>
    <t>I6901</t>
  </si>
  <si>
    <t>S6901.E1.L1</t>
  </si>
  <si>
    <t>I8193</t>
  </si>
  <si>
    <t>S8193.E1.L1</t>
  </si>
  <si>
    <t>M30+16234</t>
  </si>
  <si>
    <t>I8194</t>
  </si>
  <si>
    <t>S8194.E1.L1</t>
  </si>
  <si>
    <t>R30a1b</t>
  </si>
  <si>
    <t>I10000</t>
  </si>
  <si>
    <t>S10000.E1.L1</t>
  </si>
  <si>
    <t>I10001</t>
  </si>
  <si>
    <t>S10001.E1.L1</t>
  </si>
  <si>
    <t>S10523.E1.L1</t>
  </si>
  <si>
    <t>I10523</t>
  </si>
  <si>
    <t>I8998</t>
  </si>
  <si>
    <t>S8998.E1.L1</t>
  </si>
  <si>
    <t>S12134.Y1.E1.L1</t>
  </si>
  <si>
    <t>I12134</t>
  </si>
  <si>
    <t>M30g</t>
  </si>
  <si>
    <t>S12136.Y1.E1.L1</t>
  </si>
  <si>
    <t>I12136</t>
  </si>
  <si>
    <t>S12137.Y1.E1.L1</t>
  </si>
  <si>
    <t>I12137</t>
  </si>
  <si>
    <t>S12141.Y1.E1.L1</t>
  </si>
  <si>
    <t>I12141</t>
  </si>
  <si>
    <t>HV14a</t>
  </si>
  <si>
    <t>S12142.Y1.E1.L1</t>
  </si>
  <si>
    <t>I12142</t>
  </si>
  <si>
    <t>S12143.Y1.E1.L1</t>
  </si>
  <si>
    <t>I12143</t>
  </si>
  <si>
    <t>S12144.Y1.E1.L1</t>
  </si>
  <si>
    <t>I12144</t>
  </si>
  <si>
    <t>U2</t>
  </si>
  <si>
    <t>S12147.Y1.E1.L1</t>
  </si>
  <si>
    <t>I12147</t>
  </si>
  <si>
    <t>U7b</t>
  </si>
  <si>
    <t>S12149.Y1.E1.L1</t>
  </si>
  <si>
    <t>S12140.Y1.E1.L1</t>
  </si>
  <si>
    <t>I12140</t>
  </si>
  <si>
    <t>Katelai_IA_1d.rel.I10523_LowCov</t>
  </si>
  <si>
    <t>SPGT_1d.rel.I10523_LowCov</t>
  </si>
  <si>
    <t>I3260</t>
  </si>
  <si>
    <t>Udegram_IA_1d.rel.I6900</t>
  </si>
  <si>
    <t>SPGT_1d.rel.I6900</t>
  </si>
  <si>
    <t>S8192.E1.L1,S3260.E1.L2</t>
  </si>
  <si>
    <t>921-831 calBCE (2740±20 BP, PSUAMS-2798)</t>
  </si>
  <si>
    <t>I3261</t>
  </si>
  <si>
    <t>Udegram_IA_1d.rel.of.I1985</t>
  </si>
  <si>
    <t>SPGT_1d.rel.of.I1985</t>
  </si>
  <si>
    <t>S3261.E1.L1,S6898.E1.L1</t>
  </si>
  <si>
    <t>I3262</t>
  </si>
  <si>
    <t>Udegram_IA_father.or.son.I1799</t>
  </si>
  <si>
    <t>tooth + petrous</t>
  </si>
  <si>
    <t>S3262.E1.L1,S3262.E1.L2,S7566.E1.L1</t>
  </si>
  <si>
    <t>976-832 calBCE (2760±25 BP, PSUAMS-2157)</t>
  </si>
  <si>
    <t>I1992</t>
  </si>
  <si>
    <t>Udegram_IA_o</t>
  </si>
  <si>
    <t>SPGT_o</t>
  </si>
  <si>
    <t>S1992.E1.L1,S1992.E1.L2,S1992.E1.L3</t>
  </si>
  <si>
    <t>1195-978 calBCE (2890±30 BP, Beta-428665)</t>
  </si>
  <si>
    <t>H2a2</t>
  </si>
  <si>
    <t>E1a</t>
  </si>
  <si>
    <t>QUESTIONABLE (mtcontam=0.913-0.969)</t>
  </si>
  <si>
    <t>S12138.Y1.E1.L1</t>
  </si>
  <si>
    <t>I12138</t>
  </si>
  <si>
    <t>Loebanr_IA_o</t>
  </si>
  <si>
    <t>I1799</t>
  </si>
  <si>
    <t>S8191.E1.L1,S1799.E1.L2</t>
  </si>
  <si>
    <t>1044-922 calBCE (2830±20 BP, PSUAMS-2632)</t>
  </si>
  <si>
    <t>T2a1b</t>
  </si>
  <si>
    <t>I6554</t>
  </si>
  <si>
    <t>Loebanr_IA_son.I6292.son.I10000</t>
  </si>
  <si>
    <t>SPGT_son.I6292.son.I10000</t>
  </si>
  <si>
    <t>S6554.E1.L1</t>
  </si>
  <si>
    <t>831-796 calBCE (2645±20 BP, PSUAMS-2796)</t>
  </si>
  <si>
    <t>I8997</t>
  </si>
  <si>
    <t>S8997.E1.L1</t>
  </si>
  <si>
    <t>S12139.Y1.E1.L1</t>
  </si>
  <si>
    <t>I3451</t>
  </si>
  <si>
    <t>Tasbas_IA</t>
  </si>
  <si>
    <t>Steppe_LBA</t>
  </si>
  <si>
    <t>TB-13/14E22 (below/in)-SF</t>
  </si>
  <si>
    <t>S3451.E1.L1</t>
  </si>
  <si>
    <t>929-807 calBCE (2720±35 BP, OS-97172)</t>
  </si>
  <si>
    <t>Tasbas, Byan Zherek</t>
  </si>
  <si>
    <t>I3772</t>
  </si>
  <si>
    <t>Zevakinskiy_LBA</t>
  </si>
  <si>
    <t>S3772.E1.L1</t>
  </si>
  <si>
    <t>1025-901 calBCE (2810±25 BP, PSUAMS-2080)</t>
  </si>
  <si>
    <t>I3753</t>
  </si>
  <si>
    <t>S3753.E1.L1</t>
  </si>
  <si>
    <t>1111-941 calBCE (2860±20 BP, PSUAMS-2540)</t>
  </si>
  <si>
    <t>I3977</t>
  </si>
  <si>
    <t>S3977.E1.L1</t>
  </si>
  <si>
    <t>1126-1000 calBCE (2885±20 BP, PSUAMS-2507)</t>
  </si>
  <si>
    <t>I3976</t>
  </si>
  <si>
    <t>S3976.E1.L1</t>
  </si>
  <si>
    <t>1191-1010 calBCE (2900±20 BP, PSUAMS-2506)</t>
  </si>
  <si>
    <t>I4267</t>
  </si>
  <si>
    <t>S4267.E1.L1</t>
  </si>
  <si>
    <t>1193-1013 calBCE (2905±20 BP, PSUAMS-2512)</t>
  </si>
  <si>
    <t>I4295</t>
  </si>
  <si>
    <t>S4295.E1.L1</t>
  </si>
  <si>
    <t>1211-1056 calBCE (2935±20 BP, PSUAMS-2515)</t>
  </si>
  <si>
    <t>I6709</t>
  </si>
  <si>
    <t>S6709.E1.L1</t>
  </si>
  <si>
    <t>1391-1196 calBCE (3025±25 BP, PSUAMS-2940)</t>
  </si>
  <si>
    <t>I6047</t>
  </si>
  <si>
    <t>Priobrazhenka_LBA</t>
  </si>
  <si>
    <t>S6047.E1.L1</t>
  </si>
  <si>
    <t>1384-1213 calBCE (3025±20 BP, PSUAMS-2917)</t>
  </si>
  <si>
    <t>Priobrazhenka 3</t>
  </si>
  <si>
    <t>I3763</t>
  </si>
  <si>
    <t>Zevakinskiy_MLBA</t>
  </si>
  <si>
    <t>S3763.E1.L1</t>
  </si>
  <si>
    <t>1609-1443 calBCE (3240±25 BP, PSUAMS-2502)</t>
  </si>
  <si>
    <t>U2a</t>
  </si>
  <si>
    <t>I3769</t>
  </si>
  <si>
    <t>Molaly_LBA</t>
  </si>
  <si>
    <t>BI-25</t>
  </si>
  <si>
    <t>S3769.E1.L1</t>
  </si>
  <si>
    <t>1400-1000 BCE</t>
  </si>
  <si>
    <t>S11537.E1.L1</t>
  </si>
  <si>
    <t>I11537</t>
  </si>
  <si>
    <t>Chanchar2_LBA</t>
  </si>
  <si>
    <t>Kurgan 2</t>
  </si>
  <si>
    <t>S11540.E1.L1</t>
  </si>
  <si>
    <t>I11540</t>
  </si>
  <si>
    <t>Georgievsky2_LBA</t>
  </si>
  <si>
    <t>I4319</t>
  </si>
  <si>
    <t>Kairan_MLBA_o_LowCov</t>
  </si>
  <si>
    <t>Steppe_LBA_LowCov</t>
  </si>
  <si>
    <t>S4319.E1.L1</t>
  </si>
  <si>
    <t>1746-1630 calBCE (3395±25 BP, PSUAMS-2543)</t>
  </si>
  <si>
    <t>Kairan</t>
  </si>
  <si>
    <t>I4257</t>
  </si>
  <si>
    <t>Dashti_Kozy_BA</t>
  </si>
  <si>
    <t>Steppe_MLBA_oBMAC</t>
  </si>
  <si>
    <t>S4257.E1.L1</t>
  </si>
  <si>
    <t>1518-1434 calBCE (3215±20 BP, PSUAMS-2510)</t>
  </si>
  <si>
    <t>Dashty-Kozy</t>
  </si>
  <si>
    <t>T2a1b1</t>
  </si>
  <si>
    <t>QUESTIONABLE (mtcontam=0.891)</t>
  </si>
  <si>
    <t>I4258</t>
  </si>
  <si>
    <t>S4258.E1.L1</t>
  </si>
  <si>
    <t>1620-1506 calBCE (3285±25 BP, PSUAMS-2121)</t>
  </si>
  <si>
    <t>I4784</t>
  </si>
  <si>
    <t>Kyzlbulak_MLBA2</t>
  </si>
  <si>
    <t>S4784.E1.L1</t>
  </si>
  <si>
    <t>1618-1513 calBCE (3290±20 BP, PSUAMS-2613)</t>
  </si>
  <si>
    <t>I4794</t>
  </si>
  <si>
    <t>Taldysay_MLBA2</t>
  </si>
  <si>
    <t>S4794.E1.L1</t>
  </si>
  <si>
    <t>C4a'b'c</t>
  </si>
  <si>
    <t>I4160</t>
  </si>
  <si>
    <t>S4160.E1.L1</t>
  </si>
  <si>
    <t>I8506</t>
  </si>
  <si>
    <t>Kokcha_BA</t>
  </si>
  <si>
    <t>S8506.E1.L1</t>
  </si>
  <si>
    <t>2500-1500 BCE</t>
  </si>
  <si>
    <t>Kokcha 3</t>
  </si>
  <si>
    <t>I8507</t>
  </si>
  <si>
    <t>S8507.E1.L1</t>
  </si>
  <si>
    <t>S10551.E1.L1</t>
  </si>
  <si>
    <t>I10551</t>
  </si>
  <si>
    <t>Farkhor_BA_LowCov</t>
  </si>
  <si>
    <t>Farkhor</t>
  </si>
  <si>
    <t>S11044.E1.L1</t>
  </si>
  <si>
    <t>I11044</t>
  </si>
  <si>
    <t>I6717</t>
  </si>
  <si>
    <t>Krasnoyarsk_MLBA_o</t>
  </si>
  <si>
    <t>Steppe_MLBA_oESHG</t>
  </si>
  <si>
    <t>S6717.E1.L1</t>
  </si>
  <si>
    <t>1497-1406 calBCE (3160±20 BP, PSUAMS-4447)</t>
  </si>
  <si>
    <t>I1931</t>
  </si>
  <si>
    <t>Dali_MLBA</t>
  </si>
  <si>
    <t>Steppe_MLBA_oWSHG</t>
  </si>
  <si>
    <t>S1932.E1.L1,S1931.E1.L1</t>
  </si>
  <si>
    <t>1495-1300 calBCE (3130±30 BP, Beta-391198)</t>
  </si>
  <si>
    <t>J2b1a2</t>
  </si>
  <si>
    <t>I0507</t>
  </si>
  <si>
    <t>S0507.E1.L1</t>
  </si>
  <si>
    <t>1871-1636 calBCE (3420±30 BP, Beta-391199)</t>
  </si>
  <si>
    <t>U5a1a2a</t>
  </si>
  <si>
    <t>I3448</t>
  </si>
  <si>
    <t>S3448.E1.L1,S3448.E1.L3,S3448.E1.L2</t>
  </si>
  <si>
    <t>I0244</t>
  </si>
  <si>
    <t>Potapovka_o</t>
  </si>
  <si>
    <t>bone (phalanx), petrous</t>
  </si>
  <si>
    <t>S0244.E1.L3,S7481.E1.L1</t>
  </si>
  <si>
    <t>Samara, Sok River, Grachevka</t>
  </si>
  <si>
    <t>U2e1a1</t>
  </si>
  <si>
    <t>I1020</t>
  </si>
  <si>
    <t>Sintashta_MLBA_o2</t>
  </si>
  <si>
    <t>S1020.E1.L1</t>
  </si>
  <si>
    <t>2012-1774 calBCE (3555±31 BP, OxA-12533)</t>
  </si>
  <si>
    <t>J2b1d</t>
  </si>
  <si>
    <t>I1017</t>
  </si>
  <si>
    <t>Sintashta_MLBA_o1</t>
  </si>
  <si>
    <t>978, kurgan 2, burial 16</t>
  </si>
  <si>
    <t>S1017.E1.L1</t>
  </si>
  <si>
    <t>1929-1753 calBCE (3520±30 BP, Beta-436294)</t>
  </si>
  <si>
    <t>H6b1</t>
  </si>
  <si>
    <t>I4566</t>
  </si>
  <si>
    <t>Kairan_MLBA_o</t>
  </si>
  <si>
    <t>S4566.E1.L1</t>
  </si>
  <si>
    <t>1729-1563 calBCE (3350±20 BP, PSUAMS-2991)</t>
  </si>
  <si>
    <t>Z1</t>
  </si>
  <si>
    <t>I3860</t>
  </si>
  <si>
    <t>Oy_Dzhaylau_MLBA_o</t>
  </si>
  <si>
    <t>BI No 20, Grave 24, Section D-4</t>
  </si>
  <si>
    <t>S3860.E1.L1</t>
  </si>
  <si>
    <t>1734-1617 calBCE (3365±20 BP, PSUAMS-2492)</t>
  </si>
  <si>
    <t>I6795</t>
  </si>
  <si>
    <t>Maitan_MLBA_Alakul_o</t>
  </si>
  <si>
    <t>S6795.E1.L1</t>
  </si>
  <si>
    <t>1749-1642 calBCE (3405±20 BP, PSUAMS-2927)</t>
  </si>
  <si>
    <t>Maitan</t>
  </si>
  <si>
    <t>T2e2</t>
  </si>
  <si>
    <t>I4780</t>
  </si>
  <si>
    <t>S4780.E1.L1,S4780.E1.L2,S4780.E1.L3,S4780.E1.L4,S4780.E1.L5,S4780.E1.L6</t>
  </si>
  <si>
    <t>1754-1642 calBCE (3410±20 BP, PSUAMS-2913)</t>
  </si>
  <si>
    <t>U2e1b</t>
  </si>
  <si>
    <t>I6792</t>
  </si>
  <si>
    <t>S6792.E1.L1</t>
  </si>
  <si>
    <t>1876-1691 calBCE (3450±20 BP, PSUAMS-2924)</t>
  </si>
  <si>
    <t>I1057</t>
  </si>
  <si>
    <t>954, kurgan 4, burial 2, skeleton 5</t>
  </si>
  <si>
    <t>S1057.E1.L1</t>
  </si>
  <si>
    <t>1949-1772 calBCE (3540±25 BP, PSUAMS-1953)</t>
  </si>
  <si>
    <t>I0980</t>
  </si>
  <si>
    <t>S0980.E2.L2,S0980.E2.L1</t>
  </si>
  <si>
    <t>H13a1a</t>
  </si>
  <si>
    <t>QUESTIONABLE (mtcontam=0.946-0.999)</t>
  </si>
  <si>
    <t>I0983</t>
  </si>
  <si>
    <t>S0983.E2.L2,S0983.E2.L1</t>
  </si>
  <si>
    <t>I1007</t>
  </si>
  <si>
    <t>S1007.E2.L2,S1007.E2.L1</t>
  </si>
  <si>
    <t>I7489</t>
  </si>
  <si>
    <t>58, Utyevka V, 1/1</t>
  </si>
  <si>
    <t>S7489.E1.L1</t>
  </si>
  <si>
    <t>2200-1900 BCE</t>
  </si>
  <si>
    <t>Samara, Samara River, Utyevka V</t>
  </si>
  <si>
    <t>H2a1e</t>
  </si>
  <si>
    <t>I0354</t>
  </si>
  <si>
    <t>Srubnaya_o</t>
  </si>
  <si>
    <t>S0354.E2.L1,S0354.E3.L1,S0354.E3.L2</t>
  </si>
  <si>
    <t>2014-1692 calBCE (3517±56 BP, AA-47809)</t>
  </si>
  <si>
    <t>Samara, Samara River, Spiridonovka IV</t>
  </si>
  <si>
    <t>I0246</t>
  </si>
  <si>
    <t>S0246.E1.L2,S0246.E2.L1,S0246.E2.L2</t>
  </si>
  <si>
    <t>2469-1928 calBCE (3760±100 BP, AA-12568)</t>
  </si>
  <si>
    <t>Samara, Samara River, Utyevka VI</t>
  </si>
  <si>
    <t>I0419</t>
  </si>
  <si>
    <t>Potapovka</t>
  </si>
  <si>
    <t>S0419.E1.L1,S0419.E2.L2,S0419.E3.L1,S0419.E3.L2</t>
  </si>
  <si>
    <t>I0418</t>
  </si>
  <si>
    <t>SVP HB 24, Kurgan 4, grave 1</t>
  </si>
  <si>
    <t>S0418.E1.L1</t>
  </si>
  <si>
    <t>2125-1769 calBCE (3583±52 BP, AA-53802)</t>
  </si>
  <si>
    <t>I1058</t>
  </si>
  <si>
    <t>955, kurgan 4, burial 2, skeleton 6</t>
  </si>
  <si>
    <t>S1058.E1.L1</t>
  </si>
  <si>
    <t>1906-1743 calBCE (3500±30 BP, Beta-436363)</t>
  </si>
  <si>
    <t>I1056</t>
  </si>
  <si>
    <t>953, kurgan 4, burial 2, skeleton 4</t>
  </si>
  <si>
    <t>S1056.E1.L1</t>
  </si>
  <si>
    <t>1886-1695 calBCE (3475±30 BP, PSUAMS-2101)</t>
  </si>
  <si>
    <t>HG03642.SG</t>
  </si>
  <si>
    <t>HG03642</t>
  </si>
  <si>
    <t>STU.SG</t>
  </si>
  <si>
    <t>Tamils sampled from Great Britain</t>
  </si>
  <si>
    <t>Sri Lanka</t>
  </si>
  <si>
    <t>HG03643.SG</t>
  </si>
  <si>
    <t>HG03643</t>
  </si>
  <si>
    <t>HG03644.SG</t>
  </si>
  <si>
    <t>HG03644</t>
  </si>
  <si>
    <t>HG03645.SG</t>
  </si>
  <si>
    <t>HG03645</t>
  </si>
  <si>
    <t>HG03646.SG</t>
  </si>
  <si>
    <t>HG03646</t>
  </si>
  <si>
    <t>HG03672.SG</t>
  </si>
  <si>
    <t>HG03672</t>
  </si>
  <si>
    <t>HG03673.SG</t>
  </si>
  <si>
    <t>HG03673</t>
  </si>
  <si>
    <t>HG03679.SG</t>
  </si>
  <si>
    <t>HG03679</t>
  </si>
  <si>
    <t>HG03680.SG</t>
  </si>
  <si>
    <t>HG03680</t>
  </si>
  <si>
    <t>HG03681.SG</t>
  </si>
  <si>
    <t>HG03681</t>
  </si>
  <si>
    <t>HG03684.SG</t>
  </si>
  <si>
    <t>HG03684</t>
  </si>
  <si>
    <t>HG03685.SG</t>
  </si>
  <si>
    <t>HG03685</t>
  </si>
  <si>
    <t>HG03686.SG</t>
  </si>
  <si>
    <t>HG03686</t>
  </si>
  <si>
    <t>HG03687.SG</t>
  </si>
  <si>
    <t>HG03687</t>
  </si>
  <si>
    <t>HG03689.SG</t>
  </si>
  <si>
    <t>HG03689</t>
  </si>
  <si>
    <t>HG03690.SG</t>
  </si>
  <si>
    <t>HG03690</t>
  </si>
  <si>
    <t>HG03691.SG</t>
  </si>
  <si>
    <t>HG03691</t>
  </si>
  <si>
    <t>HG03692.SG</t>
  </si>
  <si>
    <t>HG03692</t>
  </si>
  <si>
    <t>HG03693.SG</t>
  </si>
  <si>
    <t>HG03693</t>
  </si>
  <si>
    <t>HG03694.SG</t>
  </si>
  <si>
    <t>HG03694</t>
  </si>
  <si>
    <t>HG03695.SG</t>
  </si>
  <si>
    <t>HG03695</t>
  </si>
  <si>
    <t>HG03696.SG</t>
  </si>
  <si>
    <t>HG03696</t>
  </si>
  <si>
    <t>HG03697.SG</t>
  </si>
  <si>
    <t>HG03697</t>
  </si>
  <si>
    <t>HG03698.SG</t>
  </si>
  <si>
    <t>HG03698</t>
  </si>
  <si>
    <t>HG03711.SG</t>
  </si>
  <si>
    <t>HG03711</t>
  </si>
  <si>
    <t>HG03733.SG</t>
  </si>
  <si>
    <t>HG03733</t>
  </si>
  <si>
    <t>HG03736.SG</t>
  </si>
  <si>
    <t>HG03736</t>
  </si>
  <si>
    <t>HG03738.SG</t>
  </si>
  <si>
    <t>HG03738</t>
  </si>
  <si>
    <t>H1a1d2b2a</t>
  </si>
  <si>
    <t>HG03740.SG</t>
  </si>
  <si>
    <t>HG03740</t>
  </si>
  <si>
    <t>HG03741.SG</t>
  </si>
  <si>
    <t>HG03741</t>
  </si>
  <si>
    <t>HG03743.SG</t>
  </si>
  <si>
    <t>HG03743</t>
  </si>
  <si>
    <t>HG03744.SG</t>
  </si>
  <si>
    <t>HG03744</t>
  </si>
  <si>
    <t>HG03745.SG</t>
  </si>
  <si>
    <t>HG03745</t>
  </si>
  <si>
    <t>HG03746.SG</t>
  </si>
  <si>
    <t>HG03746</t>
  </si>
  <si>
    <t>HG03750.SG</t>
  </si>
  <si>
    <t>HG03750</t>
  </si>
  <si>
    <t>HG03752.SG</t>
  </si>
  <si>
    <t>HG03752</t>
  </si>
  <si>
    <t>HG03753.SG</t>
  </si>
  <si>
    <t>HG03753</t>
  </si>
  <si>
    <t>HG03754.SG</t>
  </si>
  <si>
    <t>HG03754</t>
  </si>
  <si>
    <t>HG03755.SG</t>
  </si>
  <si>
    <t>HG03755</t>
  </si>
  <si>
    <t>HG03756.SG</t>
  </si>
  <si>
    <t>HG03756</t>
  </si>
  <si>
    <t>HG03757.SG</t>
  </si>
  <si>
    <t>HG03757</t>
  </si>
  <si>
    <t>HG03760.SG</t>
  </si>
  <si>
    <t>HG03760</t>
  </si>
  <si>
    <t>HG03836.SG</t>
  </si>
  <si>
    <t>HG03836</t>
  </si>
  <si>
    <t>HG03837.SG</t>
  </si>
  <si>
    <t>HG03837</t>
  </si>
  <si>
    <t>HG03838.SG</t>
  </si>
  <si>
    <t>HG03838</t>
  </si>
  <si>
    <t>HG03844.SG</t>
  </si>
  <si>
    <t>HG03844</t>
  </si>
  <si>
    <t>HG03846.SG</t>
  </si>
  <si>
    <t>HG03846</t>
  </si>
  <si>
    <t>H1a1a1</t>
  </si>
  <si>
    <t>HG03848.SG</t>
  </si>
  <si>
    <t>HG03848</t>
  </si>
  <si>
    <t>H3a2a1</t>
  </si>
  <si>
    <t>HG03849.SG</t>
  </si>
  <si>
    <t>HG03849</t>
  </si>
  <si>
    <t>HG03850.SG</t>
  </si>
  <si>
    <t>HG03850</t>
  </si>
  <si>
    <t>HG03851.SG</t>
  </si>
  <si>
    <t>HG03851</t>
  </si>
  <si>
    <t>J2a1h2d</t>
  </si>
  <si>
    <t>HG03854.SG</t>
  </si>
  <si>
    <t>HG03854</t>
  </si>
  <si>
    <t>HG03856.SG</t>
  </si>
  <si>
    <t>HG03856</t>
  </si>
  <si>
    <t>HG03857.SG</t>
  </si>
  <si>
    <t>HG03857</t>
  </si>
  <si>
    <t>HG03858.SG</t>
  </si>
  <si>
    <t>HG03858</t>
  </si>
  <si>
    <t>HG03884.SG</t>
  </si>
  <si>
    <t>HG03884</t>
  </si>
  <si>
    <t>HG03885.SG</t>
  </si>
  <si>
    <t>HG03885</t>
  </si>
  <si>
    <t>HG03886.SG</t>
  </si>
  <si>
    <t>HG03886</t>
  </si>
  <si>
    <t>HG03887.SG</t>
  </si>
  <si>
    <t>HG03887</t>
  </si>
  <si>
    <t>HG03888.SG</t>
  </si>
  <si>
    <t>HG03888</t>
  </si>
  <si>
    <t>HG03890.SG</t>
  </si>
  <si>
    <t>HG03890</t>
  </si>
  <si>
    <t>HG03894.SG</t>
  </si>
  <si>
    <t>HG03894</t>
  </si>
  <si>
    <t>HG03895.SG</t>
  </si>
  <si>
    <t>HG03895</t>
  </si>
  <si>
    <t>HG03896.SG</t>
  </si>
  <si>
    <t>HG03896</t>
  </si>
  <si>
    <t>HG03897.SG</t>
  </si>
  <si>
    <t>HG03897</t>
  </si>
  <si>
    <t>HG03898.SG</t>
  </si>
  <si>
    <t>HG03898</t>
  </si>
  <si>
    <t>HG03899.SG</t>
  </si>
  <si>
    <t>HG03899</t>
  </si>
  <si>
    <t>HG03900.SG</t>
  </si>
  <si>
    <t>HG03900</t>
  </si>
  <si>
    <t>HG03943.SG</t>
  </si>
  <si>
    <t>HG03943</t>
  </si>
  <si>
    <t>HG03944.SG</t>
  </si>
  <si>
    <t>HG03944</t>
  </si>
  <si>
    <t>HG03945.SG</t>
  </si>
  <si>
    <t>HG03945</t>
  </si>
  <si>
    <t>HG03947.SG</t>
  </si>
  <si>
    <t>HG03947</t>
  </si>
  <si>
    <t>HG03948.SG</t>
  </si>
  <si>
    <t>HG03948</t>
  </si>
  <si>
    <t>HG03949.SG</t>
  </si>
  <si>
    <t>HG03949</t>
  </si>
  <si>
    <t>HG03950.SG</t>
  </si>
  <si>
    <t>HG03950</t>
  </si>
  <si>
    <t>HG03951.SG</t>
  </si>
  <si>
    <t>HG03951</t>
  </si>
  <si>
    <t>HG03953.SG</t>
  </si>
  <si>
    <t>HG03953</t>
  </si>
  <si>
    <t>HG03955.SG</t>
  </si>
  <si>
    <t>HG03955</t>
  </si>
  <si>
    <t>HG03985.SG</t>
  </si>
  <si>
    <t>HG03985</t>
  </si>
  <si>
    <t>HG03986.SG</t>
  </si>
  <si>
    <t>HG03986</t>
  </si>
  <si>
    <t>HG03989.SG</t>
  </si>
  <si>
    <t>HG03989</t>
  </si>
  <si>
    <t>HG03990.SG</t>
  </si>
  <si>
    <t>HG03990</t>
  </si>
  <si>
    <t>HG03991.SG</t>
  </si>
  <si>
    <t>HG03991</t>
  </si>
  <si>
    <t>HG03995.SG</t>
  </si>
  <si>
    <t>HG03995</t>
  </si>
  <si>
    <t>HG03998.SG</t>
  </si>
  <si>
    <t>HG03998</t>
  </si>
  <si>
    <t>HG03999.SG</t>
  </si>
  <si>
    <t>HG03999</t>
  </si>
  <si>
    <t>HG04003.SG</t>
  </si>
  <si>
    <t>HG04003</t>
  </si>
  <si>
    <t>HG04006.SG</t>
  </si>
  <si>
    <t>HG04006</t>
  </si>
  <si>
    <t>H1a1d2b3a</t>
  </si>
  <si>
    <t>HG04029.SG</t>
  </si>
  <si>
    <t>HG04029</t>
  </si>
  <si>
    <t>HG04033.SG</t>
  </si>
  <si>
    <t>HG04033</t>
  </si>
  <si>
    <t>HG04035.SG</t>
  </si>
  <si>
    <t>HG04035</t>
  </si>
  <si>
    <t>HG04038.SG</t>
  </si>
  <si>
    <t>HG04038</t>
  </si>
  <si>
    <t>HG04039.SG</t>
  </si>
  <si>
    <t>HG04039</t>
  </si>
  <si>
    <t>HG04042.SG</t>
  </si>
  <si>
    <t>HG04042</t>
  </si>
  <si>
    <t>HG04047.SG</t>
  </si>
  <si>
    <t>HG04047</t>
  </si>
  <si>
    <t>HG04075.SG</t>
  </si>
  <si>
    <t>HG04075</t>
  </si>
  <si>
    <t>HG04099.SG</t>
  </si>
  <si>
    <t>HG04099</t>
  </si>
  <si>
    <t>HG04100.SG</t>
  </si>
  <si>
    <t>HG04100</t>
  </si>
  <si>
    <t>HG04106.SG</t>
  </si>
  <si>
    <t>HG04106</t>
  </si>
  <si>
    <t>HG04107.SG</t>
  </si>
  <si>
    <t>HG04107</t>
  </si>
  <si>
    <t>HG04210.SG</t>
  </si>
  <si>
    <t>HG04210</t>
  </si>
  <si>
    <t>HG04227.SG</t>
  </si>
  <si>
    <t>HG04227</t>
  </si>
  <si>
    <t>HG04229.SG</t>
  </si>
  <si>
    <t>HG04229</t>
  </si>
  <si>
    <t>I6891</t>
  </si>
  <si>
    <t>Saidu_Sharif_H</t>
  </si>
  <si>
    <t>Swat_H</t>
  </si>
  <si>
    <t>S6891.E1.L1</t>
  </si>
  <si>
    <t>R5a2</t>
  </si>
  <si>
    <t>I6896</t>
  </si>
  <si>
    <t>S6896.E1.L1</t>
  </si>
  <si>
    <t>361-171 calBCE [357-171 calBCE (2175±20 BP, PSUAMS-3761), 361-202 calBCE (2205±20 BP, PSUAMS-4425)]</t>
  </si>
  <si>
    <t>I6893</t>
  </si>
  <si>
    <t>S6893.E1.L1</t>
  </si>
  <si>
    <t>361-203 calBCE (2210±20 BP, PSUAMS-3721)</t>
  </si>
  <si>
    <t>H15a1a1</t>
  </si>
  <si>
    <t>I7715</t>
  </si>
  <si>
    <t>S7715.E1.L1</t>
  </si>
  <si>
    <t>1276-1390 calCE (670±25 BP, PSUAMS-4427)</t>
  </si>
  <si>
    <t>M49</t>
  </si>
  <si>
    <t>I6894</t>
  </si>
  <si>
    <t>S6894.E1.L1,S6895.E1.L1</t>
  </si>
  <si>
    <t>M30</t>
  </si>
  <si>
    <t>I7717</t>
  </si>
  <si>
    <t>S7717.E1.L1</t>
  </si>
  <si>
    <t>I7718</t>
  </si>
  <si>
    <t>S7718.E1.L1</t>
  </si>
  <si>
    <t>K1b1a1+199</t>
  </si>
  <si>
    <t>I7719</t>
  </si>
  <si>
    <t>S7719.E1.L1</t>
  </si>
  <si>
    <t>M52a</t>
  </si>
  <si>
    <t>I7720</t>
  </si>
  <si>
    <t>S7720.E1.L1</t>
  </si>
  <si>
    <t>I7721</t>
  </si>
  <si>
    <t>S7721.E1.L1</t>
  </si>
  <si>
    <t>R6b</t>
  </si>
  <si>
    <t>I7723</t>
  </si>
  <si>
    <t>S7723.E1.L1</t>
  </si>
  <si>
    <t>I8218</t>
  </si>
  <si>
    <t>S8218.E1.L1,S8244.E1.L1,S8218.E1.L2,S8244.E1.L2</t>
  </si>
  <si>
    <t>I8220</t>
  </si>
  <si>
    <t>S8220.E1.L1,S8220.E1.L2</t>
  </si>
  <si>
    <t>I8245</t>
  </si>
  <si>
    <t>S8245.E1.L1</t>
  </si>
  <si>
    <t>I2954</t>
  </si>
  <si>
    <t>Saidu_Sharif_H_LowCov</t>
  </si>
  <si>
    <t>Swat_H_LowCov</t>
  </si>
  <si>
    <t>S2954.E1.L1</t>
  </si>
  <si>
    <t>I2955</t>
  </si>
  <si>
    <t>S2955.E1.L1</t>
  </si>
  <si>
    <t>I1808</t>
  </si>
  <si>
    <t>S1808.E1.L1,S1808.E1.L2,S1808.E1.L3</t>
  </si>
  <si>
    <t>720-895 calCE (1200±30 BP, Beta-428663)</t>
  </si>
  <si>
    <t>I1805</t>
  </si>
  <si>
    <t>S1805.E1.L1,S1805.E1.L2,S1805.E1.L3</t>
  </si>
  <si>
    <t>1485-1650 calCE (310±30 BP, Beta-428668)</t>
  </si>
  <si>
    <t>M3a1</t>
  </si>
  <si>
    <t>I7716</t>
  </si>
  <si>
    <t>S7716.E1.L1</t>
  </si>
  <si>
    <t>1169-1250 calCE (835±15 BP, PSUAMS-4428)</t>
  </si>
  <si>
    <t>I2959</t>
  </si>
  <si>
    <t>S2959.E1.L1</t>
  </si>
  <si>
    <t>1037-1207 calCE (905±30 BP, Poz-83508)</t>
  </si>
  <si>
    <t>M5a1</t>
  </si>
  <si>
    <t>I2960</t>
  </si>
  <si>
    <t>S2960.E1.L2,S2961.E1.L1,S2961.E1.L2,S2961.E1.L3</t>
  </si>
  <si>
    <t>1000-1250 CE [father.or.son of I2959 at 1037-1207 calCE (905±30 BP, Poz-83508)]</t>
  </si>
  <si>
    <t>I6550</t>
  </si>
  <si>
    <t>Butkara_H</t>
  </si>
  <si>
    <t>S6550.E1.L1</t>
  </si>
  <si>
    <t>41 calBCE - 57 calCE (1990±20 BP, PSUAMS-2789)</t>
  </si>
  <si>
    <t>I6549</t>
  </si>
  <si>
    <t>S6549.E1.L1</t>
  </si>
  <si>
    <t>167-46 calBCE (2080±20 BP, PSUAMS-2788)</t>
  </si>
  <si>
    <t>I6551</t>
  </si>
  <si>
    <t>S6551.E1.L1</t>
  </si>
  <si>
    <t>200 BCE - 100 CE</t>
  </si>
  <si>
    <t>I6552</t>
  </si>
  <si>
    <t>Butkara_H_mother.I6549</t>
  </si>
  <si>
    <t>S6552.E1.L1</t>
  </si>
  <si>
    <t>200-0 BCE [mother of directly dated I6549 at 167-46 calBCE (2080±20 BP, PSUAMS-2788)]</t>
  </si>
  <si>
    <t>Tadjik.SG</t>
  </si>
  <si>
    <t>Tadjik</t>
  </si>
  <si>
    <t>S_Tajik-1.DG</t>
  </si>
  <si>
    <t>S_Tajik-1</t>
  </si>
  <si>
    <t>Tajik.DG</t>
  </si>
  <si>
    <t>Shughnon District</t>
  </si>
  <si>
    <t>S_Tajik-2.DG</t>
  </si>
  <si>
    <t>S_Tajik-2</t>
  </si>
  <si>
    <t>S12257.E1.L1</t>
  </si>
  <si>
    <t>I12257</t>
  </si>
  <si>
    <t>Ksirov</t>
  </si>
  <si>
    <t>J1b6</t>
  </si>
  <si>
    <t>S12292.E1.L1</t>
  </si>
  <si>
    <t>I12292</t>
  </si>
  <si>
    <t>S12293.E1.L1</t>
  </si>
  <si>
    <t>I12293</t>
  </si>
  <si>
    <t>S12294.E1.L1</t>
  </si>
  <si>
    <t>I12294</t>
  </si>
  <si>
    <t>S12260.E1.L1</t>
  </si>
  <si>
    <t>I12260</t>
  </si>
  <si>
    <t>Tajiks1.DG</t>
  </si>
  <si>
    <t>Tajiks1</t>
  </si>
  <si>
    <t>Tajiks.DG</t>
  </si>
  <si>
    <t>Tajiks2.DG</t>
  </si>
  <si>
    <t>Tajiks2</t>
  </si>
  <si>
    <t>Tajiks3.DG</t>
  </si>
  <si>
    <t>Tajiks3</t>
  </si>
  <si>
    <t>I3456</t>
  </si>
  <si>
    <t>Tasbas_LBA</t>
  </si>
  <si>
    <t>S3456.E1.L1,S3456.E1.L2</t>
  </si>
  <si>
    <t>1117-976 calBCE (2870±20 BP, PSUAMS-2538)</t>
  </si>
  <si>
    <t>I3453</t>
  </si>
  <si>
    <t>Tasbas_LBA_LowCov</t>
  </si>
  <si>
    <t>14d, ctx 20, level 2, ZA-0238</t>
  </si>
  <si>
    <t>S3453.E1.L2</t>
  </si>
  <si>
    <t>1264-1095 BCE (2940±30 BP, OS-97173, layer date)</t>
  </si>
  <si>
    <t>Teleuts1.DG</t>
  </si>
  <si>
    <t>Teleuts1</t>
  </si>
  <si>
    <t>Teleuts.DG</t>
  </si>
  <si>
    <t>Teleuts2.DG</t>
  </si>
  <si>
    <t>Teleuts2</t>
  </si>
  <si>
    <t>I2924</t>
  </si>
  <si>
    <t>Tepe_Hissar_C</t>
  </si>
  <si>
    <t>TH16-56, 33-16-56 (DF07 X 6)</t>
  </si>
  <si>
    <t>S2924.E1.L1</t>
  </si>
  <si>
    <t>2881-2666 calBCE (4170±25 BP, PSUAMS-2262)</t>
  </si>
  <si>
    <t>Tepe Hissar</t>
  </si>
  <si>
    <t>U5b2</t>
  </si>
  <si>
    <t>I2922</t>
  </si>
  <si>
    <t>TH16-12, 33-16-12, Period 1</t>
  </si>
  <si>
    <t>S2922.E1.L1,S2922.E1.L2,S2922.E1.L3</t>
  </si>
  <si>
    <t>2197-2027 calBCE (3705±25 BP, PSUAMS-2227)</t>
  </si>
  <si>
    <t>I2514</t>
  </si>
  <si>
    <t>TH23-73, 33-23-73, Period 3</t>
  </si>
  <si>
    <t>S2514.E1.L1</t>
  </si>
  <si>
    <t>2474-2307 calBCE (3915±25 BP, PSUAMS-1918)</t>
  </si>
  <si>
    <t>I2927</t>
  </si>
  <si>
    <t>TH23-124, 33-23-124, Period 3</t>
  </si>
  <si>
    <t>S2927.E1.L1,S2927.E1.L2,S2927.E1.L3</t>
  </si>
  <si>
    <t>2575-2350 calBCE (3970±30 BP, PSUAMS-1916)</t>
  </si>
  <si>
    <t>I2513</t>
  </si>
  <si>
    <t>TH23-13, 33-23-113 (DH06 X1)</t>
  </si>
  <si>
    <t>S2513.E1.L1</t>
  </si>
  <si>
    <t>2849-2492 calBCE (4070±25 BP, PSUAMS-2229)</t>
  </si>
  <si>
    <t>QUESTIONABLE (batch.flag)</t>
  </si>
  <si>
    <t>I2928</t>
  </si>
  <si>
    <t>TH23-205, 33-23-205, Period 3</t>
  </si>
  <si>
    <t>S2928.E1.L1,S2928.E1.L2,S2928.E1.L3</t>
  </si>
  <si>
    <t>2858-2505 calBCE (4095±25 BP, PSUAMS-1917)</t>
  </si>
  <si>
    <t>I2923</t>
  </si>
  <si>
    <t>TH16-51, 33-16-51 (CH95 X 1)</t>
  </si>
  <si>
    <t>S2923.E1.L1</t>
  </si>
  <si>
    <t>2878-2636 calBCE (4160±25 BP, PSUAMS-1915)</t>
  </si>
  <si>
    <t>L2</t>
  </si>
  <si>
    <t>I2925</t>
  </si>
  <si>
    <t>TH16-110, 33-16-110 (DF19 X 55)</t>
  </si>
  <si>
    <t>S2925.E1.L1</t>
  </si>
  <si>
    <t>2881-2666 calBCE (4170±25 BP, PSUAMS-1913)</t>
  </si>
  <si>
    <t>X2p</t>
  </si>
  <si>
    <t>I2512</t>
  </si>
  <si>
    <t>TH16-118, 33-16-118, Period 2(3)</t>
  </si>
  <si>
    <t>S2512.E1.L1,S2512.E1.L2,S2512.E1.L3</t>
  </si>
  <si>
    <t>2916-2876 calBCE (4265±25 BP, PSUAMS-1914)</t>
  </si>
  <si>
    <t>I2337</t>
  </si>
  <si>
    <t>TH23-9, 33-23-9, Period 1</t>
  </si>
  <si>
    <t>S2337.E1.L2,S2337.E1.L4,S2337.E1.L5</t>
  </si>
  <si>
    <t>3641-3519 calBCE (4780±30 BP, PSUAMS-1919)</t>
  </si>
  <si>
    <t>S2921.E1.L3</t>
  </si>
  <si>
    <t>I2921</t>
  </si>
  <si>
    <t>3656-3526 calBCE (4820±30 BP, PSUAMS-1912)</t>
  </si>
  <si>
    <t>TH16-11, 33-16-11, Period 1</t>
  </si>
  <si>
    <t>S2921.E1.L1,S2516.E1.L2(library.flipped.with.S2921.E1.L2.manually.reassigned.to.I2921)</t>
  </si>
  <si>
    <t>I2918</t>
  </si>
  <si>
    <t>TH16-2, 33-16-2, Period 1</t>
  </si>
  <si>
    <t>S2918.E1.L1,S2918.E1.L2,S2918.E1.L3</t>
  </si>
  <si>
    <t>3702-3536 calBCE (4850±30 BP, PSUAMS-2228)</t>
  </si>
  <si>
    <t>U7</t>
  </si>
  <si>
    <t>I2335</t>
  </si>
  <si>
    <t>Tepe_Hissar_C_LowCov</t>
  </si>
  <si>
    <t>TH16-4, 33-16-4, Period 1</t>
  </si>
  <si>
    <t>S2335.E1.L2,S2335.E1.L4</t>
  </si>
  <si>
    <t>3639-3385 calBCE (4760±25 BP, PSUAMS-2346)</t>
  </si>
  <si>
    <t>U1a'c</t>
  </si>
  <si>
    <t>QUESTIONABLE (mtcontam=0.921-0.938)</t>
  </si>
  <si>
    <t>Tianyuan</t>
  </si>
  <si>
    <t>YangCurrentBiology2017</t>
  </si>
  <si>
    <t>K2b</t>
  </si>
  <si>
    <t>I1926</t>
  </si>
  <si>
    <t>Tripolye</t>
  </si>
  <si>
    <t>1V1a-H1</t>
  </si>
  <si>
    <t>S1926.E1.L2</t>
  </si>
  <si>
    <t>3931-3640 calBCE [3705-3640 calBCE (4890±30 BP, Beta-432808), 3931-3670 calBCE (4985±30 BP, OxA-25991)]</t>
  </si>
  <si>
    <t>Verteba Cave</t>
  </si>
  <si>
    <t>H5a</t>
  </si>
  <si>
    <t>PASS (Xcontam=0.046 andXcontamZ=1.3)</t>
  </si>
  <si>
    <t>I2111_published</t>
  </si>
  <si>
    <t>I2111</t>
  </si>
  <si>
    <t>5.V5a-H5</t>
  </si>
  <si>
    <t>S2111.E1.L1</t>
  </si>
  <si>
    <t>3758-3636 calBCE (4888±32 BP, OxA-26204)</t>
  </si>
  <si>
    <t>G2a</t>
  </si>
  <si>
    <t>I2110</t>
  </si>
  <si>
    <t>4.V4a-H4</t>
  </si>
  <si>
    <t>S2110.E1.L1</t>
  </si>
  <si>
    <t>3911-3659 calBCE (4976±33 BP, OxA-26203)</t>
  </si>
  <si>
    <t>I3151_published</t>
  </si>
  <si>
    <t>I3151</t>
  </si>
  <si>
    <t>6 V6a-H6</t>
  </si>
  <si>
    <t>tooth and bone (cranial)</t>
  </si>
  <si>
    <t>S3206.E1.L1</t>
  </si>
  <si>
    <t>4000-3600 BCE</t>
  </si>
  <si>
    <t>U8b1b</t>
  </si>
  <si>
    <t>S12255.E1.L1</t>
  </si>
  <si>
    <t>I12255</t>
  </si>
  <si>
    <t>2000-1700 BCE</t>
  </si>
  <si>
    <t>DA382_final.SG</t>
  </si>
  <si>
    <t>DA382</t>
  </si>
  <si>
    <t>Turkmenistan_IA.SG</t>
  </si>
  <si>
    <t>Excavation 1, burial 2, 6286-2</t>
  </si>
  <si>
    <t>912-799 calBCE (2690±40 BP, UBA-33661)</t>
  </si>
  <si>
    <t>S12478.Y1.E1.L1</t>
  </si>
  <si>
    <t>I12478</t>
  </si>
  <si>
    <t>S12479.Y1.E1.L1</t>
  </si>
  <si>
    <t>I12479</t>
  </si>
  <si>
    <t>S12480.Y1.E1.L1</t>
  </si>
  <si>
    <t>I12480</t>
  </si>
  <si>
    <t>S12481.Y1.E1.L1</t>
  </si>
  <si>
    <t>I12481</t>
  </si>
  <si>
    <t>S12482.Y1.E1.L1</t>
  </si>
  <si>
    <t>I12482</t>
  </si>
  <si>
    <t>S12483.Y1.E1.L1</t>
  </si>
  <si>
    <t>I12483</t>
  </si>
  <si>
    <t>S12484.Y1.E1.L1</t>
  </si>
  <si>
    <t>I12484</t>
  </si>
  <si>
    <t>R2+13500</t>
  </si>
  <si>
    <t>S12485.Y1.E1.L1</t>
  </si>
  <si>
    <t>I12485</t>
  </si>
  <si>
    <t>J1d4</t>
  </si>
  <si>
    <t>S12486.Y1.E1.L1</t>
  </si>
  <si>
    <t>I12486</t>
  </si>
  <si>
    <t>S12487.Y1.E1.L1</t>
  </si>
  <si>
    <t>I12487</t>
  </si>
  <si>
    <t>T2g1b</t>
  </si>
  <si>
    <t>I8534</t>
  </si>
  <si>
    <t>S8534.E1.L1</t>
  </si>
  <si>
    <t>3010-2881 calBCE (4300±25 BP, PSUAMS-3988)</t>
  </si>
  <si>
    <t>QUESTIONABLE (mtcontam=0.948)</t>
  </si>
  <si>
    <t>Turkmens1.DG</t>
  </si>
  <si>
    <t>Turkmens1</t>
  </si>
  <si>
    <t>Turkmens.DG</t>
  </si>
  <si>
    <t>Turkmens2.DG</t>
  </si>
  <si>
    <t>Turkmens2</t>
  </si>
  <si>
    <t>mondal_BR1-1.SG</t>
  </si>
  <si>
    <t>BR1-1</t>
  </si>
  <si>
    <t>UBR.SG</t>
  </si>
  <si>
    <t>Uttar Pradesh Brahmins</t>
  </si>
  <si>
    <t>mondal_BR1-10.SG</t>
  </si>
  <si>
    <t>BR1-10</t>
  </si>
  <si>
    <t>mondal_BR1-12.SG</t>
  </si>
  <si>
    <t>BR1-12</t>
  </si>
  <si>
    <t>mondal_BR1-13.SG</t>
  </si>
  <si>
    <t>BR1-13</t>
  </si>
  <si>
    <t>mondal_BR1-16.SG</t>
  </si>
  <si>
    <t>BR1-16</t>
  </si>
  <si>
    <t>mondal_BR1-18.SG</t>
  </si>
  <si>
    <t>BR1-18</t>
  </si>
  <si>
    <t>mondal_BR1-3.SG</t>
  </si>
  <si>
    <t>BR1-3</t>
  </si>
  <si>
    <t>mondal_BR1-4.SG</t>
  </si>
  <si>
    <t>BR1-4</t>
  </si>
  <si>
    <t>mondal_BR1-5.SG</t>
  </si>
  <si>
    <t>BR1-5</t>
  </si>
  <si>
    <t>mondal_BR1-6.SG</t>
  </si>
  <si>
    <t>BR1-6</t>
  </si>
  <si>
    <t>I6707</t>
  </si>
  <si>
    <t>S6707.E1.L1</t>
  </si>
  <si>
    <t>1596-1439 calBCE (3230±20 BP, PSUAMS-2978)</t>
  </si>
  <si>
    <t>Ust_Ishim_published.DG</t>
  </si>
  <si>
    <t>FuNature2014</t>
  </si>
  <si>
    <t>Ust_Ishim</t>
  </si>
  <si>
    <t>Ust_Ishim_HG_published.DG</t>
  </si>
  <si>
    <t>UstIshim</t>
  </si>
  <si>
    <t>45530-40610 calBCE [46064-40920 calBCE (41400±1300 BP, OxA-25516), 46364-40844 calBCE (41400±1400 BP, OxA-30190)]</t>
  </si>
  <si>
    <t>Ust'-Ishim, Siberia</t>
  </si>
  <si>
    <t>R*</t>
  </si>
  <si>
    <t>Uyghurs1.DG</t>
  </si>
  <si>
    <t>Uyghurs1</t>
  </si>
  <si>
    <t>Uyghurs.DG</t>
  </si>
  <si>
    <t>Uyghurs2.DG</t>
  </si>
  <si>
    <t>Uyghurs2</t>
  </si>
  <si>
    <t>Uyghurs3.DG</t>
  </si>
  <si>
    <t>Uyghurs3</t>
  </si>
  <si>
    <t>S12499.Y1.E1.L1</t>
  </si>
  <si>
    <t>I12499</t>
  </si>
  <si>
    <t>U5b1e1</t>
  </si>
  <si>
    <t>Uzbeks1.DG</t>
  </si>
  <si>
    <t>Uzbeks1</t>
  </si>
  <si>
    <t>Uzbeks.DG</t>
  </si>
  <si>
    <t>Uzbeks2.DG</t>
  </si>
  <si>
    <t>Uzbeks2</t>
  </si>
  <si>
    <t>Uzbeks3.DG</t>
  </si>
  <si>
    <t>Uzbeks3</t>
  </si>
  <si>
    <t>Vestonice16</t>
  </si>
  <si>
    <t>A5306</t>
  </si>
  <si>
    <t>28760-27360 BCE [28634-27458 calBCE (GrN-15277: 25740±210 BP), 28586-27086 calBCE (25570±280, GrN-15276), layer date]</t>
  </si>
  <si>
    <t>Dolni Vestonice</t>
  </si>
  <si>
    <t>U5</t>
  </si>
  <si>
    <t>Villabruna</t>
  </si>
  <si>
    <t>A5290</t>
  </si>
  <si>
    <t>12230-11830 calBCE (12140±70 BP, KIA-27004)</t>
  </si>
  <si>
    <t>Italy</t>
  </si>
  <si>
    <t>mondal_VV1-01.SG</t>
  </si>
  <si>
    <t>VV1-01</t>
  </si>
  <si>
    <t>VLR.SG</t>
  </si>
  <si>
    <t>Vellalar</t>
  </si>
  <si>
    <t>mondal_VV1-03.SG</t>
  </si>
  <si>
    <t>VV1-03</t>
  </si>
  <si>
    <t>mondal_VV1-04.SG</t>
  </si>
  <si>
    <t>VV1-04</t>
  </si>
  <si>
    <t>mondal_VV1-05.SG</t>
  </si>
  <si>
    <t>VV1-05</t>
  </si>
  <si>
    <t>mondal_VV1-06.SG</t>
  </si>
  <si>
    <t>VV1-06</t>
  </si>
  <si>
    <t>mondal_VV1-07.SG</t>
  </si>
  <si>
    <t>VV1-07</t>
  </si>
  <si>
    <t>mondal_VV1-14.SG</t>
  </si>
  <si>
    <t>VV1-14</t>
  </si>
  <si>
    <t>mondal_VV1-16.SG</t>
  </si>
  <si>
    <t>VV1-16</t>
  </si>
  <si>
    <t>mondal_VV1-20.SG</t>
  </si>
  <si>
    <t>VV1-20</t>
  </si>
  <si>
    <t>VolgaTatars1.DG</t>
  </si>
  <si>
    <t>VolgaTatars1</t>
  </si>
  <si>
    <t>VolgaTatars.DG</t>
  </si>
  <si>
    <t>VolgaTatars2.DG</t>
  </si>
  <si>
    <t>VolgaTatars2</t>
  </si>
  <si>
    <t>I4878</t>
  </si>
  <si>
    <t>Iron_Gates_HG</t>
  </si>
  <si>
    <t>WEHG</t>
  </si>
  <si>
    <t>VLSC_U21</t>
  </si>
  <si>
    <t>S4878.E1.L1</t>
  </si>
  <si>
    <t>5995-5710 calBCE (6955±76 BP, PSUAMS-2383 corrected for freshwater marine reservoir effect with Method 1 of Cook et al. 2002 with the modifications recommended by Cook et al. 2011)</t>
  </si>
  <si>
    <t>Vlasac</t>
  </si>
  <si>
    <t>Serbia</t>
  </si>
  <si>
    <t>I4880</t>
  </si>
  <si>
    <t>VLSC_U62</t>
  </si>
  <si>
    <t>S4880.E1.L1</t>
  </si>
  <si>
    <t>6000-5725 calBCE (6979±75 BP, PSUAMS-2384 corrected for freshwater marine reservoir effect with Method 1 of Cook et al. 2002 with the modifications recommended by Cook et al. 2011)</t>
  </si>
  <si>
    <t>U4b1b1</t>
  </si>
  <si>
    <t>I4917</t>
  </si>
  <si>
    <t>HJDK_33</t>
  </si>
  <si>
    <t>S4917.E1.L1</t>
  </si>
  <si>
    <t>6220-5995 calBCE (7209±57 BP, PSUAMS-2374 corrected for freshwater marine reservoir effect with Method 1 of Cook et al. 2002 with the modifications recommended by Cook et al. 2011)</t>
  </si>
  <si>
    <t>Hajduka Vodenica</t>
  </si>
  <si>
    <t>I4915</t>
  </si>
  <si>
    <t>HJDK_21</t>
  </si>
  <si>
    <t>S4915.E1.L1</t>
  </si>
  <si>
    <t>6340-5990 calBCE (7260±76 BP, PSUAMS-2360 corrected for freshwater marine reservoir effect with Method 1 of Cook et al. 2002 with the modifications recommended by Cook et al. 2011)</t>
  </si>
  <si>
    <t>I4881</t>
  </si>
  <si>
    <t>VLSC_U64</t>
  </si>
  <si>
    <t>S4881.E1.L1</t>
  </si>
  <si>
    <t>6570-6255 calBCE (7570±63 BP, PSUAMS-2385 corrected for freshwater marine reservoir effect with Method 1 of Cook et al. 2002 with the modifications recommended by Cook et al. 2011)</t>
  </si>
  <si>
    <t>I4876</t>
  </si>
  <si>
    <t>VLSC_H317</t>
  </si>
  <si>
    <t>S4876.E1.L1</t>
  </si>
  <si>
    <t>6635-6375 calBCE (7625±71 BP, PSUAMS-2381 corrected for freshwater marine reservoir effect with Method 1 of Cook et al. 2002 with the modifications recommended by Cook et al. 2011)</t>
  </si>
  <si>
    <t>I4875</t>
  </si>
  <si>
    <t>VLSC_H267</t>
  </si>
  <si>
    <t>S4875.E1.L1</t>
  </si>
  <si>
    <t>6615-6400 calBCE (7643±63 BP, PSUAMS-2380 corrected for freshwater marine reservoir effect with Method 1 of Cook et al. 2002 with the modifications recommended by Cook et al. 2011)</t>
  </si>
  <si>
    <t>U5b1d1a</t>
  </si>
  <si>
    <t>I4877</t>
  </si>
  <si>
    <t>VLSC_H327</t>
  </si>
  <si>
    <t>S4877.E1.L1</t>
  </si>
  <si>
    <t>6645-6465 calBCE (7728±51 BP, PSUAMS-2382 corrected for freshwater marine reservoir effect with Method 1 of Cook et al. 2002 with the modifications recommended by Cook et al. 2011)</t>
  </si>
  <si>
    <t>I4582</t>
  </si>
  <si>
    <t>OSTCOR_32</t>
  </si>
  <si>
    <t>S4582.E1.L2,S4582.E1.L3,S4582.E1.L4,S4582.E1.L5</t>
  </si>
  <si>
    <t>7021-6473 calBCE [7812±69 BP, freshwater reservoir correction using Method 1 of Cook et al. 2002 using ORAU _15N value for 8302±32 BP which is a weighted average of (8305±50 BP, OxA-31598), (8300±40 BP, PSUAMS-1749), (8335±45 BP, PSUAMS-1904)]</t>
  </si>
  <si>
    <t>Ostrovul Corbului</t>
  </si>
  <si>
    <t>I4870</t>
  </si>
  <si>
    <t>VLSC_45</t>
  </si>
  <si>
    <t>S4870.E1.L1,S4870.E1.L2</t>
  </si>
  <si>
    <t>7045-6535 calBCE (7870±78 BP, PSUAMS-2295 corrected for freshwater marine reservoir effect with Method 1 of Cook et al. 2002 with the modifications recommended by Cook et al. 2011)</t>
  </si>
  <si>
    <t>K1c</t>
  </si>
  <si>
    <t>I4916</t>
  </si>
  <si>
    <t>HJDK_31</t>
  </si>
  <si>
    <t>S4916.E1.L1</t>
  </si>
  <si>
    <t>7035-6590 calBCE (7874±72 BP, PSUAMS-2369 corrected for freshwater marine reservoir effect with Method 1 of Cook et al. 2002 with the modifications recommended by Cook et al. 2011)</t>
  </si>
  <si>
    <t>I4660</t>
  </si>
  <si>
    <t>VLSC_51B</t>
  </si>
  <si>
    <t>S4660.E1.L1,S4660.E1.L2</t>
  </si>
  <si>
    <t>7940-7585 calBCE (8676±58 BP, PSUAMS-2296 corrected for freshwater marine reservoir effect with Method 1 of Cook et al. 2002 with the modifications recommended by Cook et al. 2011)</t>
  </si>
  <si>
    <t>I5238</t>
  </si>
  <si>
    <t>PADN_16a</t>
  </si>
  <si>
    <t>S5238.E1.L1</t>
  </si>
  <si>
    <t>8265-7820 calBCE (8907±66 BP, PSUAMS-2407 corrected for freshwater marine reservoir effect with Method 1 of Cook et al. 2002 with the modifications recommended by Cook et al. 2011)</t>
  </si>
  <si>
    <t>Padina</t>
  </si>
  <si>
    <t>I5239</t>
  </si>
  <si>
    <t>PADN_17</t>
  </si>
  <si>
    <t>S5239.E1.L1</t>
  </si>
  <si>
    <t>8535-8230 calBCE (9105±62 BP, PSUAMS-2375 corrected for freshwater marine reservoir effect with Method 1 of Cook et al. 2002 with the modifications recommended by Cook et al. 2011)</t>
  </si>
  <si>
    <t>I5242</t>
  </si>
  <si>
    <t>PADN_26</t>
  </si>
  <si>
    <t>S5242.E1.L1</t>
  </si>
  <si>
    <t>8805-8355 calBCE (9363±64 BP, PSUAMS-2408 corrected for freshwater marine reservoir effect with Method 1 of Cook et al. 2002 with the modifications recommended by Cook et al. 2011)</t>
  </si>
  <si>
    <t>I5244</t>
  </si>
  <si>
    <t>PADN_18b</t>
  </si>
  <si>
    <t>S5244.E1.L1</t>
  </si>
  <si>
    <t>9115-8555 calBCE (9424±55 BP, PSUAMS-2376 corrected for freshwater marine reservoir effect with Method 1 of Cook et al. 2002 with the modifications recommended by Cook et al. 2011)</t>
  </si>
  <si>
    <t>K1f</t>
  </si>
  <si>
    <t>I5240</t>
  </si>
  <si>
    <t>PADN_22</t>
  </si>
  <si>
    <t>S5240.E1.L1</t>
  </si>
  <si>
    <t>9140-8570 calBCE (9469±70 BP, PSUAMS-2377 corrected for freshwater marine reservoir effect with Method 1 of Cook et al. 2002 with the modifications recommended by Cook et al. 2011)</t>
  </si>
  <si>
    <t>I4873</t>
  </si>
  <si>
    <t>VLSC_H53</t>
  </si>
  <si>
    <t>S4873.E1.L1</t>
  </si>
  <si>
    <t>6006-5838 calBCE (7035±40 BP, OxA-16544)</t>
  </si>
  <si>
    <t>U5a2a</t>
  </si>
  <si>
    <t>I5233</t>
  </si>
  <si>
    <t>PADN_5</t>
  </si>
  <si>
    <t>S5233.E1.L1</t>
  </si>
  <si>
    <t xml:space="preserve">6224-5878 calBCE (7158±85 BP, AA-57770, corrected for Freshwater Reservoir Effect) </t>
  </si>
  <si>
    <t>I4914</t>
  </si>
  <si>
    <t>HJDK_19-20(1)</t>
  </si>
  <si>
    <t>S4914.E1.L1</t>
  </si>
  <si>
    <t>6355-5990 calBCE (7264±80 BP, OxA-16941, on Burial 20 - skull]</t>
  </si>
  <si>
    <t>U5a1c1</t>
  </si>
  <si>
    <t>I5402</t>
  </si>
  <si>
    <t>HJDK_15(1)</t>
  </si>
  <si>
    <t>S5402.E1.L1</t>
  </si>
  <si>
    <t>6361-6050 calBCE (7315±63 BP, OxA-16942, corrected for Freshwater Reservoir Effect)</t>
  </si>
  <si>
    <t>I5771</t>
  </si>
  <si>
    <t>VLSC_6</t>
  </si>
  <si>
    <t>S5771.E1.L1</t>
  </si>
  <si>
    <t>I4874</t>
  </si>
  <si>
    <t>VLSC_H232</t>
  </si>
  <si>
    <t>S4874.E1.L1</t>
  </si>
  <si>
    <t>6636-6476 calBCE (7725±40 BP, OxA-20702)</t>
  </si>
  <si>
    <t>I4655_published</t>
  </si>
  <si>
    <t>I4655</t>
  </si>
  <si>
    <t>SCCL_50</t>
  </si>
  <si>
    <t>S4655.E1.L1</t>
  </si>
  <si>
    <t>7060-6570 calBCE (7904±93 BP, OxA-8581)</t>
  </si>
  <si>
    <t>Schela Cladovei</t>
  </si>
  <si>
    <t>I5401</t>
  </si>
  <si>
    <t>HJDK_8</t>
  </si>
  <si>
    <t>S5401.E1.L1</t>
  </si>
  <si>
    <t>7076-6699 calBCE (8016±58 BP, OxA-13613, corrected for Freshwater Reservoir Effect)</t>
  </si>
  <si>
    <t>I4607</t>
  </si>
  <si>
    <t>SCCL_46/1</t>
  </si>
  <si>
    <t>S4607.E1.L2,S4607.E1.L3,S4607.E1.L4,S4607.E1.L5</t>
  </si>
  <si>
    <t>7340-6640 calBCE (8047±122 BP, OxA-4380)</t>
  </si>
  <si>
    <t>I4081</t>
  </si>
  <si>
    <t>OSTCOR1a+OSTCOR1b</t>
  </si>
  <si>
    <t>S4081.E1.L1,S4082.E1.L1</t>
  </si>
  <si>
    <t>H13</t>
  </si>
  <si>
    <t>I5236</t>
  </si>
  <si>
    <t>PADN_12</t>
  </si>
  <si>
    <t>S5236.E1.L1</t>
  </si>
  <si>
    <t>8290-7825 calBCE (8943±77 BP, BM-1146)</t>
  </si>
  <si>
    <t>I5235</t>
  </si>
  <si>
    <t>PADN_9</t>
  </si>
  <si>
    <t>S5235.E1.L1</t>
  </si>
  <si>
    <t xml:space="preserve">9221-8548 calBCE (9480±110 BP, AA-57771, corrected for Freshwater Reservoir Effect) </t>
  </si>
  <si>
    <t>I4871</t>
  </si>
  <si>
    <t>VLSC_80A</t>
  </si>
  <si>
    <t>S4871.E1.L1</t>
  </si>
  <si>
    <t>7100-5900 BCE</t>
  </si>
  <si>
    <t>I4872</t>
  </si>
  <si>
    <t>VLSC_9</t>
  </si>
  <si>
    <t>S4872.E1.L1</t>
  </si>
  <si>
    <t>I5772</t>
  </si>
  <si>
    <t>VLSC_16</t>
  </si>
  <si>
    <t>S5772.E1.L1</t>
  </si>
  <si>
    <t>I5411</t>
  </si>
  <si>
    <t>SCCL_12</t>
  </si>
  <si>
    <t>S5411.E1.L1</t>
  </si>
  <si>
    <t>7000-6300 BCE</t>
  </si>
  <si>
    <t>I5234</t>
  </si>
  <si>
    <t>PADN_6</t>
  </si>
  <si>
    <t>S5234.E1.L1</t>
  </si>
  <si>
    <t>9500-6200 BCE</t>
  </si>
  <si>
    <t>I5237</t>
  </si>
  <si>
    <t>PADN_14</t>
  </si>
  <si>
    <t>S5237.E1.L1</t>
  </si>
  <si>
    <t>I5407</t>
  </si>
  <si>
    <t>LEPI_126</t>
  </si>
  <si>
    <t>S5407.E1.L1</t>
  </si>
  <si>
    <t>8300-7400 BCE</t>
  </si>
  <si>
    <t>Lepenski Vir</t>
  </si>
  <si>
    <t>I0231</t>
  </si>
  <si>
    <t>Yamnaya_Samara</t>
  </si>
  <si>
    <t>Western_Steppe_EMBA</t>
  </si>
  <si>
    <t>bone (long bone),petrous</t>
  </si>
  <si>
    <t>S0231.E3.L1,S0231.E2.L1,S0231.E4.L1,S0231.E2.L2,S8281.E1.L1</t>
  </si>
  <si>
    <t>2921-2762 calBCE [2921-2762 calBCE (4260±30 BP, Beta-392487), 2913-2882 calBCE (4275±20 BP, PSUAMS-4279)]</t>
  </si>
  <si>
    <t>Samara, Southern Steppe, Ekaterinovka</t>
  </si>
  <si>
    <t>I6294</t>
  </si>
  <si>
    <t>Poltavka</t>
  </si>
  <si>
    <t>41, Grachevka II 2/1</t>
  </si>
  <si>
    <t>S6294.E1.L1</t>
  </si>
  <si>
    <t>2876-2666 calBCE (4160±20 BP, PSUAMS-2956)</t>
  </si>
  <si>
    <t>U5a1g</t>
  </si>
  <si>
    <t>I7671</t>
  </si>
  <si>
    <t>S7671.E1.L1</t>
  </si>
  <si>
    <t>2885-2680 calBCE (4185±20 BP, PSUAMS-4275)</t>
  </si>
  <si>
    <t>Samara Oblast, Volga River Valley, Bobrovka</t>
  </si>
  <si>
    <t>I8745</t>
  </si>
  <si>
    <t>Nikolaevka III K.1 B.3</t>
  </si>
  <si>
    <t>S8745.E1.L1</t>
  </si>
  <si>
    <t>2500-2200 BCE</t>
  </si>
  <si>
    <t>Samara Oblast, Volga River Valley, Nikolaevka Kurgan</t>
  </si>
  <si>
    <t>U4b</t>
  </si>
  <si>
    <t>I0442</t>
  </si>
  <si>
    <t>S0442.E1.L1</t>
  </si>
  <si>
    <t>2800-2000 BCE</t>
  </si>
  <si>
    <t>QUESTIONABLE (mtcontam=0.856)</t>
  </si>
  <si>
    <t>I0441</t>
  </si>
  <si>
    <t>SVP HB 54, K. 3, gr. 1</t>
  </si>
  <si>
    <t>S0441.E1.L1</t>
  </si>
  <si>
    <t>3010-2622 calBCE (4234±60 BP, AA-47805)</t>
  </si>
  <si>
    <t>Samara, Buzuluk, Kurmanaevka III</t>
  </si>
  <si>
    <t>I0438</t>
  </si>
  <si>
    <t>SVP HB 50, flat grave 5 (prisoner)</t>
  </si>
  <si>
    <t>S0438.E1.L1</t>
  </si>
  <si>
    <t>3021-2635 calBCE (4254±61 BP, AA-47807)</t>
  </si>
  <si>
    <t>Samara, Samara River, Luzkhi I</t>
  </si>
  <si>
    <t>I0444</t>
  </si>
  <si>
    <t>SVP HB 58, Site I</t>
  </si>
  <si>
    <t>S0444.E1.L1</t>
  </si>
  <si>
    <t>3335-2882 calBCE (4370±75 BP, AA-12570)</t>
  </si>
  <si>
    <t>Samara, Kutuluk, Kutuluk River</t>
  </si>
  <si>
    <t>I0429</t>
  </si>
  <si>
    <t>SVP HB 38, K. 30 (NOT 31), gr. 1</t>
  </si>
  <si>
    <t>S0429.E1.L1</t>
  </si>
  <si>
    <t xml:space="preserve">3339-2918 calBCE (4432±66 BP, AA-47804) </t>
  </si>
  <si>
    <t>Samara, Sok River, Lopatino</t>
  </si>
  <si>
    <t>I0357</t>
  </si>
  <si>
    <t>SVP5, Kurgan I</t>
  </si>
  <si>
    <t>S0357.E1.L1,S0428.E1.L1</t>
  </si>
  <si>
    <t>3090-2913 calBCE (4380±30 BP, Beta-392489)</t>
  </si>
  <si>
    <t>W6c</t>
  </si>
  <si>
    <t>I0439</t>
  </si>
  <si>
    <t>SVP HB 52, K. 1, gr. 1</t>
  </si>
  <si>
    <t>S0439.E1.L1</t>
  </si>
  <si>
    <t>3321-2921 calBCE (4420±30 BP, Beta-392491)</t>
  </si>
  <si>
    <t>I0370</t>
  </si>
  <si>
    <t>SVP HB 10, K. 3, gr. 1</t>
  </si>
  <si>
    <t>S0370.E1.L1</t>
  </si>
  <si>
    <t>3300-2700 BCE</t>
  </si>
  <si>
    <t>Samara, Eastern Orenburg, Pre-Ural steppe, Ishkinovka I</t>
  </si>
  <si>
    <t>H13a1a1</t>
  </si>
  <si>
    <t>I0443</t>
  </si>
  <si>
    <t>SVP57, Kurgan II</t>
  </si>
  <si>
    <t>S0443.E1.L1,S0443.E2.L1</t>
  </si>
  <si>
    <t>W3a1a</t>
  </si>
  <si>
    <t>I0371</t>
  </si>
  <si>
    <t>SVP11, 40.1, Grachevka II 1/1/1</t>
  </si>
  <si>
    <t>S0371.E1.L1,S0371.E2.L1,S0371.E2.L2,S6295.E1.L1</t>
  </si>
  <si>
    <t>2872-2583 calBCE (4130±30 BP, Beta-392488)</t>
  </si>
  <si>
    <t>U2d2</t>
  </si>
  <si>
    <t>I0440</t>
  </si>
  <si>
    <t>SVP53, Kurgan II</t>
  </si>
  <si>
    <t>S0440.E1.L1,S0440.E2.L1</t>
  </si>
  <si>
    <t>2887-2666 calBCE (4180±30 BP, Beta-392492)</t>
  </si>
  <si>
    <t>I3a</t>
  </si>
  <si>
    <t>I0126</t>
  </si>
  <si>
    <t>SVP HB 51, Kurgan 1, grave 1</t>
  </si>
  <si>
    <t>S0126.E1.L3</t>
  </si>
  <si>
    <t>2867-2486 calBCE (4081±54 BP, AA-53803)</t>
  </si>
  <si>
    <t>Samara, Kutuluk River, Kutuluk III</t>
  </si>
  <si>
    <t>H6a2</t>
  </si>
  <si>
    <t>I0374</t>
  </si>
  <si>
    <t>SVP16, NIK7</t>
  </si>
  <si>
    <t>S0374.E1.L1,S0374.E3.L2,S1449.E1.L1</t>
  </si>
  <si>
    <t>Samara, Samara River, Nikolaevka III</t>
  </si>
  <si>
    <t>I1029</t>
  </si>
  <si>
    <t>Sintashta_MLBA</t>
  </si>
  <si>
    <t>Western_Steppe_MLBA</t>
  </si>
  <si>
    <t>1008, kurgan 2, burial 8, skeleton 2</t>
  </si>
  <si>
    <t>S1029.E1.L1</t>
  </si>
  <si>
    <t>1973-1772 calBCE (3549±29 BP, OxA-12531)</t>
  </si>
  <si>
    <t>J1c5a</t>
  </si>
  <si>
    <t>I0984</t>
  </si>
  <si>
    <t>2023-1782 calBCE (3572±29 BP, OxA-12530)</t>
  </si>
  <si>
    <t>I0944</t>
  </si>
  <si>
    <t>Petrovka</t>
  </si>
  <si>
    <t>S0944.E1.L1,S0944.E3.L2</t>
  </si>
  <si>
    <t>2023-1744 calBCE (3540±52 BP, AA-90949)</t>
  </si>
  <si>
    <t>I0946</t>
  </si>
  <si>
    <t>bone (rib)</t>
  </si>
  <si>
    <t>S0946.E1.L1,S0946.E3.L2,S0946.E3.L1</t>
  </si>
  <si>
    <t>2130-1765 calBCE (3584±55 BP, AA-90948)</t>
  </si>
  <si>
    <t>I4774</t>
  </si>
  <si>
    <t>Aktogai_MLBA</t>
  </si>
  <si>
    <t>KZ-AKT-008, Object 7, Kurgan 4</t>
  </si>
  <si>
    <t>S4774.E1.L1</t>
  </si>
  <si>
    <t>1615-1509 calBCE (3285±20 BP, PSUAMS-2608)</t>
  </si>
  <si>
    <t>Aktogai</t>
  </si>
  <si>
    <t>I4773</t>
  </si>
  <si>
    <t>S4773.E1.L1</t>
  </si>
  <si>
    <t>1618-1513 calBCE (3290±20 BP, PSUAMS-2607)</t>
  </si>
  <si>
    <t>I4265</t>
  </si>
  <si>
    <t>S4265.E1.L1</t>
  </si>
  <si>
    <t>1640-1527 calBCE (3310±20 BP, PSUAMS-2511)</t>
  </si>
  <si>
    <t>I4264</t>
  </si>
  <si>
    <t>S4264.E1.L1</t>
  </si>
  <si>
    <t>1691-1528 calBCE (3335±30 BP, PSUAMS-2124)</t>
  </si>
  <si>
    <t>I3864</t>
  </si>
  <si>
    <t>Solyanka_MLBA</t>
  </si>
  <si>
    <t>S3864.E1.L1</t>
  </si>
  <si>
    <t>1728-1546 calBCE (3345±20 BP, PSUAMS-3183)</t>
  </si>
  <si>
    <t>I6048</t>
  </si>
  <si>
    <t>Priobrazhenka_MLBA</t>
  </si>
  <si>
    <t>S6048.E1.L1</t>
  </si>
  <si>
    <t>1729-1563 calBCE (3350±20 BP, PSUAMS-2918)</t>
  </si>
  <si>
    <t>I4567</t>
  </si>
  <si>
    <t>Kairan_MLBA</t>
  </si>
  <si>
    <t>S4567.E1.L1,S4567.E1.L2,S4567.E1.L3</t>
  </si>
  <si>
    <t>1743-1631 calBCE (3390±20 BP, PSUAMS-2545)</t>
  </si>
  <si>
    <t>I4568</t>
  </si>
  <si>
    <t>S4568.E1.L1,S4568.E1.L2,S4568.E1.L3</t>
  </si>
  <si>
    <t>1745-1636 calBCE (3395±20 BP, PSUAMS-2546)</t>
  </si>
  <si>
    <t>I4779</t>
  </si>
  <si>
    <t>S4779.E1.L1</t>
  </si>
  <si>
    <t>1745-1636 calBCE (3395±20 BP, PSUAMS-2939)</t>
  </si>
  <si>
    <t>I6793</t>
  </si>
  <si>
    <t>Maitan_MLBA_Alakul</t>
  </si>
  <si>
    <t>S6793.E1.L1</t>
  </si>
  <si>
    <t>1745-1636 calBCE (3395±20 BP, PSUAMS-2925)</t>
  </si>
  <si>
    <t>I4318</t>
  </si>
  <si>
    <t>S4318.E1.L1,S4320.E1.L1</t>
  </si>
  <si>
    <t>1767-1658 calBCE (3415±20 BP, PSUAMS-2961)</t>
  </si>
  <si>
    <t>I4776</t>
  </si>
  <si>
    <t>S4776.E1.L1</t>
  </si>
  <si>
    <t>1767-1658 calBCE (3415±20 BP, PSUAMS-2912)</t>
  </si>
  <si>
    <t>I6800</t>
  </si>
  <si>
    <t>Lisakovskiy_MLBA_Alakul</t>
  </si>
  <si>
    <t>S6800.E1.L1</t>
  </si>
  <si>
    <t>1767-1658 calBCE (3415±20 BP, PSUAMS-2942)</t>
  </si>
  <si>
    <t>Lisakovskiy</t>
  </si>
  <si>
    <t>I4263</t>
  </si>
  <si>
    <t>Karagash_MLBA</t>
  </si>
  <si>
    <t>S4263.E1.L1</t>
  </si>
  <si>
    <t>1861-1639 calBCE (3415±25 BP, PSUAMS-2123)</t>
  </si>
  <si>
    <t>Karagash 2</t>
  </si>
  <si>
    <t>I6788</t>
  </si>
  <si>
    <t>S6788.E1.L1</t>
  </si>
  <si>
    <t>1862-1664 calBCE (3425±20 BP, PSUAMS-2921)</t>
  </si>
  <si>
    <t>I6791</t>
  </si>
  <si>
    <t>S6791.E1.L1</t>
  </si>
  <si>
    <t>1862-1664 calBCE (3425±20 BP, PSUAMS-2923)</t>
  </si>
  <si>
    <t>I3767</t>
  </si>
  <si>
    <t>Ak_Moustafa_MLBA1</t>
  </si>
  <si>
    <t>AI-1, Kurgan 2</t>
  </si>
  <si>
    <t>S3767.E1.L1</t>
  </si>
  <si>
    <t>1869-1665 calBCE (3430±20 BP, PSUAMS-2496)</t>
  </si>
  <si>
    <t>Ak-Moustafa</t>
  </si>
  <si>
    <t>I6790</t>
  </si>
  <si>
    <t>S6790.E1.L1</t>
  </si>
  <si>
    <t>1872-1684 calBCE (3435±20 BP, PSUAMS-2980)</t>
  </si>
  <si>
    <t>I6797</t>
  </si>
  <si>
    <t>S6797.E1.L1</t>
  </si>
  <si>
    <t>1872-1684 calBCE (3435±20 BP, PSUAMS-2929)</t>
  </si>
  <si>
    <t>I6794</t>
  </si>
  <si>
    <t>S6794.E1.L1</t>
  </si>
  <si>
    <t>1876-1688 calBCE (3445±20 BP, PSUAMS-2926)</t>
  </si>
  <si>
    <t>U4b1a1a1</t>
  </si>
  <si>
    <t>I6789</t>
  </si>
  <si>
    <t>S6789.E1.L1</t>
  </si>
  <si>
    <t>1877-1693 calBCE (3455±20 BP, PSUAMS-2922)</t>
  </si>
  <si>
    <t>I1064</t>
  </si>
  <si>
    <t>1010, kurgan 2, burial 8, skeleton 4</t>
  </si>
  <si>
    <t>S1064.E1.L1</t>
  </si>
  <si>
    <t>1879-1694 calBCE (3460±20 BP, PSUAMS-2102)</t>
  </si>
  <si>
    <t>I4262</t>
  </si>
  <si>
    <t>S4262.E1.L1</t>
  </si>
  <si>
    <t>1881-1695 calBCE (3465±25 BP, PSUAMS-2122)</t>
  </si>
  <si>
    <t>I6796</t>
  </si>
  <si>
    <t>S6796.E1.L1</t>
  </si>
  <si>
    <t>1882-1748 calBCE (3485±20 BP, PSUAMS-2928)</t>
  </si>
  <si>
    <t>I1053</t>
  </si>
  <si>
    <t>S1053.E1.L1</t>
  </si>
  <si>
    <t>1922-1763 calBCE (3520±25 BP, PSUAMS-2064)</t>
  </si>
  <si>
    <t>I5761</t>
  </si>
  <si>
    <t>S5761.E1.L1</t>
  </si>
  <si>
    <t>1931-1772 calBCE (3530±20 BP, PSUAMS-3099)</t>
  </si>
  <si>
    <t>I1027</t>
  </si>
  <si>
    <t>S1085.E1.L1,S1027.E1.L1,S1087.E1.L1</t>
  </si>
  <si>
    <t>1962-1775 calBCE (3550±25 BP, PSUAMS-1954)</t>
  </si>
  <si>
    <t>I7670</t>
  </si>
  <si>
    <t>Grachyevka I, k. 1, sample 1</t>
  </si>
  <si>
    <t>S7670.E1.L1</t>
  </si>
  <si>
    <t>2121-1942 calBCE (3640±20 BP, PSUAMS-4274)</t>
  </si>
  <si>
    <t>I7209</t>
  </si>
  <si>
    <t>Corded_Ware_Czech_EN</t>
  </si>
  <si>
    <t>S7209.E1.L1</t>
  </si>
  <si>
    <t>2458-2207 calBCE (3850±25 BP, PSUAMS-4026)</t>
  </si>
  <si>
    <t>I7208</t>
  </si>
  <si>
    <t>S7208.E1.L1</t>
  </si>
  <si>
    <t>2464-2295 calBCE (3885±25 BP, PSUAMS-3888)</t>
  </si>
  <si>
    <t>I7207</t>
  </si>
  <si>
    <t>S7207.E1.L1</t>
  </si>
  <si>
    <t>2559-2340 calBCE (3935±25 BP, PSUAMS-3887)</t>
  </si>
  <si>
    <t>I0937</t>
  </si>
  <si>
    <t>S0937.E2.L2,S0937.E2.L1</t>
  </si>
  <si>
    <t>U5a1b1f</t>
  </si>
  <si>
    <t>I0938</t>
  </si>
  <si>
    <t>S0938.E2.L2,S0938.E2.L1</t>
  </si>
  <si>
    <t>I0939</t>
  </si>
  <si>
    <t>S0939.E2.L2,S0939.E2.L1</t>
  </si>
  <si>
    <t>I0942</t>
  </si>
  <si>
    <t>S0942.E2.L2,S0942.E2.L1</t>
  </si>
  <si>
    <t>I0943</t>
  </si>
  <si>
    <t>S0943.E2.L2,S0943.E2.L1</t>
  </si>
  <si>
    <t>I0982</t>
  </si>
  <si>
    <t>S0982.E2.L1</t>
  </si>
  <si>
    <t>I0986</t>
  </si>
  <si>
    <t>S0986.E2.L2,S0986.E2.L1</t>
  </si>
  <si>
    <t>I0989</t>
  </si>
  <si>
    <t>S0989.E2.L2,S0989.E2.L1</t>
  </si>
  <si>
    <t>I1003</t>
  </si>
  <si>
    <t>S1003.E2.L2,S1003.E2.L1</t>
  </si>
  <si>
    <t>I1006</t>
  </si>
  <si>
    <t>S1006.E2.L2,S1006.E2.L1</t>
  </si>
  <si>
    <t>I1008</t>
  </si>
  <si>
    <t>S1008.E2.L2,S1008.E2.L1</t>
  </si>
  <si>
    <t>I1011</t>
  </si>
  <si>
    <t>I1012</t>
  </si>
  <si>
    <t>I1013</t>
  </si>
  <si>
    <t>S1013.E2.L2,S1013.E2.L1</t>
  </si>
  <si>
    <t>I1018</t>
  </si>
  <si>
    <t>980, kurgan 2, burial 17, skeleton 2</t>
  </si>
  <si>
    <t>S1018.E1.L1</t>
  </si>
  <si>
    <t>I1019</t>
  </si>
  <si>
    <t>981, kurgan 2, burial 3</t>
  </si>
  <si>
    <t>S1019.E1.L1</t>
  </si>
  <si>
    <t>I1022</t>
  </si>
  <si>
    <t>985, kurgan 2, burial 12, skeleton 3</t>
  </si>
  <si>
    <t>S1022.E1.L1</t>
  </si>
  <si>
    <t>I1024</t>
  </si>
  <si>
    <t>S1024.E1.L1,S1026.E1.L1</t>
  </si>
  <si>
    <t>I1055</t>
  </si>
  <si>
    <t>952, kurgan 4, burial 2, skeleton 3</t>
  </si>
  <si>
    <t>S1055.E1.L1</t>
  </si>
  <si>
    <t>I1060</t>
  </si>
  <si>
    <t>968, kurgan 2, burial 10, skeleton 1</t>
  </si>
  <si>
    <t>S1060.E1.L1</t>
  </si>
  <si>
    <t>I1061</t>
  </si>
  <si>
    <t>S1061.E1.L1,S1061.E1.L2,S1061.E1.L3</t>
  </si>
  <si>
    <t>I1062</t>
  </si>
  <si>
    <t>975, kurgan 2, burial 11, skeleton 1</t>
  </si>
  <si>
    <t>S1062.E1.L1</t>
  </si>
  <si>
    <t>I1063</t>
  </si>
  <si>
    <t>1009, kurgan 2, burial 8, skeleton 3</t>
  </si>
  <si>
    <t>S1063.E1.L1</t>
  </si>
  <si>
    <t>I1065</t>
  </si>
  <si>
    <t>1016, kurgan 2, burial 5, skeleton 4</t>
  </si>
  <si>
    <t>S1065.E1.L1</t>
  </si>
  <si>
    <t>I1082</t>
  </si>
  <si>
    <t>983, kurgan 2, burial 12, skeleton 1</t>
  </si>
  <si>
    <t>S1082.E1.L1</t>
  </si>
  <si>
    <t>I1084</t>
  </si>
  <si>
    <t>991, kurgan 2, burial 7, skeleton 3</t>
  </si>
  <si>
    <t>S1084.E1.L1</t>
  </si>
  <si>
    <t>U2e2a</t>
  </si>
  <si>
    <t>I1086</t>
  </si>
  <si>
    <t>1005, kurgan 2, burial 9, skeleton 1</t>
  </si>
  <si>
    <t>S1086.E1.L1</t>
  </si>
  <si>
    <t>I1088</t>
  </si>
  <si>
    <t>1011, kurgan 2, burial 13</t>
  </si>
  <si>
    <t>S1088.E1.L1</t>
  </si>
  <si>
    <t>I1089</t>
  </si>
  <si>
    <t>1015, kurgan 2, burial 5, skeleton 3a</t>
  </si>
  <si>
    <t>S1089.E1.L1</t>
  </si>
  <si>
    <t>I1090</t>
  </si>
  <si>
    <t>1024, kurgan 4, burial 4</t>
  </si>
  <si>
    <t>S1090.E1.L1</t>
  </si>
  <si>
    <t>I7480</t>
  </si>
  <si>
    <t>S7480.E1.L1</t>
  </si>
  <si>
    <t>K2a5b</t>
  </si>
  <si>
    <t>I0987</t>
  </si>
  <si>
    <t>S0987.E2.L2,S0988.E2.L2</t>
  </si>
  <si>
    <t>S1014.E2.L1</t>
  </si>
  <si>
    <t>I0233</t>
  </si>
  <si>
    <t>Srubnaya</t>
  </si>
  <si>
    <t>S0233.E1.L2</t>
  </si>
  <si>
    <t>1850-1200 BCE</t>
  </si>
  <si>
    <t>Samara, Tatarstan oblast, forest-steppe zone, Novosel'ki</t>
  </si>
  <si>
    <t>I0945</t>
  </si>
  <si>
    <t>S0945.E3.L2,S0945.E3.L1</t>
  </si>
  <si>
    <t>2200-1700 BCE</t>
  </si>
  <si>
    <t>I10140</t>
  </si>
  <si>
    <t>S10140.E1.L1</t>
  </si>
  <si>
    <t>1400-1200 BCE</t>
  </si>
  <si>
    <t>S11542.E1.L1</t>
  </si>
  <si>
    <t>I11542</t>
  </si>
  <si>
    <t>Guruldek_LBA</t>
  </si>
  <si>
    <t>Guruldek</t>
  </si>
  <si>
    <t>QUESTIONABLE (mtcontam=0.892)</t>
  </si>
  <si>
    <t>I6695</t>
  </si>
  <si>
    <t>Corded_Ware_Czech</t>
  </si>
  <si>
    <t>S6695.E1.L1</t>
  </si>
  <si>
    <t>H2a3</t>
  </si>
  <si>
    <t>I6696</t>
  </si>
  <si>
    <t>S6696.E1.L1</t>
  </si>
  <si>
    <t>I0358</t>
  </si>
  <si>
    <t>S0358.E1.L1,S0358.E2.L1,S0358.E2.L2</t>
  </si>
  <si>
    <t>1906-1631 calBCE (3455±56 BP, AA-47808)</t>
  </si>
  <si>
    <t>I0232</t>
  </si>
  <si>
    <t>S0232.E3.L1,S0232.E2.L1,S0232.E4.L1,S0232.E4.L2</t>
  </si>
  <si>
    <t>U5a1f2</t>
  </si>
  <si>
    <t>I0359</t>
  </si>
  <si>
    <t>S0359.E1.L1,S0359.E2.L1,S0359.E2.L2</t>
  </si>
  <si>
    <t>U5a2a1</t>
  </si>
  <si>
    <t>I0361</t>
  </si>
  <si>
    <t>S0361.E1.L1,S0361.E2.L1,S0361.E2.L2</t>
  </si>
  <si>
    <t>H5b</t>
  </si>
  <si>
    <t>I0422</t>
  </si>
  <si>
    <t>S0422.E1.L1,S0422.E2.L1,S0422.E2.L2</t>
  </si>
  <si>
    <t>Samara, Samara River, Barinovka I</t>
  </si>
  <si>
    <t>I0424</t>
  </si>
  <si>
    <t>S0424.E1.L1,S0424.E2.L1,S0424.E2.L2</t>
  </si>
  <si>
    <t>1850-1600 BCE</t>
  </si>
  <si>
    <t>Samara, Samara River, Uvarovka I</t>
  </si>
  <si>
    <t>T2b4</t>
  </si>
  <si>
    <t>I0430</t>
  </si>
  <si>
    <t>S0430.E1.L1,S0430.E2.L1,S0430.E2.L2</t>
  </si>
  <si>
    <t>Samara, Samara River, Spiridonovka II</t>
  </si>
  <si>
    <t>I0431</t>
  </si>
  <si>
    <t>S0431.E1.L1,S0431.E2.L1,S0431.E2.L2</t>
  </si>
  <si>
    <t>I7279</t>
  </si>
  <si>
    <t>BRAN_74</t>
  </si>
  <si>
    <t>S7279.E1.L1</t>
  </si>
  <si>
    <t>H7d</t>
  </si>
  <si>
    <t>I7280</t>
  </si>
  <si>
    <t>BRAN_78</t>
  </si>
  <si>
    <t>S7280.E1.L1</t>
  </si>
  <si>
    <t>W5a</t>
  </si>
  <si>
    <t>I0049</t>
  </si>
  <si>
    <t>Corded_Ware_Germany</t>
  </si>
  <si>
    <t>ESP22</t>
  </si>
  <si>
    <t>S0049.L1,S0105.L1</t>
  </si>
  <si>
    <t>2464-2210 calBCE (3867±35 BP, MAMS-21489)</t>
  </si>
  <si>
    <t>X2b4</t>
  </si>
  <si>
    <t>plus,plus</t>
  </si>
  <si>
    <t>I0106</t>
  </si>
  <si>
    <t>ESP26</t>
  </si>
  <si>
    <t>aL0106</t>
  </si>
  <si>
    <t>2464-2210 calBCE (3867±32 BP, MAMS-21490)</t>
  </si>
  <si>
    <t>plus</t>
  </si>
  <si>
    <t>I0104</t>
  </si>
  <si>
    <t>ESP11</t>
  </si>
  <si>
    <t>S0104.L1,S0401.L1,S0402.L1</t>
  </si>
  <si>
    <t>2559-2296 calBCE (3927±37 BP, MAMS-21487)</t>
  </si>
  <si>
    <t>PASS (Xcontam=0.002)</t>
  </si>
  <si>
    <t>I0103</t>
  </si>
  <si>
    <t>ESP16</t>
  </si>
  <si>
    <t>S0103.L1,S0660.L1,S0661.L1</t>
  </si>
  <si>
    <t>2578-2468 calBCE (4000±31 BP, MAMS-21488)</t>
  </si>
  <si>
    <t>W6a</t>
  </si>
  <si>
    <t>plus,half,half</t>
  </si>
  <si>
    <t>I1539</t>
  </si>
  <si>
    <t>ESP25</t>
  </si>
  <si>
    <t>S1539.L1</t>
  </si>
  <si>
    <t>2625-2291 calBCE (3967±57 BP, Erl-7779)</t>
  </si>
  <si>
    <t>I0234</t>
  </si>
  <si>
    <t>SVP HB 25, K. 5, gr. 7</t>
  </si>
  <si>
    <t>S0234.E1.L2</t>
  </si>
  <si>
    <t>Samara, Samara Steppes, Rozhdestveno I</t>
  </si>
  <si>
    <t>I1a1</t>
  </si>
  <si>
    <t>I0235</t>
  </si>
  <si>
    <t>SVP26</t>
  </si>
  <si>
    <t>S0235.E1.L2,S0235.E2.L2</t>
  </si>
  <si>
    <t>I1532</t>
  </si>
  <si>
    <t>ESP8</t>
  </si>
  <si>
    <t>S1532.L1</t>
  </si>
  <si>
    <t>J1c2e</t>
  </si>
  <si>
    <t>I1534</t>
  </si>
  <si>
    <t>ESP14</t>
  </si>
  <si>
    <t>S1534.L1</t>
  </si>
  <si>
    <t>K1a1b2a</t>
  </si>
  <si>
    <t>I1536</t>
  </si>
  <si>
    <t>ESP17</t>
  </si>
  <si>
    <t>S1536.L1</t>
  </si>
  <si>
    <t>I1538</t>
  </si>
  <si>
    <t>ESP20</t>
  </si>
  <si>
    <t>S1538.L1</t>
  </si>
  <si>
    <t>I1542</t>
  </si>
  <si>
    <t>ESP33</t>
  </si>
  <si>
    <t>S1542.L1</t>
  </si>
  <si>
    <t>I1544</t>
  </si>
  <si>
    <t>ESP36</t>
  </si>
  <si>
    <t>S1544.L1</t>
  </si>
  <si>
    <t>K2b2</t>
  </si>
  <si>
    <t>I0360</t>
  </si>
  <si>
    <t>Srubnaya_1d.rel.I0354</t>
  </si>
  <si>
    <t>Western_Steppe_MLBA_1d.rel.I0354</t>
  </si>
  <si>
    <t>S0360.E1.L1,S0360.E2.L1,S0360.E2.L2</t>
  </si>
  <si>
    <t>2050-1650 BCE [1st degree relative of I0354 with date of BCE 2014-1692 calBCE (3517±56 BP, AA-47809)]</t>
  </si>
  <si>
    <t>I0421</t>
  </si>
  <si>
    <t>Srubnaya_1d.rel.I0430</t>
  </si>
  <si>
    <t>Western_Steppe_MLBA_1d.rel.I0430</t>
  </si>
  <si>
    <t>S0421.E1.L1,S0421.E2.L1,S0421.E2.L2</t>
  </si>
  <si>
    <t>I1010</t>
  </si>
  <si>
    <t>S1010.E2.L2,S1010.E2.L1</t>
  </si>
  <si>
    <t>P1</t>
  </si>
  <si>
    <t>I0940</t>
  </si>
  <si>
    <t>S0940.E2.L2,S0940.E2.L1</t>
  </si>
  <si>
    <t>I0985</t>
  </si>
  <si>
    <t>S0985.E2.L2,S0985.E2.L1</t>
  </si>
  <si>
    <t>I1054</t>
  </si>
  <si>
    <t>949, kurgan 4, burial 11, skeleton 4</t>
  </si>
  <si>
    <t>S1054.E1.L1</t>
  </si>
  <si>
    <t>1891-1746 calBCE (3495±25 BP, PSUAMS-1952)</t>
  </si>
  <si>
    <t>I4778</t>
  </si>
  <si>
    <t>Karagash_MLBA_father.or.son.I4262</t>
  </si>
  <si>
    <t>Western_Steppe_MLBA_father.or.son.I4262</t>
  </si>
  <si>
    <t>S4778.E1.L1</t>
  </si>
  <si>
    <t>1728-1546 calBCE (3345±20 BP, PSUAMS-2611)</t>
  </si>
  <si>
    <t>I5762</t>
  </si>
  <si>
    <t>Kairan_MLBA_LowCov</t>
  </si>
  <si>
    <t>Western_Steppe_MLBA_LowCov</t>
  </si>
  <si>
    <t>S5762.E1.L1</t>
  </si>
  <si>
    <t>1600-1500 BCE</t>
  </si>
  <si>
    <t>I5766</t>
  </si>
  <si>
    <t>Sosonivoy_HG</t>
  </si>
  <si>
    <t>WSHG</t>
  </si>
  <si>
    <t>S5766.E1.L1</t>
  </si>
  <si>
    <t>4230-3983 calBCE (5261±33 BP, OxA-33486)</t>
  </si>
  <si>
    <t>Siberia, Sosnoviy Ostrov</t>
  </si>
  <si>
    <t>U5a2b1</t>
  </si>
  <si>
    <t>I1960</t>
  </si>
  <si>
    <t>Tyumen_HG</t>
  </si>
  <si>
    <t>S1960.E1.L1</t>
  </si>
  <si>
    <t>6361-6071 calBCE [6335-6071 calBCE (7330±40 BP, Poz-82198), 6361-6086 calBCE (7355±40 BP, OxA-33489, d15N=+15.3 permil possible marine influence)]</t>
  </si>
  <si>
    <t>Siberia, western, Tyumen Oblast</t>
  </si>
  <si>
    <t>U2e3</t>
  </si>
  <si>
    <t>I1958</t>
  </si>
  <si>
    <t>S1958.E1.L1</t>
  </si>
  <si>
    <t>4723-4558 calBCE (5805±25 BP, PSUAMS-2359)</t>
  </si>
  <si>
    <t>S_Yadava-1.DG</t>
  </si>
  <si>
    <t>S_Yadava-1</t>
  </si>
  <si>
    <t>Yadava.DG</t>
  </si>
  <si>
    <t>H1b1a</t>
  </si>
  <si>
    <t>S_Yadava-2.DG</t>
  </si>
  <si>
    <t>S_Yadava-2</t>
  </si>
  <si>
    <t>WC1.SG</t>
  </si>
  <si>
    <t>BroushakiScience2016</t>
  </si>
  <si>
    <t>WC1</t>
  </si>
  <si>
    <t>Wezmeh_N.SG</t>
  </si>
  <si>
    <t>Zagros_N.SG</t>
  </si>
  <si>
    <t>n-10</t>
  </si>
  <si>
    <t>7455-7082 calBCE (8240±56 BP, UBA-25840)</t>
  </si>
  <si>
    <t>Wezmeh Cave, Central Zagros</t>
  </si>
  <si>
    <t>AH4.SG</t>
  </si>
  <si>
    <t>AH4</t>
  </si>
  <si>
    <t>Tepe_Abdul_Hosein_N.SG</t>
  </si>
  <si>
    <t>8204-7755 calBCE (8832±41 BP, MAMS-25473)</t>
  </si>
  <si>
    <t>Tepe Abdul Hosein, Central Zagros</t>
  </si>
  <si>
    <t>AH2.SG</t>
  </si>
  <si>
    <t>AH2</t>
  </si>
  <si>
    <t>19001-SK#1</t>
  </si>
  <si>
    <t>8205-7756 calBCE (8833±41 BP, MAMS-25472)</t>
  </si>
  <si>
    <t>AH1.SG</t>
  </si>
  <si>
    <t>AH1</t>
  </si>
  <si>
    <t>8200-7700 BCE [layer date based on 8205-7756 calBCE (8833±41 BP, MAMS-25472) and 8204-7755 calBCE (8832±41 BP, MAMS-25473)]</t>
  </si>
  <si>
    <t>I8508</t>
  </si>
  <si>
    <t>Zaman_Baba_BA</t>
  </si>
  <si>
    <t>S8508.E1.L1</t>
  </si>
  <si>
    <t>Zaman Baba</t>
  </si>
  <si>
    <t>This study</t>
  </si>
  <si>
    <t>This study (supplement of MathiesonNature2018)</t>
  </si>
  <si>
    <t>3307-2928 calBCE (4425±20 BP, PSUAMS-4944)</t>
  </si>
  <si>
    <t> 90.919186</t>
  </si>
  <si>
    <t>This study (supplement of Lazaridis Nature 2016)</t>
  </si>
  <si>
    <t>no 14C date</t>
  </si>
  <si>
    <t>6500-6250 BCE</t>
  </si>
  <si>
    <t>previously published 14C date</t>
  </si>
  <si>
    <t>This study (supplement of MathiesonNature2015 and HaakLazaridisNature2015)</t>
  </si>
  <si>
    <t>2926-2704 calBCE (4260±35 BP, Poz-83510)</t>
  </si>
  <si>
    <t>2913-2882 calBCE (4275±20 BP, PSUAMS-4279)</t>
  </si>
  <si>
    <t>2915-2878 calBCE (4270±25 BP, PSUAMS-2109)</t>
  </si>
  <si>
    <t>1740-1614 calBCE (3370±25 BP, PSUAMS-3910); 1686-1534 calBCE (3335±20 BP, PSUAMS-4254)</t>
  </si>
  <si>
    <t>3083-2916 calBCE (4375±20 BP, PSUAMS-2353); 3264-2929 calBCE (4420±20 BP, PSUAMS-2368)</t>
  </si>
  <si>
    <t>361-168 calBCE (2180±30 BP, PSUAMS-3984); 358-181 calBCE (2185±20 BP, PSUAMS-4424)</t>
  </si>
  <si>
    <t>357-171 calBCE (2175±20 BP, PSUAMS-3761); 361-202 calBCE (2205±20 BP, PSUAMS-4425)</t>
  </si>
  <si>
    <t>6335-6071 calBCE (7330±40 BP, Poz-82198); 6361-6086 calBCE (7355±40 BP, OxA-33489, d15N=+15.3 permil possible marine influence)</t>
  </si>
  <si>
    <t>S1951.E1.L3</t>
  </si>
  <si>
    <t>S8281.E1.L1</t>
  </si>
  <si>
    <t>S1947.E1.L1</t>
  </si>
  <si>
    <t>S1947.E1.L2</t>
  </si>
  <si>
    <t>S1947.E1.L3</t>
  </si>
  <si>
    <t>S1954.E1.L1</t>
  </si>
  <si>
    <t>S1954.E1.L2</t>
  </si>
  <si>
    <t>S1954.E1.L3</t>
  </si>
  <si>
    <t>S1946.E1.L2</t>
  </si>
  <si>
    <t>S1946.E1.L3</t>
  </si>
  <si>
    <t>S1952.E1.L1</t>
  </si>
  <si>
    <t>S1952.E1.L2</t>
  </si>
  <si>
    <t>S4349.E1.L1</t>
  </si>
  <si>
    <t>S4352.E1.L1</t>
  </si>
  <si>
    <t>S2328.E1.L2</t>
  </si>
  <si>
    <t>S2328.E1.L3</t>
  </si>
  <si>
    <t>S2328.E1.L4</t>
  </si>
  <si>
    <t>S2328.E1.L5</t>
  </si>
  <si>
    <t>S2323.E1.L2</t>
  </si>
  <si>
    <t>S2323.E1.L3</t>
  </si>
  <si>
    <t>S2323.E1.L4</t>
  </si>
  <si>
    <t>S2323.E1.L5</t>
  </si>
  <si>
    <t>S2327.E1.L2</t>
  </si>
  <si>
    <t>S2327.E1.L3</t>
  </si>
  <si>
    <t>S2327.E1.L4</t>
  </si>
  <si>
    <t>S2327.E1.L5</t>
  </si>
  <si>
    <t>S2922.E1.L1</t>
  </si>
  <si>
    <t>S2922.E1.L2</t>
  </si>
  <si>
    <t>S2922.E1.L3</t>
  </si>
  <si>
    <t>S2927.E1.L1</t>
  </si>
  <si>
    <t>S2927.E1.L2</t>
  </si>
  <si>
    <t>S2927.E1.L3</t>
  </si>
  <si>
    <t>S2928.E1.L1</t>
  </si>
  <si>
    <t>S2928.E1.L2</t>
  </si>
  <si>
    <t>S2928.E1.L3</t>
  </si>
  <si>
    <t>S2512.E1.L1</t>
  </si>
  <si>
    <t>S2512.E1.L2</t>
  </si>
  <si>
    <t>S2512.E1.L3</t>
  </si>
  <si>
    <t>S2337.E1.L2</t>
  </si>
  <si>
    <t>S2337.E1.L4</t>
  </si>
  <si>
    <t>S2337.E1.L5</t>
  </si>
  <si>
    <t>S2921.E1.L1</t>
  </si>
  <si>
    <t>S2918.E1.L1</t>
  </si>
  <si>
    <t>S2918.E1.L2</t>
  </si>
  <si>
    <t>S2918.E1.L3</t>
  </si>
  <si>
    <t>S2335.E1.L2</t>
  </si>
  <si>
    <t>S2335.E1.L4</t>
  </si>
  <si>
    <t>S1932.E1.L1</t>
  </si>
  <si>
    <t>S1931.E1.L1</t>
  </si>
  <si>
    <t>S3448.E1.L1</t>
  </si>
  <si>
    <t>S3448.E1.L3</t>
  </si>
  <si>
    <t>S3448.E1.L2</t>
  </si>
  <si>
    <t>S4567.E1.L1</t>
  </si>
  <si>
    <t>S4567.E1.L2</t>
  </si>
  <si>
    <t>S4567.E1.L3</t>
  </si>
  <si>
    <t>S4568.E1.L1</t>
  </si>
  <si>
    <t>S4568.E1.L2</t>
  </si>
  <si>
    <t>S4568.E1.L3</t>
  </si>
  <si>
    <t>S4318.E1.L1</t>
  </si>
  <si>
    <t>S4320.E1.L1</t>
  </si>
  <si>
    <t>S4780.E1.L1</t>
  </si>
  <si>
    <t>S4780.E1.L2</t>
  </si>
  <si>
    <t>S4780.E1.L3</t>
  </si>
  <si>
    <t>S4780.E1.L4</t>
  </si>
  <si>
    <t>S4780.E1.L5</t>
  </si>
  <si>
    <t>S4780.E1.L6</t>
  </si>
  <si>
    <t>S4789.E1.L1</t>
  </si>
  <si>
    <t>S7058.E1.L1</t>
  </si>
  <si>
    <t>S3456.E1.L1</t>
  </si>
  <si>
    <t>S3456.E1.L2</t>
  </si>
  <si>
    <t>S8218.E1.L1</t>
  </si>
  <si>
    <t>S8244.E1.L1</t>
  </si>
  <si>
    <t>S8218.E1.L2</t>
  </si>
  <si>
    <t>S8244.E1.L2</t>
  </si>
  <si>
    <t>S8220.E1.L1</t>
  </si>
  <si>
    <t>S8220.E1.L2</t>
  </si>
  <si>
    <t>S6894.E1.L1</t>
  </si>
  <si>
    <t>S6895.E1.L1</t>
  </si>
  <si>
    <t>S1808.E1.L1</t>
  </si>
  <si>
    <t>S1808.E1.L2</t>
  </si>
  <si>
    <t>S1808.E1.L3</t>
  </si>
  <si>
    <t>S1805.E1.L1</t>
  </si>
  <si>
    <t>S1805.E1.L2</t>
  </si>
  <si>
    <t>S1805.E1.L3</t>
  </si>
  <si>
    <t>S2960.E1.L2</t>
  </si>
  <si>
    <t>S2961.E1.L1</t>
  </si>
  <si>
    <t>S2961.E1.L2</t>
  </si>
  <si>
    <t>S2961.E1.L3</t>
  </si>
  <si>
    <t>S1994.E1.L1</t>
  </si>
  <si>
    <t>S1994.E1.L2</t>
  </si>
  <si>
    <t>S1994.E1.L3</t>
  </si>
  <si>
    <t>S1985.E1.L1</t>
  </si>
  <si>
    <t>S1985.E1.L2</t>
  </si>
  <si>
    <t>S1992.E1.L1</t>
  </si>
  <si>
    <t>S1992.E1.L2</t>
  </si>
  <si>
    <t>S1992.E1.L3</t>
  </si>
  <si>
    <t>S8195.E1.L1</t>
  </si>
  <si>
    <t>S6194.E1.L1</t>
  </si>
  <si>
    <t>S7725.E1.L1</t>
  </si>
  <si>
    <t>S6197.E1.L1</t>
  </si>
  <si>
    <t>S8192.E1.L1</t>
  </si>
  <si>
    <t>S3260.E1.L2</t>
  </si>
  <si>
    <t>S3261.E1.L1</t>
  </si>
  <si>
    <t>S6898.E1.L1</t>
  </si>
  <si>
    <t>S3262.E1.L1</t>
  </si>
  <si>
    <t>S3262.E1.L2</t>
  </si>
  <si>
    <t>S7566.E1.L1</t>
  </si>
  <si>
    <t>S8191.E1.L1</t>
  </si>
  <si>
    <t>S1799.E1.L2</t>
  </si>
  <si>
    <t>S3952.E1.L1</t>
  </si>
  <si>
    <t>S3953.E1.L1</t>
  </si>
  <si>
    <t>S3387.E1.L3</t>
  </si>
  <si>
    <t>S6164.E1.L1</t>
  </si>
  <si>
    <t>S0944.E1.L1</t>
  </si>
  <si>
    <t>S0944.E3.L2</t>
  </si>
  <si>
    <t>S0946.E1.L1</t>
  </si>
  <si>
    <t>S0946.E3.L2</t>
  </si>
  <si>
    <t>S0946.E3.L1</t>
  </si>
  <si>
    <t>S0945.E3.L2</t>
  </si>
  <si>
    <t>S0945.E3.L1</t>
  </si>
  <si>
    <t>S0244.E1.L3</t>
  </si>
  <si>
    <t>S7481.E1.L1</t>
  </si>
  <si>
    <t>S0987.E2.L2</t>
  </si>
  <si>
    <t>S0988.E2.L2</t>
  </si>
  <si>
    <t>S0984.E2.L2</t>
  </si>
  <si>
    <t>S1025.E1.L1</t>
  </si>
  <si>
    <t>S0984.E2.L1</t>
  </si>
  <si>
    <t>S1085.E1.L1</t>
  </si>
  <si>
    <t>S1027.E1.L1</t>
  </si>
  <si>
    <t>S1087.E1.L1</t>
  </si>
  <si>
    <t>S0937.E2.L2</t>
  </si>
  <si>
    <t>S0937.E2.L1</t>
  </si>
  <si>
    <t>S0938.E2.L2</t>
  </si>
  <si>
    <t>S0938.E2.L1</t>
  </si>
  <si>
    <t>S0939.E2.L2</t>
  </si>
  <si>
    <t>S0939.E2.L1</t>
  </si>
  <si>
    <t>S0942.E2.L2</t>
  </si>
  <si>
    <t>S0942.E2.L1</t>
  </si>
  <si>
    <t>S0943.E2.L2</t>
  </si>
  <si>
    <t>S0943.E2.L1</t>
  </si>
  <si>
    <t>S0986.E2.L2</t>
  </si>
  <si>
    <t>S0986.E2.L1</t>
  </si>
  <si>
    <t>S0989.E2.L2</t>
  </si>
  <si>
    <t>S0989.E2.L1</t>
  </si>
  <si>
    <t>S1003.E2.L2</t>
  </si>
  <si>
    <t>S1003.E2.L1</t>
  </si>
  <si>
    <t>S1006.E2.L2</t>
  </si>
  <si>
    <t>S1006.E2.L1</t>
  </si>
  <si>
    <t>S1008.E2.L2</t>
  </si>
  <si>
    <t>S1008.E2.L1</t>
  </si>
  <si>
    <t>S1011.E2.L2</t>
  </si>
  <si>
    <t>S1059.E1.L1</t>
  </si>
  <si>
    <t>S1011.E2.L1</t>
  </si>
  <si>
    <t>S1012.E2.L2</t>
  </si>
  <si>
    <t>S1014.E2.L2</t>
  </si>
  <si>
    <t>S1012.E2.L1</t>
  </si>
  <si>
    <t>S1013.E2.L2</t>
  </si>
  <si>
    <t>S1013.E2.L1</t>
  </si>
  <si>
    <t>S1024.E1.L1</t>
  </si>
  <si>
    <t>S1026.E1.L1</t>
  </si>
  <si>
    <t>S1061.E1.L1</t>
  </si>
  <si>
    <t>S1061.E1.L2</t>
  </si>
  <si>
    <t>S1061.E1.L3</t>
  </si>
  <si>
    <t>S1010.E2.L2</t>
  </si>
  <si>
    <t>S1010.E2.L1</t>
  </si>
  <si>
    <t>S0940.E2.L2</t>
  </si>
  <si>
    <t>S0940.E2.L1</t>
  </si>
  <si>
    <t>S0985.E2.L2</t>
  </si>
  <si>
    <t>S0985.E2.L1</t>
  </si>
  <si>
    <t>S0980.E2.L2</t>
  </si>
  <si>
    <t>S0980.E2.L1</t>
  </si>
  <si>
    <t>S0983.E2.L2</t>
  </si>
  <si>
    <t>S0983.E2.L1</t>
  </si>
  <si>
    <t>S1007.E2.L2</t>
  </si>
  <si>
    <t>S1007.E2.L1</t>
  </si>
  <si>
    <t>S1081.E1.L1</t>
  </si>
  <si>
    <t>S1028.E1.L1</t>
  </si>
  <si>
    <t>S0941.E2.L2</t>
  </si>
  <si>
    <t>S1015.E2.L2</t>
  </si>
  <si>
    <t>S0941.E2.L1</t>
  </si>
  <si>
    <t>S4290.E1.L1</t>
  </si>
  <si>
    <t>S4290.E1.L2</t>
  </si>
  <si>
    <t>S4290.E1.L3</t>
  </si>
  <si>
    <t>S4290.E1.L4</t>
  </si>
  <si>
    <t>S4290.E1.L5</t>
  </si>
  <si>
    <t>S1781.E1.L1</t>
  </si>
  <si>
    <t>S1781.E1.L2</t>
  </si>
  <si>
    <t>S1781.E1.L3</t>
  </si>
  <si>
    <t>S2085.E1.L1</t>
  </si>
  <si>
    <t>S2085.E1.L2</t>
  </si>
  <si>
    <t>S2085.E1.L3</t>
  </si>
  <si>
    <t>S2116.E1.L1</t>
  </si>
  <si>
    <t>S2116.E1.L2</t>
  </si>
  <si>
    <t>S2116.E1.L3</t>
  </si>
  <si>
    <t>S3374.E1.L1</t>
  </si>
  <si>
    <t>S3374.E1.L2</t>
  </si>
  <si>
    <t>S3374.E1.L3</t>
  </si>
  <si>
    <t>S1788.E1.L1</t>
  </si>
  <si>
    <t>S1788.E1.L2</t>
  </si>
  <si>
    <t>S1788.E1.L3</t>
  </si>
  <si>
    <t>S1790.E1.L1</t>
  </si>
  <si>
    <t>S1790.E1.L2</t>
  </si>
  <si>
    <t>S1790.E1.L3</t>
  </si>
  <si>
    <t>S2125.E1.L1</t>
  </si>
  <si>
    <t>S2125.E1.L2</t>
  </si>
  <si>
    <t>S2125.E1.L3</t>
  </si>
  <si>
    <t>S1787.E1.L1</t>
  </si>
  <si>
    <t>S1787.E1.L2</t>
  </si>
  <si>
    <t>S1793.E1.L1</t>
  </si>
  <si>
    <t>S1793.E1.L2</t>
  </si>
  <si>
    <t>S1793.E1.L3</t>
  </si>
  <si>
    <t>S2087.E1.L1</t>
  </si>
  <si>
    <t>S2087.E1.L2</t>
  </si>
  <si>
    <t>S2087.E1.L3</t>
  </si>
  <si>
    <t>S2128.E1.L1</t>
  </si>
  <si>
    <t>S2128.E1.L2</t>
  </si>
  <si>
    <t>S2128.E1.L3</t>
  </si>
  <si>
    <t>S2121.E1.L1</t>
  </si>
  <si>
    <t>S2121.E1.L2</t>
  </si>
  <si>
    <t>S2121.E1.L3</t>
  </si>
  <si>
    <t>S1782.E1.L1</t>
  </si>
  <si>
    <t>S1782.E1.L2</t>
  </si>
  <si>
    <t>S1782.E1.L3</t>
  </si>
  <si>
    <t>S1783.E1.L2</t>
  </si>
  <si>
    <t>S1783.E1.L3</t>
  </si>
  <si>
    <t>S1792.E1.L1</t>
  </si>
  <si>
    <t>S1792.E1.L2</t>
  </si>
  <si>
    <t>S1792.E1.L3</t>
  </si>
  <si>
    <t>S2122.E1.L1</t>
  </si>
  <si>
    <t>S2122.E1.L2</t>
  </si>
  <si>
    <t>S2122.E1.L3</t>
  </si>
  <si>
    <t>S1789.E1.L1</t>
  </si>
  <si>
    <t>S1789.E1.L2</t>
  </si>
  <si>
    <t>S1789.E1.L3</t>
  </si>
  <si>
    <t>S2123.E1.L1</t>
  </si>
  <si>
    <t>S2123.E1.L2</t>
  </si>
  <si>
    <t>S2123.E1.L3</t>
  </si>
  <si>
    <t>S2312.E1.L1</t>
  </si>
  <si>
    <t>S2312.E1.L7</t>
  </si>
  <si>
    <t>S1944.E1.L2</t>
  </si>
  <si>
    <t>S1944.E1.L3</t>
  </si>
  <si>
    <t>S1945.E1.L2</t>
  </si>
  <si>
    <t>S1945.E1.L3</t>
  </si>
  <si>
    <t>S1949.E1.L2</t>
  </si>
  <si>
    <t>S1949.E1.L3</t>
  </si>
  <si>
    <t>S0419.E3.L1</t>
  </si>
  <si>
    <t>S0419.E3.L2</t>
  </si>
  <si>
    <t>S0246.E2.L1</t>
  </si>
  <si>
    <t>S0246.E2.L2</t>
  </si>
  <si>
    <t>S0232.E4.L1</t>
  </si>
  <si>
    <t>S0232.E4.L2</t>
  </si>
  <si>
    <t>S0359.E2.L1</t>
  </si>
  <si>
    <t>S0359.E2.L2</t>
  </si>
  <si>
    <t>S0361.E2.L1</t>
  </si>
  <si>
    <t>S0361.E2.L2</t>
  </si>
  <si>
    <t>S0422.E2.L1</t>
  </si>
  <si>
    <t>S0422.E2.L2</t>
  </si>
  <si>
    <t>S0424.E2.L1</t>
  </si>
  <si>
    <t>S0424.E2.L2</t>
  </si>
  <si>
    <t>S0430.E2.L1</t>
  </si>
  <si>
    <t>S0430.E2.L2</t>
  </si>
  <si>
    <t>S0431.E2.L1</t>
  </si>
  <si>
    <t>S0431.E2.L2</t>
  </si>
  <si>
    <t>S0358.E2.L1</t>
  </si>
  <si>
    <t>S0358.E2.L2</t>
  </si>
  <si>
    <t>S0360.E2.L1</t>
  </si>
  <si>
    <t>S0360.E2.L2</t>
  </si>
  <si>
    <t>S0421.E2.L1</t>
  </si>
  <si>
    <t>S0421.E2.L2</t>
  </si>
  <si>
    <t>S0354.E3.L1</t>
  </si>
  <si>
    <t>S0354.E3.L2</t>
  </si>
  <si>
    <t>S1985.E1.L1,S1995.E1.L1,S1985.E1.L2</t>
  </si>
  <si>
    <t>S2516.E1.L2</t>
  </si>
  <si>
    <t>UDG treatment</t>
  </si>
  <si>
    <t>T2c2</t>
  </si>
  <si>
    <t>T2c1</t>
  </si>
  <si>
    <t>H or H5-C16192T</t>
  </si>
  <si>
    <t>K1a or K1a6</t>
  </si>
  <si>
    <t>G2b2</t>
  </si>
  <si>
    <t>K(xLT)</t>
  </si>
  <si>
    <t>C1b</t>
  </si>
  <si>
    <t>J(xJ2a1b3,J2b2a1a1)</t>
  </si>
  <si>
    <t>E1b1</t>
  </si>
  <si>
    <t>CT(xE,G,J,LT,R,Q1a,Q1b)</t>
  </si>
  <si>
    <t>R1b1a1</t>
  </si>
  <si>
    <t>T(xT1a1,T1a2a)</t>
  </si>
  <si>
    <t>X2d1</t>
  </si>
  <si>
    <t>E1b1a2</t>
  </si>
  <si>
    <t>U4a2 or U4d</t>
  </si>
  <si>
    <t>K1a or K1a1</t>
  </si>
  <si>
    <t>G2a2b2a3</t>
  </si>
  <si>
    <t>H1 or H1au1b</t>
  </si>
  <si>
    <t>R1b1a(xR1b1a1a</t>
  </si>
  <si>
    <t>R1b1a1a(xR1b1a1a2)</t>
  </si>
  <si>
    <t>I2a2a1</t>
  </si>
  <si>
    <t>I2a2a</t>
  </si>
  <si>
    <t>R1b1a(xR1b1a1</t>
  </si>
  <si>
    <t>I2a2a2</t>
  </si>
  <si>
    <t>J1c10</t>
  </si>
  <si>
    <t>U4a1a or U4a1d</t>
  </si>
  <si>
    <t>M4</t>
  </si>
  <si>
    <t>T2g</t>
  </si>
  <si>
    <t>brothers</t>
  </si>
  <si>
    <t>father-son</t>
  </si>
  <si>
    <t>father-mother-son</t>
  </si>
  <si>
    <t>mother-daughter</t>
  </si>
  <si>
    <t>mother-son</t>
  </si>
  <si>
    <t>1d.or.2d.relative</t>
  </si>
  <si>
    <t>father-son-son</t>
  </si>
  <si>
    <t>father-son-order-unknown</t>
  </si>
  <si>
    <t>Relatives</t>
  </si>
  <si>
    <t>Family</t>
  </si>
  <si>
    <t>Individual1</t>
  </si>
  <si>
    <t>Individual2</t>
  </si>
  <si>
    <t>Individual3</t>
  </si>
  <si>
    <t>Yes</t>
  </si>
  <si>
    <t>Individual4</t>
  </si>
  <si>
    <t>Individual5</t>
  </si>
  <si>
    <t>sister.of.father-father-mother-son-son</t>
  </si>
  <si>
    <t>2700-2600 BCE [mate of I3950 at 2878-2636 calBCE (4160±25 BP, PSUAMS-1955), mother of I3951 at 2879-2639 calBCE (4165±25 BP, PSUAMS-1956), mother of I6714 at 2617-2472 calBCE (4020±25 BP, PSUAMS-3909)]</t>
  </si>
  <si>
    <t>Middle Yenisei region, Afanasieva Gora</t>
  </si>
  <si>
    <t>2950-2600 BCE [sibling of RISE511 who is directly dated]</t>
  </si>
  <si>
    <t>brother.of.mother-mother-son</t>
  </si>
  <si>
    <t>2d.or.3d.relatives(all.pairs)</t>
  </si>
  <si>
    <t>HajjiFiruz.3person.family</t>
  </si>
  <si>
    <t>Kumsay.4person.family</t>
  </si>
  <si>
    <t>Esperstedt.4person.family</t>
  </si>
  <si>
    <t>GanjDareh.3person.family</t>
  </si>
  <si>
    <t>Butkara.3person.family</t>
  </si>
  <si>
    <t>Loebanr.3person.familyA</t>
  </si>
  <si>
    <t>Loebanr.3person.familyB</t>
  </si>
  <si>
    <t>Loebanr.3person.familyC</t>
  </si>
  <si>
    <t>AfanasievaGora.5person.family</t>
  </si>
  <si>
    <t>2900-2500 BCE</t>
  </si>
  <si>
    <t>KamennyiAmbar.3person.family</t>
  </si>
  <si>
    <t>1650-1400 BCE [context from radiocarbon dates of two other skeletons from the same graveyard]</t>
  </si>
  <si>
    <t>Oy-Dzhaylau III</t>
  </si>
  <si>
    <t>1900-1600 BCE [layer date of another sample from the same grave at 1871-1636 calBCE (3420±30 BP, Beta-391199)]</t>
  </si>
  <si>
    <t>2465-1981 calBCE [2341-1981 calBCE (3752±52 BP, AA-53806), 2465-2054 calBCE (3815±60 BP, Le-6545)]</t>
  </si>
  <si>
    <t>Lab Number</t>
  </si>
  <si>
    <t>Material</t>
  </si>
  <si>
    <t>Process</t>
  </si>
  <si>
    <t>fraction Modern</t>
  </si>
  <si>
    <t>±</t>
  </si>
  <si>
    <t>%C</t>
  </si>
  <si>
    <t>%N</t>
  </si>
  <si>
    <t>C:N</t>
  </si>
  <si>
    <t>2σ low</t>
  </si>
  <si>
    <t>2σ high</t>
  </si>
  <si>
    <t>PSUAMS-3231</t>
  </si>
  <si>
    <t>XAD amino acids</t>
  </si>
  <si>
    <t>PSUAMS-3230</t>
  </si>
  <si>
    <t>PSUAMS-3229</t>
  </si>
  <si>
    <t>PSUAMS-3228</t>
  </si>
  <si>
    <t>PSUAMS-3227</t>
  </si>
  <si>
    <t>PSUAMS-3183</t>
  </si>
  <si>
    <t>PSUAMS-3122</t>
  </si>
  <si>
    <t>&gt;30kDa gelatin</t>
  </si>
  <si>
    <t>PSUAMS-3121</t>
  </si>
  <si>
    <t>PSUAMS-3120</t>
  </si>
  <si>
    <t>PSUAMS-3117</t>
  </si>
  <si>
    <t>PSUAMS-3115</t>
  </si>
  <si>
    <t>PSUAMS-3106</t>
  </si>
  <si>
    <t>PSUAMS-3099</t>
  </si>
  <si>
    <t>PSUAMS-2998</t>
  </si>
  <si>
    <t>PSUAMS-2991</t>
  </si>
  <si>
    <t>PSUAMS-2981</t>
  </si>
  <si>
    <t>PSUAMS-2980</t>
  </si>
  <si>
    <t>PSUAMS-2978</t>
  </si>
  <si>
    <t>PSUAMS-2964</t>
  </si>
  <si>
    <t>PSUAMS-2963</t>
  </si>
  <si>
    <t>PSUAMS-2962</t>
  </si>
  <si>
    <t>PSUAMS-2961</t>
  </si>
  <si>
    <t>PSUAMS-2960</t>
  </si>
  <si>
    <t>PSUAMS-2951</t>
  </si>
  <si>
    <t>PSUAMS-2950</t>
  </si>
  <si>
    <t>PSUAMS-2942</t>
  </si>
  <si>
    <t>PSUAMS-2940</t>
  </si>
  <si>
    <t>PSUAMS-2939</t>
  </si>
  <si>
    <t>PSUAMS-2929</t>
  </si>
  <si>
    <t>&gt;30 kDa gelatin</t>
  </si>
  <si>
    <t>PSUAMS-2928</t>
  </si>
  <si>
    <t>PSUAMS-2927</t>
  </si>
  <si>
    <t>PSUAMS-2926</t>
  </si>
  <si>
    <t>PSUAMS-2925</t>
  </si>
  <si>
    <t>PSUAMS-2924</t>
  </si>
  <si>
    <t>PSUAMS-2923</t>
  </si>
  <si>
    <t>PSUAMS-2922</t>
  </si>
  <si>
    <t>PSUAMS-2921</t>
  </si>
  <si>
    <t>PSUAMS-2918</t>
  </si>
  <si>
    <t>PSUAMS-2917</t>
  </si>
  <si>
    <t>PSUAMS-2916</t>
  </si>
  <si>
    <t>PSUAMS-2915</t>
  </si>
  <si>
    <t>PSUAMS-2913</t>
  </si>
  <si>
    <t>PSUAMS-2912</t>
  </si>
  <si>
    <t>PSUAMS-2865</t>
  </si>
  <si>
    <t>PSUAMS-2841</t>
  </si>
  <si>
    <t>PSUAMS-2840</t>
  </si>
  <si>
    <t>PSUAMS-2806</t>
  </si>
  <si>
    <t>PSUAMS-2804</t>
  </si>
  <si>
    <t>PSUAMS-2800</t>
  </si>
  <si>
    <t>PSUAMS-2799</t>
  </si>
  <si>
    <t>PSUAMS-2798</t>
  </si>
  <si>
    <t>PSUAMS-2797</t>
  </si>
  <si>
    <t>PSUAMS-2796</t>
  </si>
  <si>
    <t>PSUAMS-2795</t>
  </si>
  <si>
    <t>PSUAMS-2794</t>
  </si>
  <si>
    <t>PSUAMS-2793</t>
  </si>
  <si>
    <t>PSUAMS-2792</t>
  </si>
  <si>
    <t>PSUAMS-2791</t>
  </si>
  <si>
    <t>PSUAMS-2790</t>
  </si>
  <si>
    <t>PSUAMS-2789</t>
  </si>
  <si>
    <t>PSUAMS-2788</t>
  </si>
  <si>
    <t>PSUAMS-2787</t>
  </si>
  <si>
    <t>PSUAMS-2786</t>
  </si>
  <si>
    <t>PSUAMS-2774</t>
  </si>
  <si>
    <t>PSUAMS-2632</t>
  </si>
  <si>
    <t>PSUAMS-2624</t>
  </si>
  <si>
    <t>PSUAMS-2614</t>
  </si>
  <si>
    <t>PSUAMS-2613</t>
  </si>
  <si>
    <t>PSUAMS-2612</t>
  </si>
  <si>
    <t>PSUAMS-2611</t>
  </si>
  <si>
    <t>PSUAMS-2608</t>
  </si>
  <si>
    <t>PSUAMS-2607</t>
  </si>
  <si>
    <t>PSUAMS-2548</t>
  </si>
  <si>
    <t>PSUAMS-2547</t>
  </si>
  <si>
    <t>PSUAMS-2546</t>
  </si>
  <si>
    <t>PSUAMS-2545</t>
  </si>
  <si>
    <t>PSUAMS-2544</t>
  </si>
  <si>
    <t>PSUAMS-2543</t>
  </si>
  <si>
    <t>PSUAMS-2540</t>
  </si>
  <si>
    <t>PSUAMS-2536</t>
  </si>
  <si>
    <t>PSUAMS-2518</t>
  </si>
  <si>
    <t>PSUAMS-2517</t>
  </si>
  <si>
    <t>PSUAMS-2516</t>
  </si>
  <si>
    <t>PSUAMS-2515</t>
  </si>
  <si>
    <t>PSUAMS-2512</t>
  </si>
  <si>
    <t>PSUAMS-2511</t>
  </si>
  <si>
    <t>PSUAMS-2510</t>
  </si>
  <si>
    <t>PSUAMS-2507</t>
  </si>
  <si>
    <t>PSUAMS-2506</t>
  </si>
  <si>
    <t>PSUAMS-2502</t>
  </si>
  <si>
    <t>PSUAMS-2499</t>
  </si>
  <si>
    <t>PSUAMS-2496</t>
  </si>
  <si>
    <t>PSUAMS-2492</t>
  </si>
  <si>
    <t>PSUAMS-2437</t>
  </si>
  <si>
    <t>PSUAMS-2436</t>
  </si>
  <si>
    <t>PSUAMS-2435</t>
  </si>
  <si>
    <t>PSUAMS-2406</t>
  </si>
  <si>
    <t>PSUAMS-2405</t>
  </si>
  <si>
    <t>PSUAMS-2368</t>
  </si>
  <si>
    <t>PSUAMS-2359</t>
  </si>
  <si>
    <t>PSUAMS-2355</t>
  </si>
  <si>
    <t>PSUAMS-2354</t>
  </si>
  <si>
    <t>PSUAMS-2353</t>
  </si>
  <si>
    <t>PSUAMS-2352</t>
  </si>
  <si>
    <t>PSUAMS-2351</t>
  </si>
  <si>
    <t>PSUAMS-2350</t>
  </si>
  <si>
    <t>PSUAMS-2346</t>
  </si>
  <si>
    <t>PSUAMS-2345</t>
  </si>
  <si>
    <t>PSUAMS-2335</t>
  </si>
  <si>
    <t>PSUAMS-2317</t>
  </si>
  <si>
    <t>PSUAMS-2316</t>
  </si>
  <si>
    <t>PSUAMS-2315</t>
  </si>
  <si>
    <t>PSUAMS-2314</t>
  </si>
  <si>
    <t>PSUAMS-2313</t>
  </si>
  <si>
    <t>PSUAMS-2312</t>
  </si>
  <si>
    <t>PSUAMS-2311</t>
  </si>
  <si>
    <t>PSUAMS-2310</t>
  </si>
  <si>
    <t>PSUAMS-2309</t>
  </si>
  <si>
    <t>PSUAMS-2293</t>
  </si>
  <si>
    <t>PSUAMS-2292</t>
  </si>
  <si>
    <t>PSUAMS-2262</t>
  </si>
  <si>
    <t>PSUAMS-2229</t>
  </si>
  <si>
    <t>PSUAMS-2228</t>
  </si>
  <si>
    <t>PSUAMS-2227</t>
  </si>
  <si>
    <t>PSUAMS-2165</t>
  </si>
  <si>
    <t>PSUAMS-2163</t>
  </si>
  <si>
    <t>PSUAMS-2157</t>
  </si>
  <si>
    <t>PSUAMS-2152</t>
  </si>
  <si>
    <t>PSUAMS-2151</t>
  </si>
  <si>
    <t>PSUAMS-2126</t>
  </si>
  <si>
    <t>PSUAMS-2125</t>
  </si>
  <si>
    <t>PSUAMS-2124</t>
  </si>
  <si>
    <t>PSUAMS-2123</t>
  </si>
  <si>
    <t>PSUAMS-2122</t>
  </si>
  <si>
    <t>PSUAMS-2121</t>
  </si>
  <si>
    <t>PSUAMS-2113</t>
  </si>
  <si>
    <t>PSUAMS-2112</t>
  </si>
  <si>
    <t>PSUAMS-2109</t>
  </si>
  <si>
    <t>PSUAMS-2102</t>
  </si>
  <si>
    <t>PSUAMS-2101</t>
  </si>
  <si>
    <t>PSUAMS-2080</t>
  </si>
  <si>
    <t>PSUAMS-2079</t>
  </si>
  <si>
    <t>PSUAMS-2071</t>
  </si>
  <si>
    <t>PSUAMS-2067</t>
  </si>
  <si>
    <t>PSUAMS-2066</t>
  </si>
  <si>
    <t>PSUAMS-2065</t>
  </si>
  <si>
    <t>PSUAMS-2064</t>
  </si>
  <si>
    <t>PSUAMS-1957</t>
  </si>
  <si>
    <t>PSUAMS-1956</t>
  </si>
  <si>
    <t>PSUAMS-1955</t>
  </si>
  <si>
    <t>PSUAMS-1954</t>
  </si>
  <si>
    <t>PSUAMS-1953</t>
  </si>
  <si>
    <t>PSUAMS-1952</t>
  </si>
  <si>
    <t>PSUAMS-1919</t>
  </si>
  <si>
    <t>PSUAMS-1918</t>
  </si>
  <si>
    <t>PSUAMS-1917</t>
  </si>
  <si>
    <t>PSUAMS-1916</t>
  </si>
  <si>
    <t>PSUAMS-1915</t>
  </si>
  <si>
    <t>PSUAMS-1914</t>
  </si>
  <si>
    <t>PSUAMS-1913</t>
  </si>
  <si>
    <t>PSUAMS-1912</t>
  </si>
  <si>
    <t>AA-90948</t>
  </si>
  <si>
    <t>AA-90949</t>
  </si>
  <si>
    <t>Beta-391198</t>
  </si>
  <si>
    <t>Beta-391199</t>
  </si>
  <si>
    <t>Beta-428664</t>
  </si>
  <si>
    <t>Beta-428665</t>
  </si>
  <si>
    <t>Beta-428666</t>
  </si>
  <si>
    <t>Beta-428667</t>
  </si>
  <si>
    <t>Beta-436293</t>
  </si>
  <si>
    <t>Beta-436294</t>
  </si>
  <si>
    <t>Beta-436363</t>
  </si>
  <si>
    <t>OxA-33486</t>
  </si>
  <si>
    <t>OxA-33489</t>
  </si>
  <si>
    <t>Poz-81115</t>
  </si>
  <si>
    <t>Longin collagen extraction</t>
  </si>
  <si>
    <t>Poz-82198</t>
  </si>
  <si>
    <t>Poz-83425</t>
  </si>
  <si>
    <t>Poz-83484</t>
  </si>
  <si>
    <t>Poz-83485</t>
  </si>
  <si>
    <t>Poz-83486</t>
  </si>
  <si>
    <t>Poz-83487</t>
  </si>
  <si>
    <t>Poz-83490</t>
  </si>
  <si>
    <t>Poz-83491</t>
  </si>
  <si>
    <t>Poz-83508</t>
  </si>
  <si>
    <t>Poz-83510</t>
  </si>
  <si>
    <r>
      <t>PCA1</t>
    </r>
    <r>
      <rPr>
        <sz val="12"/>
        <rFont val="Calibri"/>
        <family val="2"/>
      </rPr>
      <t xml:space="preserve">                                                                         [We compute axes using (Han, French, Onge), project, take group means, and  rotate the axes so the Cline is parallel to the X-axis)            </t>
    </r>
    <r>
      <rPr>
        <b/>
        <sz val="12"/>
        <rFont val="Calibri"/>
        <family val="2"/>
      </rPr>
      <t xml:space="preserve">   X-Coordinate           Y-Coordinate</t>
    </r>
  </si>
  <si>
    <r>
      <t xml:space="preserve">PCA2                              </t>
    </r>
    <r>
      <rPr>
        <sz val="12"/>
        <rFont val="Calibri"/>
        <family val="2"/>
      </rPr>
      <t xml:space="preserve"> (Indian Cline groups only - correlated to PCA1 X-coordinate but more noisy)</t>
    </r>
  </si>
  <si>
    <t>Admixture Date using ALDER for Indian Cline groups with at least 5 samples</t>
  </si>
  <si>
    <t>Group</t>
  </si>
  <si>
    <t>Analysis dataset</t>
  </si>
  <si>
    <t>Language Family</t>
  </si>
  <si>
    <t>State (or country if not India)</t>
  </si>
  <si>
    <t>Town</t>
  </si>
  <si>
    <t>Latitude</t>
  </si>
  <si>
    <t>Longitude</t>
  </si>
  <si>
    <t>Genetic cluster assigment</t>
  </si>
  <si>
    <t>Kalash</t>
  </si>
  <si>
    <t>Indo-European</t>
  </si>
  <si>
    <t>Cline</t>
  </si>
  <si>
    <t>161 ± 33</t>
  </si>
  <si>
    <t>2562 BCE (4436-688 BCE)</t>
  </si>
  <si>
    <t>Pathan</t>
  </si>
  <si>
    <t>70 ± 8</t>
  </si>
  <si>
    <t>1 CE (420 BCE - 423 CE)</t>
  </si>
  <si>
    <t>Lohana</t>
  </si>
  <si>
    <t>Gujarat</t>
  </si>
  <si>
    <t>Porbandhar</t>
  </si>
  <si>
    <t>Khatri</t>
  </si>
  <si>
    <t>Punjab</t>
  </si>
  <si>
    <t>Amritsar</t>
  </si>
  <si>
    <t>Pandit</t>
  </si>
  <si>
    <t>Jammu and Kashmir</t>
  </si>
  <si>
    <t>Upper Shivnagar</t>
  </si>
  <si>
    <t>GujaratiA</t>
  </si>
  <si>
    <t>Migrants collected in USA</t>
  </si>
  <si>
    <t>Dogra</t>
  </si>
  <si>
    <t>Kashmir Valley</t>
  </si>
  <si>
    <t>128 ± 21</t>
  </si>
  <si>
    <t>1642 BCE (2834-451 BCE)</t>
  </si>
  <si>
    <t>Yadav_Rajasthan</t>
  </si>
  <si>
    <t>Rajasthan</t>
  </si>
  <si>
    <t>Jaipur</t>
  </si>
  <si>
    <t>Brahmin_Haryana</t>
  </si>
  <si>
    <t>Haryana</t>
  </si>
  <si>
    <t>Yamuna Nagar</t>
  </si>
  <si>
    <t>Muslim_Kashmiri</t>
  </si>
  <si>
    <t>Pulwama</t>
  </si>
  <si>
    <t>108 ± 34</t>
  </si>
  <si>
    <t>1071 BCE (2989 BCE - 738 CE)</t>
  </si>
  <si>
    <t>Brahmin_Nepal</t>
  </si>
  <si>
    <t>Kathmandu</t>
  </si>
  <si>
    <t>Bhumihar_Bihar</t>
  </si>
  <si>
    <t>Bihar</t>
  </si>
  <si>
    <t>Muzaffarpur</t>
  </si>
  <si>
    <t>95 ± 16</t>
  </si>
  <si>
    <t>714 BCE (1612 BCE - 200 CE)</t>
  </si>
  <si>
    <t>Rohtak</t>
  </si>
  <si>
    <t>Brahmin_Tiwari</t>
  </si>
  <si>
    <t>Chhattisgarh</t>
  </si>
  <si>
    <t>Raigarh</t>
  </si>
  <si>
    <t>105 ± 9</t>
  </si>
  <si>
    <t>984 BCE (1467-501 BCE)</t>
  </si>
  <si>
    <t>Yadav_UP</t>
  </si>
  <si>
    <t>Uttar Pradesh</t>
  </si>
  <si>
    <t>Chandauli</t>
  </si>
  <si>
    <t>Sikh_Jatt</t>
  </si>
  <si>
    <t>Bhatinda</t>
  </si>
  <si>
    <t>58 ± 7</t>
  </si>
  <si>
    <t>320 CE (74 BCE - 715 CE)</t>
  </si>
  <si>
    <t>Baniya</t>
  </si>
  <si>
    <t>Kurukshetra</t>
  </si>
  <si>
    <t>Kshatriya_Durgvanshi</t>
  </si>
  <si>
    <t>Tahirpur</t>
  </si>
  <si>
    <t>Brahmin_UP</t>
  </si>
  <si>
    <t>Jaunpur</t>
  </si>
  <si>
    <t>87 ± 11</t>
  </si>
  <si>
    <t>488 BCE (1077 BCE - 130 CE)</t>
  </si>
  <si>
    <t>GujaratiB</t>
  </si>
  <si>
    <t>migrants collected in USA</t>
  </si>
  <si>
    <t>100 ± 28</t>
  </si>
  <si>
    <t>839 BCE (2415 BCE - 607 CE)</t>
  </si>
  <si>
    <t>Bhumihar_UP</t>
  </si>
  <si>
    <t>Jaunur</t>
  </si>
  <si>
    <t>91 ± 18</t>
  </si>
  <si>
    <t>609 BCE (1630 BCE - 499 CE)</t>
  </si>
  <si>
    <t>Shiya</t>
  </si>
  <si>
    <t>62 ± 13</t>
  </si>
  <si>
    <t>227 CE (521 BCE - 976 CE)</t>
  </si>
  <si>
    <t>Backward_Caste</t>
  </si>
  <si>
    <t>113 ± 15</t>
  </si>
  <si>
    <t>1227 BCE (2055-399 BCE)</t>
  </si>
  <si>
    <t>Havik</t>
  </si>
  <si>
    <t>Dravidian</t>
  </si>
  <si>
    <t>Karnataka</t>
  </si>
  <si>
    <t>Uttara Kannada</t>
  </si>
  <si>
    <t>120 ± 23</t>
  </si>
  <si>
    <t>1406 BCE (2702-109 BCE)</t>
  </si>
  <si>
    <t>GujaratiC</t>
  </si>
  <si>
    <t>130 ± 20</t>
  </si>
  <si>
    <t>1680 BCE (2822-537 BCE)</t>
  </si>
  <si>
    <t>Brahmin_Karnataka</t>
  </si>
  <si>
    <t>Mangalore</t>
  </si>
  <si>
    <t>Brahmin_Bhatt</t>
  </si>
  <si>
    <t>Ghazipur</t>
  </si>
  <si>
    <t>Chamar_Haryana</t>
  </si>
  <si>
    <t>Kurapur Gaura</t>
  </si>
  <si>
    <t>Brahmin_Vaidik</t>
  </si>
  <si>
    <t>Andhra Pradesh</t>
  </si>
  <si>
    <t>Vijayawada</t>
  </si>
  <si>
    <t>106 ± 7</t>
  </si>
  <si>
    <t>1015 BCE (1394-636 BCE)</t>
  </si>
  <si>
    <t>Brahmin_Catholic_Goa</t>
  </si>
  <si>
    <t>Goa</t>
  </si>
  <si>
    <t>Jain</t>
  </si>
  <si>
    <t>Bhilwara</t>
  </si>
  <si>
    <t>Oswal_Jain</t>
  </si>
  <si>
    <t>Ahmedabad</t>
  </si>
  <si>
    <t>Srivastava</t>
  </si>
  <si>
    <t>Gyanpur</t>
  </si>
  <si>
    <t>113 ± 23</t>
  </si>
  <si>
    <t>1217 BCE (2502 BCE - 101 CE)</t>
  </si>
  <si>
    <t>GujaratiD</t>
  </si>
  <si>
    <t>86 ± 30</t>
  </si>
  <si>
    <t>470 BCE (2144 BCE - 1337 CE)</t>
  </si>
  <si>
    <t>Meena</t>
  </si>
  <si>
    <t>Jhunjhunu</t>
  </si>
  <si>
    <t>Patel</t>
  </si>
  <si>
    <t>Mahelav</t>
  </si>
  <si>
    <t>101 ± 19</t>
  </si>
  <si>
    <t>890 BCE (1980 BCE - 211 CE)</t>
  </si>
  <si>
    <t>Agarwal</t>
  </si>
  <si>
    <t>Delhi</t>
  </si>
  <si>
    <t>117 ± 6</t>
  </si>
  <si>
    <t>1338 BCE (1677-999 BCE)</t>
  </si>
  <si>
    <t>Kurmi_UP</t>
  </si>
  <si>
    <t>Budaun</t>
  </si>
  <si>
    <t>106 ± 18</t>
  </si>
  <si>
    <t>1016 BCE (2029-4 BCE)</t>
  </si>
  <si>
    <t>Nai</t>
  </si>
  <si>
    <t>Brahmin_Catholic_Mangalore</t>
  </si>
  <si>
    <t>Karnataka (Mangalore)</t>
  </si>
  <si>
    <t>Brahmin_Catholic</t>
  </si>
  <si>
    <t>113 ± 10</t>
  </si>
  <si>
    <t>1200 BCE (1786-614 BCE)</t>
  </si>
  <si>
    <t>Coorghi</t>
  </si>
  <si>
    <t>Bangalore</t>
  </si>
  <si>
    <t>1218 BCE (2480 BCE - 69 CE)</t>
  </si>
  <si>
    <t>Chaurasia</t>
  </si>
  <si>
    <t>Madhya Pradesh</t>
  </si>
  <si>
    <t>Satna</t>
  </si>
  <si>
    <t>120 ± 19</t>
  </si>
  <si>
    <t>1405 BCE (2464-347 BCE)</t>
  </si>
  <si>
    <t>migrants collected in UK</t>
  </si>
  <si>
    <t>49 ± 18</t>
  </si>
  <si>
    <t>570 CE (451 BCE - 1591 CE)</t>
  </si>
  <si>
    <t>Jatav</t>
  </si>
  <si>
    <t>115 ± 32</t>
  </si>
  <si>
    <t>1273 BCE (3045 BCE - 663 CE)</t>
  </si>
  <si>
    <t>Baniyas</t>
  </si>
  <si>
    <t>Jainur</t>
  </si>
  <si>
    <t>92 ± 16</t>
  </si>
  <si>
    <t>627 BCE (1544 BCE - 297 CE)</t>
  </si>
  <si>
    <t>Brahmin_Catholic_Kumta</t>
  </si>
  <si>
    <t>Karnataka (kumta)</t>
  </si>
  <si>
    <t>Kumta</t>
  </si>
  <si>
    <t>Kurmi_MP</t>
  </si>
  <si>
    <t>Ansari</t>
  </si>
  <si>
    <t>93 ± 28</t>
  </si>
  <si>
    <t>641 BCE (2225 BCE - 529 CE)</t>
  </si>
  <si>
    <t>Kanjad</t>
  </si>
  <si>
    <t>Fatehpur Chaorasi</t>
  </si>
  <si>
    <t>106 ± 15</t>
  </si>
  <si>
    <t>1027 BCE (1859-195 BCE)</t>
  </si>
  <si>
    <t>Jogi</t>
  </si>
  <si>
    <t>Anupshahar</t>
  </si>
  <si>
    <t>93 ± 15</t>
  </si>
  <si>
    <t>653 BCE (1475 BCE - 183 CE)</t>
  </si>
  <si>
    <t>Muslim_Bihar</t>
  </si>
  <si>
    <t>Panta_Kapu</t>
  </si>
  <si>
    <t>Rajahmundry</t>
  </si>
  <si>
    <t>122 ± 12</t>
  </si>
  <si>
    <t>1453 BCE (2140-765 BCE)</t>
  </si>
  <si>
    <t>Malaikuarvar</t>
  </si>
  <si>
    <t>Tamil Nadu</t>
  </si>
  <si>
    <t>Theni</t>
  </si>
  <si>
    <t>80 ± 10</t>
  </si>
  <si>
    <t>290 BCE (862 BCE - 289 CE)</t>
  </si>
  <si>
    <t>Narikuruvar</t>
  </si>
  <si>
    <t>Kanchipuram</t>
  </si>
  <si>
    <t>72 ± 13</t>
  </si>
  <si>
    <t>73 BCE (781 BCE - 423 CE)</t>
  </si>
  <si>
    <t>Sindhi_MP</t>
  </si>
  <si>
    <t>Ujjain</t>
  </si>
  <si>
    <t>91 ± 15</t>
  </si>
  <si>
    <t>610 BCE (1448 BCE - 281 CE)</t>
  </si>
  <si>
    <t>Hakki_Pikki</t>
  </si>
  <si>
    <t xml:space="preserve">Angadihalli (Belur taluk) Hassan </t>
  </si>
  <si>
    <t>83 ± 14</t>
  </si>
  <si>
    <t>381 BCE (1143 BCE - 398 CE)</t>
  </si>
  <si>
    <t>Baiswar</t>
  </si>
  <si>
    <t>Allahabad</t>
  </si>
  <si>
    <t>120 ± 18</t>
  </si>
  <si>
    <t>1419 BCE (2408-429 BCE)</t>
  </si>
  <si>
    <t>Lohar</t>
  </si>
  <si>
    <t>Mirzapur</t>
  </si>
  <si>
    <t>Kalinga</t>
  </si>
  <si>
    <t>Srikakulam</t>
  </si>
  <si>
    <t>Silawat</t>
  </si>
  <si>
    <t>Bhopal</t>
  </si>
  <si>
    <t>Dhobi</t>
  </si>
  <si>
    <t>101 ± 11</t>
  </si>
  <si>
    <t>875 BCE (1483-268 BCE)</t>
  </si>
  <si>
    <t>Maratha</t>
  </si>
  <si>
    <t>Haveri</t>
  </si>
  <si>
    <t>Chamar_UP</t>
  </si>
  <si>
    <t>Gaud_Karnataka</t>
  </si>
  <si>
    <t>Lambadi</t>
  </si>
  <si>
    <t>Mahabubnagar</t>
  </si>
  <si>
    <t>93 ± 22</t>
  </si>
  <si>
    <t>652 BCE (1911 BCE - 943 CE)</t>
  </si>
  <si>
    <t>Dushadh</t>
  </si>
  <si>
    <t>92 ± 15</t>
  </si>
  <si>
    <t>621 BCE (1454 BCE - 228 CE)</t>
  </si>
  <si>
    <t>Lodhi</t>
  </si>
  <si>
    <t>Jhansi</t>
  </si>
  <si>
    <t>104 ± 9</t>
  </si>
  <si>
    <t>958 BCE (1486-429 BCE)</t>
  </si>
  <si>
    <t>Scheduled_Caste_Haryana</t>
  </si>
  <si>
    <t>Pasi</t>
  </si>
  <si>
    <t>Barabanki</t>
  </si>
  <si>
    <t>Sah_Obc</t>
  </si>
  <si>
    <t>Reddy_Telangana</t>
  </si>
  <si>
    <t>Telangana</t>
  </si>
  <si>
    <t>Hyderabad</t>
  </si>
  <si>
    <t>104 ± 12</t>
  </si>
  <si>
    <t>974 BCE (1655-294 BCE)</t>
  </si>
  <si>
    <t>Pal</t>
  </si>
  <si>
    <t>Mustafabad</t>
  </si>
  <si>
    <t>109 ± 31</t>
  </si>
  <si>
    <t>1093 BCE (2848 BCE - 848 CE)</t>
  </si>
  <si>
    <t>Sonkar</t>
  </si>
  <si>
    <t>Damotipura (Damoh District)</t>
  </si>
  <si>
    <t>96 ± 18</t>
  </si>
  <si>
    <t>734 BCE (1764 BCE - 314 CE)</t>
  </si>
  <si>
    <t>Lingayath_Karnataka</t>
  </si>
  <si>
    <t>Kuruba</t>
  </si>
  <si>
    <t>131 ± 18</t>
  </si>
  <si>
    <t>1726 BCE (2736-716 BCE)</t>
  </si>
  <si>
    <t>Manjhi_MP</t>
  </si>
  <si>
    <t>Hoshangabaad</t>
  </si>
  <si>
    <t>Gaud_Telangana</t>
  </si>
  <si>
    <t>Ediga</t>
  </si>
  <si>
    <t>Warangal</t>
  </si>
  <si>
    <t>Dhokkali</t>
  </si>
  <si>
    <t>Anantapur</t>
  </si>
  <si>
    <t>Yadav_Pondicherry</t>
  </si>
  <si>
    <t>Pondicherry</t>
  </si>
  <si>
    <t>Bahour</t>
  </si>
  <si>
    <t>112 ± 16</t>
  </si>
  <si>
    <t>1189 BCE (2070-308 BCE)</t>
  </si>
  <si>
    <t>Vysya</t>
  </si>
  <si>
    <t>Pidugurella</t>
  </si>
  <si>
    <t>152 ± 7</t>
  </si>
  <si>
    <t>2310 BCE (2682-1937 BCE)</t>
  </si>
  <si>
    <t>Naidu</t>
  </si>
  <si>
    <t>Machilipatnam</t>
  </si>
  <si>
    <t>109 ± 18</t>
  </si>
  <si>
    <t>1093 BCE (2097-88 BCE)</t>
  </si>
  <si>
    <t>Budagajangam</t>
  </si>
  <si>
    <t>Kurnol</t>
  </si>
  <si>
    <t>Dudhekula</t>
  </si>
  <si>
    <t>Thiruttani</t>
  </si>
  <si>
    <t>Chamada</t>
  </si>
  <si>
    <t>Nellore</t>
  </si>
  <si>
    <t>Nadar</t>
  </si>
  <si>
    <t>Tirunelveli</t>
  </si>
  <si>
    <t>112 ± 8</t>
  </si>
  <si>
    <t>1178 BCE (1621-736 BCE)</t>
  </si>
  <si>
    <t>Korava</t>
  </si>
  <si>
    <t>Dharwad</t>
  </si>
  <si>
    <t>91 ± 8</t>
  </si>
  <si>
    <t>596 BCE (1064-129 BCE)</t>
  </si>
  <si>
    <t>Achary</t>
  </si>
  <si>
    <t>Arunthatiar2</t>
  </si>
  <si>
    <t>Krishnagiri</t>
  </si>
  <si>
    <t>103 ± 15</t>
  </si>
  <si>
    <t>920 BCE (1737-104 BCE)</t>
  </si>
  <si>
    <t>Satnami</t>
  </si>
  <si>
    <t>Bilaspur</t>
  </si>
  <si>
    <t>93 ± 19</t>
  </si>
  <si>
    <t>643 BCE (1683 BCE - 412 CE)</t>
  </si>
  <si>
    <t>Dharikhar</t>
  </si>
  <si>
    <t>Kshatriya_Aquikula</t>
  </si>
  <si>
    <t>Vadde</t>
  </si>
  <si>
    <t>Anantpur</t>
  </si>
  <si>
    <t>Rathwa</t>
  </si>
  <si>
    <t>Chhota Udepur</t>
  </si>
  <si>
    <t>90 ± 20</t>
  </si>
  <si>
    <t>569 BCE (1668 BCE - 1205 CE)</t>
  </si>
  <si>
    <t>Kallar</t>
  </si>
  <si>
    <t>Thiruvarur</t>
  </si>
  <si>
    <t>112 ± 9</t>
  </si>
  <si>
    <t>1181 BCE (1677-685 BCE)</t>
  </si>
  <si>
    <t>Bestha</t>
  </si>
  <si>
    <t>1414 BCE (2438-391 BCE)</t>
  </si>
  <si>
    <t>Pattapu_Kapu</t>
  </si>
  <si>
    <t>103 ± 17</t>
  </si>
  <si>
    <t>947 BCE (1917 BCE - 45 CE)</t>
  </si>
  <si>
    <t>Yerukali</t>
  </si>
  <si>
    <t>102 ± 16</t>
  </si>
  <si>
    <t>909 BCE (1780-38 BCE)</t>
  </si>
  <si>
    <t>Muthuraja</t>
  </si>
  <si>
    <t>Kullithalai</t>
  </si>
  <si>
    <t>Hallaki</t>
  </si>
  <si>
    <t>114 ± 17</t>
  </si>
  <si>
    <t>1234 BCE (2164-303 BCE)</t>
  </si>
  <si>
    <t>Paravar</t>
  </si>
  <si>
    <t>Rameshwaram</t>
  </si>
  <si>
    <t>101 ± 12</t>
  </si>
  <si>
    <t>873 BCE (1538-208 BCE)</t>
  </si>
  <si>
    <t>Vishwabrahmin</t>
  </si>
  <si>
    <t>Guntur</t>
  </si>
  <si>
    <t>105 ± 13</t>
  </si>
  <si>
    <t>987 BCE (1734-241 BCE)</t>
  </si>
  <si>
    <t>Bhil</t>
  </si>
  <si>
    <t>Tapi</t>
  </si>
  <si>
    <t>67 ± 9</t>
  </si>
  <si>
    <t>70 CE (427 BCE - 567 CE)</t>
  </si>
  <si>
    <t>Oddari</t>
  </si>
  <si>
    <t>Scheduled_Caste_Karnataka</t>
  </si>
  <si>
    <t>96 ± 13</t>
  </si>
  <si>
    <t>726 BCE (1471 BCE - 23 CE)</t>
  </si>
  <si>
    <t>Bhilala</t>
  </si>
  <si>
    <t>Bhansia, Kankariya</t>
  </si>
  <si>
    <t>Gamit</t>
  </si>
  <si>
    <t>Varjakhan</t>
  </si>
  <si>
    <t>Meddari</t>
  </si>
  <si>
    <t>Mahadeo_Koli</t>
  </si>
  <si>
    <t>Maharashtra</t>
  </si>
  <si>
    <t>Sinnar</t>
  </si>
  <si>
    <t>98 ± 17</t>
  </si>
  <si>
    <t>808 BCE (1745 BCE - 168 CE)</t>
  </si>
  <si>
    <t>Chaudhary</t>
  </si>
  <si>
    <t>Padam Dungari</t>
  </si>
  <si>
    <t>Garasia</t>
  </si>
  <si>
    <t>Sabarkatha</t>
  </si>
  <si>
    <t>Lingayath_TN</t>
  </si>
  <si>
    <t>Burgur Hills</t>
  </si>
  <si>
    <t>Barela</t>
  </si>
  <si>
    <t>Bilkisganj</t>
  </si>
  <si>
    <t>Tadvi</t>
  </si>
  <si>
    <t>Kunabi</t>
  </si>
  <si>
    <t>Joida</t>
  </si>
  <si>
    <t>55 ± 25</t>
  </si>
  <si>
    <t>414 CE (975 BCE - 1803 CE)</t>
  </si>
  <si>
    <t>Koli</t>
  </si>
  <si>
    <t>Rajkot</t>
  </si>
  <si>
    <t>Madiga</t>
  </si>
  <si>
    <t>Vizayanagaram</t>
  </si>
  <si>
    <t>Sugali</t>
  </si>
  <si>
    <t>Indumalayali</t>
  </si>
  <si>
    <t>Villupuram</t>
  </si>
  <si>
    <t>85 ± 15</t>
  </si>
  <si>
    <t>442 BCE (1296 BCE - 412 CE)</t>
  </si>
  <si>
    <t>Mala</t>
  </si>
  <si>
    <t>117 ± 9</t>
  </si>
  <si>
    <t>1323 BCE (1817-829 BCE)</t>
  </si>
  <si>
    <t>Kotwalia</t>
  </si>
  <si>
    <t>Valsad</t>
  </si>
  <si>
    <t>79 ± 18</t>
  </si>
  <si>
    <t>275 BCE (1310 BCE - 636 CE)</t>
  </si>
  <si>
    <t>Changpa</t>
  </si>
  <si>
    <t>Tibeto-Burman</t>
  </si>
  <si>
    <t>Ladakh</t>
  </si>
  <si>
    <t>Chakkiliyan</t>
  </si>
  <si>
    <t>129 ± 6</t>
  </si>
  <si>
    <t>1651 BCE (1984-1319 BCE)</t>
  </si>
  <si>
    <t>Kathodi</t>
  </si>
  <si>
    <t>Surat</t>
  </si>
  <si>
    <t>81 ± 29</t>
  </si>
  <si>
    <t>310 BCE (1957 BCE - 761 CE)</t>
  </si>
  <si>
    <t>Gugavellalar</t>
  </si>
  <si>
    <t>Mettur</t>
  </si>
  <si>
    <t>Arunthatiar1</t>
  </si>
  <si>
    <t>109 ± 13</t>
  </si>
  <si>
    <t>1099 BCE (1820-378 BCE)</t>
  </si>
  <si>
    <t>Warli</t>
  </si>
  <si>
    <t>Mumbai</t>
  </si>
  <si>
    <t>Yanidi</t>
  </si>
  <si>
    <t>Kolcha</t>
  </si>
  <si>
    <t>Umarpada</t>
  </si>
  <si>
    <t>109 ± 25</t>
  </si>
  <si>
    <t>1100 BCE (2514 BCE - 382 CE)</t>
  </si>
  <si>
    <t>Kumhar</t>
  </si>
  <si>
    <t>Varanasi</t>
  </si>
  <si>
    <t>112 ± 10</t>
  </si>
  <si>
    <t>1191 BCE (1724-658 BCE)</t>
  </si>
  <si>
    <t>Kurumans</t>
  </si>
  <si>
    <t>Kerala</t>
  </si>
  <si>
    <t>Wayanad</t>
  </si>
  <si>
    <t>109 ± 17</t>
  </si>
  <si>
    <t>1101 BCE (2041-162 BCE)</t>
  </si>
  <si>
    <t>Kurchas</t>
  </si>
  <si>
    <t>Valad, Wayanad</t>
  </si>
  <si>
    <t>Adi_Dravider</t>
  </si>
  <si>
    <t>Erode</t>
  </si>
  <si>
    <t>132 ± 11</t>
  </si>
  <si>
    <t>1756 BCE (2382-1131 BCE)</t>
  </si>
  <si>
    <t>Nilgiri Mountain</t>
  </si>
  <si>
    <t>99 ± 11</t>
  </si>
  <si>
    <t>834 BCE (1444-224 BCE)</t>
  </si>
  <si>
    <t>Malayan</t>
  </si>
  <si>
    <t>Trichur</t>
  </si>
  <si>
    <t>129 ± 13</t>
  </si>
  <si>
    <t>1659 BCE (2405-912 BCE)</t>
  </si>
  <si>
    <t>Adiyan</t>
  </si>
  <si>
    <t>Ulladan</t>
  </si>
  <si>
    <t>134 ± 23</t>
  </si>
  <si>
    <t>1788 BCE (3096-480 BCE)</t>
  </si>
  <si>
    <t>Palliyar</t>
  </si>
  <si>
    <t>Rajapalayam</t>
  </si>
  <si>
    <t>107 ± 11</t>
  </si>
  <si>
    <t>1044 BCE (1672-417 BCE)</t>
  </si>
  <si>
    <t>Pulliyar</t>
  </si>
  <si>
    <t>93 ± 9</t>
  </si>
  <si>
    <t>643 BCE (1161-126 BCE)</t>
  </si>
  <si>
    <t>Asur</t>
  </si>
  <si>
    <t>Austroasiatic</t>
  </si>
  <si>
    <t>Jharkhand</t>
  </si>
  <si>
    <t>lohardaga</t>
  </si>
  <si>
    <t>Bhumij_Jharkhand</t>
  </si>
  <si>
    <t>Gangidih</t>
  </si>
  <si>
    <t>Bhumij_Orissa</t>
  </si>
  <si>
    <t>Orissa</t>
  </si>
  <si>
    <t>Salboni (Mayurbhanj District)</t>
  </si>
  <si>
    <t>Hazaribagh</t>
  </si>
  <si>
    <t>Bondo</t>
  </si>
  <si>
    <t>Bondo Hill</t>
  </si>
  <si>
    <t>Didayi</t>
  </si>
  <si>
    <t>Kuduma</t>
  </si>
  <si>
    <t>Ho_Orissa</t>
  </si>
  <si>
    <t>Juang</t>
  </si>
  <si>
    <t>Keonjhar</t>
  </si>
  <si>
    <t>Kharia</t>
  </si>
  <si>
    <t>Jashpur Nagar</t>
  </si>
  <si>
    <t>Korku</t>
  </si>
  <si>
    <t>Amla, Betul</t>
  </si>
  <si>
    <t>Mawasi</t>
  </si>
  <si>
    <t>Sindhuli (Sihora District)</t>
  </si>
  <si>
    <t>Munda</t>
  </si>
  <si>
    <t>Ranchi</t>
  </si>
  <si>
    <t>Sahariya_MP</t>
  </si>
  <si>
    <t>Sahariya_UP</t>
  </si>
  <si>
    <t>Chambal</t>
  </si>
  <si>
    <t>Santhal</t>
  </si>
  <si>
    <t>Ghatshila</t>
  </si>
  <si>
    <t>Batudi</t>
  </si>
  <si>
    <t>Ganjam</t>
  </si>
  <si>
    <t>Hojo</t>
  </si>
  <si>
    <t>Rachi</t>
  </si>
  <si>
    <t>Mohali</t>
  </si>
  <si>
    <t>Talcher</t>
  </si>
  <si>
    <t>Bharia</t>
  </si>
  <si>
    <t>Gond_Chattisgarh</t>
  </si>
  <si>
    <t>Bastar</t>
  </si>
  <si>
    <t>Gond_MP</t>
  </si>
  <si>
    <t>Kandha</t>
  </si>
  <si>
    <t>Rayagada</t>
  </si>
  <si>
    <t>Konda_Kamara</t>
  </si>
  <si>
    <t>Andhra Pradesh near Vizag</t>
  </si>
  <si>
    <t>Kondakamari</t>
  </si>
  <si>
    <t>Kondh_TN</t>
  </si>
  <si>
    <t>Puttur</t>
  </si>
  <si>
    <t>Oraon</t>
  </si>
  <si>
    <t>Parhaiya</t>
  </si>
  <si>
    <t>Latehar</t>
  </si>
  <si>
    <t>Porja</t>
  </si>
  <si>
    <t>Koya</t>
  </si>
  <si>
    <t>Khammam</t>
  </si>
  <si>
    <t>Baiga</t>
  </si>
  <si>
    <t>Balaghat</t>
  </si>
  <si>
    <t>Bhunjiya</t>
  </si>
  <si>
    <t>Gorait</t>
  </si>
  <si>
    <t>Halba</t>
  </si>
  <si>
    <t>Raipur</t>
  </si>
  <si>
    <t>Kanwar</t>
  </si>
  <si>
    <t>Khairwar</t>
  </si>
  <si>
    <t>Mungeli</t>
  </si>
  <si>
    <t>Kol</t>
  </si>
  <si>
    <t>Manikpur, Dindori</t>
  </si>
  <si>
    <t>Lohra</t>
  </si>
  <si>
    <t>Manjhi_Jharkhand</t>
  </si>
  <si>
    <t>Radhanagar</t>
  </si>
  <si>
    <t>Mohli</t>
  </si>
  <si>
    <t>Bokaro</t>
  </si>
  <si>
    <t>Panika_Jharkhand</t>
  </si>
  <si>
    <t>Saraidhela</t>
  </si>
  <si>
    <t>Gond_Raj</t>
  </si>
  <si>
    <t>Rewa</t>
  </si>
  <si>
    <t>Khasi</t>
  </si>
  <si>
    <t>Meghalaya</t>
  </si>
  <si>
    <t>Senapati, South Garo Hills</t>
  </si>
  <si>
    <t>Kusunda</t>
  </si>
  <si>
    <t>Linguistic Isolate</t>
  </si>
  <si>
    <t>Khadre, Dang</t>
  </si>
  <si>
    <t>Magar</t>
  </si>
  <si>
    <t>Tanahun</t>
  </si>
  <si>
    <t>Nagaseema</t>
  </si>
  <si>
    <t>Nagaland</t>
  </si>
  <si>
    <t>Kohima</t>
  </si>
  <si>
    <t>Nyshi</t>
  </si>
  <si>
    <t>Arunachal Pradesh</t>
  </si>
  <si>
    <t>Itanagar</t>
  </si>
  <si>
    <t>Poumainaga</t>
  </si>
  <si>
    <t>Manipur</t>
  </si>
  <si>
    <t>Rajbanshi</t>
  </si>
  <si>
    <t>West Bengal</t>
  </si>
  <si>
    <t>Kolkatta</t>
  </si>
  <si>
    <t>Sherpa</t>
  </si>
  <si>
    <t>Singel</t>
  </si>
  <si>
    <t>Burmese</t>
  </si>
  <si>
    <t>Myanmar</t>
  </si>
  <si>
    <t>Chakehshanega</t>
  </si>
  <si>
    <t>Gadaba</t>
  </si>
  <si>
    <t>None (1 individual)</t>
  </si>
  <si>
    <t>Gounder</t>
  </si>
  <si>
    <t>Tiruppur</t>
  </si>
  <si>
    <t>Gowli</t>
  </si>
  <si>
    <t>Hoshalli</t>
  </si>
  <si>
    <t>Ho_Jharkhand</t>
  </si>
  <si>
    <t>Kissan</t>
  </si>
  <si>
    <t>Rourkela</t>
  </si>
  <si>
    <t>Kondh_AP</t>
  </si>
  <si>
    <t>Malmi</t>
  </si>
  <si>
    <t>Lakshwadeep</t>
  </si>
  <si>
    <t>Amini Island</t>
  </si>
  <si>
    <t>Mudaliar</t>
  </si>
  <si>
    <t>Tamta</t>
  </si>
  <si>
    <t>Uttarakhand</t>
  </si>
  <si>
    <t>Nainital</t>
  </si>
  <si>
    <t>Agamudayar</t>
  </si>
  <si>
    <t>Devendrakulathan</t>
  </si>
  <si>
    <t>Coimbatore</t>
  </si>
  <si>
    <t>DevendrakulathanPall</t>
  </si>
  <si>
    <t>Kamsali</t>
  </si>
  <si>
    <t>Kurnool</t>
  </si>
  <si>
    <t>Padmashali</t>
  </si>
  <si>
    <t>Dilsuknagar</t>
  </si>
  <si>
    <t>Sonr</t>
  </si>
  <si>
    <t>Syed</t>
  </si>
  <si>
    <t>Relli</t>
  </si>
  <si>
    <t>None (2 individuals do not cluster with each other)</t>
  </si>
  <si>
    <t>Dawoodi</t>
  </si>
  <si>
    <t>Vododara</t>
  </si>
  <si>
    <r>
      <t>None (f</t>
    </r>
    <r>
      <rPr>
        <vertAlign val="subscript"/>
        <sz val="12"/>
        <rFont val="Calibri"/>
        <family val="2"/>
      </rPr>
      <t>4</t>
    </r>
    <r>
      <rPr>
        <sz val="12"/>
        <rFont val="Calibri"/>
        <family val="2"/>
      </rPr>
      <t>-statistic evidence of African admixture)</t>
    </r>
  </si>
  <si>
    <t>Sch_caste_TN</t>
  </si>
  <si>
    <t>Muslim_Karnataka</t>
  </si>
  <si>
    <t>Karnataka Near Mangalore</t>
  </si>
  <si>
    <t>Gujjar</t>
  </si>
  <si>
    <t>Kamboj</t>
  </si>
  <si>
    <t>Sindhi_Pakistan</t>
  </si>
  <si>
    <t>Muthuliar</t>
  </si>
  <si>
    <t>Balochi</t>
  </si>
  <si>
    <t>None (known atypical ancestry)</t>
  </si>
  <si>
    <t>Brahui</t>
  </si>
  <si>
    <t>Burusho</t>
  </si>
  <si>
    <t>Jew_AP</t>
  </si>
  <si>
    <t>Jew_Cochin</t>
  </si>
  <si>
    <t>Cochin</t>
  </si>
  <si>
    <t>Nicobarese</t>
  </si>
  <si>
    <t>Andaman and Nicobar Islands</t>
  </si>
  <si>
    <t>Andaman</t>
  </si>
  <si>
    <t>Siddi_Gujarat</t>
  </si>
  <si>
    <t>Jambur</t>
  </si>
  <si>
    <t>Siddi_Karnataka</t>
  </si>
  <si>
    <t>Dandeli</t>
  </si>
  <si>
    <t>Shia_Iranian_Hyderabad</t>
  </si>
  <si>
    <t>None (used in PCA projection)</t>
  </si>
  <si>
    <t>Hazara</t>
  </si>
  <si>
    <t>Other</t>
  </si>
  <si>
    <t>Makrani</t>
  </si>
  <si>
    <t>Muslim_Jat</t>
  </si>
  <si>
    <t>Kutch</t>
  </si>
  <si>
    <t>Dhaka</t>
  </si>
  <si>
    <t>Bink</t>
  </si>
  <si>
    <t>Garhwal</t>
  </si>
  <si>
    <t>Brahmin_Uttrakhand</t>
  </si>
  <si>
    <t>Chauhan</t>
  </si>
  <si>
    <t>Sarangarh</t>
  </si>
  <si>
    <t>Chipi</t>
  </si>
  <si>
    <t>Bareilley</t>
  </si>
  <si>
    <t>Ghasia</t>
  </si>
  <si>
    <t>Sonbhadra</t>
  </si>
  <si>
    <t>Minero</t>
  </si>
  <si>
    <t>Newar</t>
  </si>
  <si>
    <t>Panika_MP</t>
  </si>
  <si>
    <t>Datia</t>
  </si>
  <si>
    <t>Scheduled_Caste_Uttrakhand</t>
  </si>
  <si>
    <t>Shah</t>
  </si>
  <si>
    <t>Shani_Sc</t>
  </si>
  <si>
    <t>Syon</t>
  </si>
  <si>
    <t>Tanti</t>
  </si>
  <si>
    <t>Thakur</t>
  </si>
  <si>
    <t>Tharu_UP</t>
  </si>
  <si>
    <t>Bahraich</t>
  </si>
  <si>
    <t>Tharu_Uttrakhand</t>
  </si>
  <si>
    <t>Wan</t>
  </si>
  <si>
    <t>Study in which DNA was published</t>
  </si>
  <si>
    <t>14C date(s) that are newly published in this study</t>
  </si>
  <si>
    <t>Vyacheslav Moiseyev</t>
  </si>
  <si>
    <t>n/a (modern)</t>
  </si>
  <si>
    <t>n/a (previously reported)</t>
  </si>
  <si>
    <t>Michael Frachetti, Egor Kitov, Gaziz Akhatov, Antonina Yermolayeva</t>
  </si>
  <si>
    <t>Michael Frachetti</t>
  </si>
  <si>
    <t>Janet Monge</t>
  </si>
  <si>
    <t>Luca Olivieri, Muhammad Zahir, Massimo Vidale, Roberto Micheli, Alfredo Coppa</t>
  </si>
  <si>
    <t>James Mallory, Svetlana Svyatko</t>
  </si>
  <si>
    <t>Katerina Douka</t>
  </si>
  <si>
    <t>Sergey Mikhailovich Slepchenko, Anatoly Nikolaevich Bagashev</t>
  </si>
  <si>
    <t>Christopher Meiklejohn, Deborah Merrett</t>
  </si>
  <si>
    <t>Sergey Vasilyev</t>
  </si>
  <si>
    <t>James Mallory, Nadezhda Dubova</t>
  </si>
  <si>
    <t>Bryan Hanks, Andrey Epimakhov</t>
  </si>
  <si>
    <t>Alexander Khokhlov, David Anthony</t>
  </si>
  <si>
    <t>Luca Olivieri, Muhammad Zahir, Massimo Vidale, Roberto Micheli</t>
  </si>
  <si>
    <t>Luca Olivieri, Muhammad Zahir, Massimo Vidale, Roberto Micheli, Ayushi Nayak, Nicole Boivin</t>
  </si>
  <si>
    <t>Vyacheslav Moiseyev, Andrey Gromov</t>
  </si>
  <si>
    <t>Associated authors if this is a newly reported sample</t>
  </si>
  <si>
    <t>n/a (genome reference sequence)</t>
  </si>
  <si>
    <t>QUESTIONABLE (mtcontam=0.937)</t>
  </si>
  <si>
    <t>QUESTIONABLE (mtcontam=0.943)</t>
  </si>
  <si>
    <t>QUESTIONABLE (mtcontam=0.849)</t>
  </si>
  <si>
    <t>QUESTIONABLE (mtcontam=0.847-1)</t>
  </si>
  <si>
    <t>QUESTIONABLE_CRITICAL (&lt;2500.SNPs)</t>
  </si>
  <si>
    <t>Massimo Vidale, Alfredo Coppa</t>
  </si>
  <si>
    <t>n/a (sex unknown)</t>
  </si>
  <si>
    <t>n/a (female)</t>
  </si>
  <si>
    <t>Austroasiatic-Related</t>
  </si>
  <si>
    <t>East Asian-related</t>
  </si>
  <si>
    <t>Georgievsky Bugor</t>
  </si>
  <si>
    <t>Carles Lalueza-Fox, David Pettener, Gian Luca Bonora, Stefania Sarno</t>
  </si>
  <si>
    <t>East Kazakhstan region, Katon Karagai district, Ul’ken Narym, Malaya Krasnoyarka</t>
  </si>
  <si>
    <t>Africa</t>
  </si>
  <si>
    <t>PD</t>
  </si>
  <si>
    <t>East Asia</t>
  </si>
  <si>
    <t>BA</t>
  </si>
  <si>
    <t>UP</t>
  </si>
  <si>
    <t>Europe</t>
  </si>
  <si>
    <t>C / EN</t>
  </si>
  <si>
    <t>MLBA</t>
  </si>
  <si>
    <t>Forest / Steppe</t>
  </si>
  <si>
    <t>EMBA</t>
  </si>
  <si>
    <t>IA</t>
  </si>
  <si>
    <t>LBA</t>
  </si>
  <si>
    <t>M / N</t>
  </si>
  <si>
    <t>Iran / Turan</t>
  </si>
  <si>
    <t>Ksirov_H_Kushan</t>
  </si>
  <si>
    <t>Ksirov_H_Kushan_1d.rel.I12292</t>
  </si>
  <si>
    <t>Ksirov_H_Kushan_LowCov</t>
  </si>
  <si>
    <t>Oceania</t>
  </si>
  <si>
    <t>South America</t>
  </si>
  <si>
    <t>South Asia</t>
  </si>
  <si>
    <t>Indus_Periphery1</t>
  </si>
  <si>
    <t>Indus_Periphery10</t>
  </si>
  <si>
    <t>Indus_Periphery11</t>
  </si>
  <si>
    <t>Indus_Periphery12_LowCov</t>
  </si>
  <si>
    <t>Indus_Periphery13_LowCov</t>
  </si>
  <si>
    <t>Indus_Periphery2</t>
  </si>
  <si>
    <t>Indus_Periphery3</t>
  </si>
  <si>
    <t>Indus_Periphery4</t>
  </si>
  <si>
    <t>Indus_Periphery5</t>
  </si>
  <si>
    <t>Indus_Periphery6</t>
  </si>
  <si>
    <t>Indus_Periphery7</t>
  </si>
  <si>
    <t>Indus_Periphery8</t>
  </si>
  <si>
    <t>Indus_Periphery9</t>
  </si>
  <si>
    <t>Katelai_IA_LowCov</t>
  </si>
  <si>
    <t>SPGT_LowCov</t>
  </si>
  <si>
    <t xml:space="preserve">Loebanr_IA_mother.I10001 </t>
  </si>
  <si>
    <t xml:space="preserve">SPGT_mother.I10001 </t>
  </si>
  <si>
    <t>West Asia</t>
  </si>
  <si>
    <t>Raqefet_M_Natufian</t>
  </si>
  <si>
    <t xml:space="preserve">Alexey Tishkin and others </t>
  </si>
  <si>
    <t>Broad chronological / archaeological period</t>
  </si>
  <si>
    <t>3700-3300 BCE</t>
  </si>
  <si>
    <t>Karasuk.5person.family</t>
  </si>
  <si>
    <t>LowerTyumenchin2person.family</t>
  </si>
  <si>
    <t>brother-brother-brother</t>
  </si>
  <si>
    <t>Karasuk.2person.family</t>
  </si>
  <si>
    <t>Esperstedt.2person.family</t>
  </si>
  <si>
    <t>Barcın.2person.family</t>
  </si>
  <si>
    <t>Balatonlelle.2person.family</t>
  </si>
  <si>
    <t>Budakalász.2person.family</t>
  </si>
  <si>
    <t>KamennyiAmbar.2person.familyA</t>
  </si>
  <si>
    <t>KamennyiAmbar.2person.familyB</t>
  </si>
  <si>
    <t>KamennyiAmbar.2person.familyC</t>
  </si>
  <si>
    <t>KamennyiAmbar.2person.familyD</t>
  </si>
  <si>
    <t>I10565/RISE509.SG</t>
  </si>
  <si>
    <t>Krasnoyarsk.3person.family</t>
  </si>
  <si>
    <t>Karagash.2person.family</t>
  </si>
  <si>
    <t>SpiridonovkaIV.2person.family</t>
  </si>
  <si>
    <t>SpiridonovkaII.2person.family</t>
  </si>
  <si>
    <t>OiDzaylau.2person.family</t>
  </si>
  <si>
    <t>Bustan.2person.family</t>
  </si>
  <si>
    <t>Ferghana.2person.family</t>
  </si>
  <si>
    <t>Gonur.2person.family</t>
  </si>
  <si>
    <t>Ksirov.2person.family</t>
  </si>
  <si>
    <t>1d.relatives</t>
  </si>
  <si>
    <t>2d.or.3d.relatives</t>
  </si>
  <si>
    <t>brothers(1d.relatives.and.neither.is.of.reproductive.age)</t>
  </si>
  <si>
    <t>1d.relatives.possible</t>
  </si>
  <si>
    <t>Parkhai.3person.family</t>
  </si>
  <si>
    <t>Udegram.2person.familyA</t>
  </si>
  <si>
    <t>Udegram.2person.familyB</t>
  </si>
  <si>
    <t>Udegram.2person.familyC</t>
  </si>
  <si>
    <t>Katelai.2person.familyA</t>
  </si>
  <si>
    <t>Katelai.2person.familyB</t>
  </si>
  <si>
    <t>Butkara.2person.family</t>
  </si>
  <si>
    <t>ShahrISokhta.2person.family</t>
  </si>
  <si>
    <t>TepeHissar.2person.family</t>
  </si>
  <si>
    <t>Loebanr.2person.familyA</t>
  </si>
  <si>
    <t>Loebanr.2person.familyB</t>
  </si>
  <si>
    <t>Loebanr.2person.familyC</t>
  </si>
  <si>
    <t>This study (supplement of data previously reported in Allentoft Nature 2015; 1240k version)</t>
  </si>
  <si>
    <t>Parkhai I</t>
  </si>
  <si>
    <t>2700-2300 BCE</t>
  </si>
  <si>
    <t>StPet49, collection 6612, individual 3</t>
  </si>
  <si>
    <t>StPet54, collection 6612, individual 7</t>
  </si>
  <si>
    <t>StPet55, collection 6141, individual 12</t>
  </si>
  <si>
    <t>StPet40, collection 6136, individual 2</t>
  </si>
  <si>
    <t>StPet42, collection 6136, individual 4</t>
  </si>
  <si>
    <t>StPet43, collection 6136, individual 5</t>
  </si>
  <si>
    <t>StPet45, collection 6136, individual 8</t>
  </si>
  <si>
    <t>StPet46, collection 6136, individual 10</t>
  </si>
  <si>
    <t>collection 6136, individual 6</t>
  </si>
  <si>
    <t>StPet37, collection 6095, individual 9</t>
  </si>
  <si>
    <t>StPet13, site II, grave K-168, individual 9</t>
  </si>
  <si>
    <t>StPet14, site II, grave K-167, individual 4</t>
  </si>
  <si>
    <t>SVP3, Ekaterinovka B.1 Raskop 1</t>
  </si>
  <si>
    <t>976, kurgan 2, burial 11, skeleton 2 / 1003, kurgan 2, burial 1</t>
  </si>
  <si>
    <t>982, kurgan 2, burial 15</t>
  </si>
  <si>
    <t>937, kurgan 4, burial 3</t>
  </si>
  <si>
    <t>939, kurgan 4, burial 1</t>
  </si>
  <si>
    <t>948, kurgan 4, burial 9, skeleton 2</t>
  </si>
  <si>
    <t>950, kurgan 4, burial 2</t>
  </si>
  <si>
    <t>1012, kurgan 2, burial 5, skeleton 1</t>
  </si>
  <si>
    <t>1017, kurgan 2, burial 5, skeleton 1</t>
  </si>
  <si>
    <t>972, kurgan 2, trench 5</t>
  </si>
  <si>
    <t>979, kurgan 2, burial 17, skeleton 1</t>
  </si>
  <si>
    <t>986, kurgan 2, burial 12, skeleton 4</t>
  </si>
  <si>
    <t>S0984.E2.L1,S0984.E2.L2,S1025.E1.L1</t>
  </si>
  <si>
    <t>992, kurgan 2, burial 7, skeleton 4 / 996, kurgan 2, burial 6, skeleton 2</t>
  </si>
  <si>
    <t>S1011.E2.L1, S1011.E2.L2,S1059.E1.L1</t>
  </si>
  <si>
    <t>965, kurgan 2, burial 4, skeleton 4 / 966, kurgan 2, burial 4, skeleton 5</t>
  </si>
  <si>
    <t>S1012.E2.L1,S1012.E2.L2,S1014.E2.L2</t>
  </si>
  <si>
    <t>967, kurgan 2, burial 4, skeleton 6 / 971, kurgan 2, burial 8, skeleton 1</t>
  </si>
  <si>
    <t>994, kurgan 2, burial 7</t>
  </si>
  <si>
    <t>995, kurgan 2, burial 6, skeleton 1</t>
  </si>
  <si>
    <t>1013, kurgan 2, burial 5, skeleton 2</t>
  </si>
  <si>
    <t>1018, kurgan 2, burial 5, skeleton 5a</t>
  </si>
  <si>
    <t>945, kurgan 4, burial 9, skeleton 1</t>
  </si>
  <si>
    <t>956, kurgan 4, burial 5, skeleton 1</t>
  </si>
  <si>
    <t>957, kurgan 4, burial 5, skeleton 2</t>
  </si>
  <si>
    <t>960, kurgan 4, burial 5, skeleton 5</t>
  </si>
  <si>
    <t>964, kurgan 2, burial 4, skeleton 3</t>
  </si>
  <si>
    <t>970, kurgan 2, burial 10, skeleton 3</t>
  </si>
  <si>
    <t>993, kurgan 2, burial 7, skeleton 6</t>
  </si>
  <si>
    <t>946, kurgan 4, burial 11, skeleton 2</t>
  </si>
  <si>
    <t>969, kurgan 2, burial 10, skeleton 2</t>
  </si>
  <si>
    <t>StepVIIS-1, burial 17, skeleton 1</t>
  </si>
  <si>
    <t>StepVIIS-2, burial 17, skeleton 2</t>
  </si>
  <si>
    <t>StepVIIS-3, burial 17, skeleton 3</t>
  </si>
  <si>
    <t>1000, kurgan 2, burial 6, skeleton 6 / 1002, kurgan 2, burial 6, skeleton 8 / 1006, kurgan 2, burial 9, skeleton 2</t>
  </si>
  <si>
    <t>StPet41, collection 6136, individual 3</t>
  </si>
  <si>
    <t>Karaganda region, Bylkyldak</t>
  </si>
  <si>
    <t>StPet26, site II, grave K-178, individual 4</t>
  </si>
  <si>
    <t>StPet38, collection 6095, burial place 1, grave 5g, individual 13</t>
  </si>
  <si>
    <t>StPet58, collection 3390, individual 5</t>
  </si>
  <si>
    <t>StPet64, collection 3864, individual 4</t>
  </si>
  <si>
    <t xml:space="preserve">StPet23, site I, grave 28, Museum ID 7651-1 </t>
  </si>
  <si>
    <t xml:space="preserve">StPet24, site II, grave 265, Museum ID 7651-136 </t>
  </si>
  <si>
    <t xml:space="preserve">StPet33, site II, grave 267, Museum ID 7651-138 </t>
  </si>
  <si>
    <t xml:space="preserve">StPet34, grave 16, Museum ID 7651-153 </t>
  </si>
  <si>
    <t xml:space="preserve">StPet36, collection 6037, individual 3, engraving 6, skeleton 9 </t>
  </si>
  <si>
    <t>Seistan, Shahr-i Sokhta</t>
  </si>
  <si>
    <t>415, Grave 406, Probably Period I or early Period II</t>
  </si>
  <si>
    <t>398, Grave 18A, Period II, phases 5A/5B</t>
  </si>
  <si>
    <t>401, IRW Grave 10, Period II (late), phase 5B</t>
  </si>
  <si>
    <t>38, T.38, Period II, phase 5A</t>
  </si>
  <si>
    <t>48, IRL G-48, Late Period I or early Period II, phases 8/7</t>
  </si>
  <si>
    <t>404, IRQ Grave 31</t>
  </si>
  <si>
    <t>405, IRV Grave 45</t>
  </si>
  <si>
    <t>406, IRV Grave 309, Period I, phases 8 or 9</t>
  </si>
  <si>
    <t>410, IRV Grave 46</t>
  </si>
  <si>
    <t>412, IRD Grave 307, Period I or early Period II</t>
  </si>
  <si>
    <t>413, Grave 411</t>
  </si>
  <si>
    <t>416, Grave 408, Period I (late) phase 8</t>
  </si>
  <si>
    <t>418, Grave 303A, probably later Period II, phase 5B</t>
  </si>
  <si>
    <t>420, IRV Grave 20</t>
  </si>
  <si>
    <t>423, IRW Grave 4, Period II, phase 6</t>
  </si>
  <si>
    <t>427, Grave 9, Period II, phases 7 or early 6</t>
  </si>
  <si>
    <t>422, IRW Grave 7, possibly Period I</t>
  </si>
  <si>
    <t>424, IRR Grave 22e (Central-E), Period I/II, phases 8-7</t>
  </si>
  <si>
    <t>432, IPV Grave 109</t>
  </si>
  <si>
    <t>400, Grave 405</t>
  </si>
  <si>
    <t>201, Grave 201, LS 1, Period I, phases 10/9</t>
  </si>
  <si>
    <t>303C, T.303C, Period II, phase 5B</t>
  </si>
  <si>
    <t>MOS311, Zaman Baba, 1951, Grave N23, IE-56-1</t>
  </si>
  <si>
    <t>Tomsk_4351, inventory number 4351</t>
  </si>
  <si>
    <t>Tomsk_4352, inventory number 4352</t>
  </si>
  <si>
    <t>Tomsk_2124, inventory number 2124</t>
  </si>
  <si>
    <t xml:space="preserve">Bobrovka kurgan 1, grave 1 </t>
  </si>
  <si>
    <t xml:space="preserve">39, kurgan 4, grave 8, individual 1 </t>
  </si>
  <si>
    <t xml:space="preserve">KZ-KAN-002 + KZ-KAY-002, Kairan I, Enclosure 7b </t>
  </si>
  <si>
    <t xml:space="preserve">KZ-KAR-012, Kairan I, Enclosure 11, Grave 1 </t>
  </si>
  <si>
    <t xml:space="preserve">KZ-KAN005, Kairan I, Enclosure 5, Grave 2 </t>
  </si>
  <si>
    <t xml:space="preserve">KZ-KAR-006, Kairan I, Enclosure 11, Grave 3 </t>
  </si>
  <si>
    <t xml:space="preserve">KZ-KAR005, Kairan I, Enclosure 11, Grave 3 </t>
  </si>
  <si>
    <t xml:space="preserve">KZ-KAR-014, Kairan I, Enclosure 6, Grave 1 </t>
  </si>
  <si>
    <t xml:space="preserve">KZ-KAN-004, Kairan I, Enclosure 7a, Grave 2 </t>
  </si>
  <si>
    <t xml:space="preserve">KZ-KAR009, Kairan I, Enclosure 7a, Grave 1 </t>
  </si>
  <si>
    <t xml:space="preserve">KZ-KAR-010, Kairan I, Enclosure 10 </t>
  </si>
  <si>
    <t xml:space="preserve">DI No 59, Kurgan 4, Grave 3 or 4 </t>
  </si>
  <si>
    <t xml:space="preserve">KZ-KAN-006 , Kairan I, Enclosure 1, Grave 1 </t>
  </si>
  <si>
    <t>Gonur 2013 Area 19 cist tomb 4290 (1) N2m</t>
  </si>
  <si>
    <t>Gonur 2013 Area12 pit room 29 N4258 N15m</t>
  </si>
  <si>
    <t>Gonur 2003 tomb 3012 sample 1</t>
  </si>
  <si>
    <t>Gonur 2003 tomb 3049 sample 3</t>
  </si>
  <si>
    <t>Gonur tomb 2380 sample 17</t>
  </si>
  <si>
    <t>Gonur tomb 1315 sample 65</t>
  </si>
  <si>
    <t>Gonur tomb 1340 sample 66</t>
  </si>
  <si>
    <t>Gonur tomb 1506 sample 32</t>
  </si>
  <si>
    <t>Gonur 2003 tomb 3007 sample 8</t>
  </si>
  <si>
    <t>Gonur tomb 2871 sample 15</t>
  </si>
  <si>
    <t>Gonur tomb 1311 sample 59</t>
  </si>
  <si>
    <t>Gonur 2003 Area 6 tomb 3042 sample 7</t>
  </si>
  <si>
    <t>Gonur tomb 3037 sample 4</t>
  </si>
  <si>
    <t>Gonur 2003 tomb 3050 sample 6</t>
  </si>
  <si>
    <t>Gonur 2005 tomb 3466 sample 2</t>
  </si>
  <si>
    <t>Gonur tomb 1307 sample 62</t>
  </si>
  <si>
    <t>Gonur 2000 tomb 1646 sample 39</t>
  </si>
  <si>
    <t>Gonur 2003 tomb 1906 sample 49</t>
  </si>
  <si>
    <t>Gonur 2005 tomb 3483 sample 5</t>
  </si>
  <si>
    <t>Gonur tomb 1128 sample 22</t>
  </si>
  <si>
    <t>Gonur tomb 1300 sample 51</t>
  </si>
  <si>
    <t>Gonur tomb 1306 sample 57</t>
  </si>
  <si>
    <t>Gonur tomb 1368 sample 20</t>
  </si>
  <si>
    <t>Gonur tomb 1415 sample 46</t>
  </si>
  <si>
    <t>Gonur tomb 1651 sample 45</t>
  </si>
  <si>
    <t>Gonut tomb 1466 sample 25</t>
  </si>
  <si>
    <t>Gonur 2004 Area 8 cist 3201 N28m</t>
  </si>
  <si>
    <t>Gonur 2003 Area 5 cist N3011 N31m</t>
  </si>
  <si>
    <t>Gonur 2013 Area12 occasional find N4384 N14m</t>
  </si>
  <si>
    <t>Gonur 2013 Area 12 shaft tomb N4329</t>
  </si>
  <si>
    <t>Gonur 2003 tomb 1899 sample 54</t>
  </si>
  <si>
    <t>Gonur 2005 tomb 3454 sample 12</t>
  </si>
  <si>
    <t>Gonur 2005 tomb 3465 sample 9</t>
  </si>
  <si>
    <t>Gonur 2005 Area 13 Room 12 tomb 3453 sample 11</t>
  </si>
  <si>
    <t>Gonur 2004 large pit royal cemetery 3240 (9)</t>
  </si>
  <si>
    <t>KZ-KUZ-001, Grave 46</t>
  </si>
  <si>
    <t xml:space="preserve">KZ-KAZ-005, Kazakh Mys 2015, Area 1, Grave 1 </t>
  </si>
  <si>
    <t xml:space="preserve">KZ-KAZ-006, Kazakh Mys 2015, Area 3, Grave 1 </t>
  </si>
  <si>
    <t xml:space="preserve">KZ-KAZ-003, Kazakh Mys 2015, Area 6, Grave 1 </t>
  </si>
  <si>
    <t xml:space="preserve">KZ-KAZ-004, Kazakh Mys 2015, Area 6, Grave 1 </t>
  </si>
  <si>
    <t xml:space="preserve">UZ-DK-001, Dashti-Kozy, 44-33, burial 15 </t>
  </si>
  <si>
    <t>MOS308, Kokcha 3 1951, Grave N90, IE-60-8, 659</t>
  </si>
  <si>
    <t xml:space="preserve">CII-52, stone fencing 90 </t>
  </si>
  <si>
    <t xml:space="preserve">CII-47, stone fencing 35, grave 1 </t>
  </si>
  <si>
    <t xml:space="preserve">CII No 51, stone fencing 43, skull 1 </t>
  </si>
  <si>
    <t xml:space="preserve">CII No 43, stone fencing 1, extension 1 </t>
  </si>
  <si>
    <t xml:space="preserve">CII No 44, stone fencing 27 </t>
  </si>
  <si>
    <t xml:space="preserve">CII-56, stone fencing 34, Skeleton 2 </t>
  </si>
  <si>
    <t>TB ctx 129. Bag ZA-0255</t>
  </si>
  <si>
    <t>MOS309, 1955, Kokcha 3 1955, Grave N77, IE-60-I9</t>
  </si>
  <si>
    <t>MOS310, Kokcha 3 1954, Grave N5, Skull N1, IE-60-20</t>
  </si>
  <si>
    <t>UfaNov17-024, Farkhor 2017 Area 6A, tomb 43</t>
  </si>
  <si>
    <t>UfaNov17-027, Farkhor 2014 Area 4, tomb 11, Skeleton 1?</t>
  </si>
  <si>
    <t>GHIJK</t>
  </si>
  <si>
    <t xml:space="preserve">UZ-BST-005, Site 7, Grave 60, 56-63 </t>
  </si>
  <si>
    <t xml:space="preserve">UZ-BST-007, Site 4, Grave 12 </t>
  </si>
  <si>
    <t xml:space="preserve">UZ-BST-010, Site 7, Grave 84, 56-62 </t>
  </si>
  <si>
    <t xml:space="preserve">UZ-BST-011, Site 4, Grave 26, 57-030 </t>
  </si>
  <si>
    <t xml:space="preserve">UZ-BST-014, Site 5, Grave 11 </t>
  </si>
  <si>
    <t xml:space="preserve">UZ-BST-004, Site 7, Grave 33 (1), 44-91 </t>
  </si>
  <si>
    <t xml:space="preserve">UZ-BST-013, Site 4, Grave 20 </t>
  </si>
  <si>
    <t xml:space="preserve">UZ-BST-002, Site 7, Grave 33 (2), 44-92 </t>
  </si>
  <si>
    <t xml:space="preserve">UZ-BST-006, Site 5, Grave 4, 57-28 </t>
  </si>
  <si>
    <t xml:space="preserve">UZ-BST-012, Site 4, Grave 41, 57-29 </t>
  </si>
  <si>
    <t xml:space="preserve">UZ-BST-015, Site 4, Grave 4, 57-27 </t>
  </si>
  <si>
    <t xml:space="preserve">UZ-BST-009, Site ?, 58-21, 119-4 </t>
  </si>
  <si>
    <t>UfaNov17-052, Ksirov 1979, kurgan 8 (SE group), Ksirov III</t>
  </si>
  <si>
    <t>UfaNov17-053, Ksirov 1984, kurgan 7, enclosure 3, Ksirov III</t>
  </si>
  <si>
    <t>UfaNov17-047, Ksirov 1979, kurgan 25, Ksirov III</t>
  </si>
  <si>
    <t>UfaNov17-054, Ksirov 1979, kurgan 9, Ksirov III</t>
  </si>
  <si>
    <t>UfaNov17-049, Ksirov IV, tomb 26 Ksirov IV</t>
  </si>
  <si>
    <t>SVP30, Barinovka I, kurgan 2, grave 24</t>
  </si>
  <si>
    <t>SVP40, Spiridonovka II, kurgan 1, grave 2</t>
  </si>
  <si>
    <t>SVP39, Spiridonovka II, kurgan 1, grave 1</t>
  </si>
  <si>
    <t>SVP29, Spiridonovka II, kurgan 11, grave 12</t>
  </si>
  <si>
    <t>SVP1, Spiridonovka IV, kurgan 1, grave 15</t>
  </si>
  <si>
    <t>SVP6, Spiridonovka IV, kurgan 2, grave 1</t>
  </si>
  <si>
    <t>SVP7, Spiridonovka IV, kurgan 1, grave 6</t>
  </si>
  <si>
    <t>SVP9, Spiridonovka IV, kurgan 2, grave 5</t>
  </si>
  <si>
    <t>SVP8, Spiridonovka IV, kurgan 1, grave 11</t>
  </si>
  <si>
    <t>SVP27, Utyevka VI, kurgan 7, grave 1</t>
  </si>
  <si>
    <t>SVP41, Utyevka VI, kurgan 6, grave2</t>
  </si>
  <si>
    <t>SVP32, Uvarovka I, kurgan 2, grave 1</t>
  </si>
  <si>
    <t>SVP12, Novosel’ki, kurgan 6, grave 1</t>
  </si>
  <si>
    <t>SVP13, Novosel'ki, kurgan 2, grave 4</t>
  </si>
  <si>
    <t>SVP55, Zhuravlikha I, kurgan 1, grave 10</t>
  </si>
  <si>
    <t xml:space="preserve">SVP62, Grachevka II, kurgan 5, grave 3 </t>
  </si>
  <si>
    <t>G IV Grave C, Individual 1, DA-UDE0317-072</t>
  </si>
  <si>
    <t>G IV Grave B, Individual 1, DA-UDE0317-071</t>
  </si>
  <si>
    <t>Grave 12, Individual 1, DA-UDE0317-003</t>
  </si>
  <si>
    <t>Grave 7, Individual 1, UDG48</t>
  </si>
  <si>
    <t>Grave 10, Individual 2, UDG38</t>
  </si>
  <si>
    <t>1400-1126 calBCE (3018±45 BP, CEDAD-LTL13327A)</t>
  </si>
  <si>
    <t>Grave 28, Individual 2, UDG31, DA-UDE0317-050</t>
  </si>
  <si>
    <t>1416-831 calBCE [921-831 calBCE (2740±20 BP, PSUAMS-2798), 1416-1214 calBCE (3056±40 BP, CEDAD-LTL13332A)]</t>
  </si>
  <si>
    <t>Grave 4, Individual 2, UDG58, DA-UDE0317-48, Luca58</t>
  </si>
  <si>
    <t>1491-922 calBCE [1044-922 calBCE (2830±20 BP, PSUAMS-2632), 1491-1231 calBCE (3098±45 BP, CEDAD-LTL13335A)]</t>
  </si>
  <si>
    <t>Udegram.4person.family</t>
  </si>
  <si>
    <t>SPGT_father.or.son.I1799_1d.rel.I1992</t>
  </si>
  <si>
    <t>Grave 10, Individual 1, UDG34+UDG39, DA-UDE0317-040</t>
  </si>
  <si>
    <t>1192-824 calBCE [1192-939 calBCE (2880±30 BP, Beta-428667), 1001-824 calBCE (2758±40 BP, CEDAD-LTL13334A)]</t>
  </si>
  <si>
    <t>1044-792 calBCE [1044-830 calBCE (2785±45 BP, CEDAD-LTL13328A), 901-792 calBCE (2659±40 BP, CEDAD-LTL13328A)]</t>
  </si>
  <si>
    <t>1107-840 calBCE [1027-848 calBCE (2800±30 BP, Beta-428666), 1107-840 calBCE (2808±45 BP, CEDAD-LTL13329A]</t>
  </si>
  <si>
    <t>1372-1027 calBCE (2964±45 BP, CEDAD-LTL12131A</t>
  </si>
  <si>
    <t>1100-900 BCE</t>
  </si>
  <si>
    <t>Loebanr_IA_mother.I6555</t>
  </si>
  <si>
    <t>SPGT_mother.I6555</t>
  </si>
  <si>
    <t xml:space="preserve">Grave 36, single burial </t>
  </si>
  <si>
    <t xml:space="preserve">Grave 53, single burial </t>
  </si>
  <si>
    <t xml:space="preserve">Grave 191, single burial </t>
  </si>
  <si>
    <t>Grave 1, Individual 1</t>
  </si>
  <si>
    <t xml:space="preserve">Grave 29, DA-ALI0317-001 </t>
  </si>
  <si>
    <t xml:space="preserve">Grave 5, Individual 1 </t>
  </si>
  <si>
    <t xml:space="preserve">Grave 2, Individual 1 in a double burial </t>
  </si>
  <si>
    <t xml:space="preserve">Grave 1, Individual 1, ALIG_1_4 or Grave 4, Individual 1, ALIG_4_1 </t>
  </si>
  <si>
    <t xml:space="preserve">Grave 3, Individual 1, ALIG_3_2 </t>
  </si>
  <si>
    <t xml:space="preserve">Grave 4, Individual 1, ALIG_4_2 </t>
  </si>
  <si>
    <t>403-360 calBCE (2296±19 BP, CIRCE-DSH-5624)</t>
  </si>
  <si>
    <t>406-353 calBCE (2292±31 BP, CIRCE-DSH-5625)</t>
  </si>
  <si>
    <t xml:space="preserve">Grave unrecorded, 559 </t>
  </si>
  <si>
    <t>Swat Valley, Barikot</t>
  </si>
  <si>
    <t>Swat Valley, Katelai</t>
  </si>
  <si>
    <t>Swat Valley, Gogdara</t>
  </si>
  <si>
    <t>Swat Valley, Parwak</t>
  </si>
  <si>
    <t>Swat Valley, Singoor</t>
  </si>
  <si>
    <t>Swat Valley, Udegram</t>
  </si>
  <si>
    <t>Swat Valley, Loebanr</t>
  </si>
  <si>
    <t>Swat Valley, Arkotkila</t>
  </si>
  <si>
    <t>431-168 calBCE [431-381 calBCE (2346±21 BP, CIRCE-DSH-6526), 361-168 calBCE [361-168 calBCE (2180±30 BP, PSUAMS-3984), 358-181 calBCE (2185±20 BP, PSUAMS-4424)]</t>
  </si>
  <si>
    <t xml:space="preserve">Grave 9, Individual 1, DA-SIM0317-114 and DA-SIM0317-125 </t>
  </si>
  <si>
    <t xml:space="preserve">Grave 51, T.50a (corrected to T.51a) </t>
  </si>
  <si>
    <t xml:space="preserve">Grave 51, T.50d (to be corrected as T.51d) </t>
  </si>
  <si>
    <t>Grave 51, T.50b (to be corrected as T.51b)</t>
  </si>
  <si>
    <t>son-mother</t>
  </si>
  <si>
    <t xml:space="preserve">BKG12E, Feature 48, DA-BIR0317-021 </t>
  </si>
  <si>
    <t xml:space="preserve">Grave 1002, BKG11, DA-BIR0317-014 </t>
  </si>
  <si>
    <t xml:space="preserve">BKG11W, Feature 46, DA-BIR0317-028 </t>
  </si>
  <si>
    <t xml:space="preserve">BKG308, Feature 139, DA-BIR0317-030 </t>
  </si>
  <si>
    <t xml:space="preserve">Grave unrecorded (25?), Individual 1/?, ID 3542, 587 </t>
  </si>
  <si>
    <t xml:space="preserve">Grave 49 or 50 (?), BUTK3 </t>
  </si>
  <si>
    <t>3500-2800 BCE</t>
  </si>
  <si>
    <t xml:space="preserve">MOS321, IE-10-22 </t>
  </si>
  <si>
    <t xml:space="preserve">MOS322, IE-10-16 </t>
  </si>
  <si>
    <t xml:space="preserve">MOS318, IE-10-13 </t>
  </si>
  <si>
    <t xml:space="preserve">MOS312, IE-10-52 </t>
  </si>
  <si>
    <t xml:space="preserve">MOS297, IE-10-48 </t>
  </si>
  <si>
    <t xml:space="preserve">MOS313, IE-10-51 </t>
  </si>
  <si>
    <t xml:space="preserve">MOS296, IE-10-47 </t>
  </si>
  <si>
    <t xml:space="preserve">MOS333, IE-10-6 </t>
  </si>
  <si>
    <t xml:space="preserve">MOS290, IE-10-33 </t>
  </si>
  <si>
    <t xml:space="preserve">MOS329, IE-10-9 </t>
  </si>
  <si>
    <t>2050-1650 BCE [based on directly dated samples from the same site]</t>
  </si>
  <si>
    <t>6160-32</t>
  </si>
  <si>
    <t>6160-33</t>
  </si>
  <si>
    <t>David Anthony, Alexander Khokhlov</t>
  </si>
  <si>
    <t>Anatoly Derevianko, Tatiana Chikisheva</t>
  </si>
  <si>
    <t>Broad Geographic Region (Genetic clustering may sometimes differ)</t>
  </si>
  <si>
    <t>Geoksyur</t>
  </si>
  <si>
    <t>MOS320, Geoksyur 1, 1963, N 130, Tolos "S", IE-10-21</t>
  </si>
  <si>
    <t>MOS293, Geoksyur 1, 163, IE-10-29</t>
  </si>
  <si>
    <t>MOS328, Geoksyur 1, 1964, 164, IE-10-2</t>
  </si>
  <si>
    <t>MOS319, Geoksyur 1, 1963, Skull N124, IE-10-14</t>
  </si>
  <si>
    <t>MOS323, Geoksyur 1, 1964, 188, Tolos "Щ", IE-10-15</t>
  </si>
  <si>
    <t>MOS326, Geoksyur 1, 1965, N206, IE-10-8</t>
  </si>
  <si>
    <t>3000-2900 BCE</t>
  </si>
  <si>
    <t>3200-2900 BCE</t>
  </si>
  <si>
    <t>2700-2600 BCE</t>
  </si>
  <si>
    <t>3200-1900 BCE</t>
  </si>
  <si>
    <t>3000-2800 BCE [detected as a 2nd to 3rd degree relative of I8725 at 3010-2881 calBCE (4300±25 BP, PSUAMS-3989]</t>
  </si>
  <si>
    <t>SPGT_father.or.son.I12968</t>
  </si>
  <si>
    <t>Bustan_EN</t>
  </si>
  <si>
    <t>Bylkyldak_MLBA</t>
  </si>
  <si>
    <t>Talpaty II, Almaty, Karasu, Molaly Kurgan</t>
  </si>
  <si>
    <t xml:space="preserve">Grave 63 (?), LOEB_163 </t>
  </si>
  <si>
    <t xml:space="preserve">KZ-UKZ-002, Grave (?) 1, KV E7, </t>
  </si>
  <si>
    <t>UZ-KKC-003, Kashkarchi, N. 3, 14-47</t>
  </si>
  <si>
    <t>KZ-KUZ-002, Kyzylbulak 1, burial 45</t>
  </si>
  <si>
    <t>KZ-DJA-001 + KZ-DJA-002, Oy-Dzhaylau 7, Construction 3, Grave 1, bones without skull</t>
  </si>
  <si>
    <t>KZ-DJA-004, Oy-Dzhaylau 7a, Grave 7 (Construction 3)</t>
  </si>
  <si>
    <t>KZ-DJA-006, Oy-Dzhaylau 7, Grave 5 (Construction 3)</t>
  </si>
  <si>
    <t>KZ-DJA-005, Oy-Dzhaylau 7, Grave 4</t>
  </si>
  <si>
    <t>KZ-MRK-001, Myrzhik 6, kurgan 3</t>
  </si>
  <si>
    <t>UZ-SZ-001, Sarazm 85 (1), 44-38</t>
  </si>
  <si>
    <t>UZ-SZ-002, Sarazm 85 (2), 44-37</t>
  </si>
  <si>
    <t xml:space="preserve">UZ-BST-008, Site 7, Grave 84 (2), 58-20, </t>
  </si>
  <si>
    <t>UZ-BST-001, Site 4, Grave 37</t>
  </si>
  <si>
    <t>UZ-PK-003, Parkhai, 117, 2, 56-74</t>
  </si>
  <si>
    <t>KZ-TAL-001, Taldysay 1, Grave N5, Central Kazakhstan Archaeology (project) 7.02 (?)</t>
  </si>
  <si>
    <t xml:space="preserve">KZ-AKT-006, Object 7, kurgan 3, burial 1 (south) </t>
  </si>
  <si>
    <t xml:space="preserve">DL-Br-2, sample KZBR-2-012, individual 1 </t>
  </si>
  <si>
    <t xml:space="preserve">KzHS7, individual 1, Dali 1, burial 1 </t>
  </si>
  <si>
    <t xml:space="preserve">DL-OP2-B, #41 </t>
  </si>
  <si>
    <t xml:space="preserve">DL-BR1-B, CTX 2-B3, #21, individual 2, Dali 1, burial 1 </t>
  </si>
  <si>
    <t xml:space="preserve">UZ-JAR-008, Jarkutan 4a 1975, Grave 206 </t>
  </si>
  <si>
    <t xml:space="preserve">UZ-JAR-011, Jarkutan 4a 1975, Grave 211 </t>
  </si>
  <si>
    <t xml:space="preserve">UZ-JAR-021, Jarkutan, XG-1980, Catacomb N. 6, 56-95 </t>
  </si>
  <si>
    <t xml:space="preserve">UZ-JAR-022, Jarkutan, Catacomb N3, п. 2, XG-1980, 56-97 </t>
  </si>
  <si>
    <t xml:space="preserve">UZ-JAR-018, Jarkutan 4a 1977, Grave 673, 57-25 </t>
  </si>
  <si>
    <t xml:space="preserve">UZ-ST-015, Sappali Tepe (ST), Grave 00-75 </t>
  </si>
  <si>
    <t>UZ-ST-005, Sappali Tepe (ST), Grave 00-102</t>
  </si>
  <si>
    <t>UZ-ST-003, Sappali Tepe (ST) 1971, 38, Grave 00-95</t>
  </si>
  <si>
    <t xml:space="preserve">UZ-ST-016, Sappali Tepe (ST), Grave 00-57 </t>
  </si>
  <si>
    <t xml:space="preserve">UZ-ST-007, Sappali Tepe (ST), Grave 00-113 </t>
  </si>
  <si>
    <t xml:space="preserve">UZ-ST-009, Sappali Tepe (ST), Grave 00-112 </t>
  </si>
  <si>
    <t>UZ-ST-001, Sappali Tepe (ST), Grave 00-56</t>
  </si>
  <si>
    <t xml:space="preserve">UZ-ST-012, Sappali Tepe (ST), Grave 00-61 </t>
  </si>
  <si>
    <t xml:space="preserve">UZ-ST-002, Sappali Tepe (ST), Grave 00-91 </t>
  </si>
  <si>
    <t xml:space="preserve">UZ-ST-008, Sappali Tepe (ST) 1971, 33, Grave 00-78 </t>
  </si>
  <si>
    <t xml:space="preserve">UZ-ST-010, Sappali Tepe (ST) 1975, 6, Grave 02-05 </t>
  </si>
  <si>
    <t xml:space="preserve">UZ-ST-006, Sappali Tepe (ST), 71, 8, zn2, Grave 00-149 </t>
  </si>
  <si>
    <t xml:space="preserve">UZ-ST-004, Sappali Tepe (ST), 71, 41, Grave 00-118 </t>
  </si>
  <si>
    <t xml:space="preserve">UZ-ST-014, Sappali Tepe (ST), Grave 00-59 </t>
  </si>
  <si>
    <t>Shoendykol</t>
  </si>
  <si>
    <t>Shoendykol_MLBA_Fedorovo</t>
  </si>
  <si>
    <t>Geoksyur_EN</t>
  </si>
  <si>
    <t>Geoksyur_EN_o</t>
  </si>
  <si>
    <t>Geoksyur_EN_mother.or.daughter.I12486</t>
  </si>
  <si>
    <t>UZ-KKC-001, Kashkarchi, burial N. 1, 14-46</t>
  </si>
  <si>
    <t>Swat_Medieval</t>
  </si>
  <si>
    <t>Singoor_Medieval</t>
  </si>
  <si>
    <t>Udegram_Medieval_Ghaznavid</t>
  </si>
  <si>
    <t>Swat_Medieval_LowCov</t>
  </si>
  <si>
    <t>Parwak_Medieval_LowCov</t>
  </si>
  <si>
    <t>Swat Valley, Butkara IV</t>
  </si>
  <si>
    <t>Butkara_IA_father.or.son.I12968</t>
  </si>
  <si>
    <t>Butkara_IA</t>
  </si>
  <si>
    <t>Swat Valley, Butkara II</t>
  </si>
  <si>
    <t>Individual ID</t>
  </si>
  <si>
    <t>PSUAMS-4031</t>
  </si>
  <si>
    <t>PSUAMS-4279</t>
  </si>
  <si>
    <t>PSUAMS-4032</t>
  </si>
  <si>
    <t>PSUAMS-4033</t>
  </si>
  <si>
    <t>PSUAMS-4599</t>
  </si>
  <si>
    <t>PSUAMS-4867</t>
  </si>
  <si>
    <t>PSUAMS-4780</t>
  </si>
  <si>
    <t>PSUAMS-4602</t>
  </si>
  <si>
    <t>PSUAMS-4603</t>
  </si>
  <si>
    <t>PSUAMS-4778</t>
  </si>
  <si>
    <t>PSUAMS-4592</t>
  </si>
  <si>
    <t>PSUAMS-4779</t>
  </si>
  <si>
    <t>PSUAMS-4604</t>
  </si>
  <si>
    <t>PSUAMS-4605</t>
  </si>
  <si>
    <t>PSUAMS-4607</t>
  </si>
  <si>
    <t>PSUAMS-4750</t>
  </si>
  <si>
    <t>PSUAMS-4617</t>
  </si>
  <si>
    <t>PSUAMS-4751</t>
  </si>
  <si>
    <t>PSUAMS-4619</t>
  </si>
  <si>
    <t>PSUAMS-4901</t>
  </si>
  <si>
    <t>PSUAMS-4944</t>
  </si>
  <si>
    <t>PSUAMS-4902</t>
  </si>
  <si>
    <t>Beta-428668</t>
  </si>
  <si>
    <t>Beta-428663</t>
  </si>
  <si>
    <t>PSUAMS-4413</t>
  </si>
  <si>
    <t>OS-97172</t>
  </si>
  <si>
    <t>PSUAMS-2538</t>
  </si>
  <si>
    <t>PSUAMS-3757</t>
  </si>
  <si>
    <t>PSUAMS-4326</t>
  </si>
  <si>
    <t>PSUAMS-4224</t>
  </si>
  <si>
    <t>PSUAMS-2956</t>
  </si>
  <si>
    <t>PSUAMS-3883</t>
  </si>
  <si>
    <t>PSUAMS-3909</t>
  </si>
  <si>
    <t>PSUAMS-3910</t>
  </si>
  <si>
    <t>PSUAMS-4254</t>
  </si>
  <si>
    <t>PSUAMS-4447</t>
  </si>
  <si>
    <t>PSUAMS-3911</t>
  </si>
  <si>
    <t>PSUAMS-4423</t>
  </si>
  <si>
    <t>PSUAMS-3984</t>
  </si>
  <si>
    <t>PSUAMS-4424</t>
  </si>
  <si>
    <t>PSUAMS-3721</t>
  </si>
  <si>
    <t>PSUAMS-3761</t>
  </si>
  <si>
    <t>PSUAMS-4425</t>
  </si>
  <si>
    <t>PSUAMS-3728</t>
  </si>
  <si>
    <t>PSUAMS-3887</t>
  </si>
  <si>
    <t>PSUAMS-3888</t>
  </si>
  <si>
    <t>PSUAMS-4026</t>
  </si>
  <si>
    <t>PSUAMS-4239</t>
  </si>
  <si>
    <t>PSUAMS-4274</t>
  </si>
  <si>
    <t>PSUAMS-4275</t>
  </si>
  <si>
    <t>PSUAMS-4427</t>
  </si>
  <si>
    <t>PSUAMS-4428</t>
  </si>
  <si>
    <t>PSUAMS-4853</t>
  </si>
  <si>
    <t>PSUAMS-4038</t>
  </si>
  <si>
    <t>PSUAMS-3986</t>
  </si>
  <si>
    <t>PSUAMS-3987</t>
  </si>
  <si>
    <t>PSUAMS-3988</t>
  </si>
  <si>
    <t>PSUAMS-3989</t>
  </si>
  <si>
    <t>PSUAMS-4851</t>
  </si>
  <si>
    <t>Cal BCE/CE (μ)</t>
  </si>
  <si>
    <r>
      <t>D</t>
    </r>
    <r>
      <rPr>
        <b/>
        <vertAlign val="superscript"/>
        <sz val="11"/>
        <rFont val="Calibri"/>
        <family val="2"/>
      </rPr>
      <t>14</t>
    </r>
    <r>
      <rPr>
        <b/>
        <sz val="11"/>
        <rFont val="Calibri"/>
        <family val="2"/>
        <charset val="1"/>
      </rPr>
      <t>C (‰)</t>
    </r>
  </si>
  <si>
    <r>
      <t>14</t>
    </r>
    <r>
      <rPr>
        <b/>
        <sz val="11"/>
        <rFont val="Calibri"/>
        <family val="2"/>
        <charset val="1"/>
      </rPr>
      <t>C age (BP)</t>
    </r>
  </si>
  <si>
    <t>Aligrama_H</t>
  </si>
  <si>
    <t>400-200 BCE</t>
  </si>
  <si>
    <t>Gogdara_IA</t>
  </si>
  <si>
    <t>mota</t>
  </si>
  <si>
    <t>Geoksyur.4person.family</t>
  </si>
  <si>
    <t>Geoksyur.7person.family</t>
  </si>
  <si>
    <t>Geoksyur.2person.family</t>
  </si>
  <si>
    <t>Geoksyur_EN_1.or.2d.rel.I8524_1d.rel.I8505</t>
  </si>
  <si>
    <t>Geoksyur_EN_possible.1d.rel.I8503</t>
  </si>
  <si>
    <t>Afanasievo_sister.I3950</t>
  </si>
  <si>
    <t>Afanasievo_sister.I3387_mother.I6711</t>
  </si>
  <si>
    <t>BMAC_1d.rel.I1781_LowCov</t>
  </si>
  <si>
    <t>Gonur1_BA_1d.rel.I1781_LowCov</t>
  </si>
  <si>
    <t>Central_Steppe_MLBA_father.or.son.I6718</t>
  </si>
  <si>
    <t>Krasnoyarsk_MLBA_father.or.son.I6718</t>
  </si>
  <si>
    <t>Western_Steppe_MLBA_brother.I1086</t>
  </si>
  <si>
    <t>Sintashta_MLBA_brother.I1086</t>
  </si>
  <si>
    <t>Western_Steppe_MLBA_1d.rel.I1055</t>
  </si>
  <si>
    <t>Sintashta_MLBA_1d.rel.I1055</t>
  </si>
  <si>
    <t>Western_Steppe_MLBA_1d.rel.I1084</t>
  </si>
  <si>
    <t>Sintashta_MLBA_1d.rel.I1084</t>
  </si>
  <si>
    <t>Western_Steppe_MLBA_brother.I1053</t>
  </si>
  <si>
    <t>Sintashta_MLBA_brother.I1053</t>
  </si>
  <si>
    <t>Steppe_MLBA_oWSHG_brother.I1057_brother.I1058</t>
  </si>
  <si>
    <t>Sintashta_MLBA_o2_brother.I1057_brother.I1058</t>
  </si>
  <si>
    <t>Steppe_MLBA_oWSHG_brother.I1057_brother.I1056</t>
  </si>
  <si>
    <t>Sintashta_MLBA_o2_brother.I1057_brother.I1056</t>
  </si>
  <si>
    <t>SPGT_brother.I8998</t>
  </si>
  <si>
    <t>Loebanr_IA_brother.I8998</t>
  </si>
  <si>
    <t>Passed all analysis filters</t>
  </si>
  <si>
    <t>I12472</t>
  </si>
  <si>
    <t>Samara Oblast, Bolshoi Irgiz River, Zhuravlikha I</t>
  </si>
  <si>
    <t>Kyzyl Bulak 1</t>
  </si>
  <si>
    <t xml:space="preserve">Solyanka Vodokhranilische, West Kazakhstan </t>
  </si>
  <si>
    <t>Indus_ Periphery_West-related</t>
  </si>
  <si>
    <t>Parwak_Medieval</t>
  </si>
  <si>
    <t>mtDNA haplogroup</t>
  </si>
  <si>
    <t>Sample ID (suffix is "_d" if the data are damage-restricted</t>
  </si>
  <si>
    <t>mtDNA coverage</t>
  </si>
  <si>
    <t>Genetic Sex</t>
  </si>
  <si>
    <t>SNPs for X-chr contamination estimation</t>
  </si>
  <si>
    <t>X-chr contamination estimate (only reported if a male with ≥200 available SNPs)</t>
  </si>
  <si>
    <t>X-chr contamination Z-score (only reported if a male with ≥200 available SNPs)</t>
  </si>
  <si>
    <t>drill</t>
  </si>
  <si>
    <t>manual</t>
  </si>
  <si>
    <t>double stranded</t>
  </si>
  <si>
    <t>[0.965,0.990]</t>
  </si>
  <si>
    <t>[0.963,0.986]</t>
  </si>
  <si>
    <t>[0.985,0.995]</t>
  </si>
  <si>
    <t>[0.998,1.000]</t>
  </si>
  <si>
    <t>[0.981,0.992]</t>
  </si>
  <si>
    <t>[0.863,0.921]</t>
  </si>
  <si>
    <t>[0.900,0.949]</t>
  </si>
  <si>
    <t>[0.997,1.000]</t>
  </si>
  <si>
    <t>[0.985,0.999]</t>
  </si>
  <si>
    <t>[0.990,0.996]</t>
  </si>
  <si>
    <t>[0.971,0.987]</t>
  </si>
  <si>
    <t>[0.952,0.983]</t>
  </si>
  <si>
    <t>[0.979,0.991]</t>
  </si>
  <si>
    <t>[0.936,0.956]</t>
  </si>
  <si>
    <t>[0.977,0.987]</t>
  </si>
  <si>
    <t>[0.995,0.999]</t>
  </si>
  <si>
    <t>[0.991,0.996]</t>
  </si>
  <si>
    <t>[0.996,1.000]</t>
  </si>
  <si>
    <t>[0.907,0.951]</t>
  </si>
  <si>
    <t>[0.987,0.997]</t>
  </si>
  <si>
    <t>[0.959,0.975]</t>
  </si>
  <si>
    <t>[0.846,0.967]</t>
  </si>
  <si>
    <t>[0.988,0.996]</t>
  </si>
  <si>
    <t>[0.973,1.000]</t>
  </si>
  <si>
    <t>[0.958,0.988]</t>
  </si>
  <si>
    <t>[0.971,0.984]</t>
  </si>
  <si>
    <t>[0.920,0.955]</t>
  </si>
  <si>
    <t>[0.999,1.000]</t>
  </si>
  <si>
    <t>[0.914,0.951]</t>
  </si>
  <si>
    <t>[0.986,0.995]</t>
  </si>
  <si>
    <t>[0.967,0.985]</t>
  </si>
  <si>
    <t>[0.966,0.979]</t>
  </si>
  <si>
    <t>[0.994,0.999]</t>
  </si>
  <si>
    <t>[0.989,0.999]</t>
  </si>
  <si>
    <t>[0.994,1.000]</t>
  </si>
  <si>
    <t>[0.885,0.929]</t>
  </si>
  <si>
    <t>[0.961,0.978]</t>
  </si>
  <si>
    <t>[0.983,1.000]</t>
  </si>
  <si>
    <t>[0.970,0.982]</t>
  </si>
  <si>
    <t>[0.942,0.961]</t>
  </si>
  <si>
    <t>[0.991,0.998]</t>
  </si>
  <si>
    <t>[0.989,1.000]</t>
  </si>
  <si>
    <t>[0.993,1.000]</t>
  </si>
  <si>
    <t>[0.977,0.994]</t>
  </si>
  <si>
    <t>[0.995,1.000]</t>
  </si>
  <si>
    <t>[0.986,0.999]</t>
  </si>
  <si>
    <t>[0.952,0.977]</t>
  </si>
  <si>
    <t>[0.971,0.999]</t>
  </si>
  <si>
    <t>sandblast</t>
  </si>
  <si>
    <t>[0.974,0.985]</t>
  </si>
  <si>
    <t>[0.855,0.927]</t>
  </si>
  <si>
    <t>[0.887,0.933]</t>
  </si>
  <si>
    <t>[0.971,0.990]</t>
  </si>
  <si>
    <t>[0.909,0.947]</t>
  </si>
  <si>
    <t>[0.674,0.719]</t>
  </si>
  <si>
    <t>[0.907,0.934]</t>
  </si>
  <si>
    <t>[0.946,0.969]</t>
  </si>
  <si>
    <t>[0.969,0.983]</t>
  </si>
  <si>
    <t>[0.978,0.987]</t>
  </si>
  <si>
    <t>[0.987,0.998]</t>
  </si>
  <si>
    <t>[0.991,1.000]</t>
  </si>
  <si>
    <t>[0.986,0.996]</t>
  </si>
  <si>
    <t>[0.984,0.993]</t>
  </si>
  <si>
    <t>[0.986,0.993]</t>
  </si>
  <si>
    <t>[0.985,0.994]</t>
  </si>
  <si>
    <t>[0.968,0.991]</t>
  </si>
  <si>
    <t>[0.988,0.995]</t>
  </si>
  <si>
    <t>[0.975,0.987]</t>
  </si>
  <si>
    <t>robotic</t>
  </si>
  <si>
    <t>[0.988,1.000]</t>
  </si>
  <si>
    <t>[0.943,1.000]</t>
  </si>
  <si>
    <t>[0.909,0.950]</t>
  </si>
  <si>
    <t>[0.987,0.994]</t>
  </si>
  <si>
    <t>[0.993,0.999]</t>
  </si>
  <si>
    <t>[0.992,0.999]</t>
  </si>
  <si>
    <t>[0.991,0.999]</t>
  </si>
  <si>
    <t>[0.983,0.993]</t>
  </si>
  <si>
    <t>[0.972,0.987]</t>
  </si>
  <si>
    <t>[0.989,0.996]</t>
  </si>
  <si>
    <t>[0.993,0.998]</t>
  </si>
  <si>
    <t>[0.981,0.991]</t>
  </si>
  <si>
    <t>[0.991,0.997]</t>
  </si>
  <si>
    <t>[0.989,0.995]</t>
  </si>
  <si>
    <t>[0.984,0.992]</t>
  </si>
  <si>
    <t>[0.990,0.997]</t>
  </si>
  <si>
    <t>[0.950,0.966]</t>
  </si>
  <si>
    <t>[0.979,0.988]</t>
  </si>
  <si>
    <t>[0.976,1.000]</t>
  </si>
  <si>
    <t>[0.992,0.998]</t>
  </si>
  <si>
    <t>[0.979,0.989]</t>
  </si>
  <si>
    <t>[0.988,0.997]</t>
  </si>
  <si>
    <t>[0.984,0.994]</t>
  </si>
  <si>
    <t>[0.944,0.977]</t>
  </si>
  <si>
    <t>[0.707,0.772]</t>
  </si>
  <si>
    <t>[0.990,0.998]</t>
  </si>
  <si>
    <t>[0.973,0.999]</t>
  </si>
  <si>
    <t>[0.986,1.000]</t>
  </si>
  <si>
    <t>[0.989,0.998]</t>
  </si>
  <si>
    <t>[0.990,0.999]</t>
  </si>
  <si>
    <t>[0.894,0.926]</t>
  </si>
  <si>
    <t>[0.989,0.997]</t>
  </si>
  <si>
    <t>[0.988,0.999]</t>
  </si>
  <si>
    <t>[0.974,0.986]</t>
  </si>
  <si>
    <t>[0.947,0.975]</t>
  </si>
  <si>
    <t>[0.958,0.992]</t>
  </si>
  <si>
    <t>[0.953,0.976]</t>
  </si>
  <si>
    <t>[0.983,0.990]</t>
  </si>
  <si>
    <t>[0.988,0.994]</t>
  </si>
  <si>
    <t>[0.996,0.999]</t>
  </si>
  <si>
    <t>[0.980,0.990]</t>
  </si>
  <si>
    <t>[0.912,0.950]</t>
  </si>
  <si>
    <t>[0.977,0.986]</t>
  </si>
  <si>
    <t>[0.968,0.980]</t>
  </si>
  <si>
    <t>[0.987,0.995]</t>
  </si>
  <si>
    <t>[0.972,0.985]</t>
  </si>
  <si>
    <t>[0.986,0.994]</t>
  </si>
  <si>
    <t>[0.985,0.993]</t>
  </si>
  <si>
    <t>[0.968,0.979]</t>
  </si>
  <si>
    <t>[0.973,0.988]</t>
  </si>
  <si>
    <t>[0.833,0.875]</t>
  </si>
  <si>
    <t>[0.987,0.996]</t>
  </si>
  <si>
    <t>[0.596,0.836]</t>
  </si>
  <si>
    <t>[0.983,0.992]</t>
  </si>
  <si>
    <t>[0.981,1.000]</t>
  </si>
  <si>
    <t>[0.982,0.992]</t>
  </si>
  <si>
    <t>[0.955,0.972]</t>
  </si>
  <si>
    <t>[0.765,0.864]</t>
  </si>
  <si>
    <t>[0.870,0.910]</t>
  </si>
  <si>
    <t>[0.982,0.991]</t>
  </si>
  <si>
    <t>[0.984,0.999]</t>
  </si>
  <si>
    <t>[0.935,0.982]</t>
  </si>
  <si>
    <t>[0.932,0.972]</t>
  </si>
  <si>
    <t>[0.969,0.998]</t>
  </si>
  <si>
    <t>[0.886,0.995]</t>
  </si>
  <si>
    <t>[0.899,0.996]</t>
  </si>
  <si>
    <t>[0.885,0.975]</t>
  </si>
  <si>
    <t>[0.836,0.936]</t>
  </si>
  <si>
    <t>[0.809,0.910]</t>
  </si>
  <si>
    <t>[0.795,0.930]</t>
  </si>
  <si>
    <t>[0.934,0.982]</t>
  </si>
  <si>
    <t>[0.993,0.997]</t>
  </si>
  <si>
    <t>[0.960,0.980]</t>
  </si>
  <si>
    <t>[0.967,0.991]</t>
  </si>
  <si>
    <t>[0.889,0.944]</t>
  </si>
  <si>
    <t>[0.974,0.999]</t>
  </si>
  <si>
    <t>[0.987,1.000]</t>
  </si>
  <si>
    <t>[0.953,1.000]</t>
  </si>
  <si>
    <t>[0.955,0.981]</t>
  </si>
  <si>
    <t>[0.704,0.993]</t>
  </si>
  <si>
    <t>[0.966,0.985]</t>
  </si>
  <si>
    <t>[0.980,0.991]</t>
  </si>
  <si>
    <t>[0.980,0.993]</t>
  </si>
  <si>
    <t>[0.982,0.993]</t>
  </si>
  <si>
    <t>[0.979,0.992]</t>
  </si>
  <si>
    <t>[0.985,0.992]</t>
  </si>
  <si>
    <t>[0.819,0.999]</t>
  </si>
  <si>
    <t>[0.969,0.986]</t>
  </si>
  <si>
    <t>[0.945,0.980]</t>
  </si>
  <si>
    <t>[0.923,0.960]</t>
  </si>
  <si>
    <t>[0.700,0.840]</t>
  </si>
  <si>
    <t>[0.978,0.988]</t>
  </si>
  <si>
    <t>[0.973,0.992]</t>
  </si>
  <si>
    <t>[0.978,0.998]</t>
  </si>
  <si>
    <t>[0.975,0.995]</t>
  </si>
  <si>
    <t>[0.934,0.992]</t>
  </si>
  <si>
    <t>[0.982,0.996]</t>
  </si>
  <si>
    <t>[0.987,0.999]</t>
  </si>
  <si>
    <t>[0.971,0.993]</t>
  </si>
  <si>
    <t>[0.992,0.997]</t>
  </si>
  <si>
    <t>[0.979,0.994]</t>
  </si>
  <si>
    <t>[0.973,0.987]</t>
  </si>
  <si>
    <t>[0.985,0.996]</t>
  </si>
  <si>
    <t>[0.968,0.988]</t>
  </si>
  <si>
    <t>[0.979,0.990]</t>
  </si>
  <si>
    <t>[0.928,0.958]</t>
  </si>
  <si>
    <t>[0.985,0.998]</t>
  </si>
  <si>
    <t>[0.970,0.990]</t>
  </si>
  <si>
    <t>[0.982,0.998]</t>
  </si>
  <si>
    <t>[0.908,0.957]</t>
  </si>
  <si>
    <t>[0.976,0.986]</t>
  </si>
  <si>
    <t>[0.944,0.985]</t>
  </si>
  <si>
    <t>[0.992,1.000]</t>
  </si>
  <si>
    <t>[0.957,0.977]</t>
  </si>
  <si>
    <t>[0.827,0.952]</t>
  </si>
  <si>
    <t>[0.964,0.987]</t>
  </si>
  <si>
    <t>[0.974,0.995]</t>
  </si>
  <si>
    <t>[0.962,0.994]</t>
  </si>
  <si>
    <t>[0.933,0.980]</t>
  </si>
  <si>
    <t>[0.951,0.982]</t>
  </si>
  <si>
    <t>[0.959,0.983]</t>
  </si>
  <si>
    <t>[0.975,1.000]</t>
  </si>
  <si>
    <t>[0.946,0.971]</t>
  </si>
  <si>
    <t>[0.973,0.997]</t>
  </si>
  <si>
    <t>[0.950,1.000]</t>
  </si>
  <si>
    <t>[0.952,0.971]</t>
  </si>
  <si>
    <t>[0.980,1.000]</t>
  </si>
  <si>
    <t>[0.956,0.978]</t>
  </si>
  <si>
    <t>[0.928,0.960]</t>
  </si>
  <si>
    <t>[0.977,0.996]</t>
  </si>
  <si>
    <t>[0.980,0.997]</t>
  </si>
  <si>
    <t>[0.931,0.963]</t>
  </si>
  <si>
    <t>[0.982,0.999]</t>
  </si>
  <si>
    <t>[0.940,0.972]</t>
  </si>
  <si>
    <t>[0.950,0.987]</t>
  </si>
  <si>
    <t>[0.845,0.926]</t>
  </si>
  <si>
    <t>[0.956,0.981]</t>
  </si>
  <si>
    <t>[0.933,0.966]</t>
  </si>
  <si>
    <t>[0.791,0.839]</t>
  </si>
  <si>
    <t>[0.922,0.949]</t>
  </si>
  <si>
    <t>[0.981,0.996]</t>
  </si>
  <si>
    <t>[0.972,0.999]</t>
  </si>
  <si>
    <t>single stranded</t>
  </si>
  <si>
    <t>[0.981,0.994]</t>
  </si>
  <si>
    <t>[0.976,0.988]</t>
  </si>
  <si>
    <t>[0.937,0.999]</t>
  </si>
  <si>
    <t>[0.955,0.977]</t>
  </si>
  <si>
    <t>[0.980,0.994]</t>
  </si>
  <si>
    <t>[0.966,0.982]</t>
  </si>
  <si>
    <t>[0.941,0.980]</t>
  </si>
  <si>
    <t>[0.975,0.985]</t>
  </si>
  <si>
    <t>[0.944,0.981]</t>
  </si>
  <si>
    <t>[0.952,0.976]</t>
  </si>
  <si>
    <t>[0.860,0.997]</t>
  </si>
  <si>
    <t>[0.965,0.991]</t>
  </si>
  <si>
    <t>[0.962,0.990]</t>
  </si>
  <si>
    <t>[0.969,0.995]</t>
  </si>
  <si>
    <t>[0.929,0.971]</t>
  </si>
  <si>
    <t>[0.963,0.993]</t>
  </si>
  <si>
    <t>[0.976,0.998]</t>
  </si>
  <si>
    <t>[0.974,1.000]</t>
  </si>
  <si>
    <t>[0.930,0.962]</t>
  </si>
  <si>
    <t>[0.962,0.993]</t>
  </si>
  <si>
    <t>[0.982,0.997]</t>
  </si>
  <si>
    <t>[0.656,0.700]</t>
  </si>
  <si>
    <t>[0.978,0.995]</t>
  </si>
  <si>
    <t>[0.983,0.995]</t>
  </si>
  <si>
    <t>Bioinformatic Processing Protocol</t>
  </si>
  <si>
    <t>KamennyiAmbar.2person.familyE</t>
  </si>
  <si>
    <t>Barikot_Medieval</t>
  </si>
  <si>
    <t>Bilina_BA</t>
  </si>
  <si>
    <t>Bilina_N_Baalberge</t>
  </si>
  <si>
    <t>1738-1623 calBCE (3375±20 BP, PSUAMS-5275)</t>
  </si>
  <si>
    <t>3090-2920 calBCE (4390±20 BP, PSUAMS-5276)</t>
  </si>
  <si>
    <t>1071-925 calBCE (2845±20 BP, PSUAMS-5277)</t>
  </si>
  <si>
    <t>824-792 calBCE (2630±20 BP, PSUAMS-5279)</t>
  </si>
  <si>
    <t>1044-922 calBCE (2830±20 BP, PSUAMS-5280)</t>
  </si>
  <si>
    <t>1497-1318 calBCE (3145±25 BP, PSUAMS-5284)</t>
  </si>
  <si>
    <t>R1(xR1b)</t>
  </si>
  <si>
    <t>R1(xR1b1)</t>
  </si>
  <si>
    <t>R1b1(xR1b1a)</t>
  </si>
  <si>
    <t>R1b1a1a2a1a(xR1b1a1a2a1a1,xR1b1a1a2a1a2)</t>
  </si>
  <si>
    <t>R1b1a1a2a2c1</t>
  </si>
  <si>
    <t>n/a (sex undetermined)</t>
  </si>
  <si>
    <t>automatic</t>
  </si>
  <si>
    <t>Brandysek_N</t>
  </si>
  <si>
    <t>PSUAMS-5275</t>
  </si>
  <si>
    <t>PSUAMS-5276</t>
  </si>
  <si>
    <t>PSUAMS-5277</t>
  </si>
  <si>
    <t>PSUAMS-5279</t>
  </si>
  <si>
    <t>PSUAMS-5280</t>
  </si>
  <si>
    <t>PSUAMS-5284</t>
  </si>
  <si>
    <t>Michael Frachetti, Egor Kitov, Gaziz Akhatov, Antonina Yermolayeva, Arman A. Bissembaev, Talgat B. Mamirov, Aslan M. Mamedov</t>
  </si>
  <si>
    <t>Mereke_EBA_Yamnaya</t>
  </si>
  <si>
    <t>Michael Frachetti, Egor Kitov, Gaziz Akhatov, Antonina Yermolayeva, Arman A. Bissembaev, Vitaliy V. Tkachev</t>
  </si>
  <si>
    <t>Michael Frachetti, Egor Kitov, Gaziz Akhatov, Antonina Yermolayeva, Vitaliy V. Tkachev</t>
  </si>
  <si>
    <t>MOS291, Geoksyur 1, 1963, Tolos "Ц (ts)", N144, IE-10-27</t>
  </si>
  <si>
    <t>MOS295, Geoksyur 1, 1963, N 139, Tolos "Ц" (ts), IE-10-35</t>
  </si>
  <si>
    <t>MOS298, Geoksyur 1, 1963, N129, Tolos "Ф" (F), IE-10-46</t>
  </si>
  <si>
    <t>MOS317, Geoksyur 1, 1964, 200 бяия (Byaiya), IE-10-20</t>
  </si>
  <si>
    <t>MOS324, Geoksyur 1, 1964, 172, вяпе (Vyape), IE-10-23</t>
  </si>
  <si>
    <t>MOS327, Geoksyur, 1963, grave 92 ч (ch), Tolos "P" (R), GS-1, вяие (Vyaie), IE-10-1</t>
  </si>
  <si>
    <t>MOS330, Geoksyur 1, 1963, Skull N107, Tolos "Ч" (Ch), IE-10-4</t>
  </si>
  <si>
    <t>MOS332, Geoksyur 1, 1963, 64, Tolos "O" (O), IE-10-5</t>
  </si>
  <si>
    <t>MOS325, Geoksyur 1, 1963, N43, Tolos "K" (K), IE-10-18</t>
  </si>
  <si>
    <t>KZ-KP-001, Цмк, кп27390, (Tsentralnoi Musey Kazakhstan), 9а</t>
  </si>
  <si>
    <t>KZ-KP-004, Цмк, кп27390, (Tsentralnoi Musey Kazakhstan), 6а</t>
  </si>
  <si>
    <t>KZ-KAR-004, Karagash 1994, КВ. 1A. (Quad 1A), Grave 1</t>
  </si>
  <si>
    <t>KZ-KAR-002, Karagash 1994, КВ. 4Г (Quad 4G), Grave 3</t>
  </si>
  <si>
    <t>KZ-KAR-003, KВ-1В (Quad 1V), Grave 2, 1994</t>
  </si>
  <si>
    <t>Aigyrzhal K.105</t>
  </si>
  <si>
    <t>Aigyrzhal_BA</t>
  </si>
  <si>
    <t>Aigyrzhal</t>
  </si>
  <si>
    <t>Aigyrzhal K.67</t>
  </si>
  <si>
    <t>Katon_Karagay_LBA</t>
  </si>
  <si>
    <t>Swat Valley, Udegram, Raja Gira</t>
  </si>
  <si>
    <t>Tyumen50, Kurgan 6, Mergen 6 (building No. 15)</t>
  </si>
  <si>
    <t>Sergey Mikhailovich Slepchenko, Anatoly Nikolaevich Bagashev, Dmitry Enshin</t>
  </si>
  <si>
    <t>Kumsay, Kyryk Oba</t>
  </si>
  <si>
    <t>Tomsk_1950, inventory number 1950, burial 3</t>
  </si>
  <si>
    <t>Tomsk_1951, inventory number 1951, burial 4</t>
  </si>
  <si>
    <t>Tomsk_1952, inventory number 1952, burial 7</t>
  </si>
  <si>
    <t>Tomsk_1959, inventory number 1959, burial 1</t>
  </si>
  <si>
    <t>Tomsk_2101, inventory number 2101, burial 8</t>
  </si>
  <si>
    <t>Tomsk_2102, inventory number 2102, burial 9</t>
  </si>
  <si>
    <t>Tomsk_4379, inventory number 4379, burial 7</t>
  </si>
  <si>
    <t>Tomsk10, inventory number 3079, burial 1</t>
  </si>
  <si>
    <t>Tyumen1, Kurgan 1, Mergen 6 (building No. 21, burial 1)</t>
  </si>
  <si>
    <t>Tomsk_1955, inventory number 1955, burial 1, skeleton 2</t>
  </si>
  <si>
    <t xml:space="preserve">Grave 2, Individual 1 in a triple burial , BKOT1 </t>
  </si>
  <si>
    <t xml:space="preserve">Grave 26, Individual 3 (C or A (?)) in a triple burial , T.26, 586 </t>
  </si>
  <si>
    <t xml:space="preserve">Grave 14, single burial , 588 </t>
  </si>
  <si>
    <t xml:space="preserve">Grave 26 C (?), single burial , BI T26/C, 695 </t>
  </si>
  <si>
    <t xml:space="preserve">Grave 26, Individual 2 (B) in a triple burial , 930 </t>
  </si>
  <si>
    <t xml:space="preserve">Grave 153, Individual 1 (B) in a double burial </t>
  </si>
  <si>
    <t xml:space="preserve">Grave 90, single burial , 561 </t>
  </si>
  <si>
    <t xml:space="preserve">Grave 237, Individual 2 (B) in a double burial , 562 </t>
  </si>
  <si>
    <t>Grave 237, Individual 1 (A) in a double burial , 563</t>
  </si>
  <si>
    <t xml:space="preserve">Grave 146, Individual 2 (A) in a double burial , 565 </t>
  </si>
  <si>
    <t xml:space="preserve">Grave 145, single burial , 566 </t>
  </si>
  <si>
    <t xml:space="preserve">Grave 122, single burial , 568 </t>
  </si>
  <si>
    <t xml:space="preserve">Grave 35, single burial , 581 </t>
  </si>
  <si>
    <t xml:space="preserve">Grave 236, single burial , 582 </t>
  </si>
  <si>
    <t xml:space="preserve">Grave 233, single burial , 583 </t>
  </si>
  <si>
    <t xml:space="preserve">Grave 79, single burial , 584 </t>
  </si>
  <si>
    <t xml:space="preserve">Grave 46, single burial , 585 </t>
  </si>
  <si>
    <t xml:space="preserve">Grave 101, Individual 1 (C) in a triple burial , 590 </t>
  </si>
  <si>
    <t xml:space="preserve">Grave 131, single burial , 591 </t>
  </si>
  <si>
    <t xml:space="preserve">Grave 169, single burial , 597 </t>
  </si>
  <si>
    <t xml:space="preserve">Grave 194, Individual 2 (A) of a double burial , 598 </t>
  </si>
  <si>
    <t xml:space="preserve">Grave 139, single burial , 599 </t>
  </si>
  <si>
    <t xml:space="preserve">Grave 30, single burial , 600 </t>
  </si>
  <si>
    <t xml:space="preserve">Grave 159, Individual 1 (A?) in a double burial , 601 </t>
  </si>
  <si>
    <t xml:space="preserve">Grave 186, single burial , 603 </t>
  </si>
  <si>
    <t xml:space="preserve">Grave 68, Individual 2 (A) in a double burial , 604 </t>
  </si>
  <si>
    <t xml:space="preserve">Grave 113 (?) in a single burial , 608 </t>
  </si>
  <si>
    <t xml:space="preserve">Grave 61, single burial , 609 </t>
  </si>
  <si>
    <t xml:space="preserve">Grave 204, single burial , 610 </t>
  </si>
  <si>
    <t xml:space="preserve">Grave 187, Individual 1 (B) in a double burial , 611 </t>
  </si>
  <si>
    <t xml:space="preserve">Grave 234, single burial , 613 </t>
  </si>
  <si>
    <t xml:space="preserve">Grave 209, single burial , 615 </t>
  </si>
  <si>
    <t xml:space="preserve">Grave 141, single burial </t>
  </si>
  <si>
    <t xml:space="preserve">Grave 108, Individual 1 in a double burial </t>
  </si>
  <si>
    <t xml:space="preserve">Grave 112, single burial </t>
  </si>
  <si>
    <t xml:space="preserve">Grave 136, Individual 1 (B) in a double burial , 543 </t>
  </si>
  <si>
    <t>Grave 85, Individual 1 in a double burial , 545</t>
  </si>
  <si>
    <t xml:space="preserve">Grave 136, Individual 2 (A) in a double burial , 546 </t>
  </si>
  <si>
    <t xml:space="preserve">Grave 140, single burial , 547 </t>
  </si>
  <si>
    <t xml:space="preserve">Grave 60, Individual 1 (A) in a double burial , 593 </t>
  </si>
  <si>
    <t xml:space="preserve">Grave 65, Individual 2 (A) in a double burial , 594 </t>
  </si>
  <si>
    <t xml:space="preserve">Grave 9, single burial , 595 </t>
  </si>
  <si>
    <t xml:space="preserve">Grave 107, single burial , 596 </t>
  </si>
  <si>
    <t xml:space="preserve">Grave 131, Individual 1 in a double burial , 708 </t>
  </si>
  <si>
    <t xml:space="preserve">Grave 145, single burial , 709 </t>
  </si>
  <si>
    <t xml:space="preserve">Grave 174, Individual 2 (B) of a double burial , 710 </t>
  </si>
  <si>
    <t xml:space="preserve">Grave 178, Individual 1 (B) in a double burial , 711 </t>
  </si>
  <si>
    <t>Grave 133, Individual 2 (B) in a double burial , 715</t>
  </si>
  <si>
    <t xml:space="preserve">Grave 137, single burial , 713 </t>
  </si>
  <si>
    <t xml:space="preserve">Grave 105, Individual 2 in a double burial , 714 </t>
  </si>
  <si>
    <t xml:space="preserve">Grave 90, single burial , 716 </t>
  </si>
  <si>
    <t xml:space="preserve">Grave 131, Individual 2 in a double burial , 717 </t>
  </si>
  <si>
    <t xml:space="preserve">Grave 169, Individual 1 in a double burial , 931 </t>
  </si>
  <si>
    <t xml:space="preserve">Grave 176, Individual 2 in a double burial , 932 </t>
  </si>
  <si>
    <t xml:space="preserve">Grave 182, single burial , 933 </t>
  </si>
  <si>
    <t xml:space="preserve">Grave 70, Individual 2 in a double secondary burial , T70B, 934 </t>
  </si>
  <si>
    <t xml:space="preserve">Grave 70, Individual 1 in a double secondary burial , 935 </t>
  </si>
  <si>
    <t xml:space="preserve">Grave 127, Individual 2 in a double burial , 937 </t>
  </si>
  <si>
    <t xml:space="preserve">Grave 178, Individual 2 (A) in a double burial , 938 </t>
  </si>
  <si>
    <t xml:space="preserve">Grave 168, single burial , 939 </t>
  </si>
  <si>
    <t xml:space="preserve">Grave 170, single burial </t>
  </si>
  <si>
    <t xml:space="preserve">Grave 135, Individual 1 in a double burial , TI.35A </t>
  </si>
  <si>
    <t>Grave 135, Individual 1 (?) in a double burial , LOEB_53</t>
  </si>
  <si>
    <t xml:space="preserve">Grave 73, Individual 1 in a double burial </t>
  </si>
  <si>
    <t xml:space="preserve">Grave 77, single burial </t>
  </si>
  <si>
    <t xml:space="preserve">Grave 63 (?), Individual 3 in a triple burial , T.163C </t>
  </si>
  <si>
    <t xml:space="preserve">Grave 76, Individual 1 in a double burial </t>
  </si>
  <si>
    <t xml:space="preserve">Grave 78, single burial </t>
  </si>
  <si>
    <t xml:space="preserve">Grave 80, Individual 1 in a double burial </t>
  </si>
  <si>
    <t xml:space="preserve">Grave 31 (?), unassigned skeleton probably in a multiple burial , PARWAK32 </t>
  </si>
  <si>
    <t xml:space="preserve">Grave 52, single burial , PARWAK30 </t>
  </si>
  <si>
    <t xml:space="preserve">Grave 5, Individual 1 in a double burial , SSI G5 6 </t>
  </si>
  <si>
    <t xml:space="preserve">Grave 11, single burial , DA-SIM0317-005 </t>
  </si>
  <si>
    <t xml:space="preserve">Grave 7, single burial , DA-SIM0317-111 </t>
  </si>
  <si>
    <t>Grave 16, single burial , DA-SIM0317-129</t>
  </si>
  <si>
    <t xml:space="preserve">Grave 12, single burial , DA-SIM0317-015 </t>
  </si>
  <si>
    <t xml:space="preserve">Grave 5, Individual 2 in a double burial , DA-SIM0317-029 </t>
  </si>
  <si>
    <t xml:space="preserve">Grave 3, single burial , DA-SIM0317-037 </t>
  </si>
  <si>
    <t xml:space="preserve">Grave 00, single burial , DA-SIM0317-052 </t>
  </si>
  <si>
    <t xml:space="preserve">Grave 1, single burial , DA-SIM0317-066 </t>
  </si>
  <si>
    <t xml:space="preserve">Grave 2, single burial , DA-SIM0317-077 </t>
  </si>
  <si>
    <t xml:space="preserve">Grave 4, single burial , DA-SIM0317-084 </t>
  </si>
  <si>
    <t xml:space="preserve">Grave 51, single burial , SINGOOR20 </t>
  </si>
  <si>
    <t>Grave 5, Individual 1 in a double burial , UDG53, DA-UDE0317-053</t>
  </si>
  <si>
    <t>Grave 29, Individual 1 in a double burial , UDG12</t>
  </si>
  <si>
    <t>Grave 28, Individual 1 in a double burial , UDG2, DA-UDE0317-059, Luca2</t>
  </si>
  <si>
    <t>Grave 27, Individual 1 in a double burial , DA-UDE0317-020</t>
  </si>
  <si>
    <t>Grave 26, Individual 1 in a double burial , UDG5, DA-UDE0317-017, Luca5</t>
  </si>
  <si>
    <t>Grave 5, Individual 2 in a double burial , UDG45, DA-UDE0317-055</t>
  </si>
  <si>
    <t>Grave 4, Individual 1 in a double burial , UDG60, DA-UDE0317-034</t>
  </si>
  <si>
    <t>Grave 1, Individual 1 or 2 in a double burial , DA-UDE0317-024</t>
  </si>
  <si>
    <t xml:space="preserve">Grave 3, Individual 1 in a single burial , DA-UDE0317-026 </t>
  </si>
  <si>
    <t>Grave 6, Individual 1 in a double burial , DA-UDE0317-032</t>
  </si>
  <si>
    <t xml:space="preserve">Grave 233, Individual 2 in a double burial , UD T219 1 </t>
  </si>
  <si>
    <t xml:space="preserve">Grave 233, Individual 1 in a double burial , UD T219 2+3 </t>
  </si>
  <si>
    <t xml:space="preserve">Grave 370, single burial , DA-RAJ0317-011 </t>
  </si>
  <si>
    <t>KZ-AKT-001, Object 7, burial enclosure 2, Grave 1</t>
  </si>
  <si>
    <t>KZ-AKT-003, Object 7, burial enclosure 2, Grave 3</t>
  </si>
  <si>
    <t>KZ-AKT-002, Object 7, burial enclosure 2, Grave 2</t>
  </si>
  <si>
    <t>HotuJ, Hotu cave, Mesolithic crania, juvenile</t>
  </si>
  <si>
    <t>Kurgan 2, burial 1</t>
  </si>
  <si>
    <t xml:space="preserve">UZ-DK-004, Dashti-Kozy 1985, burial 12, 44-35, individual 3 </t>
  </si>
  <si>
    <t xml:space="preserve">UZ-DK-003, Dashti-Kozy 1985, burial 12, 44-34, individual 1 </t>
  </si>
  <si>
    <t xml:space="preserve">UZ-JAR-001, Jarkutan 4a 1976, Grave 401 </t>
  </si>
  <si>
    <t xml:space="preserve">UZ-JAR-005 , Jarkutan 4a-86, Grave 106, 44-20 </t>
  </si>
  <si>
    <t xml:space="preserve">UZ-JAR-003, Jarkutan 4b-137, 44-24 </t>
  </si>
  <si>
    <t xml:space="preserve">UZ-JAR-004, Jarkutan 4b-85, Grave 60 </t>
  </si>
  <si>
    <t xml:space="preserve">UZ-JAR-007, Jarkutan 4a 1976, Grave 384 </t>
  </si>
  <si>
    <t>burial 3</t>
  </si>
  <si>
    <t>burial 8</t>
  </si>
  <si>
    <t>burial 1, RISE828</t>
  </si>
  <si>
    <t>Kurgan 1, burial 2, right skeleton, female</t>
  </si>
  <si>
    <t>Kurgan 6, burial 10</t>
  </si>
  <si>
    <t>Kurgan 4, burial 1, skeleton 1</t>
  </si>
  <si>
    <t>Kurgan 1, burial 2</t>
  </si>
  <si>
    <t>Kurgan 4, burial 1, skeleton 2</t>
  </si>
  <si>
    <t>Kurgan 1, burial 4</t>
  </si>
  <si>
    <t>Kurgan 1, burial 10</t>
  </si>
  <si>
    <t>burial 2, Kurgan 1, RISE829</t>
  </si>
  <si>
    <t xml:space="preserve">Grave 158, Individual 2 (A) in a double burial , 560 </t>
  </si>
  <si>
    <t xml:space="preserve">Grave 63 (?), Individual 1 (A), 592 (this individual is marked as being from Grave 61 but the attribution is uncertain since archaeological data report no human remains from this grave and a best guess is that this individual is a member of the triple burial in Grave 63 </t>
  </si>
  <si>
    <t xml:space="preserve">Grave 31, Skeleton 2 in a multiple burial , PARWAK28 </t>
  </si>
  <si>
    <t>CGG_2_015338, PD28, Sjigerkinskoje 2, burial 1, Sjiderte, Pavlodar</t>
  </si>
  <si>
    <t>CGG_2_015364, PD57, Kurgan Sjiderti 17, burial 1, Sjiderte, Pavlodar</t>
  </si>
  <si>
    <t>CGG_2_016387, Pav 1, Grigorjevka 4, burial 1, Pavlodar</t>
  </si>
  <si>
    <t>ZVEJ10, burial 67</t>
  </si>
  <si>
    <t>ZVEJ12, burial 128</t>
  </si>
  <si>
    <t>ZVEJ16, burial 224</t>
  </si>
  <si>
    <t>ZVEJ21, burial 197</t>
  </si>
  <si>
    <t>ZVEJ22, burial 173</t>
  </si>
  <si>
    <t>ZVEJ3, burial 52</t>
  </si>
  <si>
    <t>ZVEJ4, burial 108</t>
  </si>
  <si>
    <t>ZVEJ5, burial 117</t>
  </si>
  <si>
    <t>ZVEJ7, burial 98</t>
  </si>
  <si>
    <t>ZVEJ9, burial 49</t>
  </si>
  <si>
    <t>Sergey Mikhailovich Slepchenko, Dmitri Enshin</t>
  </si>
  <si>
    <t>Petr Veleminsky, Miroslav Dobeš</t>
  </si>
  <si>
    <t>BILI_4, National Museum No. P7A 7558</t>
  </si>
  <si>
    <t>BILI_139, National Museum No. P7A 7564</t>
  </si>
  <si>
    <t>BILI_7958, Grave ?, No. 15, National Museum No. P7A 7958</t>
  </si>
  <si>
    <t>Tomsk_4114, inventory number 4114, Kurgan 3, burial 3</t>
  </si>
  <si>
    <t>Tomsk_4387, inventory number 4387, Kurgan 1, burial 1</t>
  </si>
  <si>
    <t>Tomsk_4335, inventory number 4335, Kurgan 6, burial 1</t>
  </si>
  <si>
    <t>Tomsk_4337, inventory number 4337, Kurgan 8, burial 1</t>
  </si>
  <si>
    <t>Tomsk_4341, inventory number 4341, Kurgan 17, burial 1</t>
  </si>
  <si>
    <t>Tomsk_4344, inventory number 4344, Kurgan 23d, burial 1</t>
  </si>
  <si>
    <t>Tomsk_4346, inventory number 4346, Kurgan 27a, burial 1</t>
  </si>
  <si>
    <t>Tomsk_4347, inventory number 4347, Kurgan 29b, burial 1</t>
  </si>
  <si>
    <t>Tomsk_4350, inventory number 4350, Kurgan 36a, burial 1</t>
  </si>
  <si>
    <t>Tomsk_4376, inventory number 4376, Kurgan 2, burial 2</t>
  </si>
  <si>
    <t>Tomsk_4371, inventory number 4371, Kurgan 4, burial 1</t>
  </si>
  <si>
    <t>Tomsk_4377, inventory number 4377, Kurgan 3, burial 3</t>
  </si>
  <si>
    <t xml:space="preserve">CGG_2_019114, Kaynar Bulak 2 burial site, Kurgan 11, skeleton 2 </t>
  </si>
  <si>
    <t>Tomsk_2099, inventory number 2099, Kurgan 5</t>
  </si>
  <si>
    <t>Tomsk_2125, inventory number 2125, Kurgan 6</t>
  </si>
  <si>
    <t>Afanasievo_son.I10565</t>
  </si>
  <si>
    <t>Afanasievo_mother.I6712_dup.I10565.SG</t>
  </si>
  <si>
    <t>VEZE_27-III, Nicolaus Parthe’s quarry, Grave 27, National Museum No. P7A 6589</t>
  </si>
  <si>
    <t>Radovesice X</t>
  </si>
  <si>
    <t>RDVS_5/79, Radovesice X, "U bílinské silnice", Grave 5/79, National Museum No. P7A 9322</t>
  </si>
  <si>
    <t>Radovesice III</t>
  </si>
  <si>
    <t>RDVS_40/78, Radovesice III,  "Za kostelem”, Grave 40/78, National Museum No. P7A 9319 , Radovesice</t>
  </si>
  <si>
    <t>Radovesice XVIII</t>
  </si>
  <si>
    <t>RDVS_04/81, Radovesice XVIII, "Na vyhlídce", Grave 4/81, National Museum No. P7A 17 333</t>
  </si>
  <si>
    <t>Bílina, Titzler's  sandpit</t>
  </si>
  <si>
    <t>Bílina, Köhler's sandpit</t>
  </si>
  <si>
    <t>Coppa, Alfredo</t>
  </si>
  <si>
    <t>Alexey Tishkin, Alexey V. Fribus, Sergey P. Grushin</t>
  </si>
  <si>
    <t>QUESTIONABLE_CRITICAL (Xcontam=0.122)</t>
  </si>
  <si>
    <t xml:space="preserve">Gonur 2006 Area 10 pit tomb 3300(2 = individual 2), N23m </t>
  </si>
  <si>
    <t>Gonur Tomb 3734, UfaNov17-017</t>
  </si>
  <si>
    <t xml:space="preserve">Gonur tomb 3699, UfaNov17-002 </t>
  </si>
  <si>
    <t>Gonur tomb 3220, skeleton 3, UfaNov17-005</t>
  </si>
  <si>
    <t xml:space="preserve">Gonur tomb 3385, UfaNov17-015 </t>
  </si>
  <si>
    <t xml:space="preserve">Gonur tomb 3230, skeleton 4, UfaNov17-001 </t>
  </si>
  <si>
    <t xml:space="preserve">Gonur tomb 3225, skeleton 3, UfaNov17-003 </t>
  </si>
  <si>
    <t xml:space="preserve">Gonur tomb 3225, skeleton 1, UfaNov17-004 </t>
  </si>
  <si>
    <t xml:space="preserve">Gonur skull 3250, UfaNov17-055 </t>
  </si>
  <si>
    <t>Michael Frachetti, Egor Kitov, Gaziz Akhatov, Antonina Yermolayeva, Arman A. Bissembaev, Talgat B. Mamirov, Aslan M. Mamedov, Meiram N. Duisengali</t>
  </si>
  <si>
    <t>Michael Frachetti, Egor Kitov, Gaziz Akhatov, Antonina Yermolayeva, Aleksander P. Krygin</t>
  </si>
  <si>
    <t>Michael Frachetti, Egor Kitov, Gaziz Akhatov, Antonina Yermolayeva, Kubatbek Tabaldiev, Oroz A. Soltobaev, Temirlan T. Chargynov</t>
  </si>
  <si>
    <t>Michael Frachetti, Julio Bendezu-Sarmiento</t>
  </si>
  <si>
    <t>References</t>
  </si>
  <si>
    <t>Manual UDGminus</t>
  </si>
  <si>
    <t>Manual UDGminus*</t>
  </si>
  <si>
    <t>Manual UDGhalf</t>
  </si>
  <si>
    <t>Manual UDGhalf*</t>
  </si>
  <si>
    <t>Robotic UDGhalf</t>
  </si>
  <si>
    <t>Robotic single-stranded</t>
  </si>
  <si>
    <t>Dabney 2013, Korlevic 2015</t>
  </si>
  <si>
    <t>Dabney 2013</t>
  </si>
  <si>
    <t>Rohland 2018 (beads, Buffer D)</t>
  </si>
  <si>
    <t>138, BARN-014</t>
  </si>
  <si>
    <t>Number of reported R1a Y chromosomes in the literature</t>
  </si>
  <si>
    <t>3000-2700 BCE [2926-2779 calBCE (4271±30 BP, Bln-5280), based on a sample of wood from the grave]</t>
  </si>
  <si>
    <t>Tatyana Savenkova and Valery Zubhkov</t>
  </si>
  <si>
    <t>3800-3400 BCE</t>
  </si>
  <si>
    <t>2200-800 BCE</t>
  </si>
  <si>
    <t>Velké Žernoseky</t>
  </si>
  <si>
    <t>PASS (mtcontam=0.934)</t>
  </si>
  <si>
    <t>PASS (mtcontam=0.935-0.969)</t>
  </si>
  <si>
    <t>version 1</t>
  </si>
  <si>
    <t>version 2</t>
  </si>
  <si>
    <t>1207-1014 calBCE (2910±25 BP, PSUAMS-5426)</t>
  </si>
  <si>
    <t>PSUAMS-5426</t>
  </si>
  <si>
    <t>PASS (batch.flag, mtcontam=0.935, Xcontam=0.005 neturalizes the other concerns)</t>
  </si>
  <si>
    <t>QUESTIONABLE (mtcontam=0.817)</t>
  </si>
  <si>
    <t>QUESTIONABLE (Xcontam=0.020)</t>
  </si>
  <si>
    <t>QUESTIONABLE (mtcontam=0.827)</t>
  </si>
  <si>
    <t>PASS (Xcontam=0.016)</t>
  </si>
  <si>
    <t>QUESTIONABLE (2500.to.5000.SNPs, mtcontam=0.919)</t>
  </si>
  <si>
    <t>QUESTIONABLE (Xcontam=0.023)</t>
  </si>
  <si>
    <t>QUESTIONABLE (Xcontam=0.022)</t>
  </si>
  <si>
    <t>QUESTIONABLE (Xcontam=0.031)</t>
  </si>
  <si>
    <t>Analysis Label (grouping individuals of similar ancestry across diverse regions)</t>
  </si>
  <si>
    <t>Split Label  (grouping individuals of similar ancestry by site)</t>
  </si>
  <si>
    <t>Shotgun data with diploid genotype calls</t>
  </si>
  <si>
    <t>Reference genome</t>
  </si>
  <si>
    <t>Shotgun data with a random sequence representing each nucleotide</t>
  </si>
  <si>
    <t>0.988,0.989,0.999,0.991</t>
  </si>
  <si>
    <t>0.921,0.938</t>
  </si>
  <si>
    <t>1,0.999,1,1</t>
  </si>
  <si>
    <t>0.941,0.983,0.987</t>
  </si>
  <si>
    <t>0.903,0.981</t>
  </si>
  <si>
    <t>0.976,0.991</t>
  </si>
  <si>
    <t>..,..</t>
  </si>
  <si>
    <t>0.994,1</t>
  </si>
  <si>
    <t>0.678,..</t>
  </si>
  <si>
    <t>0.999,0.946</t>
  </si>
  <si>
    <t>0.937,0.963,0.953</t>
  </si>
  <si>
    <t>1,1</t>
  </si>
  <si>
    <t>0.426,0.98</t>
  </si>
  <si>
    <t>0.886,..,0.653</t>
  </si>
  <si>
    <t>0.947,0.934,0.965</t>
  </si>
  <si>
    <t>0.974,0.973,..</t>
  </si>
  <si>
    <t>0.926,0.913,0.969</t>
  </si>
  <si>
    <t>0.998,0.994,0.997</t>
  </si>
  <si>
    <t>..,0.601,0.951</t>
  </si>
  <si>
    <t>0.996,0.999</t>
  </si>
  <si>
    <t>0.922,0.894,0.975</t>
  </si>
  <si>
    <t>0.998,1</t>
  </si>
  <si>
    <t>0.987,0.991</t>
  </si>
  <si>
    <t>0.977,0.999,0.99</t>
  </si>
  <si>
    <t>0.944,0.607,0.973</t>
  </si>
  <si>
    <t>0.964,0.967</t>
  </si>
  <si>
    <t>1,0.999,0.998</t>
  </si>
  <si>
    <t>0.935,0.969,0.967</t>
  </si>
  <si>
    <t>..,0.982,0.968</t>
  </si>
  <si>
    <t>1,0.998</t>
  </si>
  <si>
    <t>0.953,0.953,0.999</t>
  </si>
  <si>
    <t>0.994,0.999,0.996</t>
  </si>
  <si>
    <t>0.999,0.989</t>
  </si>
  <si>
    <t>0.999,1</t>
  </si>
  <si>
    <t>0.999,0.978,0.981</t>
  </si>
  <si>
    <t>..,0.998</t>
  </si>
  <si>
    <t>0.913,0.962,0.958</t>
  </si>
  <si>
    <t>0.909,0.961,0.949</t>
  </si>
  <si>
    <t>..,0.93,0.952</t>
  </si>
  <si>
    <t>0.983,0.97</t>
  </si>
  <si>
    <t>0.999,1,1</t>
  </si>
  <si>
    <t>1,0.991</t>
  </si>
  <si>
    <t>0.984,0.999,0.998</t>
  </si>
  <si>
    <t>0.983,0.982,0.981</t>
  </si>
  <si>
    <t>0.998,0.969</t>
  </si>
  <si>
    <t>0.967,0.949</t>
  </si>
  <si>
    <t>0.998,1,1</t>
  </si>
  <si>
    <t>0.697,0.817</t>
  </si>
  <si>
    <t>1,1,1</t>
  </si>
  <si>
    <t>0.996,0.993,0.996</t>
  </si>
  <si>
    <t>0.978,0.987,0.978</t>
  </si>
  <si>
    <t>0.984,0.977,0.977</t>
  </si>
  <si>
    <t>0.971,0.971,0.975</t>
  </si>
  <si>
    <t>0.978,0.97,0.982</t>
  </si>
  <si>
    <t>0.915,0.894</t>
  </si>
  <si>
    <t>0.997,1,0.999</t>
  </si>
  <si>
    <t>0.997,0.997,0.992</t>
  </si>
  <si>
    <t>0.987,0.996,0.993</t>
  </si>
  <si>
    <t>0.989,0.999</t>
  </si>
  <si>
    <t>0.98,0.959</t>
  </si>
  <si>
    <t>0.997,1</t>
  </si>
  <si>
    <t>0.98,0.988,0.989</t>
  </si>
  <si>
    <t>0.999,1,0.999</t>
  </si>
  <si>
    <t>0.994,0.996,0.999</t>
  </si>
  <si>
    <t>1,0.994,0.999,1</t>
  </si>
  <si>
    <t>0.971,0.99,0.983</t>
  </si>
  <si>
    <t>0.993,0.993,0.996</t>
  </si>
  <si>
    <t>0.989,0.976,0.946,0.965</t>
  </si>
  <si>
    <t>0.984,0.996</t>
  </si>
  <si>
    <t>0.996,0.995,0.999</t>
  </si>
  <si>
    <t>1,1,0.999</t>
  </si>
  <si>
    <t>0.851,0.489,0.649,0.628,0.705,0.973,0.973,0.871</t>
  </si>
  <si>
    <t>0.992,0.986,0.982,0.985</t>
  </si>
  <si>
    <t>0.988,0.999</t>
  </si>
  <si>
    <t>0.999,0.992</t>
  </si>
  <si>
    <t>0.999,0.999,0.998,0.997</t>
  </si>
  <si>
    <t>0.922,0.963</t>
  </si>
  <si>
    <t>0.991,0.998,0.995</t>
  </si>
  <si>
    <t>0.99,0.984</t>
  </si>
  <si>
    <t>1,0.999</t>
  </si>
  <si>
    <t>0.999,0.999,0.999</t>
  </si>
  <si>
    <t>0.991,0.974,0.992,0.994</t>
  </si>
  <si>
    <t>0.998,0.998</t>
  </si>
  <si>
    <t>0.993,0.998,1</t>
  </si>
  <si>
    <t>..,0.997</t>
  </si>
  <si>
    <t>0.997,1,1,0.999</t>
  </si>
  <si>
    <t>0.985,1,1,0.988</t>
  </si>
  <si>
    <t>0.999,0.998,0.995</t>
  </si>
  <si>
    <t>0.997,0.988,0.996</t>
  </si>
  <si>
    <t>0.969,0.969,0.97,0.983,0.995,0.984</t>
  </si>
  <si>
    <t>0.992,0.999</t>
  </si>
  <si>
    <t>0.998,0.996</t>
  </si>
  <si>
    <t>0.994,0.996</t>
  </si>
  <si>
    <t>0.997,1,1</t>
  </si>
  <si>
    <t>0.99,0.997,0.997</t>
  </si>
  <si>
    <t>0.985,0.99</t>
  </si>
  <si>
    <t>0.993,0.989</t>
  </si>
  <si>
    <t>0.987,0.997</t>
  </si>
  <si>
    <t>0.997,0.985,0.991,0.996</t>
  </si>
  <si>
    <t>0.993,0.997,0.995</t>
  </si>
  <si>
    <t>0.969,0.969,0.965</t>
  </si>
  <si>
    <t>0.983,0.983</t>
  </si>
  <si>
    <t>0.996,1</t>
  </si>
  <si>
    <t>..,..,..</t>
  </si>
  <si>
    <t>1,0.999,0.999</t>
  </si>
  <si>
    <t>0.995,0.995,0.998</t>
  </si>
  <si>
    <t>0.999,0.995,0.997</t>
  </si>
  <si>
    <t>0.994,1,1</t>
  </si>
  <si>
    <t>0.999,0.98</t>
  </si>
  <si>
    <t>0.995,0.999,0.996</t>
  </si>
  <si>
    <t>0.996,0.997</t>
  </si>
  <si>
    <t>0.956,0.977,0.985</t>
  </si>
  <si>
    <t>0.973,0.976,0.968</t>
  </si>
  <si>
    <t>0.997,0.997,0.998,0.997</t>
  </si>
  <si>
    <t>Library ID(s)</t>
  </si>
  <si>
    <t>UDG treatment by library (minus=untreated; half=treated except in last nucleotides; plus=treated over all nucleotides)</t>
  </si>
  <si>
    <t>damage by library in sequences aligning to nuclear targets</t>
  </si>
  <si>
    <t>n/a (mtDNA coverage &lt;2x)</t>
  </si>
  <si>
    <t>..,0.082</t>
  </si>
  <si>
    <t>QUESTIONABLE (damage=0.027)</t>
  </si>
  <si>
    <t>QUESTIONABLE_CRITICAL (2500.to.5000.SNPs, damage=0.027)</t>
  </si>
  <si>
    <t>QUESTIONABLE (damage=0.019)</t>
  </si>
  <si>
    <t>PASS (damage=0.015-0.109, neutralized by Xcontam=0.006)</t>
  </si>
  <si>
    <t>QUESTIONABLE (damage=0.025)</t>
  </si>
  <si>
    <t>0.087,0.076,0.079,0.039</t>
  </si>
  <si>
    <t>0.043,0.04,0.039,0.04</t>
  </si>
  <si>
    <t>..,0.081,0.05,0.047</t>
  </si>
  <si>
    <t>0.065,0.086,0.058,0.053</t>
  </si>
  <si>
    <t>0.041,0.044,0.057,0.057</t>
  </si>
  <si>
    <t>0.074,0.078,0.076,0.074</t>
  </si>
  <si>
    <t>0.086,0.087,0.085,0.092</t>
  </si>
  <si>
    <t>0.114,0.117,0.12,0.118</t>
  </si>
  <si>
    <t>0.16,0.156,0.158,0.157</t>
  </si>
  <si>
    <t>0.126,..,0.125,..</t>
  </si>
  <si>
    <t>..,0.136,0.132,..</t>
  </si>
  <si>
    <t>..,..,..,..</t>
  </si>
  <si>
    <t>..,0.052,0.016</t>
  </si>
  <si>
    <t>..,..,0.033</t>
  </si>
  <si>
    <t>0.027,0.034,0.034</t>
  </si>
  <si>
    <t>0.047,0.044,0.038</t>
  </si>
  <si>
    <t>..,0.043,0.04</t>
  </si>
  <si>
    <t>..,0.044,0.042</t>
  </si>
  <si>
    <t>..,0.04,0.044</t>
  </si>
  <si>
    <t>0.049,0.055,0.051</t>
  </si>
  <si>
    <t>0.038,0.045,0.052</t>
  </si>
  <si>
    <t>0.07,0.055,0.052</t>
  </si>
  <si>
    <t>..,0.055,0.052</t>
  </si>
  <si>
    <t>0.041,0.053,0.053</t>
  </si>
  <si>
    <t>0.063,0.052,0.053</t>
  </si>
  <si>
    <t>0.049,0.052,0.055</t>
  </si>
  <si>
    <t>0.044,0.065,0.057</t>
  </si>
  <si>
    <t>0.06,0.061,0.057</t>
  </si>
  <si>
    <t>0.071,0.064,0.058</t>
  </si>
  <si>
    <t>0.076,0.06,0.058</t>
  </si>
  <si>
    <t>..,0.063,0.058</t>
  </si>
  <si>
    <t>0.096,0.062,0.059</t>
  </si>
  <si>
    <t>0.051,0.07,0.06</t>
  </si>
  <si>
    <t>0.101,0.068,0.061</t>
  </si>
  <si>
    <t>..,0.051,0.061</t>
  </si>
  <si>
    <t>0.043,0.061,0.062</t>
  </si>
  <si>
    <t>0.132,0.067,0.063</t>
  </si>
  <si>
    <t>0.038,0.067,0.064</t>
  </si>
  <si>
    <t>0.072,0.084,0.068</t>
  </si>
  <si>
    <t>..,0.066,0.068</t>
  </si>
  <si>
    <t>0.073,0.081,0.069</t>
  </si>
  <si>
    <t>0.082,0.072,0.069</t>
  </si>
  <si>
    <t>0.066,0.075,0.071</t>
  </si>
  <si>
    <t>..,0.074,0.072</t>
  </si>
  <si>
    <t>0.088,0.089,0.076</t>
  </si>
  <si>
    <t>0.116,0.078,0.077</t>
  </si>
  <si>
    <t>0.089,0.086,0.079</t>
  </si>
  <si>
    <t>..,0.078,0.081</t>
  </si>
  <si>
    <t>0.092,0.083,0.084</t>
  </si>
  <si>
    <t>0.093,0.285,0.086</t>
  </si>
  <si>
    <t>0.095,0.074,0.086</t>
  </si>
  <si>
    <t>0.084,0.087,0.087</t>
  </si>
  <si>
    <t>0.064,0.069,0.089</t>
  </si>
  <si>
    <t>0.117,0.094,0.089</t>
  </si>
  <si>
    <t>0.072,0.081,0.092</t>
  </si>
  <si>
    <t>0.1,0.095,0.092</t>
  </si>
  <si>
    <t>0.105,0.088,0.093</t>
  </si>
  <si>
    <t>0.103,0.088,0.095</t>
  </si>
  <si>
    <t>0.073,0.102,0.1</t>
  </si>
  <si>
    <t>..,0.093,0.101</t>
  </si>
  <si>
    <t>0.127,0.098,0.105</t>
  </si>
  <si>
    <t>0.142,0.119,0.106</t>
  </si>
  <si>
    <t>0.096,0.084,0.107</t>
  </si>
  <si>
    <t>0.107,0.105,0.108</t>
  </si>
  <si>
    <t>0.136,0.125,0.108</t>
  </si>
  <si>
    <t>0.128,0.15,0.115</t>
  </si>
  <si>
    <t>0.119,0.105,0.118</t>
  </si>
  <si>
    <t>0.122,0.116,0.118</t>
  </si>
  <si>
    <t>0.176,0.083,0.118</t>
  </si>
  <si>
    <t>..,0.119,0.119</t>
  </si>
  <si>
    <t>0.096,0.1,0.126</t>
  </si>
  <si>
    <t>0.124,0.102,0.127</t>
  </si>
  <si>
    <t>0.115,0.107,0.131</t>
  </si>
  <si>
    <t>0.143,0.145,0.138</t>
  </si>
  <si>
    <t>..,0.107,0.143</t>
  </si>
  <si>
    <t>0.104,0.121,0.153</t>
  </si>
  <si>
    <t>0.148,0.148,0.179</t>
  </si>
  <si>
    <t>0.106,0.106,..</t>
  </si>
  <si>
    <t>0.02,0.025</t>
  </si>
  <si>
    <t>0.033,0.078</t>
  </si>
  <si>
    <t>0.034,0.03</t>
  </si>
  <si>
    <t>0.041,0.041</t>
  </si>
  <si>
    <t>0.042,0.041</t>
  </si>
  <si>
    <t>0.045,0.041</t>
  </si>
  <si>
    <t>0.046,0.037</t>
  </si>
  <si>
    <t>0.047,0.047</t>
  </si>
  <si>
    <t>0.048,0.076</t>
  </si>
  <si>
    <t>0.052,0.061</t>
  </si>
  <si>
    <t>0.053,..</t>
  </si>
  <si>
    <t>0.054,0.111</t>
  </si>
  <si>
    <t>0.056,0.047</t>
  </si>
  <si>
    <t>0.056,0.049</t>
  </si>
  <si>
    <t>0.056,0.055</t>
  </si>
  <si>
    <t>0.057,0.057</t>
  </si>
  <si>
    <t>0.06,0.097</t>
  </si>
  <si>
    <t>0.061,0.054</t>
  </si>
  <si>
    <t>0.062,0.045</t>
  </si>
  <si>
    <t>0.063,0.044</t>
  </si>
  <si>
    <t>0.063,0.051</t>
  </si>
  <si>
    <t>0.067,0.054</t>
  </si>
  <si>
    <t>0.072,0.053</t>
  </si>
  <si>
    <t>0.072,0.073</t>
  </si>
  <si>
    <t>0.074,0.068</t>
  </si>
  <si>
    <t>0.076,0.046</t>
  </si>
  <si>
    <t>0.076,0.049</t>
  </si>
  <si>
    <t>0.076,0.085</t>
  </si>
  <si>
    <t>0.078,0.059</t>
  </si>
  <si>
    <t>0.078,0.102</t>
  </si>
  <si>
    <t>0.081,0.058</t>
  </si>
  <si>
    <t>0.084,0.08</t>
  </si>
  <si>
    <t>0.086,0.089</t>
  </si>
  <si>
    <t>0.088,0.078</t>
  </si>
  <si>
    <t>0.088,0.088</t>
  </si>
  <si>
    <t>0.089,0.046</t>
  </si>
  <si>
    <t>0.098,0.101</t>
  </si>
  <si>
    <t>0.109,0.015</t>
  </si>
  <si>
    <t>0.11,0.114</t>
  </si>
  <si>
    <t>0.11,0.12</t>
  </si>
  <si>
    <t>0.113,0.085</t>
  </si>
  <si>
    <t>0.113,0.115</t>
  </si>
  <si>
    <t>0.13,0.075</t>
  </si>
  <si>
    <t>0.15,0.068</t>
  </si>
  <si>
    <t>0.151,..</t>
  </si>
  <si>
    <t>0.156,0.003</t>
  </si>
  <si>
    <t>0.158,0.08</t>
  </si>
  <si>
    <t>0.17,0.049</t>
  </si>
  <si>
    <t>0.249,0.209</t>
  </si>
  <si>
    <t>..,0.025</t>
  </si>
  <si>
    <t>..,0.091</t>
  </si>
  <si>
    <t>..,0.096</t>
  </si>
  <si>
    <t>..,0.097</t>
  </si>
  <si>
    <t>..,0.1</t>
  </si>
  <si>
    <t>..,0.105</t>
  </si>
  <si>
    <t>..,0.109</t>
  </si>
  <si>
    <t>..,0.12</t>
  </si>
  <si>
    <t>..,0.121</t>
  </si>
  <si>
    <t>..,0.125</t>
  </si>
  <si>
    <t>..,0.128</t>
  </si>
  <si>
    <t>..,0.13</t>
  </si>
  <si>
    <t>..,0.131</t>
  </si>
  <si>
    <t>..,0.134</t>
  </si>
  <si>
    <t>..,0.143</t>
  </si>
  <si>
    <t>..,0.144</t>
  </si>
  <si>
    <t>..,0.066</t>
  </si>
  <si>
    <t>..,0.16</t>
  </si>
  <si>
    <t>..,0.084,0.058,..,0.119</t>
  </si>
  <si>
    <t>0.138,0.12,0.131,0.118,0.106</t>
  </si>
  <si>
    <t>..,0.232,0.212,0.212,0.192,0.217,0.155,0.178</t>
  </si>
  <si>
    <t>0.113,0.133,0.18,0.131,0.152,0.091,0.064</t>
  </si>
  <si>
    <t>0.131,0.202,0.192,..,..,0.089</t>
  </si>
  <si>
    <t>0.133,0.148,0.144,0.081,0.161,0.185</t>
  </si>
  <si>
    <t>0.16,0.19,0.182,0.116,0.187,0.186</t>
  </si>
  <si>
    <t>0.04,0.047</t>
  </si>
  <si>
    <t>[0.846,0.955]</t>
  </si>
  <si>
    <t>[0.892,0.969]</t>
  </si>
  <si>
    <t>[0.945,0.972]</t>
  </si>
  <si>
    <t>[0.954,0.976]</t>
  </si>
  <si>
    <t>[0.951,0.977]</t>
  </si>
  <si>
    <t>[0.954,0.979]</t>
  </si>
  <si>
    <t>[0.935,0.988]</t>
  </si>
  <si>
    <t>[0.963,0.985]</t>
  </si>
  <si>
    <t>[0.965,0.985]</t>
  </si>
  <si>
    <t>[0.967,0.987]</t>
  </si>
  <si>
    <t>[0.972,0.992]</t>
  </si>
  <si>
    <t>[0.975,0.992]</t>
  </si>
  <si>
    <t>[0.976,0.992]</t>
  </si>
  <si>
    <t>[0.969,0.996]</t>
  </si>
  <si>
    <t>[0.975,0.996]</t>
  </si>
  <si>
    <t>[0.979,0.995]</t>
  </si>
  <si>
    <t>[0.979,0.997]</t>
  </si>
  <si>
    <t>[0.983,0.996]</t>
  </si>
  <si>
    <t>[0.983,0.997]</t>
  </si>
  <si>
    <t>[0.985,0.997]</t>
  </si>
  <si>
    <t>[0.981,0.998]</t>
  </si>
  <si>
    <t>[0.986,0.998]</t>
  </si>
  <si>
    <t>[0.984,0.998]</t>
  </si>
  <si>
    <t>[0.985,1.000]</t>
  </si>
  <si>
    <t>[0.810,0.937]</t>
  </si>
  <si>
    <t>[0.980,0.996]</t>
  </si>
  <si>
    <t>[0.853,0.971]</t>
  </si>
  <si>
    <t>[0.954,0.991]</t>
  </si>
  <si>
    <t>[0.969,0.991]</t>
  </si>
  <si>
    <t>[0.747,0.914]</t>
  </si>
  <si>
    <t>[0.886,0.975]</t>
  </si>
  <si>
    <t>[0.945,0.975]</t>
  </si>
  <si>
    <t>[0.941,0.983]</t>
  </si>
  <si>
    <t>[0.959,0.980]</t>
  </si>
  <si>
    <t>[0.955,0.984]</t>
  </si>
  <si>
    <t>[0.930,0.990]</t>
  </si>
  <si>
    <t>[0.959,0.984]</t>
  </si>
  <si>
    <t>[0.962,0.985]</t>
  </si>
  <si>
    <t>[0.958,0.987]</t>
  </si>
  <si>
    <t>[0.967,0.989]</t>
  </si>
  <si>
    <t>[0.973,0.989]</t>
  </si>
  <si>
    <t>[0.967,0.993]</t>
  </si>
  <si>
    <t>[0.975,0.994]</t>
  </si>
  <si>
    <t>[0.979,0.993]</t>
  </si>
  <si>
    <t>[0.973,0.995]</t>
  </si>
  <si>
    <t>[0.980,0.995]</t>
  </si>
  <si>
    <t>[0.974,0.996]</t>
  </si>
  <si>
    <t>[0.981,0.995]</t>
  </si>
  <si>
    <t>[0.979,0.996]</t>
  </si>
  <si>
    <t>[0.973,0.998]</t>
  </si>
  <si>
    <t>[0.966,0.997]</t>
  </si>
  <si>
    <t>[0.984,0.996]</t>
  </si>
  <si>
    <t>[0.979,0.998]</t>
  </si>
  <si>
    <t>[0.983,0.998]</t>
  </si>
  <si>
    <t>[0.988,0.998]</t>
  </si>
  <si>
    <t>[0.980,0.999]</t>
  </si>
  <si>
    <t>[0.937,0.964]</t>
  </si>
  <si>
    <t>[0.947,0.972]</t>
  </si>
  <si>
    <t>[0.943,0.977]</t>
  </si>
  <si>
    <t>[0.982,0.995]</t>
  </si>
  <si>
    <t>[0.926,0.960]</t>
  </si>
  <si>
    <t>[0.940,0.973]</t>
  </si>
  <si>
    <t>Whole genome damage in first nucleotide</t>
  </si>
  <si>
    <t>Whole genome SNPs (number of 1,150,639 targeted autosomal SNPs covered by at least once sequence)</t>
  </si>
  <si>
    <t>Whole genome average coverage across 1,150,639 targeted autosomal SNPs</t>
  </si>
  <si>
    <t>Library ID</t>
  </si>
  <si>
    <t>Library Preparation Method</t>
  </si>
  <si>
    <t>Library Type</t>
  </si>
  <si>
    <t>Method</t>
  </si>
  <si>
    <t>Library preparation</t>
  </si>
  <si>
    <t>Abbreviation</t>
  </si>
  <si>
    <t>Sample preparation</t>
  </si>
  <si>
    <t>Cranial base drilling</t>
  </si>
  <si>
    <t>Sample Preparation Location</t>
  </si>
  <si>
    <t>Leipzig</t>
  </si>
  <si>
    <t>Boston</t>
  </si>
  <si>
    <t>cranial base drilling in the field</t>
  </si>
  <si>
    <t>Extraction Strategy (manual or robotic)</t>
  </si>
  <si>
    <t>Extraction Method</t>
  </si>
  <si>
    <t>Extraction</t>
  </si>
  <si>
    <t>Korlevic 2015</t>
  </si>
  <si>
    <t>Rohland 2018 (beads, buffer D)</t>
  </si>
  <si>
    <r>
      <t xml:space="preserve">K. A. Sirak et al., A minimally-invasive method for sampling human petrous bones from the cranial base for ancient DNA analysis. </t>
    </r>
    <r>
      <rPr>
        <i/>
        <sz val="12"/>
        <color theme="1"/>
        <rFont val="Calibri"/>
        <family val="2"/>
      </rPr>
      <t>Biotechniques.</t>
    </r>
    <r>
      <rPr>
        <sz val="12"/>
        <color theme="1"/>
        <rFont val="Calibri"/>
        <family val="2"/>
      </rPr>
      <t xml:space="preserve"> 62, 283–289 (2017)</t>
    </r>
  </si>
  <si>
    <r>
      <t xml:space="preserve">J. Dabney </t>
    </r>
    <r>
      <rPr>
        <i/>
        <sz val="12"/>
        <color theme="1"/>
        <rFont val="Calibri"/>
        <family val="2"/>
      </rPr>
      <t>et al.</t>
    </r>
    <r>
      <rPr>
        <sz val="12"/>
        <color theme="1"/>
        <rFont val="Calibri"/>
        <family val="2"/>
      </rPr>
      <t xml:space="preserve">, Complete mitochondrial genome sequence of a Middle Pleistocene cave bear reconstructed from ultrashort DNA fragments. </t>
    </r>
    <r>
      <rPr>
        <i/>
        <sz val="12"/>
        <color theme="1"/>
        <rFont val="Calibri"/>
        <family val="2"/>
      </rPr>
      <t>Proc. Natl. Acad. Sci. U. S. A.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110</t>
    </r>
    <r>
      <rPr>
        <sz val="12"/>
        <color theme="1"/>
        <rFont val="Calibri"/>
        <family val="2"/>
      </rPr>
      <t>, 15758–63 (2013).</t>
    </r>
  </si>
  <si>
    <r>
      <t xml:space="preserve">P. Korlević </t>
    </r>
    <r>
      <rPr>
        <i/>
        <sz val="12"/>
        <color theme="1"/>
        <rFont val="Calibri"/>
        <family val="2"/>
      </rPr>
      <t>et al.</t>
    </r>
    <r>
      <rPr>
        <sz val="12"/>
        <color theme="1"/>
        <rFont val="Calibri"/>
        <family val="2"/>
      </rPr>
      <t xml:space="preserve">, Reducing microbial and human contamination in DNA extractions from ancient bones and teeth. </t>
    </r>
    <r>
      <rPr>
        <i/>
        <sz val="12"/>
        <color theme="1"/>
        <rFont val="Calibri"/>
        <family val="2"/>
      </rPr>
      <t>Biotechniques</t>
    </r>
    <r>
      <rPr>
        <sz val="12"/>
        <color theme="1"/>
        <rFont val="Calibri"/>
        <family val="2"/>
      </rPr>
      <t xml:space="preserve">. </t>
    </r>
    <r>
      <rPr>
        <b/>
        <sz val="12"/>
        <color theme="1"/>
        <rFont val="Calibri"/>
        <family val="2"/>
      </rPr>
      <t>59</t>
    </r>
    <r>
      <rPr>
        <sz val="12"/>
        <color theme="1"/>
        <rFont val="Calibri"/>
        <family val="2"/>
      </rPr>
      <t>, 87–93 (2015).</t>
    </r>
  </si>
  <si>
    <r>
      <t xml:space="preserve">N. Rohland, I. Glocke, A. Aximu-Petri, M. Meyer, Extraction of highly degraded DNA from ancient bones, teeth and sediments for high-throughput sequencing. </t>
    </r>
    <r>
      <rPr>
        <i/>
        <sz val="12"/>
        <color theme="1"/>
        <rFont val="Calibri"/>
        <family val="2"/>
      </rPr>
      <t>Nat. Protoc.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13</t>
    </r>
    <r>
      <rPr>
        <sz val="12"/>
        <color theme="1"/>
        <rFont val="Calibri"/>
        <family val="2"/>
      </rPr>
      <t>, 2447–2461 (2018).</t>
    </r>
  </si>
  <si>
    <r>
      <t>A. W. Briggs, P. Heyn, in Methods in molecular biology (Clifton, N.J.) (2012), vol. 840, pp. 143–154; N. Rohland, E. Harney, S. Mallick, S. Nordenfelt, D. Reich, Partial uracil-DNA-glycosylase treatment for screening of ancient DNA. Philos. Trans. R. Soc. B Biol. Sci.</t>
    </r>
    <r>
      <rPr>
        <i/>
        <sz val="12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 xml:space="preserve">370, 20130624 (2015); Bst2.0 in smaller volume; 100ul total PCR volume; higher primer concentration </t>
    </r>
  </si>
  <si>
    <t>Fraction of raw sequences mapping to hg19 (proportion human)</t>
  </si>
  <si>
    <t>mtDNA damage in first nucleotide (only reported if mtcov≥2)</t>
  </si>
  <si>
    <t>mtDNA match to consensus (only reported if mtcov≥2)</t>
  </si>
  <si>
    <t>mtDNA match to consensus 95CI (only reported if mtcov≥2)</t>
  </si>
  <si>
    <t>missing whole genome damage estimates</t>
  </si>
  <si>
    <t>missing mt metrics (coverage, damage, contamination)</t>
  </si>
  <si>
    <t>missing whole genome contamination estimate (ANGSD no. SNPs, damage estimate, Z-score)</t>
  </si>
  <si>
    <t>missing number of SNPs hitting X and Y chromosomes</t>
  </si>
  <si>
    <t>Matt</t>
  </si>
  <si>
    <t>n/a (&lt;200 SNPs)</t>
  </si>
  <si>
    <t>..,0.963,0.986</t>
  </si>
  <si>
    <t>..,0.995</t>
  </si>
  <si>
    <t>..,..,0.898,0.702,0.964,..,..</t>
  </si>
  <si>
    <t>..,0.623,..,0.643</t>
  </si>
  <si>
    <t>1.000,..,0.999</t>
  </si>
  <si>
    <t>0.796,..</t>
  </si>
  <si>
    <t>0.994,..</t>
  </si>
  <si>
    <t>0.737,..,0.726</t>
  </si>
  <si>
    <t>0.998,0.99</t>
  </si>
  <si>
    <t>0.995,0.989</t>
  </si>
  <si>
    <t>0.993,0.998</t>
  </si>
  <si>
    <t>0.959,0.988</t>
  </si>
  <si>
    <t>0.971,0.977,0.964</t>
  </si>
  <si>
    <t>0.981,0.986,0.977</t>
  </si>
  <si>
    <t>0.93,0.994,1,0.947,0.96,0.959</t>
  </si>
  <si>
    <t>0.999,0.995,1,0.847,1,1</t>
  </si>
  <si>
    <t>0.898,0.945,0.997,0.952,0.964</t>
  </si>
  <si>
    <t>0.998,0.998,0.999,0.999,0.99</t>
  </si>
  <si>
    <t>0.987,0.986,0.995,0.996</t>
  </si>
  <si>
    <t>0.05,..,0.048</t>
  </si>
  <si>
    <t>QUESTIONABLE_CRITICAL (mtcontam=0.739)</t>
  </si>
  <si>
    <t>QUESTIONABLE_CRITICAL (mtcontam=0.782)</t>
  </si>
  <si>
    <t>QUESTIONABLE (mtcontam=0.870, ancestry.outlier)</t>
  </si>
  <si>
    <t>QUESTIONABLE (mtcontam=0.907)</t>
  </si>
  <si>
    <t>QUESTIONABLE (mtcontam=0.942)</t>
  </si>
  <si>
    <t>PASS (Xcontam=0.014)</t>
  </si>
  <si>
    <t>PASS (Xcontam=0.010)</t>
  </si>
  <si>
    <t>QUESTIONABLE_CRITICAL (mtcontam=0.702-0.964)</t>
  </si>
  <si>
    <t>QUESTIONABLE_CRITICAL (mtcontam=0.623-0.643)</t>
  </si>
  <si>
    <t>QUESTIONABLE (mtcontam=0.930-0.952)</t>
  </si>
  <si>
    <t>QUESTIONABLE_CRITICAL (mtcontam=0.697-0.817)</t>
  </si>
  <si>
    <t>QUESTIONABLE_CRITICAL (mtcontam=0.726-0.737)</t>
  </si>
  <si>
    <t>QUESTIONABLE_CRITICAL (mtcontam=0.796)</t>
  </si>
  <si>
    <t>PASS (damage=0.003-0.156, neutralized by Xcontam=0.005)</t>
  </si>
  <si>
    <t>QUESTIONABLE (damage=0.016-0.052)</t>
  </si>
  <si>
    <t>QUESTIONABLE (mtcontam=0.894-1.000)</t>
  </si>
  <si>
    <t>QUESTIONABLE (mtcontam=0.930-1.000)</t>
  </si>
  <si>
    <t>Assessment of data quality (notes in parentheses included if match rate to the mtDNA consensus sequence is &lt;0.95 or X chromosome contamination estimate in males is significantly non-zero, or ratio of sequences matching Y and X chromosome is unexpected for a male or female)</t>
  </si>
  <si>
    <t>QUESTIONABLE_CRITICAL (sex.intermediate=0.105-0.236,mtcontam=0.934-0.965, damage=0.027-0.034)</t>
  </si>
  <si>
    <t>QUESTIONABLE_CRITICAL (sex.intermediate=0.171,2500.to.5000.SNPs)</t>
  </si>
  <si>
    <t>QUESTIONABLE_CRITICAL (sex.intermediate=0.063-0.093,mtcontam=0.941-0.987)</t>
  </si>
  <si>
    <t>QUESTIONABLE_CRITICAL (sex.intermediate=0.122,mtcontam=0.740)</t>
  </si>
  <si>
    <t>QUESTIONABLE_CRITICAL (sex.intermediate=0.041,damage=0.024)</t>
  </si>
  <si>
    <t>QUESTIONABLE_CRITICAL (sex.intermediate=0.050-0.103,damage=0.020-0.025)</t>
  </si>
  <si>
    <t>QUESTIONABLE (sex.intermediate=0.051)</t>
  </si>
  <si>
    <t>QUESTIONABLE_CRITICAL (sex.intermediate=0.131)</t>
  </si>
  <si>
    <t>QUESTIONABLE (sex.intermediate=0.331,mtcontam=0.873)</t>
  </si>
  <si>
    <t>QUESTIONABLE_CRITICAL (sex.intermediate=0.293, damage=0.023)</t>
  </si>
  <si>
    <t>QUESTIONABLE_CRITICAL (sex.intermediate=0.173,mtcontam=0.896)</t>
  </si>
  <si>
    <t>PASS (damage.restricted: sex.intermediate=0.242-0.273,mtcontam=0.678,)</t>
  </si>
  <si>
    <t>QUESTIONABLE (Z=2.6.for.damage.non-damage.comparison.for.L1)</t>
  </si>
  <si>
    <t>Sample Preparation Method</t>
  </si>
  <si>
    <t>0.134,0.127,..,..</t>
  </si>
  <si>
    <t>0.136,..</t>
  </si>
  <si>
    <t>Enrichment experiments</t>
  </si>
  <si>
    <t>simultaneous enrichment of nuclear and mtDNA targets (1st formulation)</t>
  </si>
  <si>
    <t>simultaneous enrichment of nuclear and mtDNA targets (2nd formulation)</t>
  </si>
  <si>
    <t>separate nuclear and mtDNA target enrichment</t>
  </si>
  <si>
    <r>
      <t xml:space="preserve">A. W. Briggs, P. Heyn, in Methods in molecular biology (Clifton, N.J.) (2012), vol. 840, pp. 143–154; N. Rohland, E. Harney, S. Mallick, S. Nordenfelt, D. Reich, Partial uracil-DNA-glycosylase treatment for screening of ancient DNA. </t>
    </r>
    <r>
      <rPr>
        <i/>
        <sz val="12"/>
        <color theme="1"/>
        <rFont val="Calibri"/>
        <family val="2"/>
      </rPr>
      <t>Philos. Trans. R. Soc. B Biol. Sci.</t>
    </r>
    <r>
      <rPr>
        <sz val="12"/>
        <color theme="1"/>
        <rFont val="Calibri"/>
        <family val="2"/>
      </rPr>
      <t xml:space="preserve"> 370, 20130624 (2015); Endo VIII in Blunting; Bst2.0 in smaller volume; 100ul total PCR volume; higher primer concentration</t>
    </r>
  </si>
  <si>
    <r>
      <t xml:space="preserve">N. Rohland, E. Harney, S. Mallick, S. Nordenfelt, D. Reich, Partial uracil-DNA-glycosylase treatment for screening of ancient DNA. </t>
    </r>
    <r>
      <rPr>
        <i/>
        <sz val="12"/>
        <color theme="1"/>
        <rFont val="Calibri"/>
        <family val="2"/>
      </rPr>
      <t>Philos. Trans. R. Soc. B Biol. Sci.</t>
    </r>
    <r>
      <rPr>
        <sz val="12"/>
        <color theme="1"/>
        <rFont val="Calibri"/>
        <family val="2"/>
      </rPr>
      <t xml:space="preserve"> 370, 20130624 (2015)</t>
    </r>
  </si>
  <si>
    <r>
      <t xml:space="preserve">N. Rohland, E. Harney, S. Mallick, S. Nordenfelt, D. Reich, Partial uracil-DNA-glycosylase treatment for screening of ancient DNA. </t>
    </r>
    <r>
      <rPr>
        <i/>
        <sz val="12"/>
        <color theme="1"/>
        <rFont val="Calibri"/>
        <family val="2"/>
      </rPr>
      <t>Philos. Trans. R. Soc. B Biol. Sci.</t>
    </r>
    <r>
      <rPr>
        <sz val="12"/>
        <color theme="1"/>
        <rFont val="Calibri"/>
        <family val="2"/>
      </rPr>
      <t xml:space="preserve"> 370, 20130624 (2015); Bst2.0 in smaller volume; 100ul total PCR volume; higher primer concentration</t>
    </r>
  </si>
  <si>
    <r>
      <t xml:space="preserve">N. Rohland, E. Harney, S. Mallick, S. Nordenfelt, D. Reich, Partial uracil-DNA-glycosylase treatment for screening of ancient DNA. </t>
    </r>
    <r>
      <rPr>
        <i/>
        <sz val="12"/>
        <color rgb="FF000000"/>
        <rFont val="Calibri"/>
        <family val="2"/>
      </rPr>
      <t>Philos. Trans. R. Soc. B Biol. Sci.</t>
    </r>
    <r>
      <rPr>
        <sz val="12"/>
        <color rgb="FF000000"/>
        <rFont val="Calibri"/>
        <family val="2"/>
      </rPr>
      <t xml:space="preserve"> 370, 20130624 (2015); silica caoted magnetic beads and 7x volume PB (Qiagen) for cleanups; Bst2.0 in smaller volume; 100ul total PCR volume; higher primer concentration; SPRI cleanup of PCR</t>
    </r>
  </si>
  <si>
    <r>
      <t xml:space="preserve">M.-T. Gansauge et al., Single-stranded DNA library preparation from highly degraded DNA using T4 DNA ligase. </t>
    </r>
    <r>
      <rPr>
        <i/>
        <sz val="12"/>
        <color theme="1"/>
        <rFont val="Calibri"/>
        <family val="2"/>
      </rPr>
      <t>Nucleic Acids Res.</t>
    </r>
    <r>
      <rPr>
        <sz val="12"/>
        <color theme="1"/>
        <rFont val="Calibri"/>
        <family val="2"/>
      </rPr>
      <t xml:space="preserve"> 45, gkx033 (2017); with USER treatment</t>
    </r>
  </si>
  <si>
    <t>[0.895,0.972]</t>
  </si>
  <si>
    <t>[0.925,0.991]</t>
  </si>
  <si>
    <t>[0.917,0.984]</t>
  </si>
  <si>
    <t>[0.964,0.994]</t>
  </si>
  <si>
    <t>PASS (sex.intermediate=0.328,Xcontam=0.004)</t>
  </si>
  <si>
    <t>Y chromosome haplogroup</t>
  </si>
  <si>
    <t>Y chromosome determination strategy</t>
  </si>
  <si>
    <t>Vienna</t>
  </si>
  <si>
    <t>Dublin</t>
  </si>
  <si>
    <t>Drilled in clean room</t>
  </si>
  <si>
    <t>milled</t>
  </si>
  <si>
    <t>bone (non-petrous)</t>
  </si>
  <si>
    <t>version 3</t>
  </si>
  <si>
    <t>mg of powder used in library</t>
  </si>
  <si>
    <t>mg of powder used in extract</t>
  </si>
  <si>
    <t>L5082</t>
  </si>
  <si>
    <t>Leipzig single stranded</t>
  </si>
  <si>
    <t>mtDNA match rate to consensus by library (for all sequences and thus without damage restriction)</t>
  </si>
  <si>
    <t>PSUAMS-5503</t>
  </si>
  <si>
    <t>1011-909 calBCE (2810±20 BP, PSUAMS-5503)</t>
  </si>
  <si>
    <t>Brahmin or Bhumihar? (excludes Catholic Brahmins and Vishwabrahmin; includes Pandits)</t>
  </si>
  <si>
    <t>Total sample size of Y chromosomes reported in the literature (Sahoo et al. PNAS 2006)</t>
  </si>
  <si>
    <t>Average date in years (95% confidence interval)</t>
  </si>
  <si>
    <t>Basic qpAdm P-value</t>
  </si>
  <si>
    <r>
      <t xml:space="preserve">Basic </t>
    </r>
    <r>
      <rPr>
        <b/>
        <i/>
        <sz val="12"/>
        <rFont val="Calibri"/>
        <family val="2"/>
      </rPr>
      <t>qpAdm</t>
    </r>
    <r>
      <rPr>
        <b/>
        <sz val="12"/>
        <rFont val="Calibri"/>
        <family val="2"/>
      </rPr>
      <t xml:space="preserve"> ancestry estimates</t>
    </r>
  </si>
  <si>
    <t>Average date            (±1 std. err.) (generations)</t>
  </si>
  <si>
    <r>
      <t xml:space="preserve">Basic </t>
    </r>
    <r>
      <rPr>
        <b/>
        <i/>
        <sz val="12"/>
        <rFont val="Calibri"/>
        <family val="2"/>
      </rPr>
      <t xml:space="preserve">qpAdm ±1 </t>
    </r>
    <r>
      <rPr>
        <b/>
        <sz val="12"/>
        <rFont val="Calibri"/>
        <family val="2"/>
      </rPr>
      <t>standard errors</t>
    </r>
  </si>
  <si>
    <t>AHG-related</t>
  </si>
  <si>
    <t>Central_ Steppe_ MLBA-related</t>
  </si>
  <si>
    <t>Maximum A Posteriori Estimate from the Hierarchical Model</t>
  </si>
  <si>
    <t>Maximum A Posteriori Estimate from the Hierarchical Model (estimates used in Fig. 4B)</t>
  </si>
  <si>
    <r>
      <t xml:space="preserve">qpAdm estimates for the model of </t>
    </r>
    <r>
      <rPr>
        <b/>
        <i/>
        <sz val="12"/>
        <rFont val="Calibri"/>
        <family val="2"/>
      </rPr>
      <t xml:space="preserve">AHG + Indus_Periphery_West + Central_Steppe_MLBA </t>
    </r>
    <r>
      <rPr>
        <b/>
        <sz val="12"/>
        <rFont val="Calibri"/>
        <family val="2"/>
      </rPr>
      <t>(both basic estimates and hierarchical model)</t>
    </r>
  </si>
  <si>
    <t>Indus_ Periphery_Pool-related</t>
  </si>
  <si>
    <t>Z-score for fit in the hierarchical model (negative implies more Central_Steppe_MLBA-related ancestry than expected, positive more Indus_Periphery_Pool-related; these numbers quoted in the text and supplement)</t>
  </si>
  <si>
    <t>Z-score for fit in the hierarchical model (negative implies more Central_Steppe_MLBA-related ancestry than expected, positive more Indus_Periphery_ West-related)</t>
  </si>
  <si>
    <r>
      <t xml:space="preserve">qpAdm estimates for the model of </t>
    </r>
    <r>
      <rPr>
        <b/>
        <i/>
        <sz val="12"/>
        <rFont val="Calibri"/>
        <family val="2"/>
      </rPr>
      <t xml:space="preserve">AHG + Indus_Periphery_Pool + Central_Steppe_MLBA </t>
    </r>
    <r>
      <rPr>
        <b/>
        <sz val="12"/>
        <rFont val="Calibri"/>
        <family val="2"/>
      </rPr>
      <t>(both basic estimates and hierarchical model)</t>
    </r>
  </si>
  <si>
    <t>3360-3103 calBCE (4528±31 BP, DeA-14662)</t>
  </si>
  <si>
    <t>2130-1750 BCE [based on five directly dated samples: 2023-1782 calBCE (3572±29 BP, OxA-12530); 1973-1772 calBCE (3549±29 BP, OxA-12531); 2005-1780 calBCE (3440±30 BP, Beta-436293); 2130-1930 calBCE (3520±30 BP, Beta-436294)]</t>
  </si>
  <si>
    <t>7580-7190 calBCE (8369±73 BP, OxA-31595)</t>
  </si>
  <si>
    <t>38170-36880 calBCE (34430±510 BP, BA-03222)</t>
  </si>
  <si>
    <t>2580-2340 calBCE (3960±40 BP, Poz-10825)</t>
  </si>
  <si>
    <t>2911-2761 calBCE (4245±25 BP, PSUAMS-4779); 2898-2697 calBCE (4210±25 BP, PSUAMS-5716)</t>
  </si>
  <si>
    <t>2911-2697 calBCE [2911-2761 calBCE (4245±25 BP, PSUAMS-4779); 2898-2697 calBCE (4210±25 BP, PSUAMS-5716)]</t>
  </si>
  <si>
    <t>130-240 calCE (1825±20 BP, PSUAMS-5723)</t>
  </si>
  <si>
    <t>752-416 calBCE (2455±20 BP, PSUAMS-5721)</t>
  </si>
  <si>
    <t>1738-1623 calBCE (3375±20 BP, PSUAMS-5722)</t>
  </si>
  <si>
    <t>1869-1665 calBCE (3430±20 BP, PSUAMS-5724)</t>
  </si>
  <si>
    <t>2875-2631 calBCE (4150±25 BP, PSUAMS-5715)</t>
  </si>
  <si>
    <t>3090-2917 calBCE (4385±25 BP, PSUAMS-5717)</t>
  </si>
  <si>
    <t>3323-2928 calBCE (4430±25 BP, PSUAMS-5790)</t>
  </si>
  <si>
    <t>PSUAMS-5723</t>
  </si>
  <si>
    <t>PSUAMS-5721</t>
  </si>
  <si>
    <t>PSUAMS-5722</t>
  </si>
  <si>
    <t>PSUAMS-5724</t>
  </si>
  <si>
    <t>PSUAMS-5715</t>
  </si>
  <si>
    <t>PSUAMS-5716</t>
  </si>
  <si>
    <t>PSUAMS-5717</t>
  </si>
  <si>
    <t>PSUAMS-5790</t>
  </si>
  <si>
    <t>X-contamination point estimate from ANGSD on non-damage-restricted data if male and ≥200 SNPs</t>
  </si>
  <si>
    <t>X-contamination Z-score from ANGSD on non-damage-restricted data if male and ≥200 SNPs</t>
  </si>
  <si>
    <t>Grave 2, Individual 2 in a triple burial, BKOT4</t>
  </si>
  <si>
    <t xml:space="preserve">Grave 2, Individual 3 in a triple burial, BKOT2 </t>
  </si>
  <si>
    <t xml:space="preserve">Grave 49, Individual 2 in a multiple burial, T.49b </t>
  </si>
  <si>
    <t>Swat_Medieval_father.or.son.I2959</t>
  </si>
  <si>
    <t>Udegram_Medieval_Ghaznavid_father.or.son.I2959</t>
  </si>
  <si>
    <t>Table S5: 246 present-day South Asian groups whose  data we analyzed and  analyses for a subset of 140 groups on the Modern Indian Cline</t>
  </si>
  <si>
    <t>Table S3: Information about genetic kinship between pairs of individuals detected up to the 3rd degree</t>
  </si>
  <si>
    <t>Table S2: Laboratory methods and summary of genetic results for each library newly generated for this study</t>
  </si>
  <si>
    <t>Table S1: Summary information on the archaeological context and genetic results for all individuals analyzed in this study</t>
  </si>
  <si>
    <t>88 calBCE - 50 calCE (2020±20 BP, PSUAMS-6160)</t>
  </si>
  <si>
    <t>166-44 calBCE (2075±20 BP, PSUAMS-6159)</t>
  </si>
  <si>
    <t>200 BCE - 100 CE [based on other dates from same site]</t>
  </si>
  <si>
    <t>200-1 BCE [based on being a first degree relative of an individual with a direct date of 166-44 calBCE (2075±20 BP, PSUAMS-6159)]</t>
  </si>
  <si>
    <t>PSUAMS-6159</t>
  </si>
  <si>
    <t>PSUAMS-6160</t>
  </si>
  <si>
    <t>Table S4: Details on 262 newly reported radiocarbon dates and associated stable isotope data used for quality control</t>
  </si>
  <si>
    <t>Reference numbers as per main text</t>
  </si>
  <si>
    <t>Gansauge MT, Meyer M. Single-stranded DNA library preparation for the sequencing of ancient or damaged DNA. Nat Protoc. 2013 Apr;8(4):737-48.; P. Korlević et al., Reducing microbial and human contamination in DNA extractions from ancient bones and teeth. Biotechniques. 59, 87–93 (2015).</t>
  </si>
  <si>
    <t>72, 15</t>
  </si>
  <si>
    <t>Full citations and technical modifications</t>
  </si>
  <si>
    <t>73, 17</t>
  </si>
  <si>
    <t>50 calBCE - 52 calCE (2010±20 BP, PSUAMS-6195)</t>
  </si>
  <si>
    <t>756-430 calBCE (2460±20 BP, PSUAMS-6196)</t>
  </si>
  <si>
    <t>356-121 calBCE (2165±20 BP, PSUAMS-6197)</t>
  </si>
  <si>
    <t>1662-1521 calBCE (3315±25 BP, PSUAMS-6198)</t>
  </si>
  <si>
    <t>1287-1393 calCE (640±20 BP, PSUAMS-6205)</t>
  </si>
  <si>
    <t>1021-1154 calCE (960±20 BP, PSUAMS-6206)</t>
  </si>
  <si>
    <t>47 calBCE - 52 calCE (2005±20 BP, PSUAMS-6207)</t>
  </si>
  <si>
    <t>PSUAMS-6198</t>
  </si>
  <si>
    <t>PSUAMS-6205</t>
  </si>
  <si>
    <t>PSUAMS-6206</t>
  </si>
  <si>
    <t>PSUAMS-6207</t>
  </si>
  <si>
    <t>PSUAMS-6195</t>
  </si>
  <si>
    <t>PSUAMS-6196</t>
  </si>
  <si>
    <t>PSUAMS-6197</t>
  </si>
  <si>
    <t>LBA /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</si>
</sst>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"/>
    <numFmt numFmtId="165" formatCode="_-* #,##0.00_-;\-* #,##0.00_-;_-* &quot;-&quot;??_-;_-@_-"/>
    <numFmt numFmtId="166" formatCode="0.0000"/>
    <numFmt numFmtId="167" formatCode="m/d/yy;@"/>
    <numFmt numFmtId="168" formatCode="_-* #,##0.000_-;\-* #,##0.000_-;_-* &quot;-&quot;??_-;_-@_-"/>
    <numFmt numFmtId="169" formatCode="_-* #,##0_-;\-* #,##0_-;_-* &quot;-&quot;??_-;_-@_-"/>
    <numFmt numFmtId="170" formatCode="0.000"/>
    <numFmt numFmtId="171" formatCode="0.000000"/>
    <numFmt numFmtId="172" formatCode="_(* #,##0.0_);_(* \(#,##0.0\);_(* &quot;-&quot;??_);_(@_)"/>
  </numFmts>
  <fonts count="4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28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  <scheme val="minor"/>
    </font>
    <font>
      <b/>
      <sz val="12"/>
      <name val="Calibri"/>
      <family val="2"/>
    </font>
    <font>
      <sz val="11"/>
      <color rgb="FF000000"/>
      <name val="Arial"/>
      <family val="2"/>
    </font>
    <font>
      <sz val="10"/>
      <color rgb="FF000000"/>
      <name val="Verdan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Helvetica"/>
      <family val="2"/>
    </font>
    <font>
      <i/>
      <sz val="12"/>
      <color rgb="FF7F7F7F"/>
      <name val="Calibri"/>
      <family val="2"/>
      <charset val="128"/>
      <scheme val="minor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</font>
    <font>
      <sz val="10"/>
      <color indexed="8"/>
      <name val="Arial"/>
      <family val="2"/>
      <charset val="238"/>
    </font>
    <font>
      <b/>
      <i/>
      <sz val="12"/>
      <name val="Calibri"/>
      <family val="2"/>
    </font>
    <font>
      <vertAlign val="subscript"/>
      <sz val="12"/>
      <name val="Calibri"/>
      <family val="2"/>
    </font>
    <font>
      <i/>
      <sz val="12"/>
      <name val="Calibri"/>
      <family val="2"/>
    </font>
    <font>
      <sz val="12"/>
      <color theme="1"/>
      <name val="Calibri"/>
      <family val="2"/>
    </font>
    <font>
      <b/>
      <vertAlign val="superscript"/>
      <sz val="11"/>
      <name val="Calibri"/>
      <family val="2"/>
    </font>
    <font>
      <sz val="10"/>
      <name val="Geneva"/>
      <family val="2"/>
    </font>
    <font>
      <i/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name val="Calibri"/>
      <family val="2"/>
    </font>
    <font>
      <u/>
      <sz val="12"/>
      <color theme="1"/>
      <name val="Calibri"/>
      <family val="2"/>
    </font>
    <font>
      <i/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color rgb="FF800000"/>
      <name val="Calibri"/>
      <family val="2"/>
    </font>
    <font>
      <sz val="12"/>
      <color rgb="FF9C0006"/>
      <name val="Calibri"/>
      <family val="2"/>
      <charset val="129"/>
      <scheme val="minor"/>
    </font>
    <font>
      <sz val="12"/>
      <color theme="1"/>
      <name val="Cambria"/>
      <family val="1"/>
    </font>
    <font>
      <sz val="12"/>
      <color rgb="FF000000"/>
      <name val="Calibri"/>
      <family val="2"/>
      <charset val="129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879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4" fillId="0" borderId="0"/>
    <xf numFmtId="0" fontId="15" fillId="0" borderId="0"/>
    <xf numFmtId="0" fontId="16" fillId="0" borderId="0"/>
    <xf numFmtId="0" fontId="17" fillId="0" borderId="0"/>
    <xf numFmtId="0" fontId="5" fillId="0" borderId="0"/>
    <xf numFmtId="0" fontId="5" fillId="0" borderId="0"/>
    <xf numFmtId="0" fontId="11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9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06">
    <xf numFmtId="0" fontId="0" fillId="0" borderId="0" xfId="0"/>
    <xf numFmtId="0" fontId="0" fillId="0" borderId="0" xfId="0" applyFill="1"/>
    <xf numFmtId="0" fontId="7" fillId="0" borderId="0" xfId="0" applyFont="1" applyFill="1"/>
    <xf numFmtId="0" fontId="10" fillId="0" borderId="0" xfId="0" applyFont="1" applyFill="1"/>
    <xf numFmtId="0" fontId="7" fillId="0" borderId="0" xfId="0" applyFont="1" applyFill="1" applyBorder="1"/>
    <xf numFmtId="0" fontId="10" fillId="0" borderId="0" xfId="0" applyFont="1" applyFill="1" applyAlignment="1">
      <alignment horizontal="center"/>
    </xf>
    <xf numFmtId="0" fontId="13" fillId="0" borderId="0" xfId="0" applyFont="1" applyFill="1"/>
    <xf numFmtId="0" fontId="13" fillId="0" borderId="0" xfId="0" applyFont="1" applyFill="1" applyAlignment="1">
      <alignment horizontal="left" wrapText="1"/>
    </xf>
    <xf numFmtId="0" fontId="10" fillId="0" borderId="0" xfId="0" applyFont="1" applyFill="1" applyAlignment="1">
      <alignment vertical="center"/>
    </xf>
    <xf numFmtId="0" fontId="10" fillId="0" borderId="0" xfId="0" applyFont="1" applyFill="1" applyBorder="1"/>
    <xf numFmtId="0" fontId="12" fillId="0" borderId="0" xfId="0" applyFont="1" applyFill="1"/>
    <xf numFmtId="0" fontId="18" fillId="0" borderId="0" xfId="0" applyFont="1" applyFill="1" applyAlignment="1">
      <alignment vertical="center"/>
    </xf>
    <xf numFmtId="0" fontId="10" fillId="0" borderId="0" xfId="0" applyFont="1" applyFill="1" applyAlignment="1">
      <alignment horizontal="left"/>
    </xf>
    <xf numFmtId="0" fontId="20" fillId="0" borderId="0" xfId="0" applyFont="1" applyFill="1" applyBorder="1" applyAlignment="1">
      <alignment horizontal="left" wrapText="1"/>
    </xf>
    <xf numFmtId="0" fontId="21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center"/>
    </xf>
    <xf numFmtId="168" fontId="10" fillId="0" borderId="0" xfId="1187" applyNumberFormat="1" applyFont="1" applyFill="1" applyBorder="1" applyAlignment="1">
      <alignment horizontal="center"/>
    </xf>
    <xf numFmtId="0" fontId="10" fillId="0" borderId="0" xfId="0" applyNumberFormat="1" applyFont="1" applyFill="1" applyAlignment="1">
      <alignment horizontal="center"/>
    </xf>
    <xf numFmtId="168" fontId="10" fillId="0" borderId="0" xfId="1187" applyNumberFormat="1" applyFont="1" applyFill="1" applyAlignment="1">
      <alignment horizontal="center"/>
    </xf>
    <xf numFmtId="0" fontId="26" fillId="0" borderId="0" xfId="0" applyFont="1" applyFill="1" applyAlignment="1"/>
    <xf numFmtId="0" fontId="20" fillId="0" borderId="0" xfId="1185" applyFont="1" applyFill="1" applyBorder="1" applyAlignment="1">
      <alignment horizontal="left" wrapText="1"/>
    </xf>
    <xf numFmtId="166" fontId="20" fillId="0" borderId="0" xfId="0" applyNumberFormat="1" applyFont="1" applyFill="1" applyBorder="1" applyAlignment="1">
      <alignment horizontal="left" wrapText="1"/>
    </xf>
    <xf numFmtId="164" fontId="20" fillId="0" borderId="0" xfId="0" applyNumberFormat="1" applyFont="1" applyFill="1" applyBorder="1" applyAlignment="1">
      <alignment horizontal="left" wrapText="1"/>
    </xf>
    <xf numFmtId="166" fontId="21" fillId="0" borderId="0" xfId="0" applyNumberFormat="1" applyFont="1" applyFill="1" applyBorder="1" applyAlignment="1">
      <alignment horizontal="left"/>
    </xf>
    <xf numFmtId="164" fontId="21" fillId="0" borderId="0" xfId="0" applyNumberFormat="1" applyFont="1" applyFill="1" applyBorder="1" applyAlignment="1">
      <alignment horizontal="left"/>
    </xf>
    <xf numFmtId="0" fontId="28" fillId="0" borderId="0" xfId="0" applyFont="1" applyFill="1" applyBorder="1" applyAlignment="1">
      <alignment horizontal="left" wrapText="1"/>
    </xf>
    <xf numFmtId="0" fontId="22" fillId="0" borderId="0" xfId="0" applyFont="1" applyAlignment="1">
      <alignment horizontal="left"/>
    </xf>
    <xf numFmtId="0" fontId="20" fillId="0" borderId="0" xfId="0" applyFont="1" applyFill="1" applyBorder="1" applyAlignment="1">
      <alignment horizontal="left"/>
    </xf>
    <xf numFmtId="0" fontId="22" fillId="0" borderId="0" xfId="0" applyFont="1" applyFill="1" applyBorder="1" applyAlignment="1">
      <alignment horizontal="left"/>
    </xf>
    <xf numFmtId="1" fontId="21" fillId="0" borderId="0" xfId="0" applyNumberFormat="1" applyFont="1" applyFill="1" applyBorder="1" applyAlignment="1">
      <alignment horizontal="left"/>
    </xf>
    <xf numFmtId="2" fontId="21" fillId="0" borderId="0" xfId="0" applyNumberFormat="1" applyFont="1" applyFill="1" applyBorder="1" applyAlignment="1">
      <alignment horizontal="left"/>
    </xf>
    <xf numFmtId="2" fontId="21" fillId="0" borderId="0" xfId="0" applyNumberFormat="1" applyFont="1" applyFill="1" applyBorder="1" applyAlignment="1">
      <alignment horizontal="left" wrapText="1"/>
    </xf>
    <xf numFmtId="164" fontId="21" fillId="0" borderId="0" xfId="0" applyNumberFormat="1" applyFont="1" applyFill="1" applyBorder="1" applyAlignment="1">
      <alignment horizontal="left" wrapText="1"/>
    </xf>
    <xf numFmtId="167" fontId="21" fillId="0" borderId="0" xfId="0" applyNumberFormat="1" applyFont="1" applyFill="1" applyBorder="1" applyAlignment="1">
      <alignment horizontal="left"/>
    </xf>
    <xf numFmtId="1" fontId="21" fillId="0" borderId="0" xfId="0" applyNumberFormat="1" applyFont="1" applyFill="1" applyBorder="1" applyAlignment="1">
      <alignment horizontal="left" wrapText="1"/>
    </xf>
    <xf numFmtId="0" fontId="21" fillId="0" borderId="0" xfId="356" applyFont="1" applyFill="1" applyAlignment="1">
      <alignment horizontal="left"/>
    </xf>
    <xf numFmtId="0" fontId="21" fillId="0" borderId="0" xfId="0" applyFont="1" applyFill="1" applyAlignment="1">
      <alignment horizontal="left"/>
    </xf>
    <xf numFmtId="0" fontId="21" fillId="0" borderId="0" xfId="0" applyNumberFormat="1" applyFont="1" applyFill="1" applyAlignment="1">
      <alignment horizontal="left"/>
    </xf>
    <xf numFmtId="0" fontId="22" fillId="0" borderId="0" xfId="0" applyFont="1" applyFill="1" applyAlignment="1">
      <alignment horizontal="left"/>
    </xf>
    <xf numFmtId="166" fontId="22" fillId="0" borderId="0" xfId="0" applyNumberFormat="1" applyFont="1" applyFill="1" applyBorder="1" applyAlignment="1">
      <alignment horizontal="left"/>
    </xf>
    <xf numFmtId="164" fontId="22" fillId="0" borderId="0" xfId="0" applyNumberFormat="1" applyFont="1" applyFill="1" applyBorder="1" applyAlignment="1">
      <alignment horizontal="left"/>
    </xf>
    <xf numFmtId="164" fontId="22" fillId="0" borderId="0" xfId="0" applyNumberFormat="1" applyFont="1" applyFill="1" applyAlignment="1">
      <alignment horizontal="left"/>
    </xf>
    <xf numFmtId="1" fontId="22" fillId="0" borderId="0" xfId="0" applyNumberFormat="1" applyFont="1" applyFill="1" applyAlignment="1">
      <alignment horizontal="left"/>
    </xf>
    <xf numFmtId="164" fontId="22" fillId="0" borderId="0" xfId="0" applyNumberFormat="1" applyFont="1" applyFill="1" applyAlignment="1">
      <alignment horizontal="left" wrapText="1"/>
    </xf>
    <xf numFmtId="2" fontId="22" fillId="0" borderId="0" xfId="0" applyNumberFormat="1" applyFont="1" applyFill="1" applyAlignment="1">
      <alignment horizontal="left" wrapText="1"/>
    </xf>
    <xf numFmtId="0" fontId="20" fillId="0" borderId="0" xfId="0" applyFont="1" applyFill="1" applyBorder="1" applyAlignment="1">
      <alignment horizontal="center" wrapText="1"/>
    </xf>
    <xf numFmtId="166" fontId="20" fillId="0" borderId="0" xfId="0" applyNumberFormat="1" applyFont="1" applyFill="1" applyBorder="1" applyAlignment="1">
      <alignment horizontal="center" wrapText="1"/>
    </xf>
    <xf numFmtId="164" fontId="20" fillId="0" borderId="0" xfId="0" applyNumberFormat="1" applyFont="1" applyFill="1" applyBorder="1" applyAlignment="1">
      <alignment horizontal="center" wrapText="1"/>
    </xf>
    <xf numFmtId="0" fontId="28" fillId="0" borderId="0" xfId="0" applyFont="1" applyFill="1" applyBorder="1" applyAlignment="1">
      <alignment horizontal="center" wrapText="1"/>
    </xf>
    <xf numFmtId="0" fontId="20" fillId="0" borderId="0" xfId="4309" applyFont="1" applyFill="1" applyBorder="1" applyAlignment="1">
      <alignment horizontal="center" wrapText="1"/>
    </xf>
    <xf numFmtId="0" fontId="20" fillId="0" borderId="0" xfId="0" applyFont="1" applyFill="1" applyBorder="1" applyAlignment="1">
      <alignment wrapText="1"/>
    </xf>
    <xf numFmtId="164" fontId="21" fillId="0" borderId="0" xfId="0" applyNumberFormat="1" applyFont="1" applyFill="1" applyAlignment="1">
      <alignment horizontal="left"/>
    </xf>
    <xf numFmtId="1" fontId="21" fillId="0" borderId="0" xfId="0" applyNumberFormat="1" applyFont="1" applyFill="1" applyAlignment="1">
      <alignment horizontal="left"/>
    </xf>
    <xf numFmtId="164" fontId="21" fillId="0" borderId="0" xfId="0" applyNumberFormat="1" applyFont="1" applyFill="1" applyAlignment="1">
      <alignment horizontal="left" wrapText="1"/>
    </xf>
    <xf numFmtId="2" fontId="21" fillId="0" borderId="0" xfId="0" applyNumberFormat="1" applyFont="1" applyFill="1" applyAlignment="1">
      <alignment horizontal="left" wrapText="1"/>
    </xf>
    <xf numFmtId="0" fontId="27" fillId="0" borderId="0" xfId="0" applyFont="1" applyFill="1"/>
    <xf numFmtId="0" fontId="0" fillId="0" borderId="0" xfId="0" applyFill="1" applyAlignment="1">
      <alignment horizontal="left"/>
    </xf>
    <xf numFmtId="0" fontId="7" fillId="0" borderId="0" xfId="0" applyFont="1" applyFill="1" applyAlignment="1">
      <alignment horizontal="left"/>
    </xf>
    <xf numFmtId="0" fontId="27" fillId="0" borderId="0" xfId="0" applyFont="1" applyFill="1" applyAlignment="1">
      <alignment horizontal="left"/>
    </xf>
    <xf numFmtId="0" fontId="10" fillId="0" borderId="0" xfId="0" applyFont="1" applyFill="1" applyAlignment="1">
      <alignment horizontal="left" wrapText="1"/>
    </xf>
    <xf numFmtId="49" fontId="10" fillId="0" borderId="0" xfId="0" applyNumberFormat="1" applyFont="1" applyFill="1" applyAlignment="1">
      <alignment horizontal="left" vertical="top"/>
    </xf>
    <xf numFmtId="0" fontId="10" fillId="0" borderId="0" xfId="0" applyNumberFormat="1" applyFont="1" applyFill="1" applyAlignment="1">
      <alignment horizontal="left"/>
    </xf>
    <xf numFmtId="1" fontId="27" fillId="0" borderId="0" xfId="0" applyNumberFormat="1" applyFont="1" applyFill="1" applyAlignment="1">
      <alignment horizontal="left"/>
    </xf>
    <xf numFmtId="0" fontId="27" fillId="0" borderId="0" xfId="0" applyNumberFormat="1" applyFont="1" applyFill="1" applyAlignment="1">
      <alignment horizontal="left" vertical="top"/>
    </xf>
    <xf numFmtId="0" fontId="31" fillId="0" borderId="0" xfId="0" applyFont="1" applyFill="1" applyAlignment="1">
      <alignment horizontal="left"/>
    </xf>
    <xf numFmtId="0" fontId="32" fillId="0" borderId="0" xfId="0" applyFont="1" applyFill="1" applyAlignment="1">
      <alignment horizontal="left"/>
    </xf>
    <xf numFmtId="0" fontId="27" fillId="0" borderId="0" xfId="0" applyFont="1" applyFill="1" applyAlignment="1">
      <alignment horizontal="center"/>
    </xf>
    <xf numFmtId="0" fontId="11" fillId="0" borderId="0" xfId="0" applyFont="1" applyFill="1" applyAlignment="1">
      <alignment horizontal="left"/>
    </xf>
    <xf numFmtId="0" fontId="35" fillId="0" borderId="0" xfId="0" applyNumberFormat="1" applyFont="1" applyFill="1" applyAlignment="1">
      <alignment horizontal="left"/>
    </xf>
    <xf numFmtId="0" fontId="36" fillId="0" borderId="0" xfId="0" applyFont="1" applyFill="1" applyAlignment="1">
      <alignment horizontal="left"/>
    </xf>
    <xf numFmtId="0" fontId="37" fillId="0" borderId="0" xfId="0" applyFont="1" applyFill="1" applyAlignment="1">
      <alignment horizontal="left"/>
    </xf>
    <xf numFmtId="0" fontId="31" fillId="0" borderId="0" xfId="0" applyFont="1" applyFill="1" applyAlignment="1"/>
    <xf numFmtId="0" fontId="27" fillId="0" borderId="0" xfId="0" applyFont="1" applyFill="1" applyAlignment="1"/>
    <xf numFmtId="0" fontId="0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13" fillId="0" borderId="0" xfId="0" applyFont="1" applyFill="1" applyAlignment="1">
      <alignment horizontal="left"/>
    </xf>
    <xf numFmtId="0" fontId="38" fillId="0" borderId="0" xfId="0" applyFont="1" applyFill="1" applyAlignment="1">
      <alignment horizontal="left"/>
    </xf>
    <xf numFmtId="0" fontId="13" fillId="0" borderId="0" xfId="0" applyFont="1" applyFill="1" applyAlignment="1">
      <alignment wrapText="1"/>
    </xf>
    <xf numFmtId="172" fontId="10" fillId="0" borderId="0" xfId="6390" applyNumberFormat="1" applyFont="1" applyFill="1" applyAlignment="1"/>
    <xf numFmtId="0" fontId="17" fillId="0" borderId="0" xfId="0" applyFont="1" applyFill="1" applyAlignment="1">
      <alignment horizontal="left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168" fontId="13" fillId="2" borderId="5" xfId="1187" applyNumberFormat="1" applyFont="1" applyFill="1" applyBorder="1" applyAlignment="1">
      <alignment horizontal="center" wrapText="1"/>
    </xf>
    <xf numFmtId="168" fontId="13" fillId="2" borderId="7" xfId="1187" applyNumberFormat="1" applyFont="1" applyFill="1" applyBorder="1" applyAlignment="1">
      <alignment horizontal="center" wrapText="1"/>
    </xf>
    <xf numFmtId="9" fontId="13" fillId="2" borderId="8" xfId="1188" applyFont="1" applyFill="1" applyBorder="1" applyAlignment="1">
      <alignment horizontal="center" wrapText="1"/>
    </xf>
    <xf numFmtId="0" fontId="26" fillId="2" borderId="11" xfId="0" applyFont="1" applyFill="1" applyBorder="1" applyAlignment="1"/>
    <xf numFmtId="0" fontId="10" fillId="2" borderId="9" xfId="1187" applyNumberFormat="1" applyFont="1" applyFill="1" applyBorder="1" applyAlignment="1">
      <alignment horizontal="center"/>
    </xf>
    <xf numFmtId="0" fontId="10" fillId="2" borderId="10" xfId="1187" applyNumberFormat="1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0" fontId="10" fillId="2" borderId="3" xfId="0" applyFont="1" applyFill="1" applyBorder="1" applyAlignment="1">
      <alignment horizontal="center" wrapText="1"/>
    </xf>
    <xf numFmtId="170" fontId="0" fillId="2" borderId="11" xfId="0" applyNumberFormat="1" applyFill="1" applyBorder="1" applyAlignment="1">
      <alignment horizontal="center" vertical="center"/>
    </xf>
    <xf numFmtId="170" fontId="0" fillId="2" borderId="0" xfId="0" applyNumberFormat="1" applyFill="1" applyBorder="1" applyAlignment="1">
      <alignment horizontal="center" vertical="center"/>
    </xf>
    <xf numFmtId="170" fontId="0" fillId="2" borderId="9" xfId="0" applyNumberFormat="1" applyFill="1" applyBorder="1" applyAlignment="1">
      <alignment horizontal="center" vertical="center"/>
    </xf>
    <xf numFmtId="170" fontId="0" fillId="2" borderId="2" xfId="0" applyNumberForma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wrapText="1"/>
    </xf>
    <xf numFmtId="0" fontId="10" fillId="2" borderId="9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170" fontId="0" fillId="2" borderId="10" xfId="0" applyNumberFormat="1" applyFill="1" applyBorder="1" applyAlignment="1">
      <alignment horizontal="center" vertical="center"/>
    </xf>
    <xf numFmtId="168" fontId="10" fillId="2" borderId="11" xfId="1187" applyNumberFormat="1" applyFont="1" applyFill="1" applyBorder="1" applyAlignment="1">
      <alignment horizontal="center"/>
    </xf>
    <xf numFmtId="168" fontId="10" fillId="2" borderId="0" xfId="1187" applyNumberFormat="1" applyFont="1" applyFill="1" applyBorder="1" applyAlignment="1">
      <alignment horizontal="center"/>
    </xf>
    <xf numFmtId="168" fontId="10" fillId="2" borderId="10" xfId="1187" applyNumberFormat="1" applyFont="1" applyFill="1" applyBorder="1" applyAlignment="1">
      <alignment horizontal="center"/>
    </xf>
    <xf numFmtId="168" fontId="10" fillId="2" borderId="9" xfId="1187" applyNumberFormat="1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26" fillId="2" borderId="0" xfId="0" applyFont="1" applyFill="1" applyBorder="1" applyAlignment="1"/>
    <xf numFmtId="0" fontId="26" fillId="2" borderId="6" xfId="0" applyFont="1" applyFill="1" applyBorder="1" applyAlignment="1"/>
    <xf numFmtId="0" fontId="10" fillId="2" borderId="5" xfId="1187" applyNumberFormat="1" applyFont="1" applyFill="1" applyBorder="1" applyAlignment="1">
      <alignment horizontal="center"/>
    </xf>
    <xf numFmtId="0" fontId="10" fillId="2" borderId="8" xfId="1187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168" fontId="10" fillId="2" borderId="5" xfId="1187" applyNumberFormat="1" applyFont="1" applyFill="1" applyBorder="1" applyAlignment="1">
      <alignment horizontal="center"/>
    </xf>
    <xf numFmtId="168" fontId="10" fillId="2" borderId="7" xfId="1187" applyNumberFormat="1" applyFont="1" applyFill="1" applyBorder="1" applyAlignment="1">
      <alignment horizontal="center"/>
    </xf>
    <xf numFmtId="168" fontId="10" fillId="2" borderId="8" xfId="1187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168" fontId="13" fillId="2" borderId="9" xfId="1187" applyNumberFormat="1" applyFont="1" applyFill="1" applyBorder="1" applyAlignment="1">
      <alignment horizontal="center" wrapText="1"/>
    </xf>
    <xf numFmtId="168" fontId="13" fillId="2" borderId="0" xfId="1187" applyNumberFormat="1" applyFont="1" applyFill="1" applyBorder="1" applyAlignment="1">
      <alignment horizontal="center" wrapText="1"/>
    </xf>
    <xf numFmtId="9" fontId="13" fillId="2" borderId="10" xfId="1188" applyFont="1" applyFill="1" applyBorder="1" applyAlignment="1">
      <alignment horizontal="center" wrapText="1"/>
    </xf>
    <xf numFmtId="170" fontId="0" fillId="2" borderId="1" xfId="0" applyNumberFormat="1" applyFill="1" applyBorder="1" applyAlignment="1">
      <alignment horizontal="center" vertical="center"/>
    </xf>
    <xf numFmtId="170" fontId="0" fillId="2" borderId="3" xfId="0" applyNumberFormat="1" applyFill="1" applyBorder="1" applyAlignment="1">
      <alignment horizontal="center" vertical="center"/>
    </xf>
    <xf numFmtId="170" fontId="0" fillId="2" borderId="4" xfId="0" applyNumberForma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169" fontId="10" fillId="2" borderId="9" xfId="1187" applyNumberFormat="1" applyFont="1" applyFill="1" applyBorder="1" applyAlignment="1">
      <alignment horizontal="center"/>
    </xf>
    <xf numFmtId="169" fontId="10" fillId="2" borderId="11" xfId="1187" applyNumberFormat="1" applyFont="1" applyFill="1" applyBorder="1" applyAlignment="1">
      <alignment horizontal="center"/>
    </xf>
    <xf numFmtId="165" fontId="10" fillId="2" borderId="0" xfId="1187" applyFont="1" applyFill="1" applyBorder="1" applyAlignment="1">
      <alignment horizontal="center"/>
    </xf>
    <xf numFmtId="165" fontId="10" fillId="2" borderId="11" xfId="1187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 wrapText="1"/>
    </xf>
    <xf numFmtId="169" fontId="10" fillId="2" borderId="5" xfId="1187" applyNumberFormat="1" applyFont="1" applyFill="1" applyBorder="1" applyAlignment="1">
      <alignment horizontal="center"/>
    </xf>
    <xf numFmtId="169" fontId="10" fillId="2" borderId="6" xfId="1187" applyNumberFormat="1" applyFont="1" applyFill="1" applyBorder="1" applyAlignment="1">
      <alignment horizontal="center"/>
    </xf>
    <xf numFmtId="165" fontId="10" fillId="2" borderId="7" xfId="1187" applyFont="1" applyFill="1" applyBorder="1" applyAlignment="1">
      <alignment horizontal="center"/>
    </xf>
    <xf numFmtId="165" fontId="10" fillId="2" borderId="6" xfId="1187" applyFont="1" applyFill="1" applyBorder="1" applyAlignment="1">
      <alignment horizontal="center"/>
    </xf>
    <xf numFmtId="165" fontId="10" fillId="0" borderId="0" xfId="1187" applyFont="1" applyFill="1" applyAlignment="1">
      <alignment horizontal="center"/>
    </xf>
    <xf numFmtId="0" fontId="17" fillId="0" borderId="0" xfId="0" applyFont="1" applyFill="1" applyBorder="1" applyAlignment="1">
      <alignment horizontal="left"/>
    </xf>
    <xf numFmtId="0" fontId="17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1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 wrapText="1"/>
    </xf>
    <xf numFmtId="14" fontId="0" fillId="0" borderId="0" xfId="0" applyNumberFormat="1" applyFill="1" applyBorder="1"/>
    <xf numFmtId="0" fontId="0" fillId="0" borderId="0" xfId="0" applyFill="1" applyBorder="1"/>
    <xf numFmtId="0" fontId="21" fillId="0" borderId="0" xfId="0" applyFont="1" applyFill="1" applyBorder="1"/>
    <xf numFmtId="1" fontId="0" fillId="0" borderId="0" xfId="0" applyNumberFormat="1" applyFill="1" applyBorder="1" applyAlignment="1">
      <alignment horizontal="center" wrapText="1"/>
    </xf>
    <xf numFmtId="0" fontId="40" fillId="0" borderId="0" xfId="0" applyFont="1" applyFill="1" applyBorder="1" applyAlignment="1">
      <alignment horizontal="center" wrapText="1"/>
    </xf>
    <xf numFmtId="166" fontId="40" fillId="0" borderId="0" xfId="0" applyNumberFormat="1" applyFont="1" applyFill="1" applyBorder="1" applyAlignment="1">
      <alignment horizontal="center" wrapText="1"/>
    </xf>
    <xf numFmtId="164" fontId="40" fillId="0" borderId="0" xfId="0" applyNumberFormat="1" applyFont="1" applyFill="1" applyBorder="1" applyAlignment="1">
      <alignment horizontal="center" wrapText="1"/>
    </xf>
    <xf numFmtId="0" fontId="41" fillId="0" borderId="0" xfId="0" applyFont="1" applyFill="1" applyBorder="1" applyAlignment="1">
      <alignment horizontal="center" wrapText="1"/>
    </xf>
    <xf numFmtId="0" fontId="40" fillId="0" borderId="0" xfId="4309" applyFont="1" applyFill="1" applyBorder="1" applyAlignment="1">
      <alignment horizontal="center" wrapText="1"/>
    </xf>
    <xf numFmtId="0" fontId="40" fillId="0" borderId="0" xfId="0" applyFont="1" applyFill="1" applyBorder="1" applyAlignment="1">
      <alignment wrapText="1"/>
    </xf>
    <xf numFmtId="0" fontId="40" fillId="0" borderId="0" xfId="0" applyFont="1" applyFill="1" applyBorder="1" applyAlignment="1">
      <alignment horizontal="left" wrapText="1"/>
    </xf>
    <xf numFmtId="1" fontId="17" fillId="0" borderId="0" xfId="0" applyNumberFormat="1" applyFont="1" applyFill="1" applyBorder="1" applyAlignment="1">
      <alignment horizontal="center"/>
    </xf>
    <xf numFmtId="164" fontId="22" fillId="0" borderId="0" xfId="0" applyNumberFormat="1" applyFont="1" applyFill="1" applyBorder="1" applyAlignment="1">
      <alignment horizontal="left" wrapText="1"/>
    </xf>
    <xf numFmtId="2" fontId="22" fillId="0" borderId="0" xfId="0" applyNumberFormat="1" applyFont="1" applyFill="1" applyBorder="1" applyAlignment="1">
      <alignment horizontal="left" wrapText="1"/>
    </xf>
    <xf numFmtId="171" fontId="11" fillId="0" borderId="0" xfId="0" applyNumberFormat="1" applyFont="1" applyFill="1" applyBorder="1" applyAlignment="1">
      <alignment horizontal="left" vertical="center"/>
    </xf>
    <xf numFmtId="0" fontId="10" fillId="0" borderId="12" xfId="0" applyFont="1" applyFill="1" applyBorder="1" applyAlignment="1">
      <alignment horizontal="left"/>
    </xf>
    <xf numFmtId="166" fontId="11" fillId="0" borderId="0" xfId="0" applyNumberFormat="1" applyFont="1" applyFill="1" applyBorder="1" applyAlignment="1">
      <alignment horizontal="left" vertical="center"/>
    </xf>
    <xf numFmtId="0" fontId="10" fillId="0" borderId="13" xfId="0" applyFont="1" applyFill="1" applyBorder="1" applyAlignment="1">
      <alignment horizontal="left"/>
    </xf>
    <xf numFmtId="0" fontId="6" fillId="0" borderId="0" xfId="0" applyFont="1"/>
    <xf numFmtId="0" fontId="42" fillId="0" borderId="0" xfId="0" applyFont="1"/>
    <xf numFmtId="166" fontId="0" fillId="0" borderId="0" xfId="0" applyNumberFormat="1" applyFill="1" applyBorder="1" applyAlignment="1">
      <alignment horizontal="left"/>
    </xf>
    <xf numFmtId="164" fontId="0" fillId="0" borderId="0" xfId="0" applyNumberFormat="1" applyFill="1" applyBorder="1" applyAlignment="1">
      <alignment horizontal="left"/>
    </xf>
    <xf numFmtId="164" fontId="0" fillId="0" borderId="0" xfId="0" applyNumberFormat="1" applyFill="1" applyAlignment="1">
      <alignment horizontal="left"/>
    </xf>
    <xf numFmtId="1" fontId="0" fillId="0" borderId="0" xfId="0" applyNumberFormat="1" applyFill="1" applyAlignment="1">
      <alignment horizontal="left"/>
    </xf>
    <xf numFmtId="1" fontId="0" fillId="0" borderId="0" xfId="0" applyNumberFormat="1" applyFill="1" applyAlignment="1">
      <alignment horizontal="left" wrapText="1"/>
    </xf>
    <xf numFmtId="164" fontId="0" fillId="0" borderId="0" xfId="0" applyNumberFormat="1" applyFill="1" applyAlignment="1">
      <alignment horizontal="left" wrapText="1"/>
    </xf>
    <xf numFmtId="2" fontId="0" fillId="0" borderId="0" xfId="0" applyNumberFormat="1" applyFill="1" applyAlignment="1">
      <alignment horizontal="left" wrapText="1"/>
    </xf>
    <xf numFmtId="0" fontId="0" fillId="0" borderId="0" xfId="0" applyNumberFormat="1" applyFill="1" applyAlignment="1">
      <alignment horizontal="left" wrapText="1"/>
    </xf>
    <xf numFmtId="0" fontId="0" fillId="0" borderId="0" xfId="0" applyNumberFormat="1" applyFill="1" applyAlignment="1">
      <alignment horizontal="left"/>
    </xf>
    <xf numFmtId="1" fontId="17" fillId="0" borderId="0" xfId="0" applyNumberFormat="1" applyFont="1" applyFill="1" applyBorder="1" applyAlignment="1">
      <alignment horizontal="left"/>
    </xf>
    <xf numFmtId="0" fontId="39" fillId="0" borderId="0" xfId="0" applyFont="1" applyFill="1" applyAlignment="1">
      <alignment horizontal="left" vertical="center"/>
    </xf>
    <xf numFmtId="0" fontId="32" fillId="0" borderId="0" xfId="0" applyFont="1" applyFill="1" applyAlignment="1">
      <alignment horizontal="left" wrapText="1"/>
    </xf>
    <xf numFmtId="0" fontId="33" fillId="0" borderId="0" xfId="0" applyFont="1" applyFill="1" applyAlignment="1">
      <alignment horizontal="left" wrapText="1"/>
    </xf>
    <xf numFmtId="0" fontId="33" fillId="0" borderId="0" xfId="0" applyFont="1" applyFill="1" applyAlignment="1">
      <alignment wrapText="1"/>
    </xf>
    <xf numFmtId="1" fontId="21" fillId="0" borderId="0" xfId="0" applyNumberFormat="1" applyFont="1" applyFill="1" applyAlignment="1">
      <alignment horizontal="left" wrapText="1"/>
    </xf>
    <xf numFmtId="166" fontId="21" fillId="0" borderId="0" xfId="0" applyNumberFormat="1" applyFont="1" applyFill="1" applyAlignment="1">
      <alignment horizontal="left"/>
    </xf>
    <xf numFmtId="0" fontId="6" fillId="0" borderId="0" xfId="0" applyFont="1" applyFill="1"/>
    <xf numFmtId="165" fontId="13" fillId="2" borderId="3" xfId="1187" applyFont="1" applyFill="1" applyBorder="1" applyAlignment="1">
      <alignment horizontal="center" wrapText="1"/>
    </xf>
    <xf numFmtId="0" fontId="0" fillId="2" borderId="0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13" fillId="2" borderId="1" xfId="0" applyNumberFormat="1" applyFon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13" fillId="2" borderId="2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13" fillId="2" borderId="3" xfId="0" applyFont="1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168" fontId="13" fillId="2" borderId="14" xfId="1187" applyNumberFormat="1" applyFont="1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5" xfId="0" applyFill="1" applyBorder="1" applyAlignment="1">
      <alignment wrapText="1"/>
    </xf>
    <xf numFmtId="0" fontId="0" fillId="2" borderId="13" xfId="0" applyFill="1" applyBorder="1" applyAlignment="1">
      <alignment wrapText="1"/>
    </xf>
    <xf numFmtId="168" fontId="13" fillId="2" borderId="1" xfId="1187" applyNumberFormat="1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0" fillId="2" borderId="6" xfId="0" applyFill="1" applyBorder="1" applyAlignment="1">
      <alignment wrapText="1"/>
    </xf>
    <xf numFmtId="165" fontId="13" fillId="2" borderId="2" xfId="1187" applyFont="1" applyFill="1" applyBorder="1" applyAlignment="1">
      <alignment horizontal="center" wrapText="1"/>
    </xf>
    <xf numFmtId="0" fontId="24" fillId="2" borderId="1" xfId="0" applyFont="1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11" xfId="0" applyFill="1" applyBorder="1" applyAlignment="1">
      <alignment wrapText="1"/>
    </xf>
  </cellXfs>
  <cellStyles count="6879">
    <cellStyle name="Comma" xfId="6390" builtinId="3"/>
    <cellStyle name="Comma 2" xfId="347" xr:uid="{00000000-0005-0000-0000-000001000000}"/>
    <cellStyle name="Comma 2 2" xfId="348" xr:uid="{00000000-0005-0000-0000-000002000000}"/>
    <cellStyle name="Comma 3" xfId="349" xr:uid="{00000000-0005-0000-0000-000003000000}"/>
    <cellStyle name="Comma 4" xfId="350" xr:uid="{00000000-0005-0000-0000-000004000000}"/>
    <cellStyle name="Comma 5" xfId="351" xr:uid="{00000000-0005-0000-0000-000005000000}"/>
    <cellStyle name="Comma 5 2" xfId="1187" xr:uid="{00000000-0005-0000-0000-000006000000}"/>
    <cellStyle name="Comma 6" xfId="352" xr:uid="{00000000-0005-0000-0000-000007000000}"/>
    <cellStyle name="Excel Built-in Excel Built-in Excel Built-in Normal 5" xfId="353" xr:uid="{00000000-0005-0000-0000-000008000000}"/>
    <cellStyle name="Excel Built-in Excel Built-in Excel Built-in TableStyleLight1" xfId="354" xr:uid="{00000000-0005-0000-0000-000009000000}"/>
    <cellStyle name="Explanatory Text" xfId="1185" builtinId="53"/>
    <cellStyle name="Followed Hyperlink" xfId="68" builtinId="9" hidden="1"/>
    <cellStyle name="Followed Hyperlink" xfId="72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3" builtinId="9" hidden="1"/>
    <cellStyle name="Followed Hyperlink" xfId="101" builtinId="9" hidden="1"/>
    <cellStyle name="Followed Hyperlink" xfId="99" builtinId="9" hidden="1"/>
    <cellStyle name="Followed Hyperlink" xfId="97" builtinId="9" hidden="1"/>
    <cellStyle name="Followed Hyperlink" xfId="95" builtinId="9" hidden="1"/>
    <cellStyle name="Followed Hyperlink" xfId="93" builtinId="9" hidden="1"/>
    <cellStyle name="Followed Hyperlink" xfId="91" builtinId="9" hidden="1"/>
    <cellStyle name="Followed Hyperlink" xfId="89" builtinId="9" hidden="1"/>
    <cellStyle name="Followed Hyperlink" xfId="87" builtinId="9" hidden="1"/>
    <cellStyle name="Followed Hyperlink" xfId="85" builtinId="9" hidden="1"/>
    <cellStyle name="Followed Hyperlink" xfId="83" builtinId="9" hidden="1"/>
    <cellStyle name="Followed Hyperlink" xfId="81" builtinId="9" hidden="1"/>
    <cellStyle name="Followed Hyperlink" xfId="79" builtinId="9" hidden="1"/>
    <cellStyle name="Followed Hyperlink" xfId="77" builtinId="9" hidden="1"/>
    <cellStyle name="Followed Hyperlink" xfId="74" builtinId="9" hidden="1"/>
    <cellStyle name="Followed Hyperlink" xfId="70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Followed Hyperlink" xfId="133" builtinId="9" hidden="1"/>
    <cellStyle name="Followed Hyperlink" xfId="134" builtinId="9" hidden="1"/>
    <cellStyle name="Followed Hyperlink" xfId="135" builtinId="9" hidden="1"/>
    <cellStyle name="Followed Hyperlink" xfId="136" builtinId="9" hidden="1"/>
    <cellStyle name="Followed Hyperlink" xfId="137" builtinId="9" hidden="1"/>
    <cellStyle name="Followed Hyperlink" xfId="138" builtinId="9" hidden="1"/>
    <cellStyle name="Followed Hyperlink" xfId="139" builtinId="9" hidden="1"/>
    <cellStyle name="Followed Hyperlink" xfId="140" builtinId="9" hidden="1"/>
    <cellStyle name="Followed Hyperlink" xfId="141" builtinId="9" hidden="1"/>
    <cellStyle name="Followed Hyperlink" xfId="142" builtinId="9" hidden="1"/>
    <cellStyle name="Followed Hyperlink" xfId="143" builtinId="9" hidden="1"/>
    <cellStyle name="Followed Hyperlink" xfId="144" builtinId="9" hidden="1"/>
    <cellStyle name="Followed Hyperlink" xfId="145" builtinId="9" hidden="1"/>
    <cellStyle name="Followed Hyperlink" xfId="146" builtinId="9" hidden="1"/>
    <cellStyle name="Followed Hyperlink" xfId="147" builtinId="9" hidden="1"/>
    <cellStyle name="Followed Hyperlink" xfId="148" builtinId="9" hidden="1"/>
    <cellStyle name="Followed Hyperlink" xfId="149" builtinId="9" hidden="1"/>
    <cellStyle name="Followed Hyperlink" xfId="150" builtinId="9" hidden="1"/>
    <cellStyle name="Followed Hyperlink" xfId="151" builtinId="9" hidden="1"/>
    <cellStyle name="Followed Hyperlink" xfId="152" builtinId="9" hidden="1"/>
    <cellStyle name="Followed Hyperlink" xfId="153" builtinId="9" hidden="1"/>
    <cellStyle name="Followed Hyperlink" xfId="154" builtinId="9" hidden="1"/>
    <cellStyle name="Followed Hyperlink" xfId="155" builtinId="9" hidden="1"/>
    <cellStyle name="Followed Hyperlink" xfId="156" builtinId="9" hidden="1"/>
    <cellStyle name="Followed Hyperlink" xfId="157" builtinId="9" hidden="1"/>
    <cellStyle name="Followed Hyperlink" xfId="158" builtinId="9" hidden="1"/>
    <cellStyle name="Followed Hyperlink" xfId="159" builtinId="9" hidden="1"/>
    <cellStyle name="Followed Hyperlink" xfId="160" builtinId="9" hidden="1"/>
    <cellStyle name="Followed Hyperlink" xfId="161" builtinId="9" hidden="1"/>
    <cellStyle name="Followed Hyperlink" xfId="162" builtinId="9" hidden="1"/>
    <cellStyle name="Followed Hyperlink" xfId="163" builtinId="9" hidden="1"/>
    <cellStyle name="Followed Hyperlink" xfId="164" builtinId="9" hidden="1"/>
    <cellStyle name="Followed Hyperlink" xfId="165" builtinId="9" hidden="1"/>
    <cellStyle name="Followed Hyperlink" xfId="166" builtinId="9" hidden="1"/>
    <cellStyle name="Followed Hyperlink" xfId="167" builtinId="9" hidden="1"/>
    <cellStyle name="Followed Hyperlink" xfId="168" builtinId="9" hidden="1"/>
    <cellStyle name="Followed Hyperlink" xfId="169" builtinId="9" hidden="1"/>
    <cellStyle name="Followed Hyperlink" xfId="170" builtinId="9" hidden="1"/>
    <cellStyle name="Followed Hyperlink" xfId="171" builtinId="9" hidden="1"/>
    <cellStyle name="Followed Hyperlink" xfId="172" builtinId="9" hidden="1"/>
    <cellStyle name="Followed Hyperlink" xfId="173" builtinId="9" hidden="1"/>
    <cellStyle name="Followed Hyperlink" xfId="174" builtinId="9" hidden="1"/>
    <cellStyle name="Followed Hyperlink" xfId="175" builtinId="9" hidden="1"/>
    <cellStyle name="Followed Hyperlink" xfId="176" builtinId="9" hidden="1"/>
    <cellStyle name="Followed Hyperlink" xfId="177" builtinId="9" hidden="1"/>
    <cellStyle name="Followed Hyperlink" xfId="178" builtinId="9" hidden="1"/>
    <cellStyle name="Followed Hyperlink" xfId="179" builtinId="9" hidden="1"/>
    <cellStyle name="Followed Hyperlink" xfId="180" builtinId="9" hidden="1"/>
    <cellStyle name="Followed Hyperlink" xfId="181" builtinId="9" hidden="1"/>
    <cellStyle name="Followed Hyperlink" xfId="182" builtinId="9" hidden="1"/>
    <cellStyle name="Followed Hyperlink" xfId="183" builtinId="9" hidden="1"/>
    <cellStyle name="Followed Hyperlink" xfId="184" builtinId="9" hidden="1"/>
    <cellStyle name="Followed Hyperlink" xfId="185" builtinId="9" hidden="1"/>
    <cellStyle name="Followed Hyperlink" xfId="186" builtinId="9" hidden="1"/>
    <cellStyle name="Followed Hyperlink" xfId="187" builtinId="9" hidden="1"/>
    <cellStyle name="Followed Hyperlink" xfId="188" builtinId="9" hidden="1"/>
    <cellStyle name="Followed Hyperlink" xfId="189" builtinId="9" hidden="1"/>
    <cellStyle name="Followed Hyperlink" xfId="190" builtinId="9" hidden="1"/>
    <cellStyle name="Followed Hyperlink" xfId="191" builtinId="9" hidden="1"/>
    <cellStyle name="Followed Hyperlink" xfId="192" builtinId="9" hidden="1"/>
    <cellStyle name="Followed Hyperlink" xfId="193" builtinId="9" hidden="1"/>
    <cellStyle name="Followed Hyperlink" xfId="194" builtinId="9" hidden="1"/>
    <cellStyle name="Followed Hyperlink" xfId="195" builtinId="9" hidden="1"/>
    <cellStyle name="Followed Hyperlink" xfId="196" builtinId="9" hidden="1"/>
    <cellStyle name="Followed Hyperlink" xfId="197" builtinId="9" hidden="1"/>
    <cellStyle name="Followed Hyperlink" xfId="198" builtinId="9" hidden="1"/>
    <cellStyle name="Followed Hyperlink" xfId="199" builtinId="9" hidden="1"/>
    <cellStyle name="Followed Hyperlink" xfId="200" builtinId="9" hidden="1"/>
    <cellStyle name="Followed Hyperlink" xfId="201" builtinId="9" hidden="1"/>
    <cellStyle name="Followed Hyperlink" xfId="202" builtinId="9" hidden="1"/>
    <cellStyle name="Followed Hyperlink" xfId="203" builtinId="9" hidden="1"/>
    <cellStyle name="Followed Hyperlink" xfId="204" builtinId="9" hidden="1"/>
    <cellStyle name="Followed Hyperlink" xfId="205" builtinId="9" hidden="1"/>
    <cellStyle name="Followed Hyperlink" xfId="206" builtinId="9" hidden="1"/>
    <cellStyle name="Followed Hyperlink" xfId="207" builtinId="9" hidden="1"/>
    <cellStyle name="Followed Hyperlink" xfId="208" builtinId="9" hidden="1"/>
    <cellStyle name="Followed Hyperlink" xfId="209" builtinId="9" hidden="1"/>
    <cellStyle name="Followed Hyperlink" xfId="210" builtinId="9" hidden="1"/>
    <cellStyle name="Followed Hyperlink" xfId="211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Followed Hyperlink" xfId="238" builtinId="9" hidden="1"/>
    <cellStyle name="Followed Hyperlink" xfId="239" builtinId="9" hidden="1"/>
    <cellStyle name="Followed Hyperlink" xfId="240" builtinId="9" hidden="1"/>
    <cellStyle name="Followed Hyperlink" xfId="241" builtinId="9" hidden="1"/>
    <cellStyle name="Followed Hyperlink" xfId="242" builtinId="9" hidden="1"/>
    <cellStyle name="Followed Hyperlink" xfId="243" builtinId="9" hidden="1"/>
    <cellStyle name="Followed Hyperlink" xfId="244" builtinId="9" hidden="1"/>
    <cellStyle name="Followed Hyperlink" xfId="245" builtinId="9" hidden="1"/>
    <cellStyle name="Followed Hyperlink" xfId="246" builtinId="9" hidden="1"/>
    <cellStyle name="Followed Hyperlink" xfId="247" builtinId="9" hidden="1"/>
    <cellStyle name="Followed Hyperlink" xfId="248" builtinId="9" hidden="1"/>
    <cellStyle name="Followed Hyperlink" xfId="249" builtinId="9" hidden="1"/>
    <cellStyle name="Followed Hyperlink" xfId="250" builtinId="9" hidden="1"/>
    <cellStyle name="Followed Hyperlink" xfId="251" builtinId="9" hidden="1"/>
    <cellStyle name="Followed Hyperlink" xfId="252" builtinId="9" hidden="1"/>
    <cellStyle name="Followed Hyperlink" xfId="253" builtinId="9" hidden="1"/>
    <cellStyle name="Followed Hyperlink" xfId="254" builtinId="9" hidden="1"/>
    <cellStyle name="Followed Hyperlink" xfId="255" builtinId="9" hidden="1"/>
    <cellStyle name="Followed Hyperlink" xfId="256" builtinId="9" hidden="1"/>
    <cellStyle name="Followed Hyperlink" xfId="257" builtinId="9" hidden="1"/>
    <cellStyle name="Followed Hyperlink" xfId="258" builtinId="9" hidden="1"/>
    <cellStyle name="Followed Hyperlink" xfId="259" builtinId="9" hidden="1"/>
    <cellStyle name="Followed Hyperlink" xfId="260" builtinId="9" hidden="1"/>
    <cellStyle name="Followed Hyperlink" xfId="261" builtinId="9" hidden="1"/>
    <cellStyle name="Followed Hyperlink" xfId="262" builtinId="9" hidden="1"/>
    <cellStyle name="Followed Hyperlink" xfId="263" builtinId="9" hidden="1"/>
    <cellStyle name="Followed Hyperlink" xfId="264" builtinId="9" hidden="1"/>
    <cellStyle name="Followed Hyperlink" xfId="265" builtinId="9" hidden="1"/>
    <cellStyle name="Followed Hyperlink" xfId="266" builtinId="9" hidden="1"/>
    <cellStyle name="Followed Hyperlink" xfId="267" builtinId="9" hidden="1"/>
    <cellStyle name="Followed Hyperlink" xfId="268" builtinId="9" hidden="1"/>
    <cellStyle name="Followed Hyperlink" xfId="269" builtinId="9" hidden="1"/>
    <cellStyle name="Followed Hyperlink" xfId="270" builtinId="9" hidden="1"/>
    <cellStyle name="Followed Hyperlink" xfId="271" builtinId="9" hidden="1"/>
    <cellStyle name="Followed Hyperlink" xfId="272" builtinId="9" hidden="1"/>
    <cellStyle name="Followed Hyperlink" xfId="273" builtinId="9" hidden="1"/>
    <cellStyle name="Followed Hyperlink" xfId="274" builtinId="9" hidden="1"/>
    <cellStyle name="Followed Hyperlink" xfId="275" builtinId="9" hidden="1"/>
    <cellStyle name="Followed Hyperlink" xfId="276" builtinId="9" hidden="1"/>
    <cellStyle name="Followed Hyperlink" xfId="277" builtinId="9" hidden="1"/>
    <cellStyle name="Followed Hyperlink" xfId="278" builtinId="9" hidden="1"/>
    <cellStyle name="Followed Hyperlink" xfId="279" builtinId="9" hidden="1"/>
    <cellStyle name="Followed Hyperlink" xfId="280" builtinId="9" hidden="1"/>
    <cellStyle name="Followed Hyperlink" xfId="281" builtinId="9" hidden="1"/>
    <cellStyle name="Followed Hyperlink" xfId="282" builtinId="9" hidden="1"/>
    <cellStyle name="Followed Hyperlink" xfId="283" builtinId="9" hidden="1"/>
    <cellStyle name="Followed Hyperlink" xfId="284" builtinId="9" hidden="1"/>
    <cellStyle name="Followed Hyperlink" xfId="285" builtinId="9" hidden="1"/>
    <cellStyle name="Followed Hyperlink" xfId="286" builtinId="9" hidden="1"/>
    <cellStyle name="Followed Hyperlink" xfId="287" builtinId="9" hidden="1"/>
    <cellStyle name="Followed Hyperlink" xfId="288" builtinId="9" hidden="1"/>
    <cellStyle name="Followed Hyperlink" xfId="289" builtinId="9" hidden="1"/>
    <cellStyle name="Followed Hyperlink" xfId="290" builtinId="9" hidden="1"/>
    <cellStyle name="Followed Hyperlink" xfId="291" builtinId="9" hidden="1"/>
    <cellStyle name="Followed Hyperlink" xfId="292" builtinId="9" hidden="1"/>
    <cellStyle name="Followed Hyperlink" xfId="293" builtinId="9" hidden="1"/>
    <cellStyle name="Followed Hyperlink" xfId="294" builtinId="9" hidden="1"/>
    <cellStyle name="Followed Hyperlink" xfId="295" builtinId="9" hidden="1"/>
    <cellStyle name="Followed Hyperlink" xfId="296" builtinId="9" hidden="1"/>
    <cellStyle name="Followed Hyperlink" xfId="297" builtinId="9" hidden="1"/>
    <cellStyle name="Followed Hyperlink" xfId="298" builtinId="9" hidden="1"/>
    <cellStyle name="Followed Hyperlink" xfId="299" builtinId="9" hidden="1"/>
    <cellStyle name="Followed Hyperlink" xfId="300" builtinId="9" hidden="1"/>
    <cellStyle name="Followed Hyperlink" xfId="301" builtinId="9" hidden="1"/>
    <cellStyle name="Followed Hyperlink" xfId="302" builtinId="9" hidden="1"/>
    <cellStyle name="Followed Hyperlink" xfId="303" builtinId="9" hidden="1"/>
    <cellStyle name="Followed Hyperlink" xfId="304" builtinId="9" hidden="1"/>
    <cellStyle name="Followed Hyperlink" xfId="305" builtinId="9" hidden="1"/>
    <cellStyle name="Followed Hyperlink" xfId="306" builtinId="9" hidden="1"/>
    <cellStyle name="Followed Hyperlink" xfId="307" builtinId="9" hidden="1"/>
    <cellStyle name="Followed Hyperlink" xfId="308" builtinId="9" hidden="1"/>
    <cellStyle name="Followed Hyperlink" xfId="309" builtinId="9" hidden="1"/>
    <cellStyle name="Followed Hyperlink" xfId="310" builtinId="9" hidden="1"/>
    <cellStyle name="Followed Hyperlink" xfId="311" builtinId="9" hidden="1"/>
    <cellStyle name="Followed Hyperlink" xfId="312" builtinId="9" hidden="1"/>
    <cellStyle name="Followed Hyperlink" xfId="313" builtinId="9" hidden="1"/>
    <cellStyle name="Followed Hyperlink" xfId="314" builtinId="9" hidden="1"/>
    <cellStyle name="Followed Hyperlink" xfId="315" builtinId="9" hidden="1"/>
    <cellStyle name="Followed Hyperlink" xfId="316" builtinId="9" hidden="1"/>
    <cellStyle name="Followed Hyperlink" xfId="317" builtinId="9" hidden="1"/>
    <cellStyle name="Followed Hyperlink" xfId="318" builtinId="9" hidden="1"/>
    <cellStyle name="Followed Hyperlink" xfId="319" builtinId="9" hidden="1"/>
    <cellStyle name="Followed Hyperlink" xfId="320" builtinId="9" hidden="1"/>
    <cellStyle name="Followed Hyperlink" xfId="321" builtinId="9" hidden="1"/>
    <cellStyle name="Followed Hyperlink" xfId="322" builtinId="9" hidden="1"/>
    <cellStyle name="Followed Hyperlink" xfId="323" builtinId="9" hidden="1"/>
    <cellStyle name="Followed Hyperlink" xfId="324" builtinId="9" hidden="1"/>
    <cellStyle name="Followed Hyperlink" xfId="325" builtinId="9" hidden="1"/>
    <cellStyle name="Followed Hyperlink" xfId="326" builtinId="9" hidden="1"/>
    <cellStyle name="Followed Hyperlink" xfId="327" builtinId="9" hidden="1"/>
    <cellStyle name="Followed Hyperlink" xfId="328" builtinId="9" hidden="1"/>
    <cellStyle name="Followed Hyperlink" xfId="329" builtinId="9" hidden="1"/>
    <cellStyle name="Followed Hyperlink" xfId="330" builtinId="9" hidden="1"/>
    <cellStyle name="Followed Hyperlink" xfId="331" builtinId="9" hidden="1"/>
    <cellStyle name="Followed Hyperlink" xfId="332" builtinId="9" hidden="1"/>
    <cellStyle name="Followed Hyperlink" xfId="333" builtinId="9" hidden="1"/>
    <cellStyle name="Followed Hyperlink" xfId="334" builtinId="9" hidden="1"/>
    <cellStyle name="Followed Hyperlink" xfId="335" builtinId="9" hidden="1"/>
    <cellStyle name="Followed Hyperlink" xfId="336" builtinId="9" hidden="1"/>
    <cellStyle name="Followed Hyperlink" xfId="337" builtinId="9" hidden="1"/>
    <cellStyle name="Followed Hyperlink" xfId="338" builtinId="9" hidden="1"/>
    <cellStyle name="Followed Hyperlink" xfId="339" builtinId="9" hidden="1"/>
    <cellStyle name="Followed Hyperlink" xfId="340" builtinId="9" hidden="1"/>
    <cellStyle name="Followed Hyperlink" xfId="341" builtinId="9" hidden="1"/>
    <cellStyle name="Followed Hyperlink" xfId="342" builtinId="9" hidden="1"/>
    <cellStyle name="Followed Hyperlink" xfId="343" builtinId="9" hidden="1"/>
    <cellStyle name="Followed Hyperlink" xfId="344" builtinId="9" hidden="1"/>
    <cellStyle name="Followed Hyperlink" xfId="345" builtinId="9" hidden="1"/>
    <cellStyle name="Followed Hyperlink" xfId="346" builtinId="9" hidden="1"/>
    <cellStyle name="Followed Hyperlink" xfId="360" builtinId="9" hidden="1"/>
    <cellStyle name="Followed Hyperlink" xfId="361" builtinId="9" hidden="1"/>
    <cellStyle name="Followed Hyperlink" xfId="362" builtinId="9" hidden="1"/>
    <cellStyle name="Followed Hyperlink" xfId="363" builtinId="9" hidden="1"/>
    <cellStyle name="Followed Hyperlink" xfId="364" builtinId="9" hidden="1"/>
    <cellStyle name="Followed Hyperlink" xfId="365" builtinId="9" hidden="1"/>
    <cellStyle name="Followed Hyperlink" xfId="366" builtinId="9" hidden="1"/>
    <cellStyle name="Followed Hyperlink" xfId="367" builtinId="9" hidden="1"/>
    <cellStyle name="Followed Hyperlink" xfId="368" builtinId="9" hidden="1"/>
    <cellStyle name="Followed Hyperlink" xfId="369" builtinId="9" hidden="1"/>
    <cellStyle name="Followed Hyperlink" xfId="370" builtinId="9" hidden="1"/>
    <cellStyle name="Followed Hyperlink" xfId="371" builtinId="9" hidden="1"/>
    <cellStyle name="Followed Hyperlink" xfId="372" builtinId="9" hidden="1"/>
    <cellStyle name="Followed Hyperlink" xfId="373" builtinId="9" hidden="1"/>
    <cellStyle name="Followed Hyperlink" xfId="374" builtinId="9" hidden="1"/>
    <cellStyle name="Followed Hyperlink" xfId="375" builtinId="9" hidden="1"/>
    <cellStyle name="Followed Hyperlink" xfId="376" builtinId="9" hidden="1"/>
    <cellStyle name="Followed Hyperlink" xfId="377" builtinId="9" hidden="1"/>
    <cellStyle name="Followed Hyperlink" xfId="378" builtinId="9" hidden="1"/>
    <cellStyle name="Followed Hyperlink" xfId="379" builtinId="9" hidden="1"/>
    <cellStyle name="Followed Hyperlink" xfId="380" builtinId="9" hidden="1"/>
    <cellStyle name="Followed Hyperlink" xfId="381" builtinId="9" hidden="1"/>
    <cellStyle name="Followed Hyperlink" xfId="382" builtinId="9" hidden="1"/>
    <cellStyle name="Followed Hyperlink" xfId="383" builtinId="9" hidden="1"/>
    <cellStyle name="Followed Hyperlink" xfId="384" builtinId="9" hidden="1"/>
    <cellStyle name="Followed Hyperlink" xfId="385" builtinId="9" hidden="1"/>
    <cellStyle name="Followed Hyperlink" xfId="386" builtinId="9" hidden="1"/>
    <cellStyle name="Followed Hyperlink" xfId="387" builtinId="9" hidden="1"/>
    <cellStyle name="Followed Hyperlink" xfId="388" builtinId="9" hidden="1"/>
    <cellStyle name="Followed Hyperlink" xfId="389" builtinId="9" hidden="1"/>
    <cellStyle name="Followed Hyperlink" xfId="390" builtinId="9" hidden="1"/>
    <cellStyle name="Followed Hyperlink" xfId="391" builtinId="9" hidden="1"/>
    <cellStyle name="Followed Hyperlink" xfId="392" builtinId="9" hidden="1"/>
    <cellStyle name="Followed Hyperlink" xfId="393" builtinId="9" hidden="1"/>
    <cellStyle name="Followed Hyperlink" xfId="394" builtinId="9" hidden="1"/>
    <cellStyle name="Followed Hyperlink" xfId="395" builtinId="9" hidden="1"/>
    <cellStyle name="Followed Hyperlink" xfId="396" builtinId="9" hidden="1"/>
    <cellStyle name="Followed Hyperlink" xfId="397" builtinId="9" hidden="1"/>
    <cellStyle name="Followed Hyperlink" xfId="398" builtinId="9" hidden="1"/>
    <cellStyle name="Followed Hyperlink" xfId="399" builtinId="9" hidden="1"/>
    <cellStyle name="Followed Hyperlink" xfId="400" builtinId="9" hidden="1"/>
    <cellStyle name="Followed Hyperlink" xfId="401" builtinId="9" hidden="1"/>
    <cellStyle name="Followed Hyperlink" xfId="402" builtinId="9" hidden="1"/>
    <cellStyle name="Followed Hyperlink" xfId="403" builtinId="9" hidden="1"/>
    <cellStyle name="Followed Hyperlink" xfId="404" builtinId="9" hidden="1"/>
    <cellStyle name="Followed Hyperlink" xfId="405" builtinId="9" hidden="1"/>
    <cellStyle name="Followed Hyperlink" xfId="406" builtinId="9" hidden="1"/>
    <cellStyle name="Followed Hyperlink" xfId="407" builtinId="9" hidden="1"/>
    <cellStyle name="Followed Hyperlink" xfId="408" builtinId="9" hidden="1"/>
    <cellStyle name="Followed Hyperlink" xfId="409" builtinId="9" hidden="1"/>
    <cellStyle name="Followed Hyperlink" xfId="410" builtinId="9" hidden="1"/>
    <cellStyle name="Followed Hyperlink" xfId="411" builtinId="9" hidden="1"/>
    <cellStyle name="Followed Hyperlink" xfId="412" builtinId="9" hidden="1"/>
    <cellStyle name="Followed Hyperlink" xfId="413" builtinId="9" hidden="1"/>
    <cellStyle name="Followed Hyperlink" xfId="414" builtinId="9" hidden="1"/>
    <cellStyle name="Followed Hyperlink" xfId="415" builtinId="9" hidden="1"/>
    <cellStyle name="Followed Hyperlink" xfId="416" builtinId="9" hidden="1"/>
    <cellStyle name="Followed Hyperlink" xfId="417" builtinId="9" hidden="1"/>
    <cellStyle name="Followed Hyperlink" xfId="418" builtinId="9" hidden="1"/>
    <cellStyle name="Followed Hyperlink" xfId="419" builtinId="9" hidden="1"/>
    <cellStyle name="Followed Hyperlink" xfId="420" builtinId="9" hidden="1"/>
    <cellStyle name="Followed Hyperlink" xfId="421" builtinId="9" hidden="1"/>
    <cellStyle name="Followed Hyperlink" xfId="422" builtinId="9" hidden="1"/>
    <cellStyle name="Followed Hyperlink" xfId="423" builtinId="9" hidden="1"/>
    <cellStyle name="Followed Hyperlink" xfId="424" builtinId="9" hidden="1"/>
    <cellStyle name="Followed Hyperlink" xfId="425" builtinId="9" hidden="1"/>
    <cellStyle name="Followed Hyperlink" xfId="426" builtinId="9" hidden="1"/>
    <cellStyle name="Followed Hyperlink" xfId="427" builtinId="9" hidden="1"/>
    <cellStyle name="Followed Hyperlink" xfId="428" builtinId="9" hidden="1"/>
    <cellStyle name="Followed Hyperlink" xfId="429" builtinId="9" hidden="1"/>
    <cellStyle name="Followed Hyperlink" xfId="430" builtinId="9" hidden="1"/>
    <cellStyle name="Followed Hyperlink" xfId="431" builtinId="9" hidden="1"/>
    <cellStyle name="Followed Hyperlink" xfId="432" builtinId="9" hidden="1"/>
    <cellStyle name="Followed Hyperlink" xfId="433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4" builtinId="9" hidden="1"/>
    <cellStyle name="Followed Hyperlink" xfId="2226" builtinId="9" hidden="1"/>
    <cellStyle name="Followed Hyperlink" xfId="2228" builtinId="9" hidden="1"/>
    <cellStyle name="Followed Hyperlink" xfId="2230" builtinId="9" hidden="1"/>
    <cellStyle name="Followed Hyperlink" xfId="2232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74" builtinId="9" hidden="1"/>
    <cellStyle name="Followed Hyperlink" xfId="2276" builtinId="9" hidden="1"/>
    <cellStyle name="Followed Hyperlink" xfId="2278" builtinId="9" hidden="1"/>
    <cellStyle name="Followed Hyperlink" xfId="2280" builtinId="9" hidden="1"/>
    <cellStyle name="Followed Hyperlink" xfId="2282" builtinId="9" hidden="1"/>
    <cellStyle name="Followed Hyperlink" xfId="2284" builtinId="9" hidden="1"/>
    <cellStyle name="Followed Hyperlink" xfId="2286" builtinId="9" hidden="1"/>
    <cellStyle name="Followed Hyperlink" xfId="2288" builtinId="9" hidden="1"/>
    <cellStyle name="Followed Hyperlink" xfId="2290" builtinId="9" hidden="1"/>
    <cellStyle name="Followed Hyperlink" xfId="2292" builtinId="9" hidden="1"/>
    <cellStyle name="Followed Hyperlink" xfId="2294" builtinId="9" hidden="1"/>
    <cellStyle name="Followed Hyperlink" xfId="2296" builtinId="9" hidden="1"/>
    <cellStyle name="Followed Hyperlink" xfId="2298" builtinId="9" hidden="1"/>
    <cellStyle name="Followed Hyperlink" xfId="2300" builtinId="9" hidden="1"/>
    <cellStyle name="Followed Hyperlink" xfId="2302" builtinId="9" hidden="1"/>
    <cellStyle name="Followed Hyperlink" xfId="2304" builtinId="9" hidden="1"/>
    <cellStyle name="Followed Hyperlink" xfId="2306" builtinId="9" hidden="1"/>
    <cellStyle name="Followed Hyperlink" xfId="2308" builtinId="9" hidden="1"/>
    <cellStyle name="Followed Hyperlink" xfId="2310" builtinId="9" hidden="1"/>
    <cellStyle name="Followed Hyperlink" xfId="2312" builtinId="9" hidden="1"/>
    <cellStyle name="Followed Hyperlink" xfId="2314" builtinId="9" hidden="1"/>
    <cellStyle name="Followed Hyperlink" xfId="2316" builtinId="9" hidden="1"/>
    <cellStyle name="Followed Hyperlink" xfId="2318" builtinId="9" hidden="1"/>
    <cellStyle name="Followed Hyperlink" xfId="2320" builtinId="9" hidden="1"/>
    <cellStyle name="Followed Hyperlink" xfId="2322" builtinId="9" hidden="1"/>
    <cellStyle name="Followed Hyperlink" xfId="2324" builtinId="9" hidden="1"/>
    <cellStyle name="Followed Hyperlink" xfId="2326" builtinId="9" hidden="1"/>
    <cellStyle name="Followed Hyperlink" xfId="2328" builtinId="9" hidden="1"/>
    <cellStyle name="Followed Hyperlink" xfId="2330" builtinId="9" hidden="1"/>
    <cellStyle name="Followed Hyperlink" xfId="2332" builtinId="9" hidden="1"/>
    <cellStyle name="Followed Hyperlink" xfId="2334" builtinId="9" hidden="1"/>
    <cellStyle name="Followed Hyperlink" xfId="2336" builtinId="9" hidden="1"/>
    <cellStyle name="Followed Hyperlink" xfId="2338" builtinId="9" hidden="1"/>
    <cellStyle name="Followed Hyperlink" xfId="2340" builtinId="9" hidden="1"/>
    <cellStyle name="Followed Hyperlink" xfId="2342" builtinId="9" hidden="1"/>
    <cellStyle name="Followed Hyperlink" xfId="2344" builtinId="9" hidden="1"/>
    <cellStyle name="Followed Hyperlink" xfId="2346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Followed Hyperlink" xfId="2376" builtinId="9" hidden="1"/>
    <cellStyle name="Followed Hyperlink" xfId="2378" builtinId="9" hidden="1"/>
    <cellStyle name="Followed Hyperlink" xfId="2380" builtinId="9" hidden="1"/>
    <cellStyle name="Followed Hyperlink" xfId="2382" builtinId="9" hidden="1"/>
    <cellStyle name="Followed Hyperlink" xfId="2384" builtinId="9" hidden="1"/>
    <cellStyle name="Followed Hyperlink" xfId="2386" builtinId="9" hidden="1"/>
    <cellStyle name="Followed Hyperlink" xfId="2388" builtinId="9" hidden="1"/>
    <cellStyle name="Followed Hyperlink" xfId="2390" builtinId="9" hidden="1"/>
    <cellStyle name="Followed Hyperlink" xfId="2392" builtinId="9" hidden="1"/>
    <cellStyle name="Followed Hyperlink" xfId="2394" builtinId="9" hidden="1"/>
    <cellStyle name="Followed Hyperlink" xfId="2396" builtinId="9" hidden="1"/>
    <cellStyle name="Followed Hyperlink" xfId="2398" builtinId="9" hidden="1"/>
    <cellStyle name="Followed Hyperlink" xfId="2400" builtinId="9" hidden="1"/>
    <cellStyle name="Followed Hyperlink" xfId="2402" builtinId="9" hidden="1"/>
    <cellStyle name="Followed Hyperlink" xfId="2404" builtinId="9" hidden="1"/>
    <cellStyle name="Followed Hyperlink" xfId="2406" builtinId="9" hidden="1"/>
    <cellStyle name="Followed Hyperlink" xfId="2408" builtinId="9" hidden="1"/>
    <cellStyle name="Followed Hyperlink" xfId="2410" builtinId="9" hidden="1"/>
    <cellStyle name="Followed Hyperlink" xfId="2412" builtinId="9" hidden="1"/>
    <cellStyle name="Followed Hyperlink" xfId="2414" builtinId="9" hidden="1"/>
    <cellStyle name="Followed Hyperlink" xfId="2416" builtinId="9" hidden="1"/>
    <cellStyle name="Followed Hyperlink" xfId="2418" builtinId="9" hidden="1"/>
    <cellStyle name="Followed Hyperlink" xfId="2420" builtinId="9" hidden="1"/>
    <cellStyle name="Followed Hyperlink" xfId="2422" builtinId="9" hidden="1"/>
    <cellStyle name="Followed Hyperlink" xfId="2424" builtinId="9" hidden="1"/>
    <cellStyle name="Followed Hyperlink" xfId="2426" builtinId="9" hidden="1"/>
    <cellStyle name="Followed Hyperlink" xfId="2428" builtinId="9" hidden="1"/>
    <cellStyle name="Followed Hyperlink" xfId="2430" builtinId="9" hidden="1"/>
    <cellStyle name="Followed Hyperlink" xfId="2432" builtinId="9" hidden="1"/>
    <cellStyle name="Followed Hyperlink" xfId="2434" builtinId="9" hidden="1"/>
    <cellStyle name="Followed Hyperlink" xfId="2436" builtinId="9" hidden="1"/>
    <cellStyle name="Followed Hyperlink" xfId="2438" builtinId="9" hidden="1"/>
    <cellStyle name="Followed Hyperlink" xfId="2440" builtinId="9" hidden="1"/>
    <cellStyle name="Followed Hyperlink" xfId="2442" builtinId="9" hidden="1"/>
    <cellStyle name="Followed Hyperlink" xfId="2444" builtinId="9" hidden="1"/>
    <cellStyle name="Followed Hyperlink" xfId="2446" builtinId="9" hidden="1"/>
    <cellStyle name="Followed Hyperlink" xfId="2448" builtinId="9" hidden="1"/>
    <cellStyle name="Followed Hyperlink" xfId="2450" builtinId="9" hidden="1"/>
    <cellStyle name="Followed Hyperlink" xfId="2452" builtinId="9" hidden="1"/>
    <cellStyle name="Followed Hyperlink" xfId="2454" builtinId="9" hidden="1"/>
    <cellStyle name="Followed Hyperlink" xfId="2456" builtinId="9" hidden="1"/>
    <cellStyle name="Followed Hyperlink" xfId="2458" builtinId="9" hidden="1"/>
    <cellStyle name="Followed Hyperlink" xfId="2460" builtinId="9" hidden="1"/>
    <cellStyle name="Followed Hyperlink" xfId="2462" builtinId="9" hidden="1"/>
    <cellStyle name="Followed Hyperlink" xfId="2464" builtinId="9" hidden="1"/>
    <cellStyle name="Followed Hyperlink" xfId="2466" builtinId="9" hidden="1"/>
    <cellStyle name="Followed Hyperlink" xfId="2468" builtinId="9" hidden="1"/>
    <cellStyle name="Followed Hyperlink" xfId="2470" builtinId="9" hidden="1"/>
    <cellStyle name="Followed Hyperlink" xfId="2472" builtinId="9" hidden="1"/>
    <cellStyle name="Followed Hyperlink" xfId="2474" builtinId="9" hidden="1"/>
    <cellStyle name="Followed Hyperlink" xfId="2476" builtinId="9" hidden="1"/>
    <cellStyle name="Followed Hyperlink" xfId="2478" builtinId="9" hidden="1"/>
    <cellStyle name="Followed Hyperlink" xfId="2480" builtinId="9" hidden="1"/>
    <cellStyle name="Followed Hyperlink" xfId="2482" builtinId="9" hidden="1"/>
    <cellStyle name="Followed Hyperlink" xfId="2484" builtinId="9" hidden="1"/>
    <cellStyle name="Followed Hyperlink" xfId="2486" builtinId="9" hidden="1"/>
    <cellStyle name="Followed Hyperlink" xfId="2488" builtinId="9" hidden="1"/>
    <cellStyle name="Followed Hyperlink" xfId="2490" builtinId="9" hidden="1"/>
    <cellStyle name="Followed Hyperlink" xfId="2492" builtinId="9" hidden="1"/>
    <cellStyle name="Followed Hyperlink" xfId="2494" builtinId="9" hidden="1"/>
    <cellStyle name="Followed Hyperlink" xfId="2496" builtinId="9" hidden="1"/>
    <cellStyle name="Followed Hyperlink" xfId="2498" builtinId="9" hidden="1"/>
    <cellStyle name="Followed Hyperlink" xfId="2500" builtinId="9" hidden="1"/>
    <cellStyle name="Followed Hyperlink" xfId="2502" builtinId="9" hidden="1"/>
    <cellStyle name="Followed Hyperlink" xfId="2504" builtinId="9" hidden="1"/>
    <cellStyle name="Followed Hyperlink" xfId="2506" builtinId="9" hidden="1"/>
    <cellStyle name="Followed Hyperlink" xfId="2508" builtinId="9" hidden="1"/>
    <cellStyle name="Followed Hyperlink" xfId="2510" builtinId="9" hidden="1"/>
    <cellStyle name="Followed Hyperlink" xfId="2512" builtinId="9" hidden="1"/>
    <cellStyle name="Followed Hyperlink" xfId="2514" builtinId="9" hidden="1"/>
    <cellStyle name="Followed Hyperlink" xfId="2516" builtinId="9" hidden="1"/>
    <cellStyle name="Followed Hyperlink" xfId="2518" builtinId="9" hidden="1"/>
    <cellStyle name="Followed Hyperlink" xfId="2520" builtinId="9" hidden="1"/>
    <cellStyle name="Followed Hyperlink" xfId="2522" builtinId="9" hidden="1"/>
    <cellStyle name="Followed Hyperlink" xfId="2524" builtinId="9" hidden="1"/>
    <cellStyle name="Followed Hyperlink" xfId="2526" builtinId="9" hidden="1"/>
    <cellStyle name="Followed Hyperlink" xfId="2528" builtinId="9" hidden="1"/>
    <cellStyle name="Followed Hyperlink" xfId="2530" builtinId="9" hidden="1"/>
    <cellStyle name="Followed Hyperlink" xfId="2532" builtinId="9" hidden="1"/>
    <cellStyle name="Followed Hyperlink" xfId="2534" builtinId="9" hidden="1"/>
    <cellStyle name="Followed Hyperlink" xfId="2536" builtinId="9" hidden="1"/>
    <cellStyle name="Followed Hyperlink" xfId="2538" builtinId="9" hidden="1"/>
    <cellStyle name="Followed Hyperlink" xfId="2540" builtinId="9" hidden="1"/>
    <cellStyle name="Followed Hyperlink" xfId="2542" builtinId="9" hidden="1"/>
    <cellStyle name="Followed Hyperlink" xfId="2544" builtinId="9" hidden="1"/>
    <cellStyle name="Followed Hyperlink" xfId="2546" builtinId="9" hidden="1"/>
    <cellStyle name="Followed Hyperlink" xfId="2548" builtinId="9" hidden="1"/>
    <cellStyle name="Followed Hyperlink" xfId="2550" builtinId="9" hidden="1"/>
    <cellStyle name="Followed Hyperlink" xfId="2552" builtinId="9" hidden="1"/>
    <cellStyle name="Followed Hyperlink" xfId="2554" builtinId="9" hidden="1"/>
    <cellStyle name="Followed Hyperlink" xfId="2556" builtinId="9" hidden="1"/>
    <cellStyle name="Followed Hyperlink" xfId="2558" builtinId="9" hidden="1"/>
    <cellStyle name="Followed Hyperlink" xfId="2560" builtinId="9" hidden="1"/>
    <cellStyle name="Followed Hyperlink" xfId="2562" builtinId="9" hidden="1"/>
    <cellStyle name="Followed Hyperlink" xfId="2564" builtinId="9" hidden="1"/>
    <cellStyle name="Followed Hyperlink" xfId="2566" builtinId="9" hidden="1"/>
    <cellStyle name="Followed Hyperlink" xfId="2568" builtinId="9" hidden="1"/>
    <cellStyle name="Followed Hyperlink" xfId="2570" builtinId="9" hidden="1"/>
    <cellStyle name="Followed Hyperlink" xfId="2572" builtinId="9" hidden="1"/>
    <cellStyle name="Followed Hyperlink" xfId="2574" builtinId="9" hidden="1"/>
    <cellStyle name="Followed Hyperlink" xfId="2576" builtinId="9" hidden="1"/>
    <cellStyle name="Followed Hyperlink" xfId="2578" builtinId="9" hidden="1"/>
    <cellStyle name="Followed Hyperlink" xfId="2580" builtinId="9" hidden="1"/>
    <cellStyle name="Followed Hyperlink" xfId="2582" builtinId="9" hidden="1"/>
    <cellStyle name="Followed Hyperlink" xfId="2584" builtinId="9" hidden="1"/>
    <cellStyle name="Followed Hyperlink" xfId="2586" builtinId="9" hidden="1"/>
    <cellStyle name="Followed Hyperlink" xfId="2588" builtinId="9" hidden="1"/>
    <cellStyle name="Followed Hyperlink" xfId="2590" builtinId="9" hidden="1"/>
    <cellStyle name="Followed Hyperlink" xfId="2592" builtinId="9" hidden="1"/>
    <cellStyle name="Followed Hyperlink" xfId="2594" builtinId="9" hidden="1"/>
    <cellStyle name="Followed Hyperlink" xfId="2596" builtinId="9" hidden="1"/>
    <cellStyle name="Followed Hyperlink" xfId="2598" builtinId="9" hidden="1"/>
    <cellStyle name="Followed Hyperlink" xfId="2600" builtinId="9" hidden="1"/>
    <cellStyle name="Followed Hyperlink" xfId="2602" builtinId="9" hidden="1"/>
    <cellStyle name="Followed Hyperlink" xfId="2604" builtinId="9" hidden="1"/>
    <cellStyle name="Followed Hyperlink" xfId="2606" builtinId="9" hidden="1"/>
    <cellStyle name="Followed Hyperlink" xfId="2608" builtinId="9" hidden="1"/>
    <cellStyle name="Followed Hyperlink" xfId="2610" builtinId="9" hidden="1"/>
    <cellStyle name="Followed Hyperlink" xfId="2612" builtinId="9" hidden="1"/>
    <cellStyle name="Followed Hyperlink" xfId="2614" builtinId="9" hidden="1"/>
    <cellStyle name="Followed Hyperlink" xfId="2616" builtinId="9" hidden="1"/>
    <cellStyle name="Followed Hyperlink" xfId="2618" builtinId="9" hidden="1"/>
    <cellStyle name="Followed Hyperlink" xfId="2620" builtinId="9" hidden="1"/>
    <cellStyle name="Followed Hyperlink" xfId="2622" builtinId="9" hidden="1"/>
    <cellStyle name="Followed Hyperlink" xfId="2624" builtinId="9" hidden="1"/>
    <cellStyle name="Followed Hyperlink" xfId="2626" builtinId="9" hidden="1"/>
    <cellStyle name="Followed Hyperlink" xfId="2628" builtinId="9" hidden="1"/>
    <cellStyle name="Followed Hyperlink" xfId="2630" builtinId="9" hidden="1"/>
    <cellStyle name="Followed Hyperlink" xfId="2632" builtinId="9" hidden="1"/>
    <cellStyle name="Followed Hyperlink" xfId="2634" builtinId="9" hidden="1"/>
    <cellStyle name="Followed Hyperlink" xfId="2636" builtinId="9" hidden="1"/>
    <cellStyle name="Followed Hyperlink" xfId="2638" builtinId="9" hidden="1"/>
    <cellStyle name="Followed Hyperlink" xfId="2640" builtinId="9" hidden="1"/>
    <cellStyle name="Followed Hyperlink" xfId="2642" builtinId="9" hidden="1"/>
    <cellStyle name="Followed Hyperlink" xfId="2644" builtinId="9" hidden="1"/>
    <cellStyle name="Followed Hyperlink" xfId="2646" builtinId="9" hidden="1"/>
    <cellStyle name="Followed Hyperlink" xfId="2648" builtinId="9" hidden="1"/>
    <cellStyle name="Followed Hyperlink" xfId="2650" builtinId="9" hidden="1"/>
    <cellStyle name="Followed Hyperlink" xfId="2652" builtinId="9" hidden="1"/>
    <cellStyle name="Followed Hyperlink" xfId="2654" builtinId="9" hidden="1"/>
    <cellStyle name="Followed Hyperlink" xfId="2656" builtinId="9" hidden="1"/>
    <cellStyle name="Followed Hyperlink" xfId="2658" builtinId="9" hidden="1"/>
    <cellStyle name="Followed Hyperlink" xfId="2660" builtinId="9" hidden="1"/>
    <cellStyle name="Followed Hyperlink" xfId="2662" builtinId="9" hidden="1"/>
    <cellStyle name="Followed Hyperlink" xfId="2664" builtinId="9" hidden="1"/>
    <cellStyle name="Followed Hyperlink" xfId="2666" builtinId="9" hidden="1"/>
    <cellStyle name="Followed Hyperlink" xfId="2668" builtinId="9" hidden="1"/>
    <cellStyle name="Followed Hyperlink" xfId="2670" builtinId="9" hidden="1"/>
    <cellStyle name="Followed Hyperlink" xfId="2672" builtinId="9" hidden="1"/>
    <cellStyle name="Followed Hyperlink" xfId="2674" builtinId="9" hidden="1"/>
    <cellStyle name="Followed Hyperlink" xfId="2676" builtinId="9" hidden="1"/>
    <cellStyle name="Followed Hyperlink" xfId="2678" builtinId="9" hidden="1"/>
    <cellStyle name="Followed Hyperlink" xfId="2680" builtinId="9" hidden="1"/>
    <cellStyle name="Followed Hyperlink" xfId="2682" builtinId="9" hidden="1"/>
    <cellStyle name="Followed Hyperlink" xfId="2684" builtinId="9" hidden="1"/>
    <cellStyle name="Followed Hyperlink" xfId="2686" builtinId="9" hidden="1"/>
    <cellStyle name="Followed Hyperlink" xfId="2688" builtinId="9" hidden="1"/>
    <cellStyle name="Followed Hyperlink" xfId="2690" builtinId="9" hidden="1"/>
    <cellStyle name="Followed Hyperlink" xfId="2692" builtinId="9" hidden="1"/>
    <cellStyle name="Followed Hyperlink" xfId="2694" builtinId="9" hidden="1"/>
    <cellStyle name="Followed Hyperlink" xfId="2696" builtinId="9" hidden="1"/>
    <cellStyle name="Followed Hyperlink" xfId="2698" builtinId="9" hidden="1"/>
    <cellStyle name="Followed Hyperlink" xfId="2700" builtinId="9" hidden="1"/>
    <cellStyle name="Followed Hyperlink" xfId="2702" builtinId="9" hidden="1"/>
    <cellStyle name="Followed Hyperlink" xfId="2704" builtinId="9" hidden="1"/>
    <cellStyle name="Followed Hyperlink" xfId="2706" builtinId="9" hidden="1"/>
    <cellStyle name="Followed Hyperlink" xfId="2708" builtinId="9" hidden="1"/>
    <cellStyle name="Followed Hyperlink" xfId="2710" builtinId="9" hidden="1"/>
    <cellStyle name="Followed Hyperlink" xfId="2712" builtinId="9" hidden="1"/>
    <cellStyle name="Followed Hyperlink" xfId="2714" builtinId="9" hidden="1"/>
    <cellStyle name="Followed Hyperlink" xfId="2716" builtinId="9" hidden="1"/>
    <cellStyle name="Followed Hyperlink" xfId="2718" builtinId="9" hidden="1"/>
    <cellStyle name="Followed Hyperlink" xfId="2720" builtinId="9" hidden="1"/>
    <cellStyle name="Followed Hyperlink" xfId="2722" builtinId="9" hidden="1"/>
    <cellStyle name="Followed Hyperlink" xfId="2724" builtinId="9" hidden="1"/>
    <cellStyle name="Followed Hyperlink" xfId="2726" builtinId="9" hidden="1"/>
    <cellStyle name="Followed Hyperlink" xfId="2728" builtinId="9" hidden="1"/>
    <cellStyle name="Followed Hyperlink" xfId="2730" builtinId="9" hidden="1"/>
    <cellStyle name="Followed Hyperlink" xfId="2732" builtinId="9" hidden="1"/>
    <cellStyle name="Followed Hyperlink" xfId="2734" builtinId="9" hidden="1"/>
    <cellStyle name="Followed Hyperlink" xfId="2736" builtinId="9" hidden="1"/>
    <cellStyle name="Followed Hyperlink" xfId="2738" builtinId="9" hidden="1"/>
    <cellStyle name="Followed Hyperlink" xfId="2740" builtinId="9" hidden="1"/>
    <cellStyle name="Followed Hyperlink" xfId="2742" builtinId="9" hidden="1"/>
    <cellStyle name="Followed Hyperlink" xfId="2744" builtinId="9" hidden="1"/>
    <cellStyle name="Followed Hyperlink" xfId="2746" builtinId="9" hidden="1"/>
    <cellStyle name="Followed Hyperlink" xfId="2748" builtinId="9" hidden="1"/>
    <cellStyle name="Followed Hyperlink" xfId="2750" builtinId="9" hidden="1"/>
    <cellStyle name="Followed Hyperlink" xfId="2752" builtinId="9" hidden="1"/>
    <cellStyle name="Followed Hyperlink" xfId="2754" builtinId="9" hidden="1"/>
    <cellStyle name="Followed Hyperlink" xfId="2756" builtinId="9" hidden="1"/>
    <cellStyle name="Followed Hyperlink" xfId="2758" builtinId="9" hidden="1"/>
    <cellStyle name="Followed Hyperlink" xfId="2760" builtinId="9" hidden="1"/>
    <cellStyle name="Followed Hyperlink" xfId="2762" builtinId="9" hidden="1"/>
    <cellStyle name="Followed Hyperlink" xfId="2764" builtinId="9" hidden="1"/>
    <cellStyle name="Followed Hyperlink" xfId="2766" builtinId="9" hidden="1"/>
    <cellStyle name="Followed Hyperlink" xfId="2768" builtinId="9" hidden="1"/>
    <cellStyle name="Followed Hyperlink" xfId="2770" builtinId="9" hidden="1"/>
    <cellStyle name="Followed Hyperlink" xfId="2772" builtinId="9" hidden="1"/>
    <cellStyle name="Followed Hyperlink" xfId="2774" builtinId="9" hidden="1"/>
    <cellStyle name="Followed Hyperlink" xfId="2776" builtinId="9" hidden="1"/>
    <cellStyle name="Followed Hyperlink" xfId="2778" builtinId="9" hidden="1"/>
    <cellStyle name="Followed Hyperlink" xfId="2780" builtinId="9" hidden="1"/>
    <cellStyle name="Followed Hyperlink" xfId="2782" builtinId="9" hidden="1"/>
    <cellStyle name="Followed Hyperlink" xfId="2784" builtinId="9" hidden="1"/>
    <cellStyle name="Followed Hyperlink" xfId="2786" builtinId="9" hidden="1"/>
    <cellStyle name="Followed Hyperlink" xfId="2788" builtinId="9" hidden="1"/>
    <cellStyle name="Followed Hyperlink" xfId="2790" builtinId="9" hidden="1"/>
    <cellStyle name="Followed Hyperlink" xfId="2792" builtinId="9" hidden="1"/>
    <cellStyle name="Followed Hyperlink" xfId="2794" builtinId="9" hidden="1"/>
    <cellStyle name="Followed Hyperlink" xfId="2796" builtinId="9" hidden="1"/>
    <cellStyle name="Followed Hyperlink" xfId="2798" builtinId="9" hidden="1"/>
    <cellStyle name="Followed Hyperlink" xfId="2800" builtinId="9" hidden="1"/>
    <cellStyle name="Followed Hyperlink" xfId="2802" builtinId="9" hidden="1"/>
    <cellStyle name="Followed Hyperlink" xfId="2804" builtinId="9" hidden="1"/>
    <cellStyle name="Followed Hyperlink" xfId="2806" builtinId="9" hidden="1"/>
    <cellStyle name="Followed Hyperlink" xfId="2808" builtinId="9" hidden="1"/>
    <cellStyle name="Followed Hyperlink" xfId="2810" builtinId="9" hidden="1"/>
    <cellStyle name="Followed Hyperlink" xfId="2812" builtinId="9" hidden="1"/>
    <cellStyle name="Followed Hyperlink" xfId="2814" builtinId="9" hidden="1"/>
    <cellStyle name="Followed Hyperlink" xfId="2816" builtinId="9" hidden="1"/>
    <cellStyle name="Followed Hyperlink" xfId="2818" builtinId="9" hidden="1"/>
    <cellStyle name="Followed Hyperlink" xfId="2820" builtinId="9" hidden="1"/>
    <cellStyle name="Followed Hyperlink" xfId="2822" builtinId="9" hidden="1"/>
    <cellStyle name="Followed Hyperlink" xfId="2824" builtinId="9" hidden="1"/>
    <cellStyle name="Followed Hyperlink" xfId="2826" builtinId="9" hidden="1"/>
    <cellStyle name="Followed Hyperlink" xfId="2828" builtinId="9" hidden="1"/>
    <cellStyle name="Followed Hyperlink" xfId="2830" builtinId="9" hidden="1"/>
    <cellStyle name="Followed Hyperlink" xfId="2832" builtinId="9" hidden="1"/>
    <cellStyle name="Followed Hyperlink" xfId="2834" builtinId="9" hidden="1"/>
    <cellStyle name="Followed Hyperlink" xfId="2836" builtinId="9" hidden="1"/>
    <cellStyle name="Followed Hyperlink" xfId="2838" builtinId="9" hidden="1"/>
    <cellStyle name="Followed Hyperlink" xfId="2840" builtinId="9" hidden="1"/>
    <cellStyle name="Followed Hyperlink" xfId="2842" builtinId="9" hidden="1"/>
    <cellStyle name="Followed Hyperlink" xfId="2844" builtinId="9" hidden="1"/>
    <cellStyle name="Followed Hyperlink" xfId="2846" builtinId="9" hidden="1"/>
    <cellStyle name="Followed Hyperlink" xfId="2848" builtinId="9" hidden="1"/>
    <cellStyle name="Followed Hyperlink" xfId="2850" builtinId="9" hidden="1"/>
    <cellStyle name="Followed Hyperlink" xfId="2852" builtinId="9" hidden="1"/>
    <cellStyle name="Followed Hyperlink" xfId="2854" builtinId="9" hidden="1"/>
    <cellStyle name="Followed Hyperlink" xfId="2856" builtinId="9" hidden="1"/>
    <cellStyle name="Followed Hyperlink" xfId="2858" builtinId="9" hidden="1"/>
    <cellStyle name="Followed Hyperlink" xfId="2860" builtinId="9" hidden="1"/>
    <cellStyle name="Followed Hyperlink" xfId="2862" builtinId="9" hidden="1"/>
    <cellStyle name="Followed Hyperlink" xfId="2864" builtinId="9" hidden="1"/>
    <cellStyle name="Followed Hyperlink" xfId="2866" builtinId="9" hidden="1"/>
    <cellStyle name="Followed Hyperlink" xfId="2868" builtinId="9" hidden="1"/>
    <cellStyle name="Followed Hyperlink" xfId="2870" builtinId="9" hidden="1"/>
    <cellStyle name="Followed Hyperlink" xfId="2872" builtinId="9" hidden="1"/>
    <cellStyle name="Followed Hyperlink" xfId="2874" builtinId="9" hidden="1"/>
    <cellStyle name="Followed Hyperlink" xfId="2876" builtinId="9" hidden="1"/>
    <cellStyle name="Followed Hyperlink" xfId="2878" builtinId="9" hidden="1"/>
    <cellStyle name="Followed Hyperlink" xfId="2880" builtinId="9" hidden="1"/>
    <cellStyle name="Followed Hyperlink" xfId="2882" builtinId="9" hidden="1"/>
    <cellStyle name="Followed Hyperlink" xfId="2884" builtinId="9" hidden="1"/>
    <cellStyle name="Followed Hyperlink" xfId="2886" builtinId="9" hidden="1"/>
    <cellStyle name="Followed Hyperlink" xfId="2888" builtinId="9" hidden="1"/>
    <cellStyle name="Followed Hyperlink" xfId="2890" builtinId="9" hidden="1"/>
    <cellStyle name="Followed Hyperlink" xfId="2892" builtinId="9" hidden="1"/>
    <cellStyle name="Followed Hyperlink" xfId="2894" builtinId="9" hidden="1"/>
    <cellStyle name="Followed Hyperlink" xfId="2896" builtinId="9" hidden="1"/>
    <cellStyle name="Followed Hyperlink" xfId="2898" builtinId="9" hidden="1"/>
    <cellStyle name="Followed Hyperlink" xfId="2900" builtinId="9" hidden="1"/>
    <cellStyle name="Followed Hyperlink" xfId="2902" builtinId="9" hidden="1"/>
    <cellStyle name="Followed Hyperlink" xfId="2904" builtinId="9" hidden="1"/>
    <cellStyle name="Followed Hyperlink" xfId="2906" builtinId="9" hidden="1"/>
    <cellStyle name="Followed Hyperlink" xfId="2908" builtinId="9" hidden="1"/>
    <cellStyle name="Followed Hyperlink" xfId="2910" builtinId="9" hidden="1"/>
    <cellStyle name="Followed Hyperlink" xfId="2912" builtinId="9" hidden="1"/>
    <cellStyle name="Followed Hyperlink" xfId="2914" builtinId="9" hidden="1"/>
    <cellStyle name="Followed Hyperlink" xfId="2916" builtinId="9" hidden="1"/>
    <cellStyle name="Followed Hyperlink" xfId="2918" builtinId="9" hidden="1"/>
    <cellStyle name="Followed Hyperlink" xfId="2920" builtinId="9" hidden="1"/>
    <cellStyle name="Followed Hyperlink" xfId="2922" builtinId="9" hidden="1"/>
    <cellStyle name="Followed Hyperlink" xfId="2924" builtinId="9" hidden="1"/>
    <cellStyle name="Followed Hyperlink" xfId="2926" builtinId="9" hidden="1"/>
    <cellStyle name="Followed Hyperlink" xfId="2928" builtinId="9" hidden="1"/>
    <cellStyle name="Followed Hyperlink" xfId="2930" builtinId="9" hidden="1"/>
    <cellStyle name="Followed Hyperlink" xfId="2932" builtinId="9" hidden="1"/>
    <cellStyle name="Followed Hyperlink" xfId="2934" builtinId="9" hidden="1"/>
    <cellStyle name="Followed Hyperlink" xfId="2936" builtinId="9" hidden="1"/>
    <cellStyle name="Followed Hyperlink" xfId="2938" builtinId="9" hidden="1"/>
    <cellStyle name="Followed Hyperlink" xfId="2940" builtinId="9" hidden="1"/>
    <cellStyle name="Followed Hyperlink" xfId="2942" builtinId="9" hidden="1"/>
    <cellStyle name="Followed Hyperlink" xfId="2944" builtinId="9" hidden="1"/>
    <cellStyle name="Followed Hyperlink" xfId="2946" builtinId="9" hidden="1"/>
    <cellStyle name="Followed Hyperlink" xfId="2948" builtinId="9" hidden="1"/>
    <cellStyle name="Followed Hyperlink" xfId="2950" builtinId="9" hidden="1"/>
    <cellStyle name="Followed Hyperlink" xfId="2952" builtinId="9" hidden="1"/>
    <cellStyle name="Followed Hyperlink" xfId="2954" builtinId="9" hidden="1"/>
    <cellStyle name="Followed Hyperlink" xfId="2956" builtinId="9" hidden="1"/>
    <cellStyle name="Followed Hyperlink" xfId="2958" builtinId="9" hidden="1"/>
    <cellStyle name="Followed Hyperlink" xfId="2960" builtinId="9" hidden="1"/>
    <cellStyle name="Followed Hyperlink" xfId="2962" builtinId="9" hidden="1"/>
    <cellStyle name="Followed Hyperlink" xfId="2964" builtinId="9" hidden="1"/>
    <cellStyle name="Followed Hyperlink" xfId="2966" builtinId="9" hidden="1"/>
    <cellStyle name="Followed Hyperlink" xfId="2968" builtinId="9" hidden="1"/>
    <cellStyle name="Followed Hyperlink" xfId="2970" builtinId="9" hidden="1"/>
    <cellStyle name="Followed Hyperlink" xfId="2972" builtinId="9" hidden="1"/>
    <cellStyle name="Followed Hyperlink" xfId="2974" builtinId="9" hidden="1"/>
    <cellStyle name="Followed Hyperlink" xfId="2976" builtinId="9" hidden="1"/>
    <cellStyle name="Followed Hyperlink" xfId="2978" builtinId="9" hidden="1"/>
    <cellStyle name="Followed Hyperlink" xfId="2980" builtinId="9" hidden="1"/>
    <cellStyle name="Followed Hyperlink" xfId="2982" builtinId="9" hidden="1"/>
    <cellStyle name="Followed Hyperlink" xfId="2984" builtinId="9" hidden="1"/>
    <cellStyle name="Followed Hyperlink" xfId="2986" builtinId="9" hidden="1"/>
    <cellStyle name="Followed Hyperlink" xfId="2988" builtinId="9" hidden="1"/>
    <cellStyle name="Followed Hyperlink" xfId="2990" builtinId="9" hidden="1"/>
    <cellStyle name="Followed Hyperlink" xfId="2992" builtinId="9" hidden="1"/>
    <cellStyle name="Followed Hyperlink" xfId="2994" builtinId="9" hidden="1"/>
    <cellStyle name="Followed Hyperlink" xfId="2996" builtinId="9" hidden="1"/>
    <cellStyle name="Followed Hyperlink" xfId="2998" builtinId="9" hidden="1"/>
    <cellStyle name="Followed Hyperlink" xfId="3000" builtinId="9" hidden="1"/>
    <cellStyle name="Followed Hyperlink" xfId="3002" builtinId="9" hidden="1"/>
    <cellStyle name="Followed Hyperlink" xfId="3004" builtinId="9" hidden="1"/>
    <cellStyle name="Followed Hyperlink" xfId="3006" builtinId="9" hidden="1"/>
    <cellStyle name="Followed Hyperlink" xfId="3008" builtinId="9" hidden="1"/>
    <cellStyle name="Followed Hyperlink" xfId="3010" builtinId="9" hidden="1"/>
    <cellStyle name="Followed Hyperlink" xfId="3012" builtinId="9" hidden="1"/>
    <cellStyle name="Followed Hyperlink" xfId="3014" builtinId="9" hidden="1"/>
    <cellStyle name="Followed Hyperlink" xfId="3016" builtinId="9" hidden="1"/>
    <cellStyle name="Followed Hyperlink" xfId="3018" builtinId="9" hidden="1"/>
    <cellStyle name="Followed Hyperlink" xfId="3020" builtinId="9" hidden="1"/>
    <cellStyle name="Followed Hyperlink" xfId="3022" builtinId="9" hidden="1"/>
    <cellStyle name="Followed Hyperlink" xfId="3024" builtinId="9" hidden="1"/>
    <cellStyle name="Followed Hyperlink" xfId="3026" builtinId="9" hidden="1"/>
    <cellStyle name="Followed Hyperlink" xfId="3028" builtinId="9" hidden="1"/>
    <cellStyle name="Followed Hyperlink" xfId="3030" builtinId="9" hidden="1"/>
    <cellStyle name="Followed Hyperlink" xfId="3032" builtinId="9" hidden="1"/>
    <cellStyle name="Followed Hyperlink" xfId="3034" builtinId="9" hidden="1"/>
    <cellStyle name="Followed Hyperlink" xfId="3036" builtinId="9" hidden="1"/>
    <cellStyle name="Followed Hyperlink" xfId="3038" builtinId="9" hidden="1"/>
    <cellStyle name="Followed Hyperlink" xfId="3040" builtinId="9" hidden="1"/>
    <cellStyle name="Followed Hyperlink" xfId="3042" builtinId="9" hidden="1"/>
    <cellStyle name="Followed Hyperlink" xfId="3044" builtinId="9" hidden="1"/>
    <cellStyle name="Followed Hyperlink" xfId="3046" builtinId="9" hidden="1"/>
    <cellStyle name="Followed Hyperlink" xfId="3048" builtinId="9" hidden="1"/>
    <cellStyle name="Followed Hyperlink" xfId="3050" builtinId="9" hidden="1"/>
    <cellStyle name="Followed Hyperlink" xfId="3052" builtinId="9" hidden="1"/>
    <cellStyle name="Followed Hyperlink" xfId="3054" builtinId="9" hidden="1"/>
    <cellStyle name="Followed Hyperlink" xfId="3056" builtinId="9" hidden="1"/>
    <cellStyle name="Followed Hyperlink" xfId="3058" builtinId="9" hidden="1"/>
    <cellStyle name="Followed Hyperlink" xfId="3060" builtinId="9" hidden="1"/>
    <cellStyle name="Followed Hyperlink" xfId="3062" builtinId="9" hidden="1"/>
    <cellStyle name="Followed Hyperlink" xfId="3064" builtinId="9" hidden="1"/>
    <cellStyle name="Followed Hyperlink" xfId="3066" builtinId="9" hidden="1"/>
    <cellStyle name="Followed Hyperlink" xfId="3068" builtinId="9" hidden="1"/>
    <cellStyle name="Followed Hyperlink" xfId="3070" builtinId="9" hidden="1"/>
    <cellStyle name="Followed Hyperlink" xfId="3072" builtinId="9" hidden="1"/>
    <cellStyle name="Followed Hyperlink" xfId="3074" builtinId="9" hidden="1"/>
    <cellStyle name="Followed Hyperlink" xfId="3076" builtinId="9" hidden="1"/>
    <cellStyle name="Followed Hyperlink" xfId="3078" builtinId="9" hidden="1"/>
    <cellStyle name="Followed Hyperlink" xfId="3080" builtinId="9" hidden="1"/>
    <cellStyle name="Followed Hyperlink" xfId="3082" builtinId="9" hidden="1"/>
    <cellStyle name="Followed Hyperlink" xfId="3084" builtinId="9" hidden="1"/>
    <cellStyle name="Followed Hyperlink" xfId="3086" builtinId="9" hidden="1"/>
    <cellStyle name="Followed Hyperlink" xfId="3088" builtinId="9" hidden="1"/>
    <cellStyle name="Followed Hyperlink" xfId="3090" builtinId="9" hidden="1"/>
    <cellStyle name="Followed Hyperlink" xfId="3092" builtinId="9" hidden="1"/>
    <cellStyle name="Followed Hyperlink" xfId="3094" builtinId="9" hidden="1"/>
    <cellStyle name="Followed Hyperlink" xfId="3096" builtinId="9" hidden="1"/>
    <cellStyle name="Followed Hyperlink" xfId="3098" builtinId="9" hidden="1"/>
    <cellStyle name="Followed Hyperlink" xfId="3100" builtinId="9" hidden="1"/>
    <cellStyle name="Followed Hyperlink" xfId="3102" builtinId="9" hidden="1"/>
    <cellStyle name="Followed Hyperlink" xfId="3104" builtinId="9" hidden="1"/>
    <cellStyle name="Followed Hyperlink" xfId="3106" builtinId="9" hidden="1"/>
    <cellStyle name="Followed Hyperlink" xfId="3108" builtinId="9" hidden="1"/>
    <cellStyle name="Followed Hyperlink" xfId="3110" builtinId="9" hidden="1"/>
    <cellStyle name="Followed Hyperlink" xfId="3112" builtinId="9" hidden="1"/>
    <cellStyle name="Followed Hyperlink" xfId="3114" builtinId="9" hidden="1"/>
    <cellStyle name="Followed Hyperlink" xfId="3116" builtinId="9" hidden="1"/>
    <cellStyle name="Followed Hyperlink" xfId="3118" builtinId="9" hidden="1"/>
    <cellStyle name="Followed Hyperlink" xfId="3120" builtinId="9" hidden="1"/>
    <cellStyle name="Followed Hyperlink" xfId="3122" builtinId="9" hidden="1"/>
    <cellStyle name="Followed Hyperlink" xfId="3124" builtinId="9" hidden="1"/>
    <cellStyle name="Followed Hyperlink" xfId="3126" builtinId="9" hidden="1"/>
    <cellStyle name="Followed Hyperlink" xfId="3128" builtinId="9" hidden="1"/>
    <cellStyle name="Followed Hyperlink" xfId="3130" builtinId="9" hidden="1"/>
    <cellStyle name="Followed Hyperlink" xfId="3132" builtinId="9" hidden="1"/>
    <cellStyle name="Followed Hyperlink" xfId="3134" builtinId="9" hidden="1"/>
    <cellStyle name="Followed Hyperlink" xfId="3136" builtinId="9" hidden="1"/>
    <cellStyle name="Followed Hyperlink" xfId="3138" builtinId="9" hidden="1"/>
    <cellStyle name="Followed Hyperlink" xfId="3140" builtinId="9" hidden="1"/>
    <cellStyle name="Followed Hyperlink" xfId="3142" builtinId="9" hidden="1"/>
    <cellStyle name="Followed Hyperlink" xfId="3144" builtinId="9" hidden="1"/>
    <cellStyle name="Followed Hyperlink" xfId="3146" builtinId="9" hidden="1"/>
    <cellStyle name="Followed Hyperlink" xfId="3148" builtinId="9" hidden="1"/>
    <cellStyle name="Followed Hyperlink" xfId="3150" builtinId="9" hidden="1"/>
    <cellStyle name="Followed Hyperlink" xfId="3152" builtinId="9" hidden="1"/>
    <cellStyle name="Followed Hyperlink" xfId="3154" builtinId="9" hidden="1"/>
    <cellStyle name="Followed Hyperlink" xfId="3156" builtinId="9" hidden="1"/>
    <cellStyle name="Followed Hyperlink" xfId="3158" builtinId="9" hidden="1"/>
    <cellStyle name="Followed Hyperlink" xfId="3160" builtinId="9" hidden="1"/>
    <cellStyle name="Followed Hyperlink" xfId="3162" builtinId="9" hidden="1"/>
    <cellStyle name="Followed Hyperlink" xfId="3164" builtinId="9" hidden="1"/>
    <cellStyle name="Followed Hyperlink" xfId="3166" builtinId="9" hidden="1"/>
    <cellStyle name="Followed Hyperlink" xfId="3168" builtinId="9" hidden="1"/>
    <cellStyle name="Followed Hyperlink" xfId="3170" builtinId="9" hidden="1"/>
    <cellStyle name="Followed Hyperlink" xfId="3172" builtinId="9" hidden="1"/>
    <cellStyle name="Followed Hyperlink" xfId="3174" builtinId="9" hidden="1"/>
    <cellStyle name="Followed Hyperlink" xfId="3176" builtinId="9" hidden="1"/>
    <cellStyle name="Followed Hyperlink" xfId="3178" builtinId="9" hidden="1"/>
    <cellStyle name="Followed Hyperlink" xfId="3180" builtinId="9" hidden="1"/>
    <cellStyle name="Followed Hyperlink" xfId="3182" builtinId="9" hidden="1"/>
    <cellStyle name="Followed Hyperlink" xfId="3184" builtinId="9" hidden="1"/>
    <cellStyle name="Followed Hyperlink" xfId="3186" builtinId="9" hidden="1"/>
    <cellStyle name="Followed Hyperlink" xfId="3188" builtinId="9" hidden="1"/>
    <cellStyle name="Followed Hyperlink" xfId="3190" builtinId="9" hidden="1"/>
    <cellStyle name="Followed Hyperlink" xfId="3192" builtinId="9" hidden="1"/>
    <cellStyle name="Followed Hyperlink" xfId="3194" builtinId="9" hidden="1"/>
    <cellStyle name="Followed Hyperlink" xfId="3196" builtinId="9" hidden="1"/>
    <cellStyle name="Followed Hyperlink" xfId="3198" builtinId="9" hidden="1"/>
    <cellStyle name="Followed Hyperlink" xfId="3200" builtinId="9" hidden="1"/>
    <cellStyle name="Followed Hyperlink" xfId="3202" builtinId="9" hidden="1"/>
    <cellStyle name="Followed Hyperlink" xfId="3204" builtinId="9" hidden="1"/>
    <cellStyle name="Followed Hyperlink" xfId="3206" builtinId="9" hidden="1"/>
    <cellStyle name="Followed Hyperlink" xfId="3208" builtinId="9" hidden="1"/>
    <cellStyle name="Followed Hyperlink" xfId="3210" builtinId="9" hidden="1"/>
    <cellStyle name="Followed Hyperlink" xfId="3212" builtinId="9" hidden="1"/>
    <cellStyle name="Followed Hyperlink" xfId="3214" builtinId="9" hidden="1"/>
    <cellStyle name="Followed Hyperlink" xfId="3216" builtinId="9" hidden="1"/>
    <cellStyle name="Followed Hyperlink" xfId="3218" builtinId="9" hidden="1"/>
    <cellStyle name="Followed Hyperlink" xfId="3220" builtinId="9" hidden="1"/>
    <cellStyle name="Followed Hyperlink" xfId="3222" builtinId="9" hidden="1"/>
    <cellStyle name="Followed Hyperlink" xfId="3224" builtinId="9" hidden="1"/>
    <cellStyle name="Followed Hyperlink" xfId="3226" builtinId="9" hidden="1"/>
    <cellStyle name="Followed Hyperlink" xfId="3228" builtinId="9" hidden="1"/>
    <cellStyle name="Followed Hyperlink" xfId="3230" builtinId="9" hidden="1"/>
    <cellStyle name="Followed Hyperlink" xfId="3232" builtinId="9" hidden="1"/>
    <cellStyle name="Followed Hyperlink" xfId="3234" builtinId="9" hidden="1"/>
    <cellStyle name="Followed Hyperlink" xfId="3236" builtinId="9" hidden="1"/>
    <cellStyle name="Followed Hyperlink" xfId="3238" builtinId="9" hidden="1"/>
    <cellStyle name="Followed Hyperlink" xfId="3240" builtinId="9" hidden="1"/>
    <cellStyle name="Followed Hyperlink" xfId="3242" builtinId="9" hidden="1"/>
    <cellStyle name="Followed Hyperlink" xfId="3244" builtinId="9" hidden="1"/>
    <cellStyle name="Followed Hyperlink" xfId="3246" builtinId="9" hidden="1"/>
    <cellStyle name="Followed Hyperlink" xfId="3248" builtinId="9" hidden="1"/>
    <cellStyle name="Followed Hyperlink" xfId="3250" builtinId="9" hidden="1"/>
    <cellStyle name="Followed Hyperlink" xfId="3252" builtinId="9" hidden="1"/>
    <cellStyle name="Followed Hyperlink" xfId="3254" builtinId="9" hidden="1"/>
    <cellStyle name="Followed Hyperlink" xfId="3256" builtinId="9" hidden="1"/>
    <cellStyle name="Followed Hyperlink" xfId="3258" builtinId="9" hidden="1"/>
    <cellStyle name="Followed Hyperlink" xfId="3260" builtinId="9" hidden="1"/>
    <cellStyle name="Followed Hyperlink" xfId="3262" builtinId="9" hidden="1"/>
    <cellStyle name="Followed Hyperlink" xfId="3264" builtinId="9" hidden="1"/>
    <cellStyle name="Followed Hyperlink" xfId="3266" builtinId="9" hidden="1"/>
    <cellStyle name="Followed Hyperlink" xfId="3268" builtinId="9" hidden="1"/>
    <cellStyle name="Followed Hyperlink" xfId="3270" builtinId="9" hidden="1"/>
    <cellStyle name="Followed Hyperlink" xfId="3272" builtinId="9" hidden="1"/>
    <cellStyle name="Followed Hyperlink" xfId="3274" builtinId="9" hidden="1"/>
    <cellStyle name="Followed Hyperlink" xfId="3276" builtinId="9" hidden="1"/>
    <cellStyle name="Followed Hyperlink" xfId="3278" builtinId="9" hidden="1"/>
    <cellStyle name="Followed Hyperlink" xfId="3280" builtinId="9" hidden="1"/>
    <cellStyle name="Followed Hyperlink" xfId="3282" builtinId="9" hidden="1"/>
    <cellStyle name="Followed Hyperlink" xfId="3284" builtinId="9" hidden="1"/>
    <cellStyle name="Followed Hyperlink" xfId="3286" builtinId="9" hidden="1"/>
    <cellStyle name="Followed Hyperlink" xfId="3288" builtinId="9" hidden="1"/>
    <cellStyle name="Followed Hyperlink" xfId="3290" builtinId="9" hidden="1"/>
    <cellStyle name="Followed Hyperlink" xfId="3292" builtinId="9" hidden="1"/>
    <cellStyle name="Followed Hyperlink" xfId="3294" builtinId="9" hidden="1"/>
    <cellStyle name="Followed Hyperlink" xfId="3296" builtinId="9" hidden="1"/>
    <cellStyle name="Followed Hyperlink" xfId="3298" builtinId="9" hidden="1"/>
    <cellStyle name="Followed Hyperlink" xfId="3300" builtinId="9" hidden="1"/>
    <cellStyle name="Followed Hyperlink" xfId="3302" builtinId="9" hidden="1"/>
    <cellStyle name="Followed Hyperlink" xfId="3304" builtinId="9" hidden="1"/>
    <cellStyle name="Followed Hyperlink" xfId="3306" builtinId="9" hidden="1"/>
    <cellStyle name="Followed Hyperlink" xfId="3308" builtinId="9" hidden="1"/>
    <cellStyle name="Followed Hyperlink" xfId="3310" builtinId="9" hidden="1"/>
    <cellStyle name="Followed Hyperlink" xfId="3312" builtinId="9" hidden="1"/>
    <cellStyle name="Followed Hyperlink" xfId="3314" builtinId="9" hidden="1"/>
    <cellStyle name="Followed Hyperlink" xfId="3316" builtinId="9" hidden="1"/>
    <cellStyle name="Followed Hyperlink" xfId="3318" builtinId="9" hidden="1"/>
    <cellStyle name="Followed Hyperlink" xfId="3320" builtinId="9" hidden="1"/>
    <cellStyle name="Followed Hyperlink" xfId="3322" builtinId="9" hidden="1"/>
    <cellStyle name="Followed Hyperlink" xfId="3324" builtinId="9" hidden="1"/>
    <cellStyle name="Followed Hyperlink" xfId="3326" builtinId="9" hidden="1"/>
    <cellStyle name="Followed Hyperlink" xfId="3328" builtinId="9" hidden="1"/>
    <cellStyle name="Followed Hyperlink" xfId="3330" builtinId="9" hidden="1"/>
    <cellStyle name="Followed Hyperlink" xfId="3332" builtinId="9" hidden="1"/>
    <cellStyle name="Followed Hyperlink" xfId="3334" builtinId="9" hidden="1"/>
    <cellStyle name="Followed Hyperlink" xfId="3336" builtinId="9" hidden="1"/>
    <cellStyle name="Followed Hyperlink" xfId="3338" builtinId="9" hidden="1"/>
    <cellStyle name="Followed Hyperlink" xfId="3340" builtinId="9" hidden="1"/>
    <cellStyle name="Followed Hyperlink" xfId="3342" builtinId="9" hidden="1"/>
    <cellStyle name="Followed Hyperlink" xfId="3344" builtinId="9" hidden="1"/>
    <cellStyle name="Followed Hyperlink" xfId="3346" builtinId="9" hidden="1"/>
    <cellStyle name="Followed Hyperlink" xfId="3348" builtinId="9" hidden="1"/>
    <cellStyle name="Followed Hyperlink" xfId="3350" builtinId="9" hidden="1"/>
    <cellStyle name="Followed Hyperlink" xfId="3352" builtinId="9" hidden="1"/>
    <cellStyle name="Followed Hyperlink" xfId="3354" builtinId="9" hidden="1"/>
    <cellStyle name="Followed Hyperlink" xfId="3356" builtinId="9" hidden="1"/>
    <cellStyle name="Followed Hyperlink" xfId="3358" builtinId="9" hidden="1"/>
    <cellStyle name="Followed Hyperlink" xfId="3360" builtinId="9" hidden="1"/>
    <cellStyle name="Followed Hyperlink" xfId="3362" builtinId="9" hidden="1"/>
    <cellStyle name="Followed Hyperlink" xfId="3364" builtinId="9" hidden="1"/>
    <cellStyle name="Followed Hyperlink" xfId="3366" builtinId="9" hidden="1"/>
    <cellStyle name="Followed Hyperlink" xfId="3368" builtinId="9" hidden="1"/>
    <cellStyle name="Followed Hyperlink" xfId="3370" builtinId="9" hidden="1"/>
    <cellStyle name="Followed Hyperlink" xfId="3372" builtinId="9" hidden="1"/>
    <cellStyle name="Followed Hyperlink" xfId="3374" builtinId="9" hidden="1"/>
    <cellStyle name="Followed Hyperlink" xfId="3376" builtinId="9" hidden="1"/>
    <cellStyle name="Followed Hyperlink" xfId="3378" builtinId="9" hidden="1"/>
    <cellStyle name="Followed Hyperlink" xfId="3380" builtinId="9" hidden="1"/>
    <cellStyle name="Followed Hyperlink" xfId="3382" builtinId="9" hidden="1"/>
    <cellStyle name="Followed Hyperlink" xfId="3384" builtinId="9" hidden="1"/>
    <cellStyle name="Followed Hyperlink" xfId="3386" builtinId="9" hidden="1"/>
    <cellStyle name="Followed Hyperlink" xfId="3388" builtinId="9" hidden="1"/>
    <cellStyle name="Followed Hyperlink" xfId="3390" builtinId="9" hidden="1"/>
    <cellStyle name="Followed Hyperlink" xfId="3392" builtinId="9" hidden="1"/>
    <cellStyle name="Followed Hyperlink" xfId="3394" builtinId="9" hidden="1"/>
    <cellStyle name="Followed Hyperlink" xfId="3396" builtinId="9" hidden="1"/>
    <cellStyle name="Followed Hyperlink" xfId="3398" builtinId="9" hidden="1"/>
    <cellStyle name="Followed Hyperlink" xfId="3400" builtinId="9" hidden="1"/>
    <cellStyle name="Followed Hyperlink" xfId="3402" builtinId="9" hidden="1"/>
    <cellStyle name="Followed Hyperlink" xfId="3404" builtinId="9" hidden="1"/>
    <cellStyle name="Followed Hyperlink" xfId="3406" builtinId="9" hidden="1"/>
    <cellStyle name="Followed Hyperlink" xfId="3408" builtinId="9" hidden="1"/>
    <cellStyle name="Followed Hyperlink" xfId="3410" builtinId="9" hidden="1"/>
    <cellStyle name="Followed Hyperlink" xfId="3412" builtinId="9" hidden="1"/>
    <cellStyle name="Followed Hyperlink" xfId="3414" builtinId="9" hidden="1"/>
    <cellStyle name="Followed Hyperlink" xfId="3416" builtinId="9" hidden="1"/>
    <cellStyle name="Followed Hyperlink" xfId="3418" builtinId="9" hidden="1"/>
    <cellStyle name="Followed Hyperlink" xfId="3420" builtinId="9" hidden="1"/>
    <cellStyle name="Followed Hyperlink" xfId="3422" builtinId="9" hidden="1"/>
    <cellStyle name="Followed Hyperlink" xfId="3424" builtinId="9" hidden="1"/>
    <cellStyle name="Followed Hyperlink" xfId="3426" builtinId="9" hidden="1"/>
    <cellStyle name="Followed Hyperlink" xfId="3428" builtinId="9" hidden="1"/>
    <cellStyle name="Followed Hyperlink" xfId="3430" builtinId="9" hidden="1"/>
    <cellStyle name="Followed Hyperlink" xfId="3432" builtinId="9" hidden="1"/>
    <cellStyle name="Followed Hyperlink" xfId="3434" builtinId="9" hidden="1"/>
    <cellStyle name="Followed Hyperlink" xfId="3436" builtinId="9" hidden="1"/>
    <cellStyle name="Followed Hyperlink" xfId="3438" builtinId="9" hidden="1"/>
    <cellStyle name="Followed Hyperlink" xfId="3440" builtinId="9" hidden="1"/>
    <cellStyle name="Followed Hyperlink" xfId="3442" builtinId="9" hidden="1"/>
    <cellStyle name="Followed Hyperlink" xfId="3444" builtinId="9" hidden="1"/>
    <cellStyle name="Followed Hyperlink" xfId="3446" builtinId="9" hidden="1"/>
    <cellStyle name="Followed Hyperlink" xfId="3448" builtinId="9" hidden="1"/>
    <cellStyle name="Followed Hyperlink" xfId="3450" builtinId="9" hidden="1"/>
    <cellStyle name="Followed Hyperlink" xfId="3452" builtinId="9" hidden="1"/>
    <cellStyle name="Followed Hyperlink" xfId="3454" builtinId="9" hidden="1"/>
    <cellStyle name="Followed Hyperlink" xfId="3456" builtinId="9" hidden="1"/>
    <cellStyle name="Followed Hyperlink" xfId="3458" builtinId="9" hidden="1"/>
    <cellStyle name="Followed Hyperlink" xfId="3460" builtinId="9" hidden="1"/>
    <cellStyle name="Followed Hyperlink" xfId="3462" builtinId="9" hidden="1"/>
    <cellStyle name="Followed Hyperlink" xfId="3464" builtinId="9" hidden="1"/>
    <cellStyle name="Followed Hyperlink" xfId="3466" builtinId="9" hidden="1"/>
    <cellStyle name="Followed Hyperlink" xfId="3468" builtinId="9" hidden="1"/>
    <cellStyle name="Followed Hyperlink" xfId="3470" builtinId="9" hidden="1"/>
    <cellStyle name="Followed Hyperlink" xfId="3472" builtinId="9" hidden="1"/>
    <cellStyle name="Followed Hyperlink" xfId="3474" builtinId="9" hidden="1"/>
    <cellStyle name="Followed Hyperlink" xfId="3476" builtinId="9" hidden="1"/>
    <cellStyle name="Followed Hyperlink" xfId="3478" builtinId="9" hidden="1"/>
    <cellStyle name="Followed Hyperlink" xfId="3480" builtinId="9" hidden="1"/>
    <cellStyle name="Followed Hyperlink" xfId="3482" builtinId="9" hidden="1"/>
    <cellStyle name="Followed Hyperlink" xfId="3484" builtinId="9" hidden="1"/>
    <cellStyle name="Followed Hyperlink" xfId="3486" builtinId="9" hidden="1"/>
    <cellStyle name="Followed Hyperlink" xfId="3488" builtinId="9" hidden="1"/>
    <cellStyle name="Followed Hyperlink" xfId="3490" builtinId="9" hidden="1"/>
    <cellStyle name="Followed Hyperlink" xfId="3492" builtinId="9" hidden="1"/>
    <cellStyle name="Followed Hyperlink" xfId="3494" builtinId="9" hidden="1"/>
    <cellStyle name="Followed Hyperlink" xfId="3496" builtinId="9" hidden="1"/>
    <cellStyle name="Followed Hyperlink" xfId="3498" builtinId="9" hidden="1"/>
    <cellStyle name="Followed Hyperlink" xfId="3500" builtinId="9" hidden="1"/>
    <cellStyle name="Followed Hyperlink" xfId="3502" builtinId="9" hidden="1"/>
    <cellStyle name="Followed Hyperlink" xfId="3504" builtinId="9" hidden="1"/>
    <cellStyle name="Followed Hyperlink" xfId="3506" builtinId="9" hidden="1"/>
    <cellStyle name="Followed Hyperlink" xfId="3508" builtinId="9" hidden="1"/>
    <cellStyle name="Followed Hyperlink" xfId="3510" builtinId="9" hidden="1"/>
    <cellStyle name="Followed Hyperlink" xfId="3512" builtinId="9" hidden="1"/>
    <cellStyle name="Followed Hyperlink" xfId="3514" builtinId="9" hidden="1"/>
    <cellStyle name="Followed Hyperlink" xfId="3516" builtinId="9" hidden="1"/>
    <cellStyle name="Followed Hyperlink" xfId="3518" builtinId="9" hidden="1"/>
    <cellStyle name="Followed Hyperlink" xfId="3520" builtinId="9" hidden="1"/>
    <cellStyle name="Followed Hyperlink" xfId="3522" builtinId="9" hidden="1"/>
    <cellStyle name="Followed Hyperlink" xfId="3524" builtinId="9" hidden="1"/>
    <cellStyle name="Followed Hyperlink" xfId="3526" builtinId="9" hidden="1"/>
    <cellStyle name="Followed Hyperlink" xfId="3528" builtinId="9" hidden="1"/>
    <cellStyle name="Followed Hyperlink" xfId="3530" builtinId="9" hidden="1"/>
    <cellStyle name="Followed Hyperlink" xfId="3532" builtinId="9" hidden="1"/>
    <cellStyle name="Followed Hyperlink" xfId="3534" builtinId="9" hidden="1"/>
    <cellStyle name="Followed Hyperlink" xfId="3536" builtinId="9" hidden="1"/>
    <cellStyle name="Followed Hyperlink" xfId="3538" builtinId="9" hidden="1"/>
    <cellStyle name="Followed Hyperlink" xfId="3540" builtinId="9" hidden="1"/>
    <cellStyle name="Followed Hyperlink" xfId="3542" builtinId="9" hidden="1"/>
    <cellStyle name="Followed Hyperlink" xfId="3544" builtinId="9" hidden="1"/>
    <cellStyle name="Followed Hyperlink" xfId="3546" builtinId="9" hidden="1"/>
    <cellStyle name="Followed Hyperlink" xfId="3548" builtinId="9" hidden="1"/>
    <cellStyle name="Followed Hyperlink" xfId="3550" builtinId="9" hidden="1"/>
    <cellStyle name="Followed Hyperlink" xfId="3552" builtinId="9" hidden="1"/>
    <cellStyle name="Followed Hyperlink" xfId="3554" builtinId="9" hidden="1"/>
    <cellStyle name="Followed Hyperlink" xfId="3556" builtinId="9" hidden="1"/>
    <cellStyle name="Followed Hyperlink" xfId="3558" builtinId="9" hidden="1"/>
    <cellStyle name="Followed Hyperlink" xfId="3560" builtinId="9" hidden="1"/>
    <cellStyle name="Followed Hyperlink" xfId="3562" builtinId="9" hidden="1"/>
    <cellStyle name="Followed Hyperlink" xfId="3564" builtinId="9" hidden="1"/>
    <cellStyle name="Followed Hyperlink" xfId="3566" builtinId="9" hidden="1"/>
    <cellStyle name="Followed Hyperlink" xfId="3568" builtinId="9" hidden="1"/>
    <cellStyle name="Followed Hyperlink" xfId="3570" builtinId="9" hidden="1"/>
    <cellStyle name="Followed Hyperlink" xfId="3572" builtinId="9" hidden="1"/>
    <cellStyle name="Followed Hyperlink" xfId="3574" builtinId="9" hidden="1"/>
    <cellStyle name="Followed Hyperlink" xfId="3576" builtinId="9" hidden="1"/>
    <cellStyle name="Followed Hyperlink" xfId="3578" builtinId="9" hidden="1"/>
    <cellStyle name="Followed Hyperlink" xfId="3580" builtinId="9" hidden="1"/>
    <cellStyle name="Followed Hyperlink" xfId="3582" builtinId="9" hidden="1"/>
    <cellStyle name="Followed Hyperlink" xfId="3584" builtinId="9" hidden="1"/>
    <cellStyle name="Followed Hyperlink" xfId="3586" builtinId="9" hidden="1"/>
    <cellStyle name="Followed Hyperlink" xfId="3588" builtinId="9" hidden="1"/>
    <cellStyle name="Followed Hyperlink" xfId="3590" builtinId="9" hidden="1"/>
    <cellStyle name="Followed Hyperlink" xfId="3592" builtinId="9" hidden="1"/>
    <cellStyle name="Followed Hyperlink" xfId="3594" builtinId="9" hidden="1"/>
    <cellStyle name="Followed Hyperlink" xfId="3596" builtinId="9" hidden="1"/>
    <cellStyle name="Followed Hyperlink" xfId="3598" builtinId="9" hidden="1"/>
    <cellStyle name="Followed Hyperlink" xfId="3600" builtinId="9" hidden="1"/>
    <cellStyle name="Followed Hyperlink" xfId="3602" builtinId="9" hidden="1"/>
    <cellStyle name="Followed Hyperlink" xfId="3604" builtinId="9" hidden="1"/>
    <cellStyle name="Followed Hyperlink" xfId="3606" builtinId="9" hidden="1"/>
    <cellStyle name="Followed Hyperlink" xfId="3608" builtinId="9" hidden="1"/>
    <cellStyle name="Followed Hyperlink" xfId="3610" builtinId="9" hidden="1"/>
    <cellStyle name="Followed Hyperlink" xfId="3612" builtinId="9" hidden="1"/>
    <cellStyle name="Followed Hyperlink" xfId="3614" builtinId="9" hidden="1"/>
    <cellStyle name="Followed Hyperlink" xfId="3616" builtinId="9" hidden="1"/>
    <cellStyle name="Followed Hyperlink" xfId="3618" builtinId="9" hidden="1"/>
    <cellStyle name="Followed Hyperlink" xfId="3620" builtinId="9" hidden="1"/>
    <cellStyle name="Followed Hyperlink" xfId="3622" builtinId="9" hidden="1"/>
    <cellStyle name="Followed Hyperlink" xfId="3624" builtinId="9" hidden="1"/>
    <cellStyle name="Followed Hyperlink" xfId="3626" builtinId="9" hidden="1"/>
    <cellStyle name="Followed Hyperlink" xfId="3628" builtinId="9" hidden="1"/>
    <cellStyle name="Followed Hyperlink" xfId="3630" builtinId="9" hidden="1"/>
    <cellStyle name="Followed Hyperlink" xfId="3632" builtinId="9" hidden="1"/>
    <cellStyle name="Followed Hyperlink" xfId="3634" builtinId="9" hidden="1"/>
    <cellStyle name="Followed Hyperlink" xfId="3636" builtinId="9" hidden="1"/>
    <cellStyle name="Followed Hyperlink" xfId="3638" builtinId="9" hidden="1"/>
    <cellStyle name="Followed Hyperlink" xfId="3640" builtinId="9" hidden="1"/>
    <cellStyle name="Followed Hyperlink" xfId="3642" builtinId="9" hidden="1"/>
    <cellStyle name="Followed Hyperlink" xfId="3644" builtinId="9" hidden="1"/>
    <cellStyle name="Followed Hyperlink" xfId="3646" builtinId="9" hidden="1"/>
    <cellStyle name="Followed Hyperlink" xfId="3648" builtinId="9" hidden="1"/>
    <cellStyle name="Followed Hyperlink" xfId="3650" builtinId="9" hidden="1"/>
    <cellStyle name="Followed Hyperlink" xfId="3652" builtinId="9" hidden="1"/>
    <cellStyle name="Followed Hyperlink" xfId="3654" builtinId="9" hidden="1"/>
    <cellStyle name="Followed Hyperlink" xfId="3656" builtinId="9" hidden="1"/>
    <cellStyle name="Followed Hyperlink" xfId="3658" builtinId="9" hidden="1"/>
    <cellStyle name="Followed Hyperlink" xfId="3660" builtinId="9" hidden="1"/>
    <cellStyle name="Followed Hyperlink" xfId="3662" builtinId="9" hidden="1"/>
    <cellStyle name="Followed Hyperlink" xfId="3664" builtinId="9" hidden="1"/>
    <cellStyle name="Followed Hyperlink" xfId="3666" builtinId="9" hidden="1"/>
    <cellStyle name="Followed Hyperlink" xfId="3668" builtinId="9" hidden="1"/>
    <cellStyle name="Followed Hyperlink" xfId="3670" builtinId="9" hidden="1"/>
    <cellStyle name="Followed Hyperlink" xfId="3672" builtinId="9" hidden="1"/>
    <cellStyle name="Followed Hyperlink" xfId="3674" builtinId="9" hidden="1"/>
    <cellStyle name="Followed Hyperlink" xfId="3676" builtinId="9" hidden="1"/>
    <cellStyle name="Followed Hyperlink" xfId="3678" builtinId="9" hidden="1"/>
    <cellStyle name="Followed Hyperlink" xfId="3680" builtinId="9" hidden="1"/>
    <cellStyle name="Followed Hyperlink" xfId="3682" builtinId="9" hidden="1"/>
    <cellStyle name="Followed Hyperlink" xfId="3684" builtinId="9" hidden="1"/>
    <cellStyle name="Followed Hyperlink" xfId="3686" builtinId="9" hidden="1"/>
    <cellStyle name="Followed Hyperlink" xfId="3688" builtinId="9" hidden="1"/>
    <cellStyle name="Followed Hyperlink" xfId="3690" builtinId="9" hidden="1"/>
    <cellStyle name="Followed Hyperlink" xfId="3692" builtinId="9" hidden="1"/>
    <cellStyle name="Followed Hyperlink" xfId="3694" builtinId="9" hidden="1"/>
    <cellStyle name="Followed Hyperlink" xfId="3696" builtinId="9" hidden="1"/>
    <cellStyle name="Followed Hyperlink" xfId="3698" builtinId="9" hidden="1"/>
    <cellStyle name="Followed Hyperlink" xfId="3700" builtinId="9" hidden="1"/>
    <cellStyle name="Followed Hyperlink" xfId="3702" builtinId="9" hidden="1"/>
    <cellStyle name="Followed Hyperlink" xfId="3704" builtinId="9" hidden="1"/>
    <cellStyle name="Followed Hyperlink" xfId="3706" builtinId="9" hidden="1"/>
    <cellStyle name="Followed Hyperlink" xfId="3708" builtinId="9" hidden="1"/>
    <cellStyle name="Followed Hyperlink" xfId="3710" builtinId="9" hidden="1"/>
    <cellStyle name="Followed Hyperlink" xfId="3712" builtinId="9" hidden="1"/>
    <cellStyle name="Followed Hyperlink" xfId="3714" builtinId="9" hidden="1"/>
    <cellStyle name="Followed Hyperlink" xfId="3716" builtinId="9" hidden="1"/>
    <cellStyle name="Followed Hyperlink" xfId="3718" builtinId="9" hidden="1"/>
    <cellStyle name="Followed Hyperlink" xfId="3720" builtinId="9" hidden="1"/>
    <cellStyle name="Followed Hyperlink" xfId="3722" builtinId="9" hidden="1"/>
    <cellStyle name="Followed Hyperlink" xfId="3724" builtinId="9" hidden="1"/>
    <cellStyle name="Followed Hyperlink" xfId="3726" builtinId="9" hidden="1"/>
    <cellStyle name="Followed Hyperlink" xfId="3728" builtinId="9" hidden="1"/>
    <cellStyle name="Followed Hyperlink" xfId="3730" builtinId="9" hidden="1"/>
    <cellStyle name="Followed Hyperlink" xfId="3732" builtinId="9" hidden="1"/>
    <cellStyle name="Followed Hyperlink" xfId="3734" builtinId="9" hidden="1"/>
    <cellStyle name="Followed Hyperlink" xfId="3736" builtinId="9" hidden="1"/>
    <cellStyle name="Followed Hyperlink" xfId="3738" builtinId="9" hidden="1"/>
    <cellStyle name="Followed Hyperlink" xfId="3740" builtinId="9" hidden="1"/>
    <cellStyle name="Followed Hyperlink" xfId="3742" builtinId="9" hidden="1"/>
    <cellStyle name="Followed Hyperlink" xfId="3744" builtinId="9" hidden="1"/>
    <cellStyle name="Followed Hyperlink" xfId="3746" builtinId="9" hidden="1"/>
    <cellStyle name="Followed Hyperlink" xfId="3748" builtinId="9" hidden="1"/>
    <cellStyle name="Followed Hyperlink" xfId="3750" builtinId="9" hidden="1"/>
    <cellStyle name="Followed Hyperlink" xfId="3752" builtinId="9" hidden="1"/>
    <cellStyle name="Followed Hyperlink" xfId="3754" builtinId="9" hidden="1"/>
    <cellStyle name="Followed Hyperlink" xfId="3756" builtinId="9" hidden="1"/>
    <cellStyle name="Followed Hyperlink" xfId="3758" builtinId="9" hidden="1"/>
    <cellStyle name="Followed Hyperlink" xfId="3760" builtinId="9" hidden="1"/>
    <cellStyle name="Followed Hyperlink" xfId="3762" builtinId="9" hidden="1"/>
    <cellStyle name="Followed Hyperlink" xfId="3764" builtinId="9" hidden="1"/>
    <cellStyle name="Followed Hyperlink" xfId="3766" builtinId="9" hidden="1"/>
    <cellStyle name="Followed Hyperlink" xfId="3768" builtinId="9" hidden="1"/>
    <cellStyle name="Followed Hyperlink" xfId="3770" builtinId="9" hidden="1"/>
    <cellStyle name="Followed Hyperlink" xfId="3772" builtinId="9" hidden="1"/>
    <cellStyle name="Followed Hyperlink" xfId="3774" builtinId="9" hidden="1"/>
    <cellStyle name="Followed Hyperlink" xfId="3776" builtinId="9" hidden="1"/>
    <cellStyle name="Followed Hyperlink" xfId="3778" builtinId="9" hidden="1"/>
    <cellStyle name="Followed Hyperlink" xfId="3780" builtinId="9" hidden="1"/>
    <cellStyle name="Followed Hyperlink" xfId="3782" builtinId="9" hidden="1"/>
    <cellStyle name="Followed Hyperlink" xfId="3784" builtinId="9" hidden="1"/>
    <cellStyle name="Followed Hyperlink" xfId="3786" builtinId="9" hidden="1"/>
    <cellStyle name="Followed Hyperlink" xfId="3788" builtinId="9" hidden="1"/>
    <cellStyle name="Followed Hyperlink" xfId="3790" builtinId="9" hidden="1"/>
    <cellStyle name="Followed Hyperlink" xfId="3792" builtinId="9" hidden="1"/>
    <cellStyle name="Followed Hyperlink" xfId="3794" builtinId="9" hidden="1"/>
    <cellStyle name="Followed Hyperlink" xfId="3796" builtinId="9" hidden="1"/>
    <cellStyle name="Followed Hyperlink" xfId="3798" builtinId="9" hidden="1"/>
    <cellStyle name="Followed Hyperlink" xfId="3800" builtinId="9" hidden="1"/>
    <cellStyle name="Followed Hyperlink" xfId="3802" builtinId="9" hidden="1"/>
    <cellStyle name="Followed Hyperlink" xfId="3804" builtinId="9" hidden="1"/>
    <cellStyle name="Followed Hyperlink" xfId="3806" builtinId="9" hidden="1"/>
    <cellStyle name="Followed Hyperlink" xfId="3808" builtinId="9" hidden="1"/>
    <cellStyle name="Followed Hyperlink" xfId="3810" builtinId="9" hidden="1"/>
    <cellStyle name="Followed Hyperlink" xfId="3812" builtinId="9" hidden="1"/>
    <cellStyle name="Followed Hyperlink" xfId="3814" builtinId="9" hidden="1"/>
    <cellStyle name="Followed Hyperlink" xfId="3816" builtinId="9" hidden="1"/>
    <cellStyle name="Followed Hyperlink" xfId="3818" builtinId="9" hidden="1"/>
    <cellStyle name="Followed Hyperlink" xfId="3820" builtinId="9" hidden="1"/>
    <cellStyle name="Followed Hyperlink" xfId="3822" builtinId="9" hidden="1"/>
    <cellStyle name="Followed Hyperlink" xfId="3824" builtinId="9" hidden="1"/>
    <cellStyle name="Followed Hyperlink" xfId="3826" builtinId="9" hidden="1"/>
    <cellStyle name="Followed Hyperlink" xfId="3828" builtinId="9" hidden="1"/>
    <cellStyle name="Followed Hyperlink" xfId="3830" builtinId="9" hidden="1"/>
    <cellStyle name="Followed Hyperlink" xfId="3832" builtinId="9" hidden="1"/>
    <cellStyle name="Followed Hyperlink" xfId="3834" builtinId="9" hidden="1"/>
    <cellStyle name="Followed Hyperlink" xfId="3836" builtinId="9" hidden="1"/>
    <cellStyle name="Followed Hyperlink" xfId="3838" builtinId="9" hidden="1"/>
    <cellStyle name="Followed Hyperlink" xfId="3840" builtinId="9" hidden="1"/>
    <cellStyle name="Followed Hyperlink" xfId="3842" builtinId="9" hidden="1"/>
    <cellStyle name="Followed Hyperlink" xfId="3844" builtinId="9" hidden="1"/>
    <cellStyle name="Followed Hyperlink" xfId="3846" builtinId="9" hidden="1"/>
    <cellStyle name="Followed Hyperlink" xfId="3848" builtinId="9" hidden="1"/>
    <cellStyle name="Followed Hyperlink" xfId="3850" builtinId="9" hidden="1"/>
    <cellStyle name="Followed Hyperlink" xfId="3852" builtinId="9" hidden="1"/>
    <cellStyle name="Followed Hyperlink" xfId="3854" builtinId="9" hidden="1"/>
    <cellStyle name="Followed Hyperlink" xfId="3856" builtinId="9" hidden="1"/>
    <cellStyle name="Followed Hyperlink" xfId="3858" builtinId="9" hidden="1"/>
    <cellStyle name="Followed Hyperlink" xfId="3860" builtinId="9" hidden="1"/>
    <cellStyle name="Followed Hyperlink" xfId="3862" builtinId="9" hidden="1"/>
    <cellStyle name="Followed Hyperlink" xfId="3864" builtinId="9" hidden="1"/>
    <cellStyle name="Followed Hyperlink" xfId="3866" builtinId="9" hidden="1"/>
    <cellStyle name="Followed Hyperlink" xfId="3868" builtinId="9" hidden="1"/>
    <cellStyle name="Followed Hyperlink" xfId="3870" builtinId="9" hidden="1"/>
    <cellStyle name="Followed Hyperlink" xfId="3872" builtinId="9" hidden="1"/>
    <cellStyle name="Followed Hyperlink" xfId="3874" builtinId="9" hidden="1"/>
    <cellStyle name="Followed Hyperlink" xfId="3876" builtinId="9" hidden="1"/>
    <cellStyle name="Followed Hyperlink" xfId="3878" builtinId="9" hidden="1"/>
    <cellStyle name="Followed Hyperlink" xfId="3880" builtinId="9" hidden="1"/>
    <cellStyle name="Followed Hyperlink" xfId="3882" builtinId="9" hidden="1"/>
    <cellStyle name="Followed Hyperlink" xfId="3884" builtinId="9" hidden="1"/>
    <cellStyle name="Followed Hyperlink" xfId="3886" builtinId="9" hidden="1"/>
    <cellStyle name="Followed Hyperlink" xfId="3888" builtinId="9" hidden="1"/>
    <cellStyle name="Followed Hyperlink" xfId="3890" builtinId="9" hidden="1"/>
    <cellStyle name="Followed Hyperlink" xfId="3892" builtinId="9" hidden="1"/>
    <cellStyle name="Followed Hyperlink" xfId="3894" builtinId="9" hidden="1"/>
    <cellStyle name="Followed Hyperlink" xfId="3896" builtinId="9" hidden="1"/>
    <cellStyle name="Followed Hyperlink" xfId="3898" builtinId="9" hidden="1"/>
    <cellStyle name="Followed Hyperlink" xfId="3900" builtinId="9" hidden="1"/>
    <cellStyle name="Followed Hyperlink" xfId="3902" builtinId="9" hidden="1"/>
    <cellStyle name="Followed Hyperlink" xfId="3904" builtinId="9" hidden="1"/>
    <cellStyle name="Followed Hyperlink" xfId="3906" builtinId="9" hidden="1"/>
    <cellStyle name="Followed Hyperlink" xfId="3908" builtinId="9" hidden="1"/>
    <cellStyle name="Followed Hyperlink" xfId="3910" builtinId="9" hidden="1"/>
    <cellStyle name="Followed Hyperlink" xfId="3912" builtinId="9" hidden="1"/>
    <cellStyle name="Followed Hyperlink" xfId="3914" builtinId="9" hidden="1"/>
    <cellStyle name="Followed Hyperlink" xfId="3916" builtinId="9" hidden="1"/>
    <cellStyle name="Followed Hyperlink" xfId="3918" builtinId="9" hidden="1"/>
    <cellStyle name="Followed Hyperlink" xfId="3920" builtinId="9" hidden="1"/>
    <cellStyle name="Followed Hyperlink" xfId="3922" builtinId="9" hidden="1"/>
    <cellStyle name="Followed Hyperlink" xfId="3924" builtinId="9" hidden="1"/>
    <cellStyle name="Followed Hyperlink" xfId="3926" builtinId="9" hidden="1"/>
    <cellStyle name="Followed Hyperlink" xfId="3928" builtinId="9" hidden="1"/>
    <cellStyle name="Followed Hyperlink" xfId="3930" builtinId="9" hidden="1"/>
    <cellStyle name="Followed Hyperlink" xfId="3932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52" builtinId="9" hidden="1"/>
    <cellStyle name="Followed Hyperlink" xfId="3954" builtinId="9" hidden="1"/>
    <cellStyle name="Followed Hyperlink" xfId="3956" builtinId="9" hidden="1"/>
    <cellStyle name="Followed Hyperlink" xfId="3958" builtinId="9" hidden="1"/>
    <cellStyle name="Followed Hyperlink" xfId="3960" builtinId="9" hidden="1"/>
    <cellStyle name="Followed Hyperlink" xfId="3962" builtinId="9" hidden="1"/>
    <cellStyle name="Followed Hyperlink" xfId="3964" builtinId="9" hidden="1"/>
    <cellStyle name="Followed Hyperlink" xfId="3966" builtinId="9" hidden="1"/>
    <cellStyle name="Followed Hyperlink" xfId="3968" builtinId="9" hidden="1"/>
    <cellStyle name="Followed Hyperlink" xfId="3970" builtinId="9" hidden="1"/>
    <cellStyle name="Followed Hyperlink" xfId="3972" builtinId="9" hidden="1"/>
    <cellStyle name="Followed Hyperlink" xfId="3974" builtinId="9" hidden="1"/>
    <cellStyle name="Followed Hyperlink" xfId="3976" builtinId="9" hidden="1"/>
    <cellStyle name="Followed Hyperlink" xfId="3978" builtinId="9" hidden="1"/>
    <cellStyle name="Followed Hyperlink" xfId="3980" builtinId="9" hidden="1"/>
    <cellStyle name="Followed Hyperlink" xfId="3982" builtinId="9" hidden="1"/>
    <cellStyle name="Followed Hyperlink" xfId="3984" builtinId="9" hidden="1"/>
    <cellStyle name="Followed Hyperlink" xfId="3986" builtinId="9" hidden="1"/>
    <cellStyle name="Followed Hyperlink" xfId="3988" builtinId="9" hidden="1"/>
    <cellStyle name="Followed Hyperlink" xfId="3990" builtinId="9" hidden="1"/>
    <cellStyle name="Followed Hyperlink" xfId="3992" builtinId="9" hidden="1"/>
    <cellStyle name="Followed Hyperlink" xfId="3994" builtinId="9" hidden="1"/>
    <cellStyle name="Followed Hyperlink" xfId="3996" builtinId="9" hidden="1"/>
    <cellStyle name="Followed Hyperlink" xfId="3998" builtinId="9" hidden="1"/>
    <cellStyle name="Followed Hyperlink" xfId="4000" builtinId="9" hidden="1"/>
    <cellStyle name="Followed Hyperlink" xfId="4002" builtinId="9" hidden="1"/>
    <cellStyle name="Followed Hyperlink" xfId="4004" builtinId="9" hidden="1"/>
    <cellStyle name="Followed Hyperlink" xfId="4006" builtinId="9" hidden="1"/>
    <cellStyle name="Followed Hyperlink" xfId="4008" builtinId="9" hidden="1"/>
    <cellStyle name="Followed Hyperlink" xfId="4010" builtinId="9" hidden="1"/>
    <cellStyle name="Followed Hyperlink" xfId="4012" builtinId="9" hidden="1"/>
    <cellStyle name="Followed Hyperlink" xfId="4014" builtinId="9" hidden="1"/>
    <cellStyle name="Followed Hyperlink" xfId="4016" builtinId="9" hidden="1"/>
    <cellStyle name="Followed Hyperlink" xfId="4018" builtinId="9" hidden="1"/>
    <cellStyle name="Followed Hyperlink" xfId="4020" builtinId="9" hidden="1"/>
    <cellStyle name="Followed Hyperlink" xfId="4022" builtinId="9" hidden="1"/>
    <cellStyle name="Followed Hyperlink" xfId="4024" builtinId="9" hidden="1"/>
    <cellStyle name="Followed Hyperlink" xfId="4026" builtinId="9" hidden="1"/>
    <cellStyle name="Followed Hyperlink" xfId="4028" builtinId="9" hidden="1"/>
    <cellStyle name="Followed Hyperlink" xfId="4030" builtinId="9" hidden="1"/>
    <cellStyle name="Followed Hyperlink" xfId="4032" builtinId="9" hidden="1"/>
    <cellStyle name="Followed Hyperlink" xfId="4034" builtinId="9" hidden="1"/>
    <cellStyle name="Followed Hyperlink" xfId="4036" builtinId="9" hidden="1"/>
    <cellStyle name="Followed Hyperlink" xfId="4038" builtinId="9" hidden="1"/>
    <cellStyle name="Followed Hyperlink" xfId="4040" builtinId="9" hidden="1"/>
    <cellStyle name="Followed Hyperlink" xfId="4042" builtinId="9" hidden="1"/>
    <cellStyle name="Followed Hyperlink" xfId="4044" builtinId="9" hidden="1"/>
    <cellStyle name="Followed Hyperlink" xfId="4046" builtinId="9" hidden="1"/>
    <cellStyle name="Followed Hyperlink" xfId="4048" builtinId="9" hidden="1"/>
    <cellStyle name="Followed Hyperlink" xfId="4050" builtinId="9" hidden="1"/>
    <cellStyle name="Followed Hyperlink" xfId="4052" builtinId="9" hidden="1"/>
    <cellStyle name="Followed Hyperlink" xfId="4054" builtinId="9" hidden="1"/>
    <cellStyle name="Followed Hyperlink" xfId="4056" builtinId="9" hidden="1"/>
    <cellStyle name="Followed Hyperlink" xfId="4058" builtinId="9" hidden="1"/>
    <cellStyle name="Followed Hyperlink" xfId="4060" builtinId="9" hidden="1"/>
    <cellStyle name="Followed Hyperlink" xfId="4062" builtinId="9" hidden="1"/>
    <cellStyle name="Followed Hyperlink" xfId="4064" builtinId="9" hidden="1"/>
    <cellStyle name="Followed Hyperlink" xfId="4066" builtinId="9" hidden="1"/>
    <cellStyle name="Followed Hyperlink" xfId="4068" builtinId="9" hidden="1"/>
    <cellStyle name="Followed Hyperlink" xfId="4070" builtinId="9" hidden="1"/>
    <cellStyle name="Followed Hyperlink" xfId="4072" builtinId="9" hidden="1"/>
    <cellStyle name="Followed Hyperlink" xfId="4074" builtinId="9" hidden="1"/>
    <cellStyle name="Followed Hyperlink" xfId="4076" builtinId="9" hidden="1"/>
    <cellStyle name="Followed Hyperlink" xfId="4078" builtinId="9" hidden="1"/>
    <cellStyle name="Followed Hyperlink" xfId="4080" builtinId="9" hidden="1"/>
    <cellStyle name="Followed Hyperlink" xfId="4082" builtinId="9" hidden="1"/>
    <cellStyle name="Followed Hyperlink" xfId="4084" builtinId="9" hidden="1"/>
    <cellStyle name="Followed Hyperlink" xfId="4086" builtinId="9" hidden="1"/>
    <cellStyle name="Followed Hyperlink" xfId="4088" builtinId="9" hidden="1"/>
    <cellStyle name="Followed Hyperlink" xfId="4090" builtinId="9" hidden="1"/>
    <cellStyle name="Followed Hyperlink" xfId="4092" builtinId="9" hidden="1"/>
    <cellStyle name="Followed Hyperlink" xfId="4094" builtinId="9" hidden="1"/>
    <cellStyle name="Followed Hyperlink" xfId="4096" builtinId="9" hidden="1"/>
    <cellStyle name="Followed Hyperlink" xfId="4098" builtinId="9" hidden="1"/>
    <cellStyle name="Followed Hyperlink" xfId="4100" builtinId="9" hidden="1"/>
    <cellStyle name="Followed Hyperlink" xfId="4102" builtinId="9" hidden="1"/>
    <cellStyle name="Followed Hyperlink" xfId="4104" builtinId="9" hidden="1"/>
    <cellStyle name="Followed Hyperlink" xfId="4106" builtinId="9" hidden="1"/>
    <cellStyle name="Followed Hyperlink" xfId="4108" builtinId="9" hidden="1"/>
    <cellStyle name="Followed Hyperlink" xfId="4110" builtinId="9" hidden="1"/>
    <cellStyle name="Followed Hyperlink" xfId="4112" builtinId="9" hidden="1"/>
    <cellStyle name="Followed Hyperlink" xfId="4114" builtinId="9" hidden="1"/>
    <cellStyle name="Followed Hyperlink" xfId="4116" builtinId="9" hidden="1"/>
    <cellStyle name="Followed Hyperlink" xfId="4118" builtinId="9" hidden="1"/>
    <cellStyle name="Followed Hyperlink" xfId="4120" builtinId="9" hidden="1"/>
    <cellStyle name="Followed Hyperlink" xfId="4122" builtinId="9" hidden="1"/>
    <cellStyle name="Followed Hyperlink" xfId="4124" builtinId="9" hidden="1"/>
    <cellStyle name="Followed Hyperlink" xfId="4126" builtinId="9" hidden="1"/>
    <cellStyle name="Followed Hyperlink" xfId="4128" builtinId="9" hidden="1"/>
    <cellStyle name="Followed Hyperlink" xfId="4130" builtinId="9" hidden="1"/>
    <cellStyle name="Followed Hyperlink" xfId="4132" builtinId="9" hidden="1"/>
    <cellStyle name="Followed Hyperlink" xfId="4134" builtinId="9" hidden="1"/>
    <cellStyle name="Followed Hyperlink" xfId="4136" builtinId="9" hidden="1"/>
    <cellStyle name="Followed Hyperlink" xfId="4138" builtinId="9" hidden="1"/>
    <cellStyle name="Followed Hyperlink" xfId="4140" builtinId="9" hidden="1"/>
    <cellStyle name="Followed Hyperlink" xfId="4142" builtinId="9" hidden="1"/>
    <cellStyle name="Followed Hyperlink" xfId="4144" builtinId="9" hidden="1"/>
    <cellStyle name="Followed Hyperlink" xfId="4146" builtinId="9" hidden="1"/>
    <cellStyle name="Followed Hyperlink" xfId="4148" builtinId="9" hidden="1"/>
    <cellStyle name="Followed Hyperlink" xfId="4150" builtinId="9" hidden="1"/>
    <cellStyle name="Followed Hyperlink" xfId="4152" builtinId="9" hidden="1"/>
    <cellStyle name="Followed Hyperlink" xfId="4154" builtinId="9" hidden="1"/>
    <cellStyle name="Followed Hyperlink" xfId="4156" builtinId="9" hidden="1"/>
    <cellStyle name="Followed Hyperlink" xfId="4158" builtinId="9" hidden="1"/>
    <cellStyle name="Followed Hyperlink" xfId="4160" builtinId="9" hidden="1"/>
    <cellStyle name="Followed Hyperlink" xfId="4162" builtinId="9" hidden="1"/>
    <cellStyle name="Followed Hyperlink" xfId="4164" builtinId="9" hidden="1"/>
    <cellStyle name="Followed Hyperlink" xfId="4166" builtinId="9" hidden="1"/>
    <cellStyle name="Followed Hyperlink" xfId="4168" builtinId="9" hidden="1"/>
    <cellStyle name="Followed Hyperlink" xfId="4170" builtinId="9" hidden="1"/>
    <cellStyle name="Followed Hyperlink" xfId="4172" builtinId="9" hidden="1"/>
    <cellStyle name="Followed Hyperlink" xfId="4174" builtinId="9" hidden="1"/>
    <cellStyle name="Followed Hyperlink" xfId="4176" builtinId="9" hidden="1"/>
    <cellStyle name="Followed Hyperlink" xfId="4178" builtinId="9" hidden="1"/>
    <cellStyle name="Followed Hyperlink" xfId="4180" builtinId="9" hidden="1"/>
    <cellStyle name="Followed Hyperlink" xfId="4182" builtinId="9" hidden="1"/>
    <cellStyle name="Followed Hyperlink" xfId="4184" builtinId="9" hidden="1"/>
    <cellStyle name="Followed Hyperlink" xfId="4186" builtinId="9" hidden="1"/>
    <cellStyle name="Followed Hyperlink" xfId="4188" builtinId="9" hidden="1"/>
    <cellStyle name="Followed Hyperlink" xfId="4190" builtinId="9" hidden="1"/>
    <cellStyle name="Followed Hyperlink" xfId="4192" builtinId="9" hidden="1"/>
    <cellStyle name="Followed Hyperlink" xfId="4194" builtinId="9" hidden="1"/>
    <cellStyle name="Followed Hyperlink" xfId="4196" builtinId="9" hidden="1"/>
    <cellStyle name="Followed Hyperlink" xfId="4198" builtinId="9" hidden="1"/>
    <cellStyle name="Followed Hyperlink" xfId="4200" builtinId="9" hidden="1"/>
    <cellStyle name="Followed Hyperlink" xfId="4202" builtinId="9" hidden="1"/>
    <cellStyle name="Followed Hyperlink" xfId="4204" builtinId="9" hidden="1"/>
    <cellStyle name="Followed Hyperlink" xfId="4206" builtinId="9" hidden="1"/>
    <cellStyle name="Followed Hyperlink" xfId="4208" builtinId="9" hidden="1"/>
    <cellStyle name="Followed Hyperlink" xfId="4210" builtinId="9" hidden="1"/>
    <cellStyle name="Followed Hyperlink" xfId="4212" builtinId="9" hidden="1"/>
    <cellStyle name="Followed Hyperlink" xfId="4214" builtinId="9" hidden="1"/>
    <cellStyle name="Followed Hyperlink" xfId="4216" builtinId="9" hidden="1"/>
    <cellStyle name="Followed Hyperlink" xfId="4218" builtinId="9" hidden="1"/>
    <cellStyle name="Followed Hyperlink" xfId="4220" builtinId="9" hidden="1"/>
    <cellStyle name="Followed Hyperlink" xfId="4222" builtinId="9" hidden="1"/>
    <cellStyle name="Followed Hyperlink" xfId="4224" builtinId="9" hidden="1"/>
    <cellStyle name="Followed Hyperlink" xfId="4226" builtinId="9" hidden="1"/>
    <cellStyle name="Followed Hyperlink" xfId="4228" builtinId="9" hidden="1"/>
    <cellStyle name="Followed Hyperlink" xfId="4230" builtinId="9" hidden="1"/>
    <cellStyle name="Followed Hyperlink" xfId="4232" builtinId="9" hidden="1"/>
    <cellStyle name="Followed Hyperlink" xfId="4234" builtinId="9" hidden="1"/>
    <cellStyle name="Followed Hyperlink" xfId="4236" builtinId="9" hidden="1"/>
    <cellStyle name="Followed Hyperlink" xfId="4238" builtinId="9" hidden="1"/>
    <cellStyle name="Followed Hyperlink" xfId="4240" builtinId="9" hidden="1"/>
    <cellStyle name="Followed Hyperlink" xfId="4242" builtinId="9" hidden="1"/>
    <cellStyle name="Followed Hyperlink" xfId="4244" builtinId="9" hidden="1"/>
    <cellStyle name="Followed Hyperlink" xfId="4246" builtinId="9" hidden="1"/>
    <cellStyle name="Followed Hyperlink" xfId="4248" builtinId="9" hidden="1"/>
    <cellStyle name="Followed Hyperlink" xfId="4250" builtinId="9" hidden="1"/>
    <cellStyle name="Followed Hyperlink" xfId="4252" builtinId="9" hidden="1"/>
    <cellStyle name="Followed Hyperlink" xfId="4254" builtinId="9" hidden="1"/>
    <cellStyle name="Followed Hyperlink" xfId="4256" builtinId="9" hidden="1"/>
    <cellStyle name="Followed Hyperlink" xfId="4258" builtinId="9" hidden="1"/>
    <cellStyle name="Followed Hyperlink" xfId="4260" builtinId="9" hidden="1"/>
    <cellStyle name="Followed Hyperlink" xfId="4262" builtinId="9" hidden="1"/>
    <cellStyle name="Followed Hyperlink" xfId="4264" builtinId="9" hidden="1"/>
    <cellStyle name="Followed Hyperlink" xfId="4266" builtinId="9" hidden="1"/>
    <cellStyle name="Followed Hyperlink" xfId="4268" builtinId="9" hidden="1"/>
    <cellStyle name="Followed Hyperlink" xfId="4270" builtinId="9" hidden="1"/>
    <cellStyle name="Followed Hyperlink" xfId="4272" builtinId="9" hidden="1"/>
    <cellStyle name="Followed Hyperlink" xfId="4274" builtinId="9" hidden="1"/>
    <cellStyle name="Followed Hyperlink" xfId="4276" builtinId="9" hidden="1"/>
    <cellStyle name="Followed Hyperlink" xfId="4278" builtinId="9" hidden="1"/>
    <cellStyle name="Followed Hyperlink" xfId="4280" builtinId="9" hidden="1"/>
    <cellStyle name="Followed Hyperlink" xfId="4282" builtinId="9" hidden="1"/>
    <cellStyle name="Followed Hyperlink" xfId="4284" builtinId="9" hidden="1"/>
    <cellStyle name="Followed Hyperlink" xfId="4286" builtinId="9" hidden="1"/>
    <cellStyle name="Followed Hyperlink" xfId="4288" builtinId="9" hidden="1"/>
    <cellStyle name="Followed Hyperlink" xfId="4290" builtinId="9" hidden="1"/>
    <cellStyle name="Followed Hyperlink" xfId="4292" builtinId="9" hidden="1"/>
    <cellStyle name="Followed Hyperlink" xfId="4294" builtinId="9" hidden="1"/>
    <cellStyle name="Followed Hyperlink" xfId="4296" builtinId="9" hidden="1"/>
    <cellStyle name="Followed Hyperlink" xfId="4298" builtinId="9" hidden="1"/>
    <cellStyle name="Followed Hyperlink" xfId="4300" builtinId="9" hidden="1"/>
    <cellStyle name="Followed Hyperlink" xfId="4302" builtinId="9" hidden="1"/>
    <cellStyle name="Followed Hyperlink" xfId="4304" builtinId="9" hidden="1"/>
    <cellStyle name="Followed Hyperlink" xfId="4306" builtinId="9" hidden="1"/>
    <cellStyle name="Followed Hyperlink" xfId="4308" builtinId="9" hidden="1"/>
    <cellStyle name="Followed Hyperlink" xfId="4311" builtinId="9" hidden="1"/>
    <cellStyle name="Followed Hyperlink" xfId="4313" builtinId="9" hidden="1"/>
    <cellStyle name="Followed Hyperlink" xfId="4315" builtinId="9" hidden="1"/>
    <cellStyle name="Followed Hyperlink" xfId="4317" builtinId="9" hidden="1"/>
    <cellStyle name="Followed Hyperlink" xfId="4319" builtinId="9" hidden="1"/>
    <cellStyle name="Followed Hyperlink" xfId="4321" builtinId="9" hidden="1"/>
    <cellStyle name="Followed Hyperlink" xfId="4323" builtinId="9" hidden="1"/>
    <cellStyle name="Followed Hyperlink" xfId="4325" builtinId="9" hidden="1"/>
    <cellStyle name="Followed Hyperlink" xfId="4327" builtinId="9" hidden="1"/>
    <cellStyle name="Followed Hyperlink" xfId="4329" builtinId="9" hidden="1"/>
    <cellStyle name="Followed Hyperlink" xfId="4331" builtinId="9" hidden="1"/>
    <cellStyle name="Followed Hyperlink" xfId="4333" builtinId="9" hidden="1"/>
    <cellStyle name="Followed Hyperlink" xfId="4335" builtinId="9" hidden="1"/>
    <cellStyle name="Followed Hyperlink" xfId="4337" builtinId="9" hidden="1"/>
    <cellStyle name="Followed Hyperlink" xfId="4339" builtinId="9" hidden="1"/>
    <cellStyle name="Followed Hyperlink" xfId="4341" builtinId="9" hidden="1"/>
    <cellStyle name="Followed Hyperlink" xfId="4343" builtinId="9" hidden="1"/>
    <cellStyle name="Followed Hyperlink" xfId="4345" builtinId="9" hidden="1"/>
    <cellStyle name="Followed Hyperlink" xfId="4347" builtinId="9" hidden="1"/>
    <cellStyle name="Followed Hyperlink" xfId="4349" builtinId="9" hidden="1"/>
    <cellStyle name="Followed Hyperlink" xfId="4351" builtinId="9" hidden="1"/>
    <cellStyle name="Followed Hyperlink" xfId="4353" builtinId="9" hidden="1"/>
    <cellStyle name="Followed Hyperlink" xfId="4355" builtinId="9" hidden="1"/>
    <cellStyle name="Followed Hyperlink" xfId="4357" builtinId="9" hidden="1"/>
    <cellStyle name="Followed Hyperlink" xfId="4359" builtinId="9" hidden="1"/>
    <cellStyle name="Followed Hyperlink" xfId="4361" builtinId="9" hidden="1"/>
    <cellStyle name="Followed Hyperlink" xfId="4363" builtinId="9" hidden="1"/>
    <cellStyle name="Followed Hyperlink" xfId="4365" builtinId="9" hidden="1"/>
    <cellStyle name="Followed Hyperlink" xfId="4367" builtinId="9" hidden="1"/>
    <cellStyle name="Followed Hyperlink" xfId="4369" builtinId="9" hidden="1"/>
    <cellStyle name="Followed Hyperlink" xfId="4371" builtinId="9" hidden="1"/>
    <cellStyle name="Followed Hyperlink" xfId="4373" builtinId="9" hidden="1"/>
    <cellStyle name="Followed Hyperlink" xfId="4375" builtinId="9" hidden="1"/>
    <cellStyle name="Followed Hyperlink" xfId="4377" builtinId="9" hidden="1"/>
    <cellStyle name="Followed Hyperlink" xfId="4379" builtinId="9" hidden="1"/>
    <cellStyle name="Followed Hyperlink" xfId="4381" builtinId="9" hidden="1"/>
    <cellStyle name="Followed Hyperlink" xfId="4383" builtinId="9" hidden="1"/>
    <cellStyle name="Followed Hyperlink" xfId="4385" builtinId="9" hidden="1"/>
    <cellStyle name="Followed Hyperlink" xfId="4387" builtinId="9" hidden="1"/>
    <cellStyle name="Followed Hyperlink" xfId="4389" builtinId="9" hidden="1"/>
    <cellStyle name="Followed Hyperlink" xfId="4391" builtinId="9" hidden="1"/>
    <cellStyle name="Followed Hyperlink" xfId="4393" builtinId="9" hidden="1"/>
    <cellStyle name="Followed Hyperlink" xfId="4395" builtinId="9" hidden="1"/>
    <cellStyle name="Followed Hyperlink" xfId="4397" builtinId="9" hidden="1"/>
    <cellStyle name="Followed Hyperlink" xfId="4399" builtinId="9" hidden="1"/>
    <cellStyle name="Followed Hyperlink" xfId="4401" builtinId="9" hidden="1"/>
    <cellStyle name="Followed Hyperlink" xfId="4403" builtinId="9" hidden="1"/>
    <cellStyle name="Followed Hyperlink" xfId="4405" builtinId="9" hidden="1"/>
    <cellStyle name="Followed Hyperlink" xfId="4407" builtinId="9" hidden="1"/>
    <cellStyle name="Followed Hyperlink" xfId="4409" builtinId="9" hidden="1"/>
    <cellStyle name="Followed Hyperlink" xfId="4411" builtinId="9" hidden="1"/>
    <cellStyle name="Followed Hyperlink" xfId="4413" builtinId="9" hidden="1"/>
    <cellStyle name="Followed Hyperlink" xfId="4415" builtinId="9" hidden="1"/>
    <cellStyle name="Followed Hyperlink" xfId="4417" builtinId="9" hidden="1"/>
    <cellStyle name="Followed Hyperlink" xfId="4419" builtinId="9" hidden="1"/>
    <cellStyle name="Followed Hyperlink" xfId="4421" builtinId="9" hidden="1"/>
    <cellStyle name="Followed Hyperlink" xfId="4423" builtinId="9" hidden="1"/>
    <cellStyle name="Followed Hyperlink" xfId="4425" builtinId="9" hidden="1"/>
    <cellStyle name="Followed Hyperlink" xfId="4427" builtinId="9" hidden="1"/>
    <cellStyle name="Followed Hyperlink" xfId="4429" builtinId="9" hidden="1"/>
    <cellStyle name="Followed Hyperlink" xfId="4431" builtinId="9" hidden="1"/>
    <cellStyle name="Followed Hyperlink" xfId="4433" builtinId="9" hidden="1"/>
    <cellStyle name="Followed Hyperlink" xfId="4435" builtinId="9" hidden="1"/>
    <cellStyle name="Followed Hyperlink" xfId="4437" builtinId="9" hidden="1"/>
    <cellStyle name="Followed Hyperlink" xfId="4439" builtinId="9" hidden="1"/>
    <cellStyle name="Followed Hyperlink" xfId="4441" builtinId="9" hidden="1"/>
    <cellStyle name="Followed Hyperlink" xfId="4443" builtinId="9" hidden="1"/>
    <cellStyle name="Followed Hyperlink" xfId="4445" builtinId="9" hidden="1"/>
    <cellStyle name="Followed Hyperlink" xfId="4447" builtinId="9" hidden="1"/>
    <cellStyle name="Followed Hyperlink" xfId="4449" builtinId="9" hidden="1"/>
    <cellStyle name="Followed Hyperlink" xfId="4451" builtinId="9" hidden="1"/>
    <cellStyle name="Followed Hyperlink" xfId="4453" builtinId="9" hidden="1"/>
    <cellStyle name="Followed Hyperlink" xfId="4455" builtinId="9" hidden="1"/>
    <cellStyle name="Followed Hyperlink" xfId="4457" builtinId="9" hidden="1"/>
    <cellStyle name="Followed Hyperlink" xfId="4459" builtinId="9" hidden="1"/>
    <cellStyle name="Followed Hyperlink" xfId="4461" builtinId="9" hidden="1"/>
    <cellStyle name="Followed Hyperlink" xfId="4463" builtinId="9" hidden="1"/>
    <cellStyle name="Followed Hyperlink" xfId="4465" builtinId="9" hidden="1"/>
    <cellStyle name="Followed Hyperlink" xfId="4467" builtinId="9" hidden="1"/>
    <cellStyle name="Followed Hyperlink" xfId="4469" builtinId="9" hidden="1"/>
    <cellStyle name="Followed Hyperlink" xfId="4471" builtinId="9" hidden="1"/>
    <cellStyle name="Followed Hyperlink" xfId="4473" builtinId="9" hidden="1"/>
    <cellStyle name="Followed Hyperlink" xfId="4475" builtinId="9" hidden="1"/>
    <cellStyle name="Followed Hyperlink" xfId="4477" builtinId="9" hidden="1"/>
    <cellStyle name="Followed Hyperlink" xfId="4479" builtinId="9" hidden="1"/>
    <cellStyle name="Followed Hyperlink" xfId="4481" builtinId="9" hidden="1"/>
    <cellStyle name="Followed Hyperlink" xfId="4483" builtinId="9" hidden="1"/>
    <cellStyle name="Followed Hyperlink" xfId="4485" builtinId="9" hidden="1"/>
    <cellStyle name="Followed Hyperlink" xfId="4487" builtinId="9" hidden="1"/>
    <cellStyle name="Followed Hyperlink" xfId="4489" builtinId="9" hidden="1"/>
    <cellStyle name="Followed Hyperlink" xfId="4491" builtinId="9" hidden="1"/>
    <cellStyle name="Followed Hyperlink" xfId="4493" builtinId="9" hidden="1"/>
    <cellStyle name="Followed Hyperlink" xfId="4495" builtinId="9" hidden="1"/>
    <cellStyle name="Followed Hyperlink" xfId="4497" builtinId="9" hidden="1"/>
    <cellStyle name="Followed Hyperlink" xfId="4499" builtinId="9" hidden="1"/>
    <cellStyle name="Followed Hyperlink" xfId="4501" builtinId="9" hidden="1"/>
    <cellStyle name="Followed Hyperlink" xfId="4503" builtinId="9" hidden="1"/>
    <cellStyle name="Followed Hyperlink" xfId="4505" builtinId="9" hidden="1"/>
    <cellStyle name="Followed Hyperlink" xfId="4507" builtinId="9" hidden="1"/>
    <cellStyle name="Followed Hyperlink" xfId="4509" builtinId="9" hidden="1"/>
    <cellStyle name="Followed Hyperlink" xfId="4511" builtinId="9" hidden="1"/>
    <cellStyle name="Followed Hyperlink" xfId="4513" builtinId="9" hidden="1"/>
    <cellStyle name="Followed Hyperlink" xfId="4515" builtinId="9" hidden="1"/>
    <cellStyle name="Followed Hyperlink" xfId="4517" builtinId="9" hidden="1"/>
    <cellStyle name="Followed Hyperlink" xfId="4519" builtinId="9" hidden="1"/>
    <cellStyle name="Followed Hyperlink" xfId="4521" builtinId="9" hidden="1"/>
    <cellStyle name="Followed Hyperlink" xfId="4523" builtinId="9" hidden="1"/>
    <cellStyle name="Followed Hyperlink" xfId="4525" builtinId="9" hidden="1"/>
    <cellStyle name="Followed Hyperlink" xfId="4527" builtinId="9" hidden="1"/>
    <cellStyle name="Followed Hyperlink" xfId="4529" builtinId="9" hidden="1"/>
    <cellStyle name="Followed Hyperlink" xfId="4531" builtinId="9" hidden="1"/>
    <cellStyle name="Followed Hyperlink" xfId="4533" builtinId="9" hidden="1"/>
    <cellStyle name="Followed Hyperlink" xfId="4535" builtinId="9" hidden="1"/>
    <cellStyle name="Followed Hyperlink" xfId="4537" builtinId="9" hidden="1"/>
    <cellStyle name="Followed Hyperlink" xfId="4539" builtinId="9" hidden="1"/>
    <cellStyle name="Followed Hyperlink" xfId="4541" builtinId="9" hidden="1"/>
    <cellStyle name="Followed Hyperlink" xfId="4543" builtinId="9" hidden="1"/>
    <cellStyle name="Followed Hyperlink" xfId="4545" builtinId="9" hidden="1"/>
    <cellStyle name="Followed Hyperlink" xfId="4547" builtinId="9" hidden="1"/>
    <cellStyle name="Followed Hyperlink" xfId="4549" builtinId="9" hidden="1"/>
    <cellStyle name="Followed Hyperlink" xfId="4551" builtinId="9" hidden="1"/>
    <cellStyle name="Followed Hyperlink" xfId="4553" builtinId="9" hidden="1"/>
    <cellStyle name="Followed Hyperlink" xfId="4555" builtinId="9" hidden="1"/>
    <cellStyle name="Followed Hyperlink" xfId="4557" builtinId="9" hidden="1"/>
    <cellStyle name="Followed Hyperlink" xfId="4559" builtinId="9" hidden="1"/>
    <cellStyle name="Followed Hyperlink" xfId="4561" builtinId="9" hidden="1"/>
    <cellStyle name="Followed Hyperlink" xfId="4563" builtinId="9" hidden="1"/>
    <cellStyle name="Followed Hyperlink" xfId="4565" builtinId="9" hidden="1"/>
    <cellStyle name="Followed Hyperlink" xfId="4567" builtinId="9" hidden="1"/>
    <cellStyle name="Followed Hyperlink" xfId="4569" builtinId="9" hidden="1"/>
    <cellStyle name="Followed Hyperlink" xfId="4571" builtinId="9" hidden="1"/>
    <cellStyle name="Followed Hyperlink" xfId="4573" builtinId="9" hidden="1"/>
    <cellStyle name="Followed Hyperlink" xfId="4575" builtinId="9" hidden="1"/>
    <cellStyle name="Followed Hyperlink" xfId="4577" builtinId="9" hidden="1"/>
    <cellStyle name="Followed Hyperlink" xfId="4579" builtinId="9" hidden="1"/>
    <cellStyle name="Followed Hyperlink" xfId="4581" builtinId="9" hidden="1"/>
    <cellStyle name="Followed Hyperlink" xfId="4583" builtinId="9" hidden="1"/>
    <cellStyle name="Followed Hyperlink" xfId="4585" builtinId="9" hidden="1"/>
    <cellStyle name="Followed Hyperlink" xfId="4587" builtinId="9" hidden="1"/>
    <cellStyle name="Followed Hyperlink" xfId="4589" builtinId="9" hidden="1"/>
    <cellStyle name="Followed Hyperlink" xfId="4591" builtinId="9" hidden="1"/>
    <cellStyle name="Followed Hyperlink" xfId="4593" builtinId="9" hidden="1"/>
    <cellStyle name="Followed Hyperlink" xfId="4595" builtinId="9" hidden="1"/>
    <cellStyle name="Followed Hyperlink" xfId="4597" builtinId="9" hidden="1"/>
    <cellStyle name="Followed Hyperlink" xfId="4599" builtinId="9" hidden="1"/>
    <cellStyle name="Followed Hyperlink" xfId="4601" builtinId="9" hidden="1"/>
    <cellStyle name="Followed Hyperlink" xfId="4603" builtinId="9" hidden="1"/>
    <cellStyle name="Followed Hyperlink" xfId="4605" builtinId="9" hidden="1"/>
    <cellStyle name="Followed Hyperlink" xfId="4607" builtinId="9" hidden="1"/>
    <cellStyle name="Followed Hyperlink" xfId="4609" builtinId="9" hidden="1"/>
    <cellStyle name="Followed Hyperlink" xfId="4611" builtinId="9" hidden="1"/>
    <cellStyle name="Followed Hyperlink" xfId="4613" builtinId="9" hidden="1"/>
    <cellStyle name="Followed Hyperlink" xfId="4615" builtinId="9" hidden="1"/>
    <cellStyle name="Followed Hyperlink" xfId="4617" builtinId="9" hidden="1"/>
    <cellStyle name="Followed Hyperlink" xfId="4619" builtinId="9" hidden="1"/>
    <cellStyle name="Followed Hyperlink" xfId="4621" builtinId="9" hidden="1"/>
    <cellStyle name="Followed Hyperlink" xfId="4623" builtinId="9" hidden="1"/>
    <cellStyle name="Followed Hyperlink" xfId="4625" builtinId="9" hidden="1"/>
    <cellStyle name="Followed Hyperlink" xfId="4627" builtinId="9" hidden="1"/>
    <cellStyle name="Followed Hyperlink" xfId="4629" builtinId="9" hidden="1"/>
    <cellStyle name="Followed Hyperlink" xfId="4631" builtinId="9" hidden="1"/>
    <cellStyle name="Followed Hyperlink" xfId="4633" builtinId="9" hidden="1"/>
    <cellStyle name="Followed Hyperlink" xfId="4635" builtinId="9" hidden="1"/>
    <cellStyle name="Followed Hyperlink" xfId="4637" builtinId="9" hidden="1"/>
    <cellStyle name="Followed Hyperlink" xfId="4639" builtinId="9" hidden="1"/>
    <cellStyle name="Followed Hyperlink" xfId="4641" builtinId="9" hidden="1"/>
    <cellStyle name="Followed Hyperlink" xfId="4643" builtinId="9" hidden="1"/>
    <cellStyle name="Followed Hyperlink" xfId="4645" builtinId="9" hidden="1"/>
    <cellStyle name="Followed Hyperlink" xfId="4647" builtinId="9" hidden="1"/>
    <cellStyle name="Followed Hyperlink" xfId="4649" builtinId="9" hidden="1"/>
    <cellStyle name="Followed Hyperlink" xfId="4651" builtinId="9" hidden="1"/>
    <cellStyle name="Followed Hyperlink" xfId="4653" builtinId="9" hidden="1"/>
    <cellStyle name="Followed Hyperlink" xfId="4655" builtinId="9" hidden="1"/>
    <cellStyle name="Followed Hyperlink" xfId="4657" builtinId="9" hidden="1"/>
    <cellStyle name="Followed Hyperlink" xfId="4659" builtinId="9" hidden="1"/>
    <cellStyle name="Followed Hyperlink" xfId="4661" builtinId="9" hidden="1"/>
    <cellStyle name="Followed Hyperlink" xfId="4663" builtinId="9" hidden="1"/>
    <cellStyle name="Followed Hyperlink" xfId="4665" builtinId="9" hidden="1"/>
    <cellStyle name="Followed Hyperlink" xfId="4667" builtinId="9" hidden="1"/>
    <cellStyle name="Followed Hyperlink" xfId="4669" builtinId="9" hidden="1"/>
    <cellStyle name="Followed Hyperlink" xfId="4671" builtinId="9" hidden="1"/>
    <cellStyle name="Followed Hyperlink" xfId="4673" builtinId="9" hidden="1"/>
    <cellStyle name="Followed Hyperlink" xfId="4675" builtinId="9" hidden="1"/>
    <cellStyle name="Followed Hyperlink" xfId="4677" builtinId="9" hidden="1"/>
    <cellStyle name="Followed Hyperlink" xfId="4679" builtinId="9" hidden="1"/>
    <cellStyle name="Followed Hyperlink" xfId="4681" builtinId="9" hidden="1"/>
    <cellStyle name="Followed Hyperlink" xfId="4683" builtinId="9" hidden="1"/>
    <cellStyle name="Followed Hyperlink" xfId="4685" builtinId="9" hidden="1"/>
    <cellStyle name="Followed Hyperlink" xfId="4687" builtinId="9" hidden="1"/>
    <cellStyle name="Followed Hyperlink" xfId="4689" builtinId="9" hidden="1"/>
    <cellStyle name="Followed Hyperlink" xfId="4691" builtinId="9" hidden="1"/>
    <cellStyle name="Followed Hyperlink" xfId="4693" builtinId="9" hidden="1"/>
    <cellStyle name="Followed Hyperlink" xfId="4695" builtinId="9" hidden="1"/>
    <cellStyle name="Followed Hyperlink" xfId="4697" builtinId="9" hidden="1"/>
    <cellStyle name="Followed Hyperlink" xfId="4699" builtinId="9" hidden="1"/>
    <cellStyle name="Followed Hyperlink" xfId="4701" builtinId="9" hidden="1"/>
    <cellStyle name="Followed Hyperlink" xfId="4703" builtinId="9" hidden="1"/>
    <cellStyle name="Followed Hyperlink" xfId="4705" builtinId="9" hidden="1"/>
    <cellStyle name="Followed Hyperlink" xfId="4707" builtinId="9" hidden="1"/>
    <cellStyle name="Followed Hyperlink" xfId="4709" builtinId="9" hidden="1"/>
    <cellStyle name="Followed Hyperlink" xfId="4711" builtinId="9" hidden="1"/>
    <cellStyle name="Followed Hyperlink" xfId="4713" builtinId="9" hidden="1"/>
    <cellStyle name="Followed Hyperlink" xfId="4715" builtinId="9" hidden="1"/>
    <cellStyle name="Followed Hyperlink" xfId="4717" builtinId="9" hidden="1"/>
    <cellStyle name="Followed Hyperlink" xfId="4719" builtinId="9" hidden="1"/>
    <cellStyle name="Followed Hyperlink" xfId="4721" builtinId="9" hidden="1"/>
    <cellStyle name="Followed Hyperlink" xfId="4723" builtinId="9" hidden="1"/>
    <cellStyle name="Followed Hyperlink" xfId="4725" builtinId="9" hidden="1"/>
    <cellStyle name="Followed Hyperlink" xfId="4727" builtinId="9" hidden="1"/>
    <cellStyle name="Followed Hyperlink" xfId="4729" builtinId="9" hidden="1"/>
    <cellStyle name="Followed Hyperlink" xfId="4731" builtinId="9" hidden="1"/>
    <cellStyle name="Followed Hyperlink" xfId="4733" builtinId="9" hidden="1"/>
    <cellStyle name="Followed Hyperlink" xfId="4735" builtinId="9" hidden="1"/>
    <cellStyle name="Followed Hyperlink" xfId="4737" builtinId="9" hidden="1"/>
    <cellStyle name="Followed Hyperlink" xfId="4739" builtinId="9" hidden="1"/>
    <cellStyle name="Followed Hyperlink" xfId="4741" builtinId="9" hidden="1"/>
    <cellStyle name="Followed Hyperlink" xfId="4743" builtinId="9" hidden="1"/>
    <cellStyle name="Followed Hyperlink" xfId="4745" builtinId="9" hidden="1"/>
    <cellStyle name="Followed Hyperlink" xfId="4747" builtinId="9" hidden="1"/>
    <cellStyle name="Followed Hyperlink" xfId="4749" builtinId="9" hidden="1"/>
    <cellStyle name="Followed Hyperlink" xfId="4751" builtinId="9" hidden="1"/>
    <cellStyle name="Followed Hyperlink" xfId="4753" builtinId="9" hidden="1"/>
    <cellStyle name="Followed Hyperlink" xfId="4755" builtinId="9" hidden="1"/>
    <cellStyle name="Followed Hyperlink" xfId="4757" builtinId="9" hidden="1"/>
    <cellStyle name="Followed Hyperlink" xfId="4759" builtinId="9" hidden="1"/>
    <cellStyle name="Followed Hyperlink" xfId="4761" builtinId="9" hidden="1"/>
    <cellStyle name="Followed Hyperlink" xfId="4763" builtinId="9" hidden="1"/>
    <cellStyle name="Followed Hyperlink" xfId="4765" builtinId="9" hidden="1"/>
    <cellStyle name="Followed Hyperlink" xfId="4767" builtinId="9" hidden="1"/>
    <cellStyle name="Followed Hyperlink" xfId="4769" builtinId="9" hidden="1"/>
    <cellStyle name="Followed Hyperlink" xfId="4771" builtinId="9" hidden="1"/>
    <cellStyle name="Followed Hyperlink" xfId="4773" builtinId="9" hidden="1"/>
    <cellStyle name="Followed Hyperlink" xfId="4775" builtinId="9" hidden="1"/>
    <cellStyle name="Followed Hyperlink" xfId="4777" builtinId="9" hidden="1"/>
    <cellStyle name="Followed Hyperlink" xfId="4779" builtinId="9" hidden="1"/>
    <cellStyle name="Followed Hyperlink" xfId="4781" builtinId="9" hidden="1"/>
    <cellStyle name="Followed Hyperlink" xfId="4783" builtinId="9" hidden="1"/>
    <cellStyle name="Followed Hyperlink" xfId="4785" builtinId="9" hidden="1"/>
    <cellStyle name="Followed Hyperlink" xfId="4787" builtinId="9" hidden="1"/>
    <cellStyle name="Followed Hyperlink" xfId="4789" builtinId="9" hidden="1"/>
    <cellStyle name="Followed Hyperlink" xfId="4791" builtinId="9" hidden="1"/>
    <cellStyle name="Followed Hyperlink" xfId="4793" builtinId="9" hidden="1"/>
    <cellStyle name="Followed Hyperlink" xfId="4795" builtinId="9" hidden="1"/>
    <cellStyle name="Followed Hyperlink" xfId="4797" builtinId="9" hidden="1"/>
    <cellStyle name="Followed Hyperlink" xfId="4799" builtinId="9" hidden="1"/>
    <cellStyle name="Followed Hyperlink" xfId="4801" builtinId="9" hidden="1"/>
    <cellStyle name="Followed Hyperlink" xfId="4803" builtinId="9" hidden="1"/>
    <cellStyle name="Followed Hyperlink" xfId="4805" builtinId="9" hidden="1"/>
    <cellStyle name="Followed Hyperlink" xfId="4807" builtinId="9" hidden="1"/>
    <cellStyle name="Followed Hyperlink" xfId="4809" builtinId="9" hidden="1"/>
    <cellStyle name="Followed Hyperlink" xfId="4811" builtinId="9" hidden="1"/>
    <cellStyle name="Followed Hyperlink" xfId="4813" builtinId="9" hidden="1"/>
    <cellStyle name="Followed Hyperlink" xfId="4815" builtinId="9" hidden="1"/>
    <cellStyle name="Followed Hyperlink" xfId="4817" builtinId="9" hidden="1"/>
    <cellStyle name="Followed Hyperlink" xfId="4819" builtinId="9" hidden="1"/>
    <cellStyle name="Followed Hyperlink" xfId="4821" builtinId="9" hidden="1"/>
    <cellStyle name="Followed Hyperlink" xfId="4823" builtinId="9" hidden="1"/>
    <cellStyle name="Followed Hyperlink" xfId="4825" builtinId="9" hidden="1"/>
    <cellStyle name="Followed Hyperlink" xfId="4827" builtinId="9" hidden="1"/>
    <cellStyle name="Followed Hyperlink" xfId="4829" builtinId="9" hidden="1"/>
    <cellStyle name="Followed Hyperlink" xfId="4831" builtinId="9" hidden="1"/>
    <cellStyle name="Followed Hyperlink" xfId="4833" builtinId="9" hidden="1"/>
    <cellStyle name="Followed Hyperlink" xfId="4835" builtinId="9" hidden="1"/>
    <cellStyle name="Followed Hyperlink" xfId="4837" builtinId="9" hidden="1"/>
    <cellStyle name="Followed Hyperlink" xfId="4839" builtinId="9" hidden="1"/>
    <cellStyle name="Followed Hyperlink" xfId="4841" builtinId="9" hidden="1"/>
    <cellStyle name="Followed Hyperlink" xfId="4843" builtinId="9" hidden="1"/>
    <cellStyle name="Followed Hyperlink" xfId="4845" builtinId="9" hidden="1"/>
    <cellStyle name="Followed Hyperlink" xfId="4847" builtinId="9" hidden="1"/>
    <cellStyle name="Followed Hyperlink" xfId="4849" builtinId="9" hidden="1"/>
    <cellStyle name="Followed Hyperlink" xfId="4851" builtinId="9" hidden="1"/>
    <cellStyle name="Followed Hyperlink" xfId="4853" builtinId="9" hidden="1"/>
    <cellStyle name="Followed Hyperlink" xfId="4855" builtinId="9" hidden="1"/>
    <cellStyle name="Followed Hyperlink" xfId="4857" builtinId="9" hidden="1"/>
    <cellStyle name="Followed Hyperlink" xfId="4859" builtinId="9" hidden="1"/>
    <cellStyle name="Followed Hyperlink" xfId="4861" builtinId="9" hidden="1"/>
    <cellStyle name="Followed Hyperlink" xfId="4863" builtinId="9" hidden="1"/>
    <cellStyle name="Followed Hyperlink" xfId="4865" builtinId="9" hidden="1"/>
    <cellStyle name="Followed Hyperlink" xfId="4867" builtinId="9" hidden="1"/>
    <cellStyle name="Followed Hyperlink" xfId="4869" builtinId="9" hidden="1"/>
    <cellStyle name="Followed Hyperlink" xfId="4871" builtinId="9" hidden="1"/>
    <cellStyle name="Followed Hyperlink" xfId="4873" builtinId="9" hidden="1"/>
    <cellStyle name="Followed Hyperlink" xfId="4875" builtinId="9" hidden="1"/>
    <cellStyle name="Followed Hyperlink" xfId="4877" builtinId="9" hidden="1"/>
    <cellStyle name="Followed Hyperlink" xfId="4879" builtinId="9" hidden="1"/>
    <cellStyle name="Followed Hyperlink" xfId="4881" builtinId="9" hidden="1"/>
    <cellStyle name="Followed Hyperlink" xfId="4883" builtinId="9" hidden="1"/>
    <cellStyle name="Followed Hyperlink" xfId="4885" builtinId="9" hidden="1"/>
    <cellStyle name="Followed Hyperlink" xfId="4887" builtinId="9" hidden="1"/>
    <cellStyle name="Followed Hyperlink" xfId="4889" builtinId="9" hidden="1"/>
    <cellStyle name="Followed Hyperlink" xfId="4891" builtinId="9" hidden="1"/>
    <cellStyle name="Followed Hyperlink" xfId="4893" builtinId="9" hidden="1"/>
    <cellStyle name="Followed Hyperlink" xfId="4895" builtinId="9" hidden="1"/>
    <cellStyle name="Followed Hyperlink" xfId="4897" builtinId="9" hidden="1"/>
    <cellStyle name="Followed Hyperlink" xfId="4899" builtinId="9" hidden="1"/>
    <cellStyle name="Followed Hyperlink" xfId="4901" builtinId="9" hidden="1"/>
    <cellStyle name="Followed Hyperlink" xfId="4903" builtinId="9" hidden="1"/>
    <cellStyle name="Followed Hyperlink" xfId="4905" builtinId="9" hidden="1"/>
    <cellStyle name="Followed Hyperlink" xfId="4907" builtinId="9" hidden="1"/>
    <cellStyle name="Followed Hyperlink" xfId="4909" builtinId="9" hidden="1"/>
    <cellStyle name="Followed Hyperlink" xfId="4911" builtinId="9" hidden="1"/>
    <cellStyle name="Followed Hyperlink" xfId="4913" builtinId="9" hidden="1"/>
    <cellStyle name="Followed Hyperlink" xfId="4915" builtinId="9" hidden="1"/>
    <cellStyle name="Followed Hyperlink" xfId="4917" builtinId="9" hidden="1"/>
    <cellStyle name="Followed Hyperlink" xfId="4919" builtinId="9" hidden="1"/>
    <cellStyle name="Followed Hyperlink" xfId="4921" builtinId="9" hidden="1"/>
    <cellStyle name="Followed Hyperlink" xfId="4923" builtinId="9" hidden="1"/>
    <cellStyle name="Followed Hyperlink" xfId="4925" builtinId="9" hidden="1"/>
    <cellStyle name="Followed Hyperlink" xfId="4927" builtinId="9" hidden="1"/>
    <cellStyle name="Followed Hyperlink" xfId="4929" builtinId="9" hidden="1"/>
    <cellStyle name="Followed Hyperlink" xfId="4931" builtinId="9" hidden="1"/>
    <cellStyle name="Followed Hyperlink" xfId="4933" builtinId="9" hidden="1"/>
    <cellStyle name="Followed Hyperlink" xfId="4935" builtinId="9" hidden="1"/>
    <cellStyle name="Followed Hyperlink" xfId="4937" builtinId="9" hidden="1"/>
    <cellStyle name="Followed Hyperlink" xfId="4939" builtinId="9" hidden="1"/>
    <cellStyle name="Followed Hyperlink" xfId="4941" builtinId="9" hidden="1"/>
    <cellStyle name="Followed Hyperlink" xfId="4943" builtinId="9" hidden="1"/>
    <cellStyle name="Followed Hyperlink" xfId="4945" builtinId="9" hidden="1"/>
    <cellStyle name="Followed Hyperlink" xfId="4947" builtinId="9" hidden="1"/>
    <cellStyle name="Followed Hyperlink" xfId="4949" builtinId="9" hidden="1"/>
    <cellStyle name="Followed Hyperlink" xfId="4951" builtinId="9" hidden="1"/>
    <cellStyle name="Followed Hyperlink" xfId="4953" builtinId="9" hidden="1"/>
    <cellStyle name="Followed Hyperlink" xfId="4955" builtinId="9" hidden="1"/>
    <cellStyle name="Followed Hyperlink" xfId="4957" builtinId="9" hidden="1"/>
    <cellStyle name="Followed Hyperlink" xfId="4959" builtinId="9" hidden="1"/>
    <cellStyle name="Followed Hyperlink" xfId="4961" builtinId="9" hidden="1"/>
    <cellStyle name="Followed Hyperlink" xfId="4963" builtinId="9" hidden="1"/>
    <cellStyle name="Followed Hyperlink" xfId="4965" builtinId="9" hidden="1"/>
    <cellStyle name="Followed Hyperlink" xfId="4967" builtinId="9" hidden="1"/>
    <cellStyle name="Followed Hyperlink" xfId="4969" builtinId="9" hidden="1"/>
    <cellStyle name="Followed Hyperlink" xfId="4971" builtinId="9" hidden="1"/>
    <cellStyle name="Followed Hyperlink" xfId="4973" builtinId="9" hidden="1"/>
    <cellStyle name="Followed Hyperlink" xfId="4975" builtinId="9" hidden="1"/>
    <cellStyle name="Followed Hyperlink" xfId="4977" builtinId="9" hidden="1"/>
    <cellStyle name="Followed Hyperlink" xfId="4979" builtinId="9" hidden="1"/>
    <cellStyle name="Followed Hyperlink" xfId="4981" builtinId="9" hidden="1"/>
    <cellStyle name="Followed Hyperlink" xfId="4983" builtinId="9" hidden="1"/>
    <cellStyle name="Followed Hyperlink" xfId="4985" builtinId="9" hidden="1"/>
    <cellStyle name="Followed Hyperlink" xfId="4987" builtinId="9" hidden="1"/>
    <cellStyle name="Followed Hyperlink" xfId="4989" builtinId="9" hidden="1"/>
    <cellStyle name="Followed Hyperlink" xfId="4991" builtinId="9" hidden="1"/>
    <cellStyle name="Followed Hyperlink" xfId="4993" builtinId="9" hidden="1"/>
    <cellStyle name="Followed Hyperlink" xfId="4995" builtinId="9" hidden="1"/>
    <cellStyle name="Followed Hyperlink" xfId="4997" builtinId="9" hidden="1"/>
    <cellStyle name="Followed Hyperlink" xfId="4999" builtinId="9" hidden="1"/>
    <cellStyle name="Followed Hyperlink" xfId="5001" builtinId="9" hidden="1"/>
    <cellStyle name="Followed Hyperlink" xfId="5003" builtinId="9" hidden="1"/>
    <cellStyle name="Followed Hyperlink" xfId="5005" builtinId="9" hidden="1"/>
    <cellStyle name="Followed Hyperlink" xfId="5007" builtinId="9" hidden="1"/>
    <cellStyle name="Followed Hyperlink" xfId="5009" builtinId="9" hidden="1"/>
    <cellStyle name="Followed Hyperlink" xfId="5011" builtinId="9" hidden="1"/>
    <cellStyle name="Followed Hyperlink" xfId="5013" builtinId="9" hidden="1"/>
    <cellStyle name="Followed Hyperlink" xfId="5015" builtinId="9" hidden="1"/>
    <cellStyle name="Followed Hyperlink" xfId="5017" builtinId="9" hidden="1"/>
    <cellStyle name="Followed Hyperlink" xfId="5019" builtinId="9" hidden="1"/>
    <cellStyle name="Followed Hyperlink" xfId="5021" builtinId="9" hidden="1"/>
    <cellStyle name="Followed Hyperlink" xfId="5023" builtinId="9" hidden="1"/>
    <cellStyle name="Followed Hyperlink" xfId="5025" builtinId="9" hidden="1"/>
    <cellStyle name="Followed Hyperlink" xfId="5027" builtinId="9" hidden="1"/>
    <cellStyle name="Followed Hyperlink" xfId="5029" builtinId="9" hidden="1"/>
    <cellStyle name="Followed Hyperlink" xfId="5031" builtinId="9" hidden="1"/>
    <cellStyle name="Followed Hyperlink" xfId="5033" builtinId="9" hidden="1"/>
    <cellStyle name="Followed Hyperlink" xfId="5035" builtinId="9" hidden="1"/>
    <cellStyle name="Followed Hyperlink" xfId="5037" builtinId="9" hidden="1"/>
    <cellStyle name="Followed Hyperlink" xfId="5039" builtinId="9" hidden="1"/>
    <cellStyle name="Followed Hyperlink" xfId="5041" builtinId="9" hidden="1"/>
    <cellStyle name="Followed Hyperlink" xfId="5043" builtinId="9" hidden="1"/>
    <cellStyle name="Followed Hyperlink" xfId="5045" builtinId="9" hidden="1"/>
    <cellStyle name="Followed Hyperlink" xfId="5047" builtinId="9" hidden="1"/>
    <cellStyle name="Followed Hyperlink" xfId="5049" builtinId="9" hidden="1"/>
    <cellStyle name="Followed Hyperlink" xfId="5051" builtinId="9" hidden="1"/>
    <cellStyle name="Followed Hyperlink" xfId="5053" builtinId="9" hidden="1"/>
    <cellStyle name="Followed Hyperlink" xfId="5055" builtinId="9" hidden="1"/>
    <cellStyle name="Followed Hyperlink" xfId="5057" builtinId="9" hidden="1"/>
    <cellStyle name="Followed Hyperlink" xfId="5059" builtinId="9" hidden="1"/>
    <cellStyle name="Followed Hyperlink" xfId="5061" builtinId="9" hidden="1"/>
    <cellStyle name="Followed Hyperlink" xfId="5063" builtinId="9" hidden="1"/>
    <cellStyle name="Followed Hyperlink" xfId="5065" builtinId="9" hidden="1"/>
    <cellStyle name="Followed Hyperlink" xfId="5067" builtinId="9" hidden="1"/>
    <cellStyle name="Followed Hyperlink" xfId="5069" builtinId="9" hidden="1"/>
    <cellStyle name="Followed Hyperlink" xfId="5071" builtinId="9" hidden="1"/>
    <cellStyle name="Followed Hyperlink" xfId="5073" builtinId="9" hidden="1"/>
    <cellStyle name="Followed Hyperlink" xfId="5075" builtinId="9" hidden="1"/>
    <cellStyle name="Followed Hyperlink" xfId="5077" builtinId="9" hidden="1"/>
    <cellStyle name="Followed Hyperlink" xfId="5079" builtinId="9" hidden="1"/>
    <cellStyle name="Followed Hyperlink" xfId="5081" builtinId="9" hidden="1"/>
    <cellStyle name="Followed Hyperlink" xfId="5083" builtinId="9" hidden="1"/>
    <cellStyle name="Followed Hyperlink" xfId="5085" builtinId="9" hidden="1"/>
    <cellStyle name="Followed Hyperlink" xfId="5087" builtinId="9" hidden="1"/>
    <cellStyle name="Followed Hyperlink" xfId="5089" builtinId="9" hidden="1"/>
    <cellStyle name="Followed Hyperlink" xfId="5091" builtinId="9" hidden="1"/>
    <cellStyle name="Followed Hyperlink" xfId="5093" builtinId="9" hidden="1"/>
    <cellStyle name="Followed Hyperlink" xfId="5095" builtinId="9" hidden="1"/>
    <cellStyle name="Followed Hyperlink" xfId="5097" builtinId="9" hidden="1"/>
    <cellStyle name="Followed Hyperlink" xfId="5099" builtinId="9" hidden="1"/>
    <cellStyle name="Followed Hyperlink" xfId="5101" builtinId="9" hidden="1"/>
    <cellStyle name="Followed Hyperlink" xfId="5103" builtinId="9" hidden="1"/>
    <cellStyle name="Followed Hyperlink" xfId="5105" builtinId="9" hidden="1"/>
    <cellStyle name="Followed Hyperlink" xfId="5107" builtinId="9" hidden="1"/>
    <cellStyle name="Followed Hyperlink" xfId="5109" builtinId="9" hidden="1"/>
    <cellStyle name="Followed Hyperlink" xfId="5111" builtinId="9" hidden="1"/>
    <cellStyle name="Followed Hyperlink" xfId="5113" builtinId="9" hidden="1"/>
    <cellStyle name="Followed Hyperlink" xfId="5115" builtinId="9" hidden="1"/>
    <cellStyle name="Followed Hyperlink" xfId="5117" builtinId="9" hidden="1"/>
    <cellStyle name="Followed Hyperlink" xfId="5119" builtinId="9" hidden="1"/>
    <cellStyle name="Followed Hyperlink" xfId="5121" builtinId="9" hidden="1"/>
    <cellStyle name="Followed Hyperlink" xfId="5123" builtinId="9" hidden="1"/>
    <cellStyle name="Followed Hyperlink" xfId="5125" builtinId="9" hidden="1"/>
    <cellStyle name="Followed Hyperlink" xfId="5127" builtinId="9" hidden="1"/>
    <cellStyle name="Followed Hyperlink" xfId="5129" builtinId="9" hidden="1"/>
    <cellStyle name="Followed Hyperlink" xfId="5131" builtinId="9" hidden="1"/>
    <cellStyle name="Followed Hyperlink" xfId="5133" builtinId="9" hidden="1"/>
    <cellStyle name="Followed Hyperlink" xfId="5135" builtinId="9" hidden="1"/>
    <cellStyle name="Followed Hyperlink" xfId="5137" builtinId="9" hidden="1"/>
    <cellStyle name="Followed Hyperlink" xfId="5139" builtinId="9" hidden="1"/>
    <cellStyle name="Followed Hyperlink" xfId="5141" builtinId="9" hidden="1"/>
    <cellStyle name="Followed Hyperlink" xfId="5143" builtinId="9" hidden="1"/>
    <cellStyle name="Followed Hyperlink" xfId="5145" builtinId="9" hidden="1"/>
    <cellStyle name="Followed Hyperlink" xfId="5147" builtinId="9" hidden="1"/>
    <cellStyle name="Followed Hyperlink" xfId="5149" builtinId="9" hidden="1"/>
    <cellStyle name="Followed Hyperlink" xfId="5151" builtinId="9" hidden="1"/>
    <cellStyle name="Followed Hyperlink" xfId="5153" builtinId="9" hidden="1"/>
    <cellStyle name="Followed Hyperlink" xfId="5155" builtinId="9" hidden="1"/>
    <cellStyle name="Followed Hyperlink" xfId="5157" builtinId="9" hidden="1"/>
    <cellStyle name="Followed Hyperlink" xfId="5159" builtinId="9" hidden="1"/>
    <cellStyle name="Followed Hyperlink" xfId="5161" builtinId="9" hidden="1"/>
    <cellStyle name="Followed Hyperlink" xfId="5163" builtinId="9" hidden="1"/>
    <cellStyle name="Followed Hyperlink" xfId="5165" builtinId="9" hidden="1"/>
    <cellStyle name="Followed Hyperlink" xfId="5167" builtinId="9" hidden="1"/>
    <cellStyle name="Followed Hyperlink" xfId="5169" builtinId="9" hidden="1"/>
    <cellStyle name="Followed Hyperlink" xfId="5170" builtinId="9" hidden="1"/>
    <cellStyle name="Followed Hyperlink" xfId="5171" builtinId="9" hidden="1"/>
    <cellStyle name="Followed Hyperlink" xfId="5172" builtinId="9" hidden="1"/>
    <cellStyle name="Followed Hyperlink" xfId="5173" builtinId="9" hidden="1"/>
    <cellStyle name="Followed Hyperlink" xfId="5174" builtinId="9" hidden="1"/>
    <cellStyle name="Followed Hyperlink" xfId="5175" builtinId="9" hidden="1"/>
    <cellStyle name="Followed Hyperlink" xfId="5176" builtinId="9" hidden="1"/>
    <cellStyle name="Followed Hyperlink" xfId="5177" builtinId="9" hidden="1"/>
    <cellStyle name="Followed Hyperlink" xfId="5178" builtinId="9" hidden="1"/>
    <cellStyle name="Followed Hyperlink" xfId="5179" builtinId="9" hidden="1"/>
    <cellStyle name="Followed Hyperlink" xfId="5180" builtinId="9" hidden="1"/>
    <cellStyle name="Followed Hyperlink" xfId="5181" builtinId="9" hidden="1"/>
    <cellStyle name="Followed Hyperlink" xfId="5183" builtinId="9" hidden="1"/>
    <cellStyle name="Followed Hyperlink" xfId="5185" builtinId="9" hidden="1"/>
    <cellStyle name="Followed Hyperlink" xfId="5187" builtinId="9" hidden="1"/>
    <cellStyle name="Followed Hyperlink" xfId="5189" builtinId="9" hidden="1"/>
    <cellStyle name="Followed Hyperlink" xfId="5191" builtinId="9" hidden="1"/>
    <cellStyle name="Followed Hyperlink" xfId="5193" builtinId="9" hidden="1"/>
    <cellStyle name="Followed Hyperlink" xfId="5195" builtinId="9" hidden="1"/>
    <cellStyle name="Followed Hyperlink" xfId="5197" builtinId="9" hidden="1"/>
    <cellStyle name="Followed Hyperlink" xfId="5199" builtinId="9" hidden="1"/>
    <cellStyle name="Followed Hyperlink" xfId="5201" builtinId="9" hidden="1"/>
    <cellStyle name="Followed Hyperlink" xfId="5203" builtinId="9" hidden="1"/>
    <cellStyle name="Followed Hyperlink" xfId="5205" builtinId="9" hidden="1"/>
    <cellStyle name="Followed Hyperlink" xfId="5207" builtinId="9" hidden="1"/>
    <cellStyle name="Followed Hyperlink" xfId="5209" builtinId="9" hidden="1"/>
    <cellStyle name="Followed Hyperlink" xfId="5211" builtinId="9" hidden="1"/>
    <cellStyle name="Followed Hyperlink" xfId="5213" builtinId="9" hidden="1"/>
    <cellStyle name="Followed Hyperlink" xfId="5215" builtinId="9" hidden="1"/>
    <cellStyle name="Followed Hyperlink" xfId="5217" builtinId="9" hidden="1"/>
    <cellStyle name="Followed Hyperlink" xfId="5219" builtinId="9" hidden="1"/>
    <cellStyle name="Followed Hyperlink" xfId="5221" builtinId="9" hidden="1"/>
    <cellStyle name="Followed Hyperlink" xfId="5223" builtinId="9" hidden="1"/>
    <cellStyle name="Followed Hyperlink" xfId="5225" builtinId="9" hidden="1"/>
    <cellStyle name="Followed Hyperlink" xfId="5227" builtinId="9" hidden="1"/>
    <cellStyle name="Followed Hyperlink" xfId="5229" builtinId="9" hidden="1"/>
    <cellStyle name="Followed Hyperlink" xfId="5231" builtinId="9" hidden="1"/>
    <cellStyle name="Followed Hyperlink" xfId="5233" builtinId="9" hidden="1"/>
    <cellStyle name="Followed Hyperlink" xfId="5235" builtinId="9" hidden="1"/>
    <cellStyle name="Followed Hyperlink" xfId="5237" builtinId="9" hidden="1"/>
    <cellStyle name="Followed Hyperlink" xfId="5239" builtinId="9" hidden="1"/>
    <cellStyle name="Followed Hyperlink" xfId="5241" builtinId="9" hidden="1"/>
    <cellStyle name="Followed Hyperlink" xfId="5243" builtinId="9" hidden="1"/>
    <cellStyle name="Followed Hyperlink" xfId="5245" builtinId="9" hidden="1"/>
    <cellStyle name="Followed Hyperlink" xfId="5247" builtinId="9" hidden="1"/>
    <cellStyle name="Followed Hyperlink" xfId="5249" builtinId="9" hidden="1"/>
    <cellStyle name="Followed Hyperlink" xfId="5251" builtinId="9" hidden="1"/>
    <cellStyle name="Followed Hyperlink" xfId="5253" builtinId="9" hidden="1"/>
    <cellStyle name="Followed Hyperlink" xfId="5255" builtinId="9" hidden="1"/>
    <cellStyle name="Followed Hyperlink" xfId="5257" builtinId="9" hidden="1"/>
    <cellStyle name="Followed Hyperlink" xfId="5259" builtinId="9" hidden="1"/>
    <cellStyle name="Followed Hyperlink" xfId="5261" builtinId="9" hidden="1"/>
    <cellStyle name="Followed Hyperlink" xfId="5263" builtinId="9" hidden="1"/>
    <cellStyle name="Followed Hyperlink" xfId="5265" builtinId="9" hidden="1"/>
    <cellStyle name="Followed Hyperlink" xfId="5267" builtinId="9" hidden="1"/>
    <cellStyle name="Followed Hyperlink" xfId="5269" builtinId="9" hidden="1"/>
    <cellStyle name="Followed Hyperlink" xfId="5271" builtinId="9" hidden="1"/>
    <cellStyle name="Followed Hyperlink" xfId="5273" builtinId="9" hidden="1"/>
    <cellStyle name="Followed Hyperlink" xfId="5275" builtinId="9" hidden="1"/>
    <cellStyle name="Followed Hyperlink" xfId="5277" builtinId="9" hidden="1"/>
    <cellStyle name="Followed Hyperlink" xfId="5279" builtinId="9" hidden="1"/>
    <cellStyle name="Followed Hyperlink" xfId="5281" builtinId="9" hidden="1"/>
    <cellStyle name="Followed Hyperlink" xfId="5283" builtinId="9" hidden="1"/>
    <cellStyle name="Followed Hyperlink" xfId="5285" builtinId="9" hidden="1"/>
    <cellStyle name="Followed Hyperlink" xfId="5287" builtinId="9" hidden="1"/>
    <cellStyle name="Followed Hyperlink" xfId="5289" builtinId="9" hidden="1"/>
    <cellStyle name="Followed Hyperlink" xfId="5291" builtinId="9" hidden="1"/>
    <cellStyle name="Followed Hyperlink" xfId="5293" builtinId="9" hidden="1"/>
    <cellStyle name="Followed Hyperlink" xfId="5295" builtinId="9" hidden="1"/>
    <cellStyle name="Followed Hyperlink" xfId="5297" builtinId="9" hidden="1"/>
    <cellStyle name="Followed Hyperlink" xfId="5299" builtinId="9" hidden="1"/>
    <cellStyle name="Followed Hyperlink" xfId="5301" builtinId="9" hidden="1"/>
    <cellStyle name="Followed Hyperlink" xfId="5303" builtinId="9" hidden="1"/>
    <cellStyle name="Followed Hyperlink" xfId="5305" builtinId="9" hidden="1"/>
    <cellStyle name="Followed Hyperlink" xfId="5307" builtinId="9" hidden="1"/>
    <cellStyle name="Followed Hyperlink" xfId="5309" builtinId="9" hidden="1"/>
    <cellStyle name="Followed Hyperlink" xfId="5311" builtinId="9" hidden="1"/>
    <cellStyle name="Followed Hyperlink" xfId="5313" builtinId="9" hidden="1"/>
    <cellStyle name="Followed Hyperlink" xfId="5315" builtinId="9" hidden="1"/>
    <cellStyle name="Followed Hyperlink" xfId="5317" builtinId="9" hidden="1"/>
    <cellStyle name="Followed Hyperlink" xfId="5319" builtinId="9" hidden="1"/>
    <cellStyle name="Followed Hyperlink" xfId="5321" builtinId="9" hidden="1"/>
    <cellStyle name="Followed Hyperlink" xfId="5323" builtinId="9" hidden="1"/>
    <cellStyle name="Followed Hyperlink" xfId="5325" builtinId="9" hidden="1"/>
    <cellStyle name="Followed Hyperlink" xfId="5327" builtinId="9" hidden="1"/>
    <cellStyle name="Followed Hyperlink" xfId="5329" builtinId="9" hidden="1"/>
    <cellStyle name="Followed Hyperlink" xfId="5331" builtinId="9" hidden="1"/>
    <cellStyle name="Followed Hyperlink" xfId="5333" builtinId="9" hidden="1"/>
    <cellStyle name="Followed Hyperlink" xfId="5335" builtinId="9" hidden="1"/>
    <cellStyle name="Followed Hyperlink" xfId="5337" builtinId="9" hidden="1"/>
    <cellStyle name="Followed Hyperlink" xfId="5339" builtinId="9" hidden="1"/>
    <cellStyle name="Followed Hyperlink" xfId="5341" builtinId="9" hidden="1"/>
    <cellStyle name="Followed Hyperlink" xfId="5343" builtinId="9" hidden="1"/>
    <cellStyle name="Followed Hyperlink" xfId="5345" builtinId="9" hidden="1"/>
    <cellStyle name="Followed Hyperlink" xfId="5347" builtinId="9" hidden="1"/>
    <cellStyle name="Followed Hyperlink" xfId="5349" builtinId="9" hidden="1"/>
    <cellStyle name="Followed Hyperlink" xfId="5351" builtinId="9" hidden="1"/>
    <cellStyle name="Followed Hyperlink" xfId="5353" builtinId="9" hidden="1"/>
    <cellStyle name="Followed Hyperlink" xfId="5355" builtinId="9" hidden="1"/>
    <cellStyle name="Followed Hyperlink" xfId="5357" builtinId="9" hidden="1"/>
    <cellStyle name="Followed Hyperlink" xfId="5359" builtinId="9" hidden="1"/>
    <cellStyle name="Followed Hyperlink" xfId="5361" builtinId="9" hidden="1"/>
    <cellStyle name="Followed Hyperlink" xfId="5363" builtinId="9" hidden="1"/>
    <cellStyle name="Followed Hyperlink" xfId="5365" builtinId="9" hidden="1"/>
    <cellStyle name="Followed Hyperlink" xfId="5367" builtinId="9" hidden="1"/>
    <cellStyle name="Followed Hyperlink" xfId="5369" builtinId="9" hidden="1"/>
    <cellStyle name="Followed Hyperlink" xfId="5371" builtinId="9" hidden="1"/>
    <cellStyle name="Followed Hyperlink" xfId="5373" builtinId="9" hidden="1"/>
    <cellStyle name="Followed Hyperlink" xfId="5375" builtinId="9" hidden="1"/>
    <cellStyle name="Followed Hyperlink" xfId="5377" builtinId="9" hidden="1"/>
    <cellStyle name="Followed Hyperlink" xfId="5379" builtinId="9" hidden="1"/>
    <cellStyle name="Followed Hyperlink" xfId="5381" builtinId="9" hidden="1"/>
    <cellStyle name="Followed Hyperlink" xfId="5383" builtinId="9" hidden="1"/>
    <cellStyle name="Followed Hyperlink" xfId="5385" builtinId="9" hidden="1"/>
    <cellStyle name="Followed Hyperlink" xfId="5387" builtinId="9" hidden="1"/>
    <cellStyle name="Followed Hyperlink" xfId="5389" builtinId="9" hidden="1"/>
    <cellStyle name="Followed Hyperlink" xfId="5391" builtinId="9" hidden="1"/>
    <cellStyle name="Followed Hyperlink" xfId="5393" builtinId="9" hidden="1"/>
    <cellStyle name="Followed Hyperlink" xfId="5395" builtinId="9" hidden="1"/>
    <cellStyle name="Followed Hyperlink" xfId="5397" builtinId="9" hidden="1"/>
    <cellStyle name="Followed Hyperlink" xfId="5399" builtinId="9" hidden="1"/>
    <cellStyle name="Followed Hyperlink" xfId="5401" builtinId="9" hidden="1"/>
    <cellStyle name="Followed Hyperlink" xfId="5403" builtinId="9" hidden="1"/>
    <cellStyle name="Followed Hyperlink" xfId="5405" builtinId="9" hidden="1"/>
    <cellStyle name="Followed Hyperlink" xfId="5407" builtinId="9" hidden="1"/>
    <cellStyle name="Followed Hyperlink" xfId="5409" builtinId="9" hidden="1"/>
    <cellStyle name="Followed Hyperlink" xfId="5411" builtinId="9" hidden="1"/>
    <cellStyle name="Followed Hyperlink" xfId="5413" builtinId="9" hidden="1"/>
    <cellStyle name="Followed Hyperlink" xfId="5415" builtinId="9" hidden="1"/>
    <cellStyle name="Followed Hyperlink" xfId="5417" builtinId="9" hidden="1"/>
    <cellStyle name="Followed Hyperlink" xfId="5419" builtinId="9" hidden="1"/>
    <cellStyle name="Followed Hyperlink" xfId="5421" builtinId="9" hidden="1"/>
    <cellStyle name="Followed Hyperlink" xfId="5423" builtinId="9" hidden="1"/>
    <cellStyle name="Followed Hyperlink" xfId="5425" builtinId="9" hidden="1"/>
    <cellStyle name="Followed Hyperlink" xfId="5427" builtinId="9" hidden="1"/>
    <cellStyle name="Followed Hyperlink" xfId="5429" builtinId="9" hidden="1"/>
    <cellStyle name="Followed Hyperlink" xfId="5431" builtinId="9" hidden="1"/>
    <cellStyle name="Followed Hyperlink" xfId="5433" builtinId="9" hidden="1"/>
    <cellStyle name="Followed Hyperlink" xfId="5435" builtinId="9" hidden="1"/>
    <cellStyle name="Followed Hyperlink" xfId="5437" builtinId="9" hidden="1"/>
    <cellStyle name="Followed Hyperlink" xfId="5439" builtinId="9" hidden="1"/>
    <cellStyle name="Followed Hyperlink" xfId="5441" builtinId="9" hidden="1"/>
    <cellStyle name="Followed Hyperlink" xfId="5443" builtinId="9" hidden="1"/>
    <cellStyle name="Followed Hyperlink" xfId="5445" builtinId="9" hidden="1"/>
    <cellStyle name="Followed Hyperlink" xfId="5447" builtinId="9" hidden="1"/>
    <cellStyle name="Followed Hyperlink" xfId="5449" builtinId="9" hidden="1"/>
    <cellStyle name="Followed Hyperlink" xfId="5451" builtinId="9" hidden="1"/>
    <cellStyle name="Followed Hyperlink" xfId="5453" builtinId="9" hidden="1"/>
    <cellStyle name="Followed Hyperlink" xfId="5455" builtinId="9" hidden="1"/>
    <cellStyle name="Followed Hyperlink" xfId="5457" builtinId="9" hidden="1"/>
    <cellStyle name="Followed Hyperlink" xfId="5459" builtinId="9" hidden="1"/>
    <cellStyle name="Followed Hyperlink" xfId="5461" builtinId="9" hidden="1"/>
    <cellStyle name="Followed Hyperlink" xfId="5463" builtinId="9" hidden="1"/>
    <cellStyle name="Followed Hyperlink" xfId="5465" builtinId="9" hidden="1"/>
    <cellStyle name="Followed Hyperlink" xfId="5467" builtinId="9" hidden="1"/>
    <cellStyle name="Followed Hyperlink" xfId="5469" builtinId="9" hidden="1"/>
    <cellStyle name="Followed Hyperlink" xfId="5471" builtinId="9" hidden="1"/>
    <cellStyle name="Followed Hyperlink" xfId="5473" builtinId="9" hidden="1"/>
    <cellStyle name="Followed Hyperlink" xfId="5475" builtinId="9" hidden="1"/>
    <cellStyle name="Followed Hyperlink" xfId="5477" builtinId="9" hidden="1"/>
    <cellStyle name="Followed Hyperlink" xfId="5479" builtinId="9" hidden="1"/>
    <cellStyle name="Followed Hyperlink" xfId="5481" builtinId="9" hidden="1"/>
    <cellStyle name="Followed Hyperlink" xfId="5483" builtinId="9" hidden="1"/>
    <cellStyle name="Followed Hyperlink" xfId="5485" builtinId="9" hidden="1"/>
    <cellStyle name="Followed Hyperlink" xfId="5487" builtinId="9" hidden="1"/>
    <cellStyle name="Followed Hyperlink" xfId="5489" builtinId="9" hidden="1"/>
    <cellStyle name="Followed Hyperlink" xfId="5491" builtinId="9" hidden="1"/>
    <cellStyle name="Followed Hyperlink" xfId="5493" builtinId="9" hidden="1"/>
    <cellStyle name="Followed Hyperlink" xfId="5495" builtinId="9" hidden="1"/>
    <cellStyle name="Followed Hyperlink" xfId="5497" builtinId="9" hidden="1"/>
    <cellStyle name="Followed Hyperlink" xfId="5499" builtinId="9" hidden="1"/>
    <cellStyle name="Followed Hyperlink" xfId="5501" builtinId="9" hidden="1"/>
    <cellStyle name="Followed Hyperlink" xfId="5503" builtinId="9" hidden="1"/>
    <cellStyle name="Followed Hyperlink" xfId="5505" builtinId="9" hidden="1"/>
    <cellStyle name="Followed Hyperlink" xfId="5507" builtinId="9" hidden="1"/>
    <cellStyle name="Followed Hyperlink" xfId="5509" builtinId="9" hidden="1"/>
    <cellStyle name="Followed Hyperlink" xfId="5511" builtinId="9" hidden="1"/>
    <cellStyle name="Followed Hyperlink" xfId="5513" builtinId="9" hidden="1"/>
    <cellStyle name="Followed Hyperlink" xfId="5515" builtinId="9" hidden="1"/>
    <cellStyle name="Followed Hyperlink" xfId="5517" builtinId="9" hidden="1"/>
    <cellStyle name="Followed Hyperlink" xfId="5519" builtinId="9" hidden="1"/>
    <cellStyle name="Followed Hyperlink" xfId="5521" builtinId="9" hidden="1"/>
    <cellStyle name="Followed Hyperlink" xfId="5523" builtinId="9" hidden="1"/>
    <cellStyle name="Followed Hyperlink" xfId="5525" builtinId="9" hidden="1"/>
    <cellStyle name="Followed Hyperlink" xfId="5527" builtinId="9" hidden="1"/>
    <cellStyle name="Followed Hyperlink" xfId="5529" builtinId="9" hidden="1"/>
    <cellStyle name="Followed Hyperlink" xfId="5531" builtinId="9" hidden="1"/>
    <cellStyle name="Followed Hyperlink" xfId="5533" builtinId="9" hidden="1"/>
    <cellStyle name="Followed Hyperlink" xfId="5535" builtinId="9" hidden="1"/>
    <cellStyle name="Followed Hyperlink" xfId="5537" builtinId="9" hidden="1"/>
    <cellStyle name="Followed Hyperlink" xfId="5539" builtinId="9" hidden="1"/>
    <cellStyle name="Followed Hyperlink" xfId="5541" builtinId="9" hidden="1"/>
    <cellStyle name="Followed Hyperlink" xfId="5543" builtinId="9" hidden="1"/>
    <cellStyle name="Followed Hyperlink" xfId="5545" builtinId="9" hidden="1"/>
    <cellStyle name="Followed Hyperlink" xfId="5547" builtinId="9" hidden="1"/>
    <cellStyle name="Followed Hyperlink" xfId="5549" builtinId="9" hidden="1"/>
    <cellStyle name="Followed Hyperlink" xfId="5551" builtinId="9" hidden="1"/>
    <cellStyle name="Followed Hyperlink" xfId="5553" builtinId="9" hidden="1"/>
    <cellStyle name="Followed Hyperlink" xfId="5555" builtinId="9" hidden="1"/>
    <cellStyle name="Followed Hyperlink" xfId="5557" builtinId="9" hidden="1"/>
    <cellStyle name="Followed Hyperlink" xfId="5559" builtinId="9" hidden="1"/>
    <cellStyle name="Followed Hyperlink" xfId="5561" builtinId="9" hidden="1"/>
    <cellStyle name="Followed Hyperlink" xfId="5563" builtinId="9" hidden="1"/>
    <cellStyle name="Followed Hyperlink" xfId="5565" builtinId="9" hidden="1"/>
    <cellStyle name="Followed Hyperlink" xfId="5567" builtinId="9" hidden="1"/>
    <cellStyle name="Followed Hyperlink" xfId="5569" builtinId="9" hidden="1"/>
    <cellStyle name="Followed Hyperlink" xfId="5571" builtinId="9" hidden="1"/>
    <cellStyle name="Followed Hyperlink" xfId="5573" builtinId="9" hidden="1"/>
    <cellStyle name="Followed Hyperlink" xfId="5575" builtinId="9" hidden="1"/>
    <cellStyle name="Followed Hyperlink" xfId="5577" builtinId="9" hidden="1"/>
    <cellStyle name="Followed Hyperlink" xfId="5579" builtinId="9" hidden="1"/>
    <cellStyle name="Followed Hyperlink" xfId="5581" builtinId="9" hidden="1"/>
    <cellStyle name="Followed Hyperlink" xfId="5583" builtinId="9" hidden="1"/>
    <cellStyle name="Followed Hyperlink" xfId="5585" builtinId="9" hidden="1"/>
    <cellStyle name="Followed Hyperlink" xfId="5587" builtinId="9" hidden="1"/>
    <cellStyle name="Followed Hyperlink" xfId="5589" builtinId="9" hidden="1"/>
    <cellStyle name="Followed Hyperlink" xfId="5591" builtinId="9" hidden="1"/>
    <cellStyle name="Followed Hyperlink" xfId="5593" builtinId="9" hidden="1"/>
    <cellStyle name="Followed Hyperlink" xfId="5595" builtinId="9" hidden="1"/>
    <cellStyle name="Followed Hyperlink" xfId="5597" builtinId="9" hidden="1"/>
    <cellStyle name="Followed Hyperlink" xfId="5599" builtinId="9" hidden="1"/>
    <cellStyle name="Followed Hyperlink" xfId="5601" builtinId="9" hidden="1"/>
    <cellStyle name="Followed Hyperlink" xfId="5603" builtinId="9" hidden="1"/>
    <cellStyle name="Followed Hyperlink" xfId="5605" builtinId="9" hidden="1"/>
    <cellStyle name="Followed Hyperlink" xfId="5607" builtinId="9" hidden="1"/>
    <cellStyle name="Followed Hyperlink" xfId="5609" builtinId="9" hidden="1"/>
    <cellStyle name="Followed Hyperlink" xfId="5611" builtinId="9" hidden="1"/>
    <cellStyle name="Followed Hyperlink" xfId="5613" builtinId="9" hidden="1"/>
    <cellStyle name="Followed Hyperlink" xfId="5615" builtinId="9" hidden="1"/>
    <cellStyle name="Followed Hyperlink" xfId="5617" builtinId="9" hidden="1"/>
    <cellStyle name="Followed Hyperlink" xfId="5619" builtinId="9" hidden="1"/>
    <cellStyle name="Followed Hyperlink" xfId="5621" builtinId="9" hidden="1"/>
    <cellStyle name="Followed Hyperlink" xfId="5623" builtinId="9" hidden="1"/>
    <cellStyle name="Followed Hyperlink" xfId="5625" builtinId="9" hidden="1"/>
    <cellStyle name="Followed Hyperlink" xfId="5627" builtinId="9" hidden="1"/>
    <cellStyle name="Followed Hyperlink" xfId="5629" builtinId="9" hidden="1"/>
    <cellStyle name="Followed Hyperlink" xfId="5631" builtinId="9" hidden="1"/>
    <cellStyle name="Followed Hyperlink" xfId="5633" builtinId="9" hidden="1"/>
    <cellStyle name="Followed Hyperlink" xfId="5635" builtinId="9" hidden="1"/>
    <cellStyle name="Followed Hyperlink" xfId="5637" builtinId="9" hidden="1"/>
    <cellStyle name="Followed Hyperlink" xfId="5639" builtinId="9" hidden="1"/>
    <cellStyle name="Followed Hyperlink" xfId="5641" builtinId="9" hidden="1"/>
    <cellStyle name="Followed Hyperlink" xfId="5643" builtinId="9" hidden="1"/>
    <cellStyle name="Followed Hyperlink" xfId="5645" builtinId="9" hidden="1"/>
    <cellStyle name="Followed Hyperlink" xfId="5647" builtinId="9" hidden="1"/>
    <cellStyle name="Followed Hyperlink" xfId="5649" builtinId="9" hidden="1"/>
    <cellStyle name="Followed Hyperlink" xfId="5651" builtinId="9" hidden="1"/>
    <cellStyle name="Followed Hyperlink" xfId="5653" builtinId="9" hidden="1"/>
    <cellStyle name="Followed Hyperlink" xfId="5655" builtinId="9" hidden="1"/>
    <cellStyle name="Followed Hyperlink" xfId="5657" builtinId="9" hidden="1"/>
    <cellStyle name="Followed Hyperlink" xfId="5659" builtinId="9" hidden="1"/>
    <cellStyle name="Followed Hyperlink" xfId="5661" builtinId="9" hidden="1"/>
    <cellStyle name="Followed Hyperlink" xfId="5663" builtinId="9" hidden="1"/>
    <cellStyle name="Followed Hyperlink" xfId="5665" builtinId="9" hidden="1"/>
    <cellStyle name="Followed Hyperlink" xfId="5667" builtinId="9" hidden="1"/>
    <cellStyle name="Followed Hyperlink" xfId="5669" builtinId="9" hidden="1"/>
    <cellStyle name="Followed Hyperlink" xfId="5671" builtinId="9" hidden="1"/>
    <cellStyle name="Followed Hyperlink" xfId="5673" builtinId="9" hidden="1"/>
    <cellStyle name="Followed Hyperlink" xfId="5675" builtinId="9" hidden="1"/>
    <cellStyle name="Followed Hyperlink" xfId="5677" builtinId="9" hidden="1"/>
    <cellStyle name="Followed Hyperlink" xfId="5679" builtinId="9" hidden="1"/>
    <cellStyle name="Followed Hyperlink" xfId="5681" builtinId="9" hidden="1"/>
    <cellStyle name="Followed Hyperlink" xfId="5683" builtinId="9" hidden="1"/>
    <cellStyle name="Followed Hyperlink" xfId="5685" builtinId="9" hidden="1"/>
    <cellStyle name="Followed Hyperlink" xfId="5687" builtinId="9" hidden="1"/>
    <cellStyle name="Followed Hyperlink" xfId="5689" builtinId="9" hidden="1"/>
    <cellStyle name="Followed Hyperlink" xfId="5691" builtinId="9" hidden="1"/>
    <cellStyle name="Followed Hyperlink" xfId="5693" builtinId="9" hidden="1"/>
    <cellStyle name="Followed Hyperlink" xfId="5695" builtinId="9" hidden="1"/>
    <cellStyle name="Followed Hyperlink" xfId="5697" builtinId="9" hidden="1"/>
    <cellStyle name="Followed Hyperlink" xfId="5699" builtinId="9" hidden="1"/>
    <cellStyle name="Followed Hyperlink" xfId="5701" builtinId="9" hidden="1"/>
    <cellStyle name="Followed Hyperlink" xfId="5703" builtinId="9" hidden="1"/>
    <cellStyle name="Followed Hyperlink" xfId="5705" builtinId="9" hidden="1"/>
    <cellStyle name="Followed Hyperlink" xfId="5707" builtinId="9" hidden="1"/>
    <cellStyle name="Followed Hyperlink" xfId="5709" builtinId="9" hidden="1"/>
    <cellStyle name="Followed Hyperlink" xfId="5711" builtinId="9" hidden="1"/>
    <cellStyle name="Followed Hyperlink" xfId="5713" builtinId="9" hidden="1"/>
    <cellStyle name="Followed Hyperlink" xfId="5715" builtinId="9" hidden="1"/>
    <cellStyle name="Followed Hyperlink" xfId="5717" builtinId="9" hidden="1"/>
    <cellStyle name="Followed Hyperlink" xfId="5719" builtinId="9" hidden="1"/>
    <cellStyle name="Followed Hyperlink" xfId="5721" builtinId="9" hidden="1"/>
    <cellStyle name="Followed Hyperlink" xfId="5723" builtinId="9" hidden="1"/>
    <cellStyle name="Followed Hyperlink" xfId="5725" builtinId="9" hidden="1"/>
    <cellStyle name="Followed Hyperlink" xfId="5727" builtinId="9" hidden="1"/>
    <cellStyle name="Followed Hyperlink" xfId="5729" builtinId="9" hidden="1"/>
    <cellStyle name="Followed Hyperlink" xfId="5731" builtinId="9" hidden="1"/>
    <cellStyle name="Followed Hyperlink" xfId="5733" builtinId="9" hidden="1"/>
    <cellStyle name="Followed Hyperlink" xfId="5735" builtinId="9" hidden="1"/>
    <cellStyle name="Followed Hyperlink" xfId="5737" builtinId="9" hidden="1"/>
    <cellStyle name="Followed Hyperlink" xfId="5739" builtinId="9" hidden="1"/>
    <cellStyle name="Followed Hyperlink" xfId="5741" builtinId="9" hidden="1"/>
    <cellStyle name="Followed Hyperlink" xfId="5743" builtinId="9" hidden="1"/>
    <cellStyle name="Followed Hyperlink" xfId="5745" builtinId="9" hidden="1"/>
    <cellStyle name="Followed Hyperlink" xfId="5747" builtinId="9" hidden="1"/>
    <cellStyle name="Followed Hyperlink" xfId="5749" builtinId="9" hidden="1"/>
    <cellStyle name="Followed Hyperlink" xfId="5751" builtinId="9" hidden="1"/>
    <cellStyle name="Followed Hyperlink" xfId="5753" builtinId="9" hidden="1"/>
    <cellStyle name="Followed Hyperlink" xfId="5755" builtinId="9" hidden="1"/>
    <cellStyle name="Followed Hyperlink" xfId="5757" builtinId="9" hidden="1"/>
    <cellStyle name="Followed Hyperlink" xfId="5759" builtinId="9" hidden="1"/>
    <cellStyle name="Followed Hyperlink" xfId="5761" builtinId="9" hidden="1"/>
    <cellStyle name="Followed Hyperlink" xfId="5763" builtinId="9" hidden="1"/>
    <cellStyle name="Followed Hyperlink" xfId="5765" builtinId="9" hidden="1"/>
    <cellStyle name="Followed Hyperlink" xfId="5767" builtinId="9" hidden="1"/>
    <cellStyle name="Followed Hyperlink" xfId="5769" builtinId="9" hidden="1"/>
    <cellStyle name="Followed Hyperlink" xfId="5771" builtinId="9" hidden="1"/>
    <cellStyle name="Followed Hyperlink" xfId="5773" builtinId="9" hidden="1"/>
    <cellStyle name="Followed Hyperlink" xfId="5775" builtinId="9" hidden="1"/>
    <cellStyle name="Followed Hyperlink" xfId="5777" builtinId="9" hidden="1"/>
    <cellStyle name="Followed Hyperlink" xfId="5779" builtinId="9" hidden="1"/>
    <cellStyle name="Followed Hyperlink" xfId="5781" builtinId="9" hidden="1"/>
    <cellStyle name="Followed Hyperlink" xfId="5783" builtinId="9" hidden="1"/>
    <cellStyle name="Followed Hyperlink" xfId="5785" builtinId="9" hidden="1"/>
    <cellStyle name="Followed Hyperlink" xfId="5787" builtinId="9" hidden="1"/>
    <cellStyle name="Followed Hyperlink" xfId="5789" builtinId="9" hidden="1"/>
    <cellStyle name="Followed Hyperlink" xfId="5791" builtinId="9" hidden="1"/>
    <cellStyle name="Followed Hyperlink" xfId="5793" builtinId="9" hidden="1"/>
    <cellStyle name="Followed Hyperlink" xfId="5795" builtinId="9" hidden="1"/>
    <cellStyle name="Followed Hyperlink" xfId="5797" builtinId="9" hidden="1"/>
    <cellStyle name="Followed Hyperlink" xfId="5799" builtinId="9" hidden="1"/>
    <cellStyle name="Followed Hyperlink" xfId="5801" builtinId="9" hidden="1"/>
    <cellStyle name="Followed Hyperlink" xfId="5803" builtinId="9" hidden="1"/>
    <cellStyle name="Followed Hyperlink" xfId="5805" builtinId="9" hidden="1"/>
    <cellStyle name="Followed Hyperlink" xfId="5807" builtinId="9" hidden="1"/>
    <cellStyle name="Followed Hyperlink" xfId="5809" builtinId="9" hidden="1"/>
    <cellStyle name="Followed Hyperlink" xfId="5811" builtinId="9" hidden="1"/>
    <cellStyle name="Followed Hyperlink" xfId="5813" builtinId="9" hidden="1"/>
    <cellStyle name="Followed Hyperlink" xfId="5815" builtinId="9" hidden="1"/>
    <cellStyle name="Followed Hyperlink" xfId="5817" builtinId="9" hidden="1"/>
    <cellStyle name="Followed Hyperlink" xfId="5819" builtinId="9" hidden="1"/>
    <cellStyle name="Followed Hyperlink" xfId="5821" builtinId="9" hidden="1"/>
    <cellStyle name="Followed Hyperlink" xfId="5823" builtinId="9" hidden="1"/>
    <cellStyle name="Followed Hyperlink" xfId="5825" builtinId="9" hidden="1"/>
    <cellStyle name="Followed Hyperlink" xfId="5827" builtinId="9" hidden="1"/>
    <cellStyle name="Followed Hyperlink" xfId="5829" builtinId="9" hidden="1"/>
    <cellStyle name="Followed Hyperlink" xfId="5831" builtinId="9" hidden="1"/>
    <cellStyle name="Followed Hyperlink" xfId="5833" builtinId="9" hidden="1"/>
    <cellStyle name="Followed Hyperlink" xfId="5835" builtinId="9" hidden="1"/>
    <cellStyle name="Followed Hyperlink" xfId="5837" builtinId="9" hidden="1"/>
    <cellStyle name="Followed Hyperlink" xfId="5839" builtinId="9" hidden="1"/>
    <cellStyle name="Followed Hyperlink" xfId="5841" builtinId="9" hidden="1"/>
    <cellStyle name="Followed Hyperlink" xfId="5843" builtinId="9" hidden="1"/>
    <cellStyle name="Followed Hyperlink" xfId="5845" builtinId="9" hidden="1"/>
    <cellStyle name="Followed Hyperlink" xfId="5847" builtinId="9" hidden="1"/>
    <cellStyle name="Followed Hyperlink" xfId="5849" builtinId="9" hidden="1"/>
    <cellStyle name="Followed Hyperlink" xfId="5851" builtinId="9" hidden="1"/>
    <cellStyle name="Followed Hyperlink" xfId="5853" builtinId="9" hidden="1"/>
    <cellStyle name="Followed Hyperlink" xfId="5855" builtinId="9" hidden="1"/>
    <cellStyle name="Followed Hyperlink" xfId="5857" builtinId="9" hidden="1"/>
    <cellStyle name="Followed Hyperlink" xfId="5859" builtinId="9" hidden="1"/>
    <cellStyle name="Followed Hyperlink" xfId="5861" builtinId="9" hidden="1"/>
    <cellStyle name="Followed Hyperlink" xfId="5863" builtinId="9" hidden="1"/>
    <cellStyle name="Followed Hyperlink" xfId="5865" builtinId="9" hidden="1"/>
    <cellStyle name="Followed Hyperlink" xfId="5867" builtinId="9" hidden="1"/>
    <cellStyle name="Followed Hyperlink" xfId="5869" builtinId="9" hidden="1"/>
    <cellStyle name="Followed Hyperlink" xfId="5871" builtinId="9" hidden="1"/>
    <cellStyle name="Followed Hyperlink" xfId="5873" builtinId="9" hidden="1"/>
    <cellStyle name="Followed Hyperlink" xfId="5875" builtinId="9" hidden="1"/>
    <cellStyle name="Followed Hyperlink" xfId="5877" builtinId="9" hidden="1"/>
    <cellStyle name="Followed Hyperlink" xfId="5879" builtinId="9" hidden="1"/>
    <cellStyle name="Followed Hyperlink" xfId="5881" builtinId="9" hidden="1"/>
    <cellStyle name="Followed Hyperlink" xfId="5883" builtinId="9" hidden="1"/>
    <cellStyle name="Followed Hyperlink" xfId="5885" builtinId="9" hidden="1"/>
    <cellStyle name="Followed Hyperlink" xfId="5887" builtinId="9" hidden="1"/>
    <cellStyle name="Followed Hyperlink" xfId="5889" builtinId="9" hidden="1"/>
    <cellStyle name="Followed Hyperlink" xfId="5891" builtinId="9" hidden="1"/>
    <cellStyle name="Followed Hyperlink" xfId="5893" builtinId="9" hidden="1"/>
    <cellStyle name="Followed Hyperlink" xfId="5895" builtinId="9" hidden="1"/>
    <cellStyle name="Followed Hyperlink" xfId="5897" builtinId="9" hidden="1"/>
    <cellStyle name="Followed Hyperlink" xfId="5899" builtinId="9" hidden="1"/>
    <cellStyle name="Followed Hyperlink" xfId="5901" builtinId="9" hidden="1"/>
    <cellStyle name="Followed Hyperlink" xfId="5903" builtinId="9" hidden="1"/>
    <cellStyle name="Followed Hyperlink" xfId="5905" builtinId="9" hidden="1"/>
    <cellStyle name="Followed Hyperlink" xfId="5907" builtinId="9" hidden="1"/>
    <cellStyle name="Followed Hyperlink" xfId="5909" builtinId="9" hidden="1"/>
    <cellStyle name="Followed Hyperlink" xfId="5911" builtinId="9" hidden="1"/>
    <cellStyle name="Followed Hyperlink" xfId="5913" builtinId="9" hidden="1"/>
    <cellStyle name="Followed Hyperlink" xfId="5915" builtinId="9" hidden="1"/>
    <cellStyle name="Followed Hyperlink" xfId="5917" builtinId="9" hidden="1"/>
    <cellStyle name="Followed Hyperlink" xfId="5919" builtinId="9" hidden="1"/>
    <cellStyle name="Followed Hyperlink" xfId="5921" builtinId="9" hidden="1"/>
    <cellStyle name="Followed Hyperlink" xfId="5923" builtinId="9" hidden="1"/>
    <cellStyle name="Followed Hyperlink" xfId="5925" builtinId="9" hidden="1"/>
    <cellStyle name="Followed Hyperlink" xfId="5927" builtinId="9" hidden="1"/>
    <cellStyle name="Followed Hyperlink" xfId="5929" builtinId="9" hidden="1"/>
    <cellStyle name="Followed Hyperlink" xfId="5931" builtinId="9" hidden="1"/>
    <cellStyle name="Followed Hyperlink" xfId="5933" builtinId="9" hidden="1"/>
    <cellStyle name="Followed Hyperlink" xfId="5935" builtinId="9" hidden="1"/>
    <cellStyle name="Followed Hyperlink" xfId="5937" builtinId="9" hidden="1"/>
    <cellStyle name="Followed Hyperlink" xfId="5939" builtinId="9" hidden="1"/>
    <cellStyle name="Followed Hyperlink" xfId="5941" builtinId="9" hidden="1"/>
    <cellStyle name="Followed Hyperlink" xfId="5943" builtinId="9" hidden="1"/>
    <cellStyle name="Followed Hyperlink" xfId="5945" builtinId="9" hidden="1"/>
    <cellStyle name="Followed Hyperlink" xfId="5947" builtinId="9" hidden="1"/>
    <cellStyle name="Followed Hyperlink" xfId="5949" builtinId="9" hidden="1"/>
    <cellStyle name="Followed Hyperlink" xfId="5951" builtinId="9" hidden="1"/>
    <cellStyle name="Followed Hyperlink" xfId="5953" builtinId="9" hidden="1"/>
    <cellStyle name="Followed Hyperlink" xfId="5955" builtinId="9" hidden="1"/>
    <cellStyle name="Followed Hyperlink" xfId="5957" builtinId="9" hidden="1"/>
    <cellStyle name="Followed Hyperlink" xfId="5959" builtinId="9" hidden="1"/>
    <cellStyle name="Followed Hyperlink" xfId="5961" builtinId="9" hidden="1"/>
    <cellStyle name="Followed Hyperlink" xfId="5963" builtinId="9" hidden="1"/>
    <cellStyle name="Followed Hyperlink" xfId="5965" builtinId="9" hidden="1"/>
    <cellStyle name="Followed Hyperlink" xfId="5967" builtinId="9" hidden="1"/>
    <cellStyle name="Followed Hyperlink" xfId="5969" builtinId="9" hidden="1"/>
    <cellStyle name="Followed Hyperlink" xfId="5971" builtinId="9" hidden="1"/>
    <cellStyle name="Followed Hyperlink" xfId="5973" builtinId="9" hidden="1"/>
    <cellStyle name="Followed Hyperlink" xfId="5975" builtinId="9" hidden="1"/>
    <cellStyle name="Followed Hyperlink" xfId="5977" builtinId="9" hidden="1"/>
    <cellStyle name="Followed Hyperlink" xfId="5979" builtinId="9" hidden="1"/>
    <cellStyle name="Followed Hyperlink" xfId="5981" builtinId="9" hidden="1"/>
    <cellStyle name="Followed Hyperlink" xfId="5983" builtinId="9" hidden="1"/>
    <cellStyle name="Followed Hyperlink" xfId="5985" builtinId="9" hidden="1"/>
    <cellStyle name="Followed Hyperlink" xfId="5987" builtinId="9" hidden="1"/>
    <cellStyle name="Followed Hyperlink" xfId="5989" builtinId="9" hidden="1"/>
    <cellStyle name="Followed Hyperlink" xfId="5991" builtinId="9" hidden="1"/>
    <cellStyle name="Followed Hyperlink" xfId="5993" builtinId="9" hidden="1"/>
    <cellStyle name="Followed Hyperlink" xfId="5995" builtinId="9" hidden="1"/>
    <cellStyle name="Followed Hyperlink" xfId="5997" builtinId="9" hidden="1"/>
    <cellStyle name="Followed Hyperlink" xfId="5999" builtinId="9" hidden="1"/>
    <cellStyle name="Followed Hyperlink" xfId="6001" builtinId="9" hidden="1"/>
    <cellStyle name="Followed Hyperlink" xfId="6003" builtinId="9" hidden="1"/>
    <cellStyle name="Followed Hyperlink" xfId="6005" builtinId="9" hidden="1"/>
    <cellStyle name="Followed Hyperlink" xfId="6007" builtinId="9" hidden="1"/>
    <cellStyle name="Followed Hyperlink" xfId="6009" builtinId="9" hidden="1"/>
    <cellStyle name="Followed Hyperlink" xfId="6011" builtinId="9" hidden="1"/>
    <cellStyle name="Followed Hyperlink" xfId="6013" builtinId="9" hidden="1"/>
    <cellStyle name="Followed Hyperlink" xfId="6015" builtinId="9" hidden="1"/>
    <cellStyle name="Followed Hyperlink" xfId="6017" builtinId="9" hidden="1"/>
    <cellStyle name="Followed Hyperlink" xfId="6019" builtinId="9" hidden="1"/>
    <cellStyle name="Followed Hyperlink" xfId="6021" builtinId="9" hidden="1"/>
    <cellStyle name="Followed Hyperlink" xfId="6023" builtinId="9" hidden="1"/>
    <cellStyle name="Followed Hyperlink" xfId="6025" builtinId="9" hidden="1"/>
    <cellStyle name="Followed Hyperlink" xfId="6027" builtinId="9" hidden="1"/>
    <cellStyle name="Followed Hyperlink" xfId="6029" builtinId="9" hidden="1"/>
    <cellStyle name="Followed Hyperlink" xfId="6031" builtinId="9" hidden="1"/>
    <cellStyle name="Followed Hyperlink" xfId="6033" builtinId="9" hidden="1"/>
    <cellStyle name="Followed Hyperlink" xfId="6035" builtinId="9" hidden="1"/>
    <cellStyle name="Followed Hyperlink" xfId="6037" builtinId="9" hidden="1"/>
    <cellStyle name="Followed Hyperlink" xfId="6039" builtinId="9" hidden="1"/>
    <cellStyle name="Followed Hyperlink" xfId="6041" builtinId="9" hidden="1"/>
    <cellStyle name="Followed Hyperlink" xfId="6043" builtinId="9" hidden="1"/>
    <cellStyle name="Followed Hyperlink" xfId="6045" builtinId="9" hidden="1"/>
    <cellStyle name="Followed Hyperlink" xfId="6047" builtinId="9" hidden="1"/>
    <cellStyle name="Followed Hyperlink" xfId="6049" builtinId="9" hidden="1"/>
    <cellStyle name="Followed Hyperlink" xfId="6051" builtinId="9" hidden="1"/>
    <cellStyle name="Followed Hyperlink" xfId="6053" builtinId="9" hidden="1"/>
    <cellStyle name="Followed Hyperlink" xfId="6055" builtinId="9" hidden="1"/>
    <cellStyle name="Followed Hyperlink" xfId="6057" builtinId="9" hidden="1"/>
    <cellStyle name="Followed Hyperlink" xfId="6059" builtinId="9" hidden="1"/>
    <cellStyle name="Followed Hyperlink" xfId="6061" builtinId="9" hidden="1"/>
    <cellStyle name="Followed Hyperlink" xfId="6063" builtinId="9" hidden="1"/>
    <cellStyle name="Followed Hyperlink" xfId="6065" builtinId="9" hidden="1"/>
    <cellStyle name="Followed Hyperlink" xfId="6067" builtinId="9" hidden="1"/>
    <cellStyle name="Followed Hyperlink" xfId="6069" builtinId="9" hidden="1"/>
    <cellStyle name="Followed Hyperlink" xfId="6071" builtinId="9" hidden="1"/>
    <cellStyle name="Followed Hyperlink" xfId="6073" builtinId="9" hidden="1"/>
    <cellStyle name="Followed Hyperlink" xfId="6075" builtinId="9" hidden="1"/>
    <cellStyle name="Followed Hyperlink" xfId="6077" builtinId="9" hidden="1"/>
    <cellStyle name="Followed Hyperlink" xfId="6079" builtinId="9" hidden="1"/>
    <cellStyle name="Followed Hyperlink" xfId="6081" builtinId="9" hidden="1"/>
    <cellStyle name="Followed Hyperlink" xfId="6083" builtinId="9" hidden="1"/>
    <cellStyle name="Followed Hyperlink" xfId="6085" builtinId="9" hidden="1"/>
    <cellStyle name="Followed Hyperlink" xfId="6087" builtinId="9" hidden="1"/>
    <cellStyle name="Followed Hyperlink" xfId="6089" builtinId="9" hidden="1"/>
    <cellStyle name="Followed Hyperlink" xfId="6091" builtinId="9" hidden="1"/>
    <cellStyle name="Followed Hyperlink" xfId="6093" builtinId="9" hidden="1"/>
    <cellStyle name="Followed Hyperlink" xfId="6095" builtinId="9" hidden="1"/>
    <cellStyle name="Followed Hyperlink" xfId="6097" builtinId="9" hidden="1"/>
    <cellStyle name="Followed Hyperlink" xfId="6099" builtinId="9" hidden="1"/>
    <cellStyle name="Followed Hyperlink" xfId="6101" builtinId="9" hidden="1"/>
    <cellStyle name="Followed Hyperlink" xfId="6103" builtinId="9" hidden="1"/>
    <cellStyle name="Followed Hyperlink" xfId="6105" builtinId="9" hidden="1"/>
    <cellStyle name="Followed Hyperlink" xfId="6107" builtinId="9" hidden="1"/>
    <cellStyle name="Followed Hyperlink" xfId="6109" builtinId="9" hidden="1"/>
    <cellStyle name="Followed Hyperlink" xfId="6111" builtinId="9" hidden="1"/>
    <cellStyle name="Followed Hyperlink" xfId="6113" builtinId="9" hidden="1"/>
    <cellStyle name="Followed Hyperlink" xfId="6115" builtinId="9" hidden="1"/>
    <cellStyle name="Followed Hyperlink" xfId="6117" builtinId="9" hidden="1"/>
    <cellStyle name="Followed Hyperlink" xfId="6119" builtinId="9" hidden="1"/>
    <cellStyle name="Followed Hyperlink" xfId="6121" builtinId="9" hidden="1"/>
    <cellStyle name="Followed Hyperlink" xfId="6123" builtinId="9" hidden="1"/>
    <cellStyle name="Followed Hyperlink" xfId="6125" builtinId="9" hidden="1"/>
    <cellStyle name="Followed Hyperlink" xfId="6127" builtinId="9" hidden="1"/>
    <cellStyle name="Followed Hyperlink" xfId="6129" builtinId="9" hidden="1"/>
    <cellStyle name="Followed Hyperlink" xfId="6131" builtinId="9" hidden="1"/>
    <cellStyle name="Followed Hyperlink" xfId="6133" builtinId="9" hidden="1"/>
    <cellStyle name="Followed Hyperlink" xfId="6135" builtinId="9" hidden="1"/>
    <cellStyle name="Followed Hyperlink" xfId="6137" builtinId="9" hidden="1"/>
    <cellStyle name="Followed Hyperlink" xfId="6139" builtinId="9" hidden="1"/>
    <cellStyle name="Followed Hyperlink" xfId="6141" builtinId="9" hidden="1"/>
    <cellStyle name="Followed Hyperlink" xfId="6143" builtinId="9" hidden="1"/>
    <cellStyle name="Followed Hyperlink" xfId="6145" builtinId="9" hidden="1"/>
    <cellStyle name="Followed Hyperlink" xfId="6147" builtinId="9" hidden="1"/>
    <cellStyle name="Followed Hyperlink" xfId="6149" builtinId="9" hidden="1"/>
    <cellStyle name="Followed Hyperlink" xfId="6151" builtinId="9" hidden="1"/>
    <cellStyle name="Followed Hyperlink" xfId="6153" builtinId="9" hidden="1"/>
    <cellStyle name="Followed Hyperlink" xfId="6155" builtinId="9" hidden="1"/>
    <cellStyle name="Followed Hyperlink" xfId="6157" builtinId="9" hidden="1"/>
    <cellStyle name="Followed Hyperlink" xfId="6159" builtinId="9" hidden="1"/>
    <cellStyle name="Followed Hyperlink" xfId="6161" builtinId="9" hidden="1"/>
    <cellStyle name="Followed Hyperlink" xfId="6163" builtinId="9" hidden="1"/>
    <cellStyle name="Followed Hyperlink" xfId="6165" builtinId="9" hidden="1"/>
    <cellStyle name="Followed Hyperlink" xfId="6167" builtinId="9" hidden="1"/>
    <cellStyle name="Followed Hyperlink" xfId="6169" builtinId="9" hidden="1"/>
    <cellStyle name="Followed Hyperlink" xfId="6171" builtinId="9" hidden="1"/>
    <cellStyle name="Followed Hyperlink" xfId="6173" builtinId="9" hidden="1"/>
    <cellStyle name="Followed Hyperlink" xfId="6175" builtinId="9" hidden="1"/>
    <cellStyle name="Followed Hyperlink" xfId="6177" builtinId="9" hidden="1"/>
    <cellStyle name="Followed Hyperlink" xfId="6179" builtinId="9" hidden="1"/>
    <cellStyle name="Followed Hyperlink" xfId="6181" builtinId="9" hidden="1"/>
    <cellStyle name="Followed Hyperlink" xfId="6183" builtinId="9" hidden="1"/>
    <cellStyle name="Followed Hyperlink" xfId="6185" builtinId="9" hidden="1"/>
    <cellStyle name="Followed Hyperlink" xfId="6187" builtinId="9" hidden="1"/>
    <cellStyle name="Followed Hyperlink" xfId="6189" builtinId="9" hidden="1"/>
    <cellStyle name="Followed Hyperlink" xfId="6191" builtinId="9" hidden="1"/>
    <cellStyle name="Followed Hyperlink" xfId="6193" builtinId="9" hidden="1"/>
    <cellStyle name="Followed Hyperlink" xfId="6195" builtinId="9" hidden="1"/>
    <cellStyle name="Followed Hyperlink" xfId="6197" builtinId="9" hidden="1"/>
    <cellStyle name="Followed Hyperlink" xfId="6199" builtinId="9" hidden="1"/>
    <cellStyle name="Followed Hyperlink" xfId="6201" builtinId="9" hidden="1"/>
    <cellStyle name="Followed Hyperlink" xfId="6203" builtinId="9" hidden="1"/>
    <cellStyle name="Followed Hyperlink" xfId="6205" builtinId="9" hidden="1"/>
    <cellStyle name="Followed Hyperlink" xfId="6207" builtinId="9" hidden="1"/>
    <cellStyle name="Followed Hyperlink" xfId="6209" builtinId="9" hidden="1"/>
    <cellStyle name="Followed Hyperlink" xfId="6211" builtinId="9" hidden="1"/>
    <cellStyle name="Followed Hyperlink" xfId="6213" builtinId="9" hidden="1"/>
    <cellStyle name="Followed Hyperlink" xfId="6215" builtinId="9" hidden="1"/>
    <cellStyle name="Followed Hyperlink" xfId="6217" builtinId="9" hidden="1"/>
    <cellStyle name="Followed Hyperlink" xfId="6219" builtinId="9" hidden="1"/>
    <cellStyle name="Followed Hyperlink" xfId="6221" builtinId="9" hidden="1"/>
    <cellStyle name="Followed Hyperlink" xfId="6223" builtinId="9" hidden="1"/>
    <cellStyle name="Followed Hyperlink" xfId="6225" builtinId="9" hidden="1"/>
    <cellStyle name="Followed Hyperlink" xfId="6227" builtinId="9" hidden="1"/>
    <cellStyle name="Followed Hyperlink" xfId="6229" builtinId="9" hidden="1"/>
    <cellStyle name="Followed Hyperlink" xfId="6231" builtinId="9" hidden="1"/>
    <cellStyle name="Followed Hyperlink" xfId="6233" builtinId="9" hidden="1"/>
    <cellStyle name="Followed Hyperlink" xfId="6235" builtinId="9" hidden="1"/>
    <cellStyle name="Followed Hyperlink" xfId="6237" builtinId="9" hidden="1"/>
    <cellStyle name="Followed Hyperlink" xfId="6239" builtinId="9" hidden="1"/>
    <cellStyle name="Followed Hyperlink" xfId="6241" builtinId="9" hidden="1"/>
    <cellStyle name="Followed Hyperlink" xfId="6243" builtinId="9" hidden="1"/>
    <cellStyle name="Followed Hyperlink" xfId="6245" builtinId="9" hidden="1"/>
    <cellStyle name="Followed Hyperlink" xfId="6247" builtinId="9" hidden="1"/>
    <cellStyle name="Followed Hyperlink" xfId="6249" builtinId="9" hidden="1"/>
    <cellStyle name="Followed Hyperlink" xfId="6251" builtinId="9" hidden="1"/>
    <cellStyle name="Followed Hyperlink" xfId="6253" builtinId="9" hidden="1"/>
    <cellStyle name="Followed Hyperlink" xfId="6255" builtinId="9" hidden="1"/>
    <cellStyle name="Followed Hyperlink" xfId="6257" builtinId="9" hidden="1"/>
    <cellStyle name="Followed Hyperlink" xfId="6259" builtinId="9" hidden="1"/>
    <cellStyle name="Followed Hyperlink" xfId="6261" builtinId="9" hidden="1"/>
    <cellStyle name="Followed Hyperlink" xfId="6263" builtinId="9" hidden="1"/>
    <cellStyle name="Followed Hyperlink" xfId="6265" builtinId="9" hidden="1"/>
    <cellStyle name="Followed Hyperlink" xfId="6267" builtinId="9" hidden="1"/>
    <cellStyle name="Followed Hyperlink" xfId="6269" builtinId="9" hidden="1"/>
    <cellStyle name="Followed Hyperlink" xfId="6271" builtinId="9" hidden="1"/>
    <cellStyle name="Followed Hyperlink" xfId="6273" builtinId="9" hidden="1"/>
    <cellStyle name="Followed Hyperlink" xfId="6275" builtinId="9" hidden="1"/>
    <cellStyle name="Followed Hyperlink" xfId="6277" builtinId="9" hidden="1"/>
    <cellStyle name="Followed Hyperlink" xfId="6279" builtinId="9" hidden="1"/>
    <cellStyle name="Followed Hyperlink" xfId="6281" builtinId="9" hidden="1"/>
    <cellStyle name="Followed Hyperlink" xfId="6283" builtinId="9" hidden="1"/>
    <cellStyle name="Followed Hyperlink" xfId="6285" builtinId="9" hidden="1"/>
    <cellStyle name="Followed Hyperlink" xfId="6287" builtinId="9" hidden="1"/>
    <cellStyle name="Followed Hyperlink" xfId="6289" builtinId="9" hidden="1"/>
    <cellStyle name="Followed Hyperlink" xfId="6291" builtinId="9" hidden="1"/>
    <cellStyle name="Followed Hyperlink" xfId="6293" builtinId="9" hidden="1"/>
    <cellStyle name="Followed Hyperlink" xfId="6295" builtinId="9" hidden="1"/>
    <cellStyle name="Followed Hyperlink" xfId="6297" builtinId="9" hidden="1"/>
    <cellStyle name="Followed Hyperlink" xfId="6299" builtinId="9" hidden="1"/>
    <cellStyle name="Followed Hyperlink" xfId="6301" builtinId="9" hidden="1"/>
    <cellStyle name="Followed Hyperlink" xfId="6303" builtinId="9" hidden="1"/>
    <cellStyle name="Followed Hyperlink" xfId="6305" builtinId="9" hidden="1"/>
    <cellStyle name="Followed Hyperlink" xfId="6307" builtinId="9" hidden="1"/>
    <cellStyle name="Followed Hyperlink" xfId="6309" builtinId="9" hidden="1"/>
    <cellStyle name="Followed Hyperlink" xfId="6311" builtinId="9" hidden="1"/>
    <cellStyle name="Followed Hyperlink" xfId="6313" builtinId="9" hidden="1"/>
    <cellStyle name="Followed Hyperlink" xfId="6315" builtinId="9" hidden="1"/>
    <cellStyle name="Followed Hyperlink" xfId="6317" builtinId="9" hidden="1"/>
    <cellStyle name="Followed Hyperlink" xfId="6319" builtinId="9" hidden="1"/>
    <cellStyle name="Followed Hyperlink" xfId="6321" builtinId="9" hidden="1"/>
    <cellStyle name="Followed Hyperlink" xfId="6323" builtinId="9" hidden="1"/>
    <cellStyle name="Followed Hyperlink" xfId="6325" builtinId="9" hidden="1"/>
    <cellStyle name="Followed Hyperlink" xfId="6327" builtinId="9" hidden="1"/>
    <cellStyle name="Followed Hyperlink" xfId="6329" builtinId="9" hidden="1"/>
    <cellStyle name="Followed Hyperlink" xfId="6331" builtinId="9" hidden="1"/>
    <cellStyle name="Followed Hyperlink" xfId="6333" builtinId="9" hidden="1"/>
    <cellStyle name="Followed Hyperlink" xfId="6335" builtinId="9" hidden="1"/>
    <cellStyle name="Followed Hyperlink" xfId="6337" builtinId="9" hidden="1"/>
    <cellStyle name="Followed Hyperlink" xfId="6339" builtinId="9" hidden="1"/>
    <cellStyle name="Followed Hyperlink" xfId="6341" builtinId="9" hidden="1"/>
    <cellStyle name="Followed Hyperlink" xfId="6343" builtinId="9" hidden="1"/>
    <cellStyle name="Followed Hyperlink" xfId="6345" builtinId="9" hidden="1"/>
    <cellStyle name="Followed Hyperlink" xfId="6347" builtinId="9" hidden="1"/>
    <cellStyle name="Followed Hyperlink" xfId="6349" builtinId="9" hidden="1"/>
    <cellStyle name="Followed Hyperlink" xfId="6351" builtinId="9" hidden="1"/>
    <cellStyle name="Followed Hyperlink" xfId="6353" builtinId="9" hidden="1"/>
    <cellStyle name="Followed Hyperlink" xfId="6355" builtinId="9" hidden="1"/>
    <cellStyle name="Followed Hyperlink" xfId="6357" builtinId="9" hidden="1"/>
    <cellStyle name="Followed Hyperlink" xfId="6359" builtinId="9" hidden="1"/>
    <cellStyle name="Followed Hyperlink" xfId="6361" builtinId="9" hidden="1"/>
    <cellStyle name="Followed Hyperlink" xfId="6363" builtinId="9" hidden="1"/>
    <cellStyle name="Followed Hyperlink" xfId="6365" builtinId="9" hidden="1"/>
    <cellStyle name="Followed Hyperlink" xfId="6367" builtinId="9" hidden="1"/>
    <cellStyle name="Followed Hyperlink" xfId="6369" builtinId="9" hidden="1"/>
    <cellStyle name="Followed Hyperlink" xfId="6371" builtinId="9" hidden="1"/>
    <cellStyle name="Followed Hyperlink" xfId="6373" builtinId="9" hidden="1"/>
    <cellStyle name="Followed Hyperlink" xfId="6375" builtinId="9" hidden="1"/>
    <cellStyle name="Followed Hyperlink" xfId="6377" builtinId="9" hidden="1"/>
    <cellStyle name="Followed Hyperlink" xfId="6379" builtinId="9" hidden="1"/>
    <cellStyle name="Followed Hyperlink" xfId="6381" builtinId="9" hidden="1"/>
    <cellStyle name="Followed Hyperlink" xfId="6383" builtinId="9" hidden="1"/>
    <cellStyle name="Followed Hyperlink" xfId="6385" builtinId="9" hidden="1"/>
    <cellStyle name="Followed Hyperlink" xfId="6387" builtinId="9" hidden="1"/>
    <cellStyle name="Followed Hyperlink" xfId="6389" builtinId="9" hidden="1"/>
    <cellStyle name="Followed Hyperlink" xfId="6392" builtinId="9" hidden="1"/>
    <cellStyle name="Followed Hyperlink" xfId="6394" builtinId="9" hidden="1"/>
    <cellStyle name="Followed Hyperlink" xfId="6396" builtinId="9" hidden="1"/>
    <cellStyle name="Followed Hyperlink" xfId="6398" builtinId="9" hidden="1"/>
    <cellStyle name="Followed Hyperlink" xfId="6400" builtinId="9" hidden="1"/>
    <cellStyle name="Followed Hyperlink" xfId="6402" builtinId="9" hidden="1"/>
    <cellStyle name="Followed Hyperlink" xfId="6404" builtinId="9" hidden="1"/>
    <cellStyle name="Followed Hyperlink" xfId="6406" builtinId="9" hidden="1"/>
    <cellStyle name="Followed Hyperlink" xfId="6408" builtinId="9" hidden="1"/>
    <cellStyle name="Followed Hyperlink" xfId="6410" builtinId="9" hidden="1"/>
    <cellStyle name="Followed Hyperlink" xfId="6412" builtinId="9" hidden="1"/>
    <cellStyle name="Followed Hyperlink" xfId="6414" builtinId="9" hidden="1"/>
    <cellStyle name="Followed Hyperlink" xfId="6416" builtinId="9" hidden="1"/>
    <cellStyle name="Followed Hyperlink" xfId="6418" builtinId="9" hidden="1"/>
    <cellStyle name="Followed Hyperlink" xfId="6420" builtinId="9" hidden="1"/>
    <cellStyle name="Followed Hyperlink" xfId="6422" builtinId="9" hidden="1"/>
    <cellStyle name="Followed Hyperlink" xfId="6424" builtinId="9" hidden="1"/>
    <cellStyle name="Followed Hyperlink" xfId="6426" builtinId="9" hidden="1"/>
    <cellStyle name="Followed Hyperlink" xfId="6428" builtinId="9" hidden="1"/>
    <cellStyle name="Followed Hyperlink" xfId="6430" builtinId="9" hidden="1"/>
    <cellStyle name="Followed Hyperlink" xfId="6432" builtinId="9" hidden="1"/>
    <cellStyle name="Followed Hyperlink" xfId="6434" builtinId="9" hidden="1"/>
    <cellStyle name="Followed Hyperlink" xfId="6436" builtinId="9" hidden="1"/>
    <cellStyle name="Followed Hyperlink" xfId="6438" builtinId="9" hidden="1"/>
    <cellStyle name="Followed Hyperlink" xfId="6440" builtinId="9" hidden="1"/>
    <cellStyle name="Followed Hyperlink" xfId="6442" builtinId="9" hidden="1"/>
    <cellStyle name="Followed Hyperlink" xfId="6444" builtinId="9" hidden="1"/>
    <cellStyle name="Followed Hyperlink" xfId="6446" builtinId="9" hidden="1"/>
    <cellStyle name="Followed Hyperlink" xfId="6448" builtinId="9" hidden="1"/>
    <cellStyle name="Followed Hyperlink" xfId="6450" builtinId="9" hidden="1"/>
    <cellStyle name="Followed Hyperlink" xfId="6452" builtinId="9" hidden="1"/>
    <cellStyle name="Followed Hyperlink" xfId="6454" builtinId="9" hidden="1"/>
    <cellStyle name="Followed Hyperlink" xfId="6456" builtinId="9" hidden="1"/>
    <cellStyle name="Followed Hyperlink" xfId="6458" builtinId="9" hidden="1"/>
    <cellStyle name="Followed Hyperlink" xfId="6460" builtinId="9" hidden="1"/>
    <cellStyle name="Followed Hyperlink" xfId="6462" builtinId="9" hidden="1"/>
    <cellStyle name="Followed Hyperlink" xfId="6464" builtinId="9" hidden="1"/>
    <cellStyle name="Followed Hyperlink" xfId="6466" builtinId="9" hidden="1"/>
    <cellStyle name="Followed Hyperlink" xfId="6468" builtinId="9" hidden="1"/>
    <cellStyle name="Followed Hyperlink" xfId="6470" builtinId="9" hidden="1"/>
    <cellStyle name="Followed Hyperlink" xfId="6472" builtinId="9" hidden="1"/>
    <cellStyle name="Followed Hyperlink" xfId="6474" builtinId="9" hidden="1"/>
    <cellStyle name="Followed Hyperlink" xfId="6476" builtinId="9" hidden="1"/>
    <cellStyle name="Followed Hyperlink" xfId="6478" builtinId="9" hidden="1"/>
    <cellStyle name="Followed Hyperlink" xfId="6480" builtinId="9" hidden="1"/>
    <cellStyle name="Followed Hyperlink" xfId="6482" builtinId="9" hidden="1"/>
    <cellStyle name="Followed Hyperlink" xfId="6484" builtinId="9" hidden="1"/>
    <cellStyle name="Followed Hyperlink" xfId="6486" builtinId="9" hidden="1"/>
    <cellStyle name="Followed Hyperlink" xfId="6488" builtinId="9" hidden="1"/>
    <cellStyle name="Followed Hyperlink" xfId="6490" builtinId="9" hidden="1"/>
    <cellStyle name="Followed Hyperlink" xfId="6492" builtinId="9" hidden="1"/>
    <cellStyle name="Followed Hyperlink" xfId="6494" builtinId="9" hidden="1"/>
    <cellStyle name="Followed Hyperlink" xfId="6496" builtinId="9" hidden="1"/>
    <cellStyle name="Followed Hyperlink" xfId="6498" builtinId="9" hidden="1"/>
    <cellStyle name="Followed Hyperlink" xfId="6500" builtinId="9" hidden="1"/>
    <cellStyle name="Followed Hyperlink" xfId="6502" builtinId="9" hidden="1"/>
    <cellStyle name="Followed Hyperlink" xfId="6504" builtinId="9" hidden="1"/>
    <cellStyle name="Followed Hyperlink" xfId="6506" builtinId="9" hidden="1"/>
    <cellStyle name="Followed Hyperlink" xfId="6508" builtinId="9" hidden="1"/>
    <cellStyle name="Followed Hyperlink" xfId="6510" builtinId="9" hidden="1"/>
    <cellStyle name="Followed Hyperlink" xfId="6512" builtinId="9" hidden="1"/>
    <cellStyle name="Followed Hyperlink" xfId="6514" builtinId="9" hidden="1"/>
    <cellStyle name="Followed Hyperlink" xfId="6516" builtinId="9" hidden="1"/>
    <cellStyle name="Followed Hyperlink" xfId="6518" builtinId="9" hidden="1"/>
    <cellStyle name="Followed Hyperlink" xfId="6520" builtinId="9" hidden="1"/>
    <cellStyle name="Followed Hyperlink" xfId="6522" builtinId="9" hidden="1"/>
    <cellStyle name="Followed Hyperlink" xfId="6524" builtinId="9" hidden="1"/>
    <cellStyle name="Followed Hyperlink" xfId="6526" builtinId="9" hidden="1"/>
    <cellStyle name="Followed Hyperlink" xfId="6528" builtinId="9" hidden="1"/>
    <cellStyle name="Followed Hyperlink" xfId="6530" builtinId="9" hidden="1"/>
    <cellStyle name="Followed Hyperlink" xfId="6532" builtinId="9" hidden="1"/>
    <cellStyle name="Followed Hyperlink" xfId="6534" builtinId="9" hidden="1"/>
    <cellStyle name="Followed Hyperlink" xfId="6536" builtinId="9" hidden="1"/>
    <cellStyle name="Followed Hyperlink" xfId="6538" builtinId="9" hidden="1"/>
    <cellStyle name="Followed Hyperlink" xfId="6540" builtinId="9" hidden="1"/>
    <cellStyle name="Followed Hyperlink" xfId="6542" builtinId="9" hidden="1"/>
    <cellStyle name="Followed Hyperlink" xfId="6544" builtinId="9" hidden="1"/>
    <cellStyle name="Followed Hyperlink" xfId="6546" builtinId="9" hidden="1"/>
    <cellStyle name="Followed Hyperlink" xfId="6548" builtinId="9" hidden="1"/>
    <cellStyle name="Followed Hyperlink" xfId="6550" builtinId="9" hidden="1"/>
    <cellStyle name="Followed Hyperlink" xfId="6552" builtinId="9" hidden="1"/>
    <cellStyle name="Followed Hyperlink" xfId="6554" builtinId="9" hidden="1"/>
    <cellStyle name="Followed Hyperlink" xfId="6556" builtinId="9" hidden="1"/>
    <cellStyle name="Followed Hyperlink" xfId="6558" builtinId="9" hidden="1"/>
    <cellStyle name="Followed Hyperlink" xfId="6560" builtinId="9" hidden="1"/>
    <cellStyle name="Followed Hyperlink" xfId="6562" builtinId="9" hidden="1"/>
    <cellStyle name="Followed Hyperlink" xfId="6564" builtinId="9" hidden="1"/>
    <cellStyle name="Followed Hyperlink" xfId="6566" builtinId="9" hidden="1"/>
    <cellStyle name="Followed Hyperlink" xfId="6568" builtinId="9" hidden="1"/>
    <cellStyle name="Followed Hyperlink" xfId="6570" builtinId="9" hidden="1"/>
    <cellStyle name="Followed Hyperlink" xfId="6572" builtinId="9" hidden="1"/>
    <cellStyle name="Followed Hyperlink" xfId="6574" builtinId="9" hidden="1"/>
    <cellStyle name="Followed Hyperlink" xfId="6576" builtinId="9" hidden="1"/>
    <cellStyle name="Followed Hyperlink" xfId="6578" builtinId="9" hidden="1"/>
    <cellStyle name="Followed Hyperlink" xfId="6580" builtinId="9" hidden="1"/>
    <cellStyle name="Followed Hyperlink" xfId="6582" builtinId="9" hidden="1"/>
    <cellStyle name="Followed Hyperlink" xfId="6584" builtinId="9" hidden="1"/>
    <cellStyle name="Followed Hyperlink" xfId="6586" builtinId="9" hidden="1"/>
    <cellStyle name="Followed Hyperlink" xfId="6588" builtinId="9" hidden="1"/>
    <cellStyle name="Followed Hyperlink" xfId="6590" builtinId="9" hidden="1"/>
    <cellStyle name="Followed Hyperlink" xfId="6592" builtinId="9" hidden="1"/>
    <cellStyle name="Followed Hyperlink" xfId="6594" builtinId="9" hidden="1"/>
    <cellStyle name="Followed Hyperlink" xfId="6596" builtinId="9" hidden="1"/>
    <cellStyle name="Followed Hyperlink" xfId="6598" builtinId="9" hidden="1"/>
    <cellStyle name="Followed Hyperlink" xfId="6600" builtinId="9" hidden="1"/>
    <cellStyle name="Followed Hyperlink" xfId="6602" builtinId="9" hidden="1"/>
    <cellStyle name="Followed Hyperlink" xfId="6604" builtinId="9" hidden="1"/>
    <cellStyle name="Followed Hyperlink" xfId="6606" builtinId="9" hidden="1"/>
    <cellStyle name="Followed Hyperlink" xfId="6608" builtinId="9" hidden="1"/>
    <cellStyle name="Followed Hyperlink" xfId="6610" builtinId="9" hidden="1"/>
    <cellStyle name="Followed Hyperlink" xfId="6612" builtinId="9" hidden="1"/>
    <cellStyle name="Followed Hyperlink" xfId="6614" builtinId="9" hidden="1"/>
    <cellStyle name="Followed Hyperlink" xfId="6616" builtinId="9" hidden="1"/>
    <cellStyle name="Followed Hyperlink" xfId="6618" builtinId="9" hidden="1"/>
    <cellStyle name="Followed Hyperlink" xfId="6620" builtinId="9" hidden="1"/>
    <cellStyle name="Followed Hyperlink" xfId="6622" builtinId="9" hidden="1"/>
    <cellStyle name="Followed Hyperlink" xfId="6624" builtinId="9" hidden="1"/>
    <cellStyle name="Followed Hyperlink" xfId="6626" builtinId="9" hidden="1"/>
    <cellStyle name="Followed Hyperlink" xfId="6628" builtinId="9" hidden="1"/>
    <cellStyle name="Followed Hyperlink" xfId="6630" builtinId="9" hidden="1"/>
    <cellStyle name="Followed Hyperlink" xfId="6632" builtinId="9" hidden="1"/>
    <cellStyle name="Followed Hyperlink" xfId="6634" builtinId="9" hidden="1"/>
    <cellStyle name="Followed Hyperlink" xfId="6636" builtinId="9" hidden="1"/>
    <cellStyle name="Followed Hyperlink" xfId="6638" builtinId="9" hidden="1"/>
    <cellStyle name="Followed Hyperlink" xfId="6640" builtinId="9" hidden="1"/>
    <cellStyle name="Followed Hyperlink" xfId="6642" builtinId="9" hidden="1"/>
    <cellStyle name="Followed Hyperlink" xfId="6644" builtinId="9" hidden="1"/>
    <cellStyle name="Followed Hyperlink" xfId="6646" builtinId="9" hidden="1"/>
    <cellStyle name="Followed Hyperlink" xfId="6648" builtinId="9" hidden="1"/>
    <cellStyle name="Followed Hyperlink" xfId="6650" builtinId="9" hidden="1"/>
    <cellStyle name="Followed Hyperlink" xfId="6652" builtinId="9" hidden="1"/>
    <cellStyle name="Followed Hyperlink" xfId="6654" builtinId="9" hidden="1"/>
    <cellStyle name="Followed Hyperlink" xfId="6656" builtinId="9" hidden="1"/>
    <cellStyle name="Followed Hyperlink" xfId="6658" builtinId="9" hidden="1"/>
    <cellStyle name="Followed Hyperlink" xfId="6660" builtinId="9" hidden="1"/>
    <cellStyle name="Followed Hyperlink" xfId="6662" builtinId="9" hidden="1"/>
    <cellStyle name="Followed Hyperlink" xfId="6664" builtinId="9" hidden="1"/>
    <cellStyle name="Followed Hyperlink" xfId="6666" builtinId="9" hidden="1"/>
    <cellStyle name="Followed Hyperlink" xfId="6668" builtinId="9" hidden="1"/>
    <cellStyle name="Followed Hyperlink" xfId="6670" builtinId="9" hidden="1"/>
    <cellStyle name="Followed Hyperlink" xfId="6672" builtinId="9" hidden="1"/>
    <cellStyle name="Followed Hyperlink" xfId="6674" builtinId="9" hidden="1"/>
    <cellStyle name="Followed Hyperlink" xfId="6676" builtinId="9" hidden="1"/>
    <cellStyle name="Followed Hyperlink" xfId="6678" builtinId="9" hidden="1"/>
    <cellStyle name="Followed Hyperlink" xfId="6680" builtinId="9" hidden="1"/>
    <cellStyle name="Followed Hyperlink" xfId="6682" builtinId="9" hidden="1"/>
    <cellStyle name="Followed Hyperlink" xfId="6684" builtinId="9" hidden="1"/>
    <cellStyle name="Followed Hyperlink" xfId="6686" builtinId="9" hidden="1"/>
    <cellStyle name="Followed Hyperlink" xfId="6688" builtinId="9" hidden="1"/>
    <cellStyle name="Followed Hyperlink" xfId="6690" builtinId="9" hidden="1"/>
    <cellStyle name="Followed Hyperlink" xfId="6692" builtinId="9" hidden="1"/>
    <cellStyle name="Followed Hyperlink" xfId="6694" builtinId="9" hidden="1"/>
    <cellStyle name="Followed Hyperlink" xfId="6696" builtinId="9" hidden="1"/>
    <cellStyle name="Followed Hyperlink" xfId="6698" builtinId="9" hidden="1"/>
    <cellStyle name="Followed Hyperlink" xfId="6700" builtinId="9" hidden="1"/>
    <cellStyle name="Followed Hyperlink" xfId="6702" builtinId="9" hidden="1"/>
    <cellStyle name="Followed Hyperlink" xfId="6704" builtinId="9" hidden="1"/>
    <cellStyle name="Followed Hyperlink" xfId="6706" builtinId="9" hidden="1"/>
    <cellStyle name="Followed Hyperlink" xfId="6708" builtinId="9" hidden="1"/>
    <cellStyle name="Followed Hyperlink" xfId="6710" builtinId="9" hidden="1"/>
    <cellStyle name="Followed Hyperlink" xfId="6712" builtinId="9" hidden="1"/>
    <cellStyle name="Followed Hyperlink" xfId="6714" builtinId="9" hidden="1"/>
    <cellStyle name="Followed Hyperlink" xfId="6716" builtinId="9" hidden="1"/>
    <cellStyle name="Followed Hyperlink" xfId="6718" builtinId="9" hidden="1"/>
    <cellStyle name="Followed Hyperlink" xfId="6720" builtinId="9" hidden="1"/>
    <cellStyle name="Followed Hyperlink" xfId="6722" builtinId="9" hidden="1"/>
    <cellStyle name="Followed Hyperlink" xfId="6724" builtinId="9" hidden="1"/>
    <cellStyle name="Followed Hyperlink" xfId="6726" builtinId="9" hidden="1"/>
    <cellStyle name="Followed Hyperlink" xfId="6728" builtinId="9" hidden="1"/>
    <cellStyle name="Followed Hyperlink" xfId="6730" builtinId="9" hidden="1"/>
    <cellStyle name="Followed Hyperlink" xfId="6732" builtinId="9" hidden="1"/>
    <cellStyle name="Followed Hyperlink" xfId="6734" builtinId="9" hidden="1"/>
    <cellStyle name="Followed Hyperlink" xfId="6736" builtinId="9" hidden="1"/>
    <cellStyle name="Followed Hyperlink" xfId="6738" builtinId="9" hidden="1"/>
    <cellStyle name="Followed Hyperlink" xfId="6740" builtinId="9" hidden="1"/>
    <cellStyle name="Followed Hyperlink" xfId="6742" builtinId="9" hidden="1"/>
    <cellStyle name="Followed Hyperlink" xfId="6744" builtinId="9" hidden="1"/>
    <cellStyle name="Followed Hyperlink" xfId="6746" builtinId="9" hidden="1"/>
    <cellStyle name="Followed Hyperlink" xfId="6748" builtinId="9" hidden="1"/>
    <cellStyle name="Followed Hyperlink" xfId="6750" builtinId="9" hidden="1"/>
    <cellStyle name="Followed Hyperlink" xfId="6752" builtinId="9" hidden="1"/>
    <cellStyle name="Followed Hyperlink" xfId="6754" builtinId="9" hidden="1"/>
    <cellStyle name="Followed Hyperlink" xfId="6756" builtinId="9" hidden="1"/>
    <cellStyle name="Followed Hyperlink" xfId="6758" builtinId="9" hidden="1"/>
    <cellStyle name="Followed Hyperlink" xfId="6760" builtinId="9" hidden="1"/>
    <cellStyle name="Followed Hyperlink" xfId="6762" builtinId="9" hidden="1"/>
    <cellStyle name="Followed Hyperlink" xfId="6764" builtinId="9" hidden="1"/>
    <cellStyle name="Followed Hyperlink" xfId="6766" builtinId="9" hidden="1"/>
    <cellStyle name="Followed Hyperlink" xfId="6768" builtinId="9" hidden="1"/>
    <cellStyle name="Followed Hyperlink" xfId="6770" builtinId="9" hidden="1"/>
    <cellStyle name="Followed Hyperlink" xfId="6772" builtinId="9" hidden="1"/>
    <cellStyle name="Followed Hyperlink" xfId="6774" builtinId="9" hidden="1"/>
    <cellStyle name="Followed Hyperlink" xfId="6776" builtinId="9" hidden="1"/>
    <cellStyle name="Followed Hyperlink" xfId="6778" builtinId="9" hidden="1"/>
    <cellStyle name="Followed Hyperlink" xfId="6780" builtinId="9" hidden="1"/>
    <cellStyle name="Followed Hyperlink" xfId="6782" builtinId="9" hidden="1"/>
    <cellStyle name="Followed Hyperlink" xfId="6784" builtinId="9" hidden="1"/>
    <cellStyle name="Followed Hyperlink" xfId="6786" builtinId="9" hidden="1"/>
    <cellStyle name="Followed Hyperlink" xfId="6788" builtinId="9" hidden="1"/>
    <cellStyle name="Followed Hyperlink" xfId="6790" builtinId="9" hidden="1"/>
    <cellStyle name="Followed Hyperlink" xfId="6792" builtinId="9" hidden="1"/>
    <cellStyle name="Followed Hyperlink" xfId="6794" builtinId="9" hidden="1"/>
    <cellStyle name="Followed Hyperlink" xfId="6796" builtinId="9" hidden="1"/>
    <cellStyle name="Followed Hyperlink" xfId="6798" builtinId="9" hidden="1"/>
    <cellStyle name="Followed Hyperlink" xfId="6800" builtinId="9" hidden="1"/>
    <cellStyle name="Followed Hyperlink" xfId="6802" builtinId="9" hidden="1"/>
    <cellStyle name="Followed Hyperlink" xfId="6804" builtinId="9" hidden="1"/>
    <cellStyle name="Followed Hyperlink" xfId="6806" builtinId="9" hidden="1"/>
    <cellStyle name="Followed Hyperlink" xfId="6808" builtinId="9" hidden="1"/>
    <cellStyle name="Followed Hyperlink" xfId="6810" builtinId="9" hidden="1"/>
    <cellStyle name="Followed Hyperlink" xfId="6812" builtinId="9" hidden="1"/>
    <cellStyle name="Followed Hyperlink" xfId="6814" builtinId="9" hidden="1"/>
    <cellStyle name="Followed Hyperlink" xfId="6816" builtinId="9" hidden="1"/>
    <cellStyle name="Followed Hyperlink" xfId="6818" builtinId="9" hidden="1"/>
    <cellStyle name="Followed Hyperlink" xfId="6820" builtinId="9" hidden="1"/>
    <cellStyle name="Followed Hyperlink" xfId="6822" builtinId="9" hidden="1"/>
    <cellStyle name="Followed Hyperlink" xfId="6824" builtinId="9" hidden="1"/>
    <cellStyle name="Followed Hyperlink" xfId="6826" builtinId="9" hidden="1"/>
    <cellStyle name="Followed Hyperlink" xfId="6828" builtinId="9" hidden="1"/>
    <cellStyle name="Followed Hyperlink" xfId="6830" builtinId="9" hidden="1"/>
    <cellStyle name="Followed Hyperlink" xfId="6832" builtinId="9" hidden="1"/>
    <cellStyle name="Followed Hyperlink" xfId="6834" builtinId="9" hidden="1"/>
    <cellStyle name="Followed Hyperlink" xfId="6836" builtinId="9" hidden="1"/>
    <cellStyle name="Followed Hyperlink" xfId="6838" builtinId="9" hidden="1"/>
    <cellStyle name="Followed Hyperlink" xfId="6840" builtinId="9" hidden="1"/>
    <cellStyle name="Followed Hyperlink" xfId="6842" builtinId="9" hidden="1"/>
    <cellStyle name="Followed Hyperlink" xfId="6844" builtinId="9" hidden="1"/>
    <cellStyle name="Followed Hyperlink" xfId="6846" builtinId="9" hidden="1"/>
    <cellStyle name="Followed Hyperlink" xfId="6848" builtinId="9" hidden="1"/>
    <cellStyle name="Followed Hyperlink" xfId="6850" builtinId="9" hidden="1"/>
    <cellStyle name="Followed Hyperlink" xfId="6852" builtinId="9" hidden="1"/>
    <cellStyle name="Followed Hyperlink" xfId="6854" builtinId="9" hidden="1"/>
    <cellStyle name="Followed Hyperlink" xfId="6856" builtinId="9" hidden="1"/>
    <cellStyle name="Followed Hyperlink" xfId="6858" builtinId="9" hidden="1"/>
    <cellStyle name="Followed Hyperlink" xfId="6860" builtinId="9" hidden="1"/>
    <cellStyle name="Followed Hyperlink" xfId="6862" builtinId="9" hidden="1"/>
    <cellStyle name="Followed Hyperlink" xfId="6864" builtinId="9" hidden="1"/>
    <cellStyle name="Followed Hyperlink" xfId="6866" builtinId="9" hidden="1"/>
    <cellStyle name="Followed Hyperlink" xfId="6868" builtinId="9" hidden="1"/>
    <cellStyle name="Followed Hyperlink" xfId="6870" builtinId="9" hidden="1"/>
    <cellStyle name="Followed Hyperlink" xfId="6872" builtinId="9" hidden="1"/>
    <cellStyle name="Followed Hyperlink" xfId="6874" builtinId="9" hidden="1"/>
    <cellStyle name="Followed Hyperlink" xfId="6876" builtinId="9" hidden="1"/>
    <cellStyle name="Followed Hyperlink" xfId="6878" builtinId="9" hidden="1"/>
    <cellStyle name="Hyperlink" xfId="71" builtinId="8" hidden="1"/>
    <cellStyle name="Hyperlink" xfId="73" builtinId="8" hidden="1"/>
    <cellStyle name="Hyperlink" xfId="75" builtinId="8" hidden="1"/>
    <cellStyle name="Hyperlink" xfId="6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3" builtinId="8" hidden="1"/>
    <cellStyle name="Hyperlink" xfId="65" builtinId="8" hidden="1"/>
    <cellStyle name="Hyperlink" xfId="67" builtinId="8" hidden="1"/>
    <cellStyle name="Hyperlink" xfId="61" builtinId="8" hidden="1"/>
    <cellStyle name="Hyperlink" xfId="45" builtinId="8" hidden="1"/>
    <cellStyle name="Hyperlink" xfId="29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13" builtinId="8" hidden="1"/>
    <cellStyle name="Hyperlink" xfId="7" builtinId="8" hidden="1"/>
    <cellStyle name="Hyperlink" xfId="9" builtinId="8" hidden="1"/>
    <cellStyle name="Hyperlink" xfId="11" builtinId="8" hidden="1"/>
    <cellStyle name="Hyperlink" xfId="3" builtinId="8" hidden="1"/>
    <cellStyle name="Hyperlink" xfId="5" builtinId="8" hidden="1"/>
    <cellStyle name="Hyperlink" xfId="1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5" builtinId="8" hidden="1"/>
    <cellStyle name="Hyperlink" xfId="2207" builtinId="8" hidden="1"/>
    <cellStyle name="Hyperlink" xfId="2209" builtinId="8" hidden="1"/>
    <cellStyle name="Hyperlink" xfId="2211" builtinId="8" hidden="1"/>
    <cellStyle name="Hyperlink" xfId="2213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1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29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7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5" builtinId="8" hidden="1"/>
    <cellStyle name="Hyperlink" xfId="2247" builtinId="8" hidden="1"/>
    <cellStyle name="Hyperlink" xfId="2249" builtinId="8" hidden="1"/>
    <cellStyle name="Hyperlink" xfId="2251" builtinId="8" hidden="1"/>
    <cellStyle name="Hyperlink" xfId="2253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1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69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7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5" builtinId="8" hidden="1"/>
    <cellStyle name="Hyperlink" xfId="2287" builtinId="8" hidden="1"/>
    <cellStyle name="Hyperlink" xfId="2289" builtinId="8" hidden="1"/>
    <cellStyle name="Hyperlink" xfId="2291" builtinId="8" hidden="1"/>
    <cellStyle name="Hyperlink" xfId="2293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1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09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7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5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3" builtinId="8" hidden="1"/>
    <cellStyle name="Hyperlink" xfId="2335" builtinId="8" hidden="1"/>
    <cellStyle name="Hyperlink" xfId="2337" builtinId="8" hidden="1"/>
    <cellStyle name="Hyperlink" xfId="2339" builtinId="8" hidden="1"/>
    <cellStyle name="Hyperlink" xfId="2341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49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7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5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3" builtinId="8" hidden="1"/>
    <cellStyle name="Hyperlink" xfId="2375" builtinId="8" hidden="1"/>
    <cellStyle name="Hyperlink" xfId="2377" builtinId="8" hidden="1"/>
    <cellStyle name="Hyperlink" xfId="2379" builtinId="8" hidden="1"/>
    <cellStyle name="Hyperlink" xfId="2381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89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7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5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3" builtinId="8" hidden="1"/>
    <cellStyle name="Hyperlink" xfId="2415" builtinId="8" hidden="1"/>
    <cellStyle name="Hyperlink" xfId="2417" builtinId="8" hidden="1"/>
    <cellStyle name="Hyperlink" xfId="2419" builtinId="8" hidden="1"/>
    <cellStyle name="Hyperlink" xfId="2421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29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7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5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3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1" builtinId="8" hidden="1"/>
    <cellStyle name="Hyperlink" xfId="2463" builtinId="8" hidden="1"/>
    <cellStyle name="Hyperlink" xfId="2465" builtinId="8" hidden="1"/>
    <cellStyle name="Hyperlink" xfId="2467" builtinId="8" hidden="1"/>
    <cellStyle name="Hyperlink" xfId="2469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7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5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3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1" builtinId="8" hidden="1"/>
    <cellStyle name="Hyperlink" xfId="2503" builtinId="8" hidden="1"/>
    <cellStyle name="Hyperlink" xfId="2505" builtinId="8" hidden="1"/>
    <cellStyle name="Hyperlink" xfId="2507" builtinId="8" hidden="1"/>
    <cellStyle name="Hyperlink" xfId="2509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7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5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3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1" builtinId="8" hidden="1"/>
    <cellStyle name="Hyperlink" xfId="2543" builtinId="8" hidden="1"/>
    <cellStyle name="Hyperlink" xfId="2545" builtinId="8" hidden="1"/>
    <cellStyle name="Hyperlink" xfId="2547" builtinId="8" hidden="1"/>
    <cellStyle name="Hyperlink" xfId="2549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7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5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3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1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89" builtinId="8" hidden="1"/>
    <cellStyle name="Hyperlink" xfId="2591" builtinId="8" hidden="1"/>
    <cellStyle name="Hyperlink" xfId="2593" builtinId="8" hidden="1"/>
    <cellStyle name="Hyperlink" xfId="2595" builtinId="8" hidden="1"/>
    <cellStyle name="Hyperlink" xfId="2597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5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3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1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29" builtinId="8" hidden="1"/>
    <cellStyle name="Hyperlink" xfId="2631" builtinId="8" hidden="1"/>
    <cellStyle name="Hyperlink" xfId="2633" builtinId="8" hidden="1"/>
    <cellStyle name="Hyperlink" xfId="2635" builtinId="8" hidden="1"/>
    <cellStyle name="Hyperlink" xfId="2637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5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3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1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69" builtinId="8" hidden="1"/>
    <cellStyle name="Hyperlink" xfId="2671" builtinId="8" hidden="1"/>
    <cellStyle name="Hyperlink" xfId="2673" builtinId="8" hidden="1"/>
    <cellStyle name="Hyperlink" xfId="2675" builtinId="8" hidden="1"/>
    <cellStyle name="Hyperlink" xfId="2677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5" builtinId="8" hidden="1"/>
    <cellStyle name="Hyperlink" xfId="2687" builtinId="8" hidden="1"/>
    <cellStyle name="Hyperlink" xfId="2689" builtinId="8" hidden="1"/>
    <cellStyle name="Hyperlink" xfId="2691" builtinId="8" hidden="1"/>
    <cellStyle name="Hyperlink" xfId="2693" builtinId="8" hidden="1"/>
    <cellStyle name="Hyperlink" xfId="2695" builtinId="8" hidden="1"/>
    <cellStyle name="Hyperlink" xfId="2697" builtinId="8" hidden="1"/>
    <cellStyle name="Hyperlink" xfId="2699" builtinId="8" hidden="1"/>
    <cellStyle name="Hyperlink" xfId="2701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09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17" builtinId="8" hidden="1"/>
    <cellStyle name="Hyperlink" xfId="2719" builtinId="8" hidden="1"/>
    <cellStyle name="Hyperlink" xfId="2721" builtinId="8" hidden="1"/>
    <cellStyle name="Hyperlink" xfId="2723" builtinId="8" hidden="1"/>
    <cellStyle name="Hyperlink" xfId="2725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3" builtinId="8" hidden="1"/>
    <cellStyle name="Hyperlink" xfId="2735" builtinId="8" hidden="1"/>
    <cellStyle name="Hyperlink" xfId="2737" builtinId="8" hidden="1"/>
    <cellStyle name="Hyperlink" xfId="2739" builtinId="8" hidden="1"/>
    <cellStyle name="Hyperlink" xfId="2741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49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7" builtinId="8" hidden="1"/>
    <cellStyle name="Hyperlink" xfId="2759" builtinId="8" hidden="1"/>
    <cellStyle name="Hyperlink" xfId="2761" builtinId="8" hidden="1"/>
    <cellStyle name="Hyperlink" xfId="2763" builtinId="8" hidden="1"/>
    <cellStyle name="Hyperlink" xfId="2765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3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1" builtinId="8" hidden="1"/>
    <cellStyle name="Hyperlink" xfId="2783" builtinId="8" hidden="1"/>
    <cellStyle name="Hyperlink" xfId="2785" builtinId="8" hidden="1"/>
    <cellStyle name="Hyperlink" xfId="2787" builtinId="8" hidden="1"/>
    <cellStyle name="Hyperlink" xfId="2789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7" builtinId="8" hidden="1"/>
    <cellStyle name="Hyperlink" xfId="2799" builtinId="8" hidden="1"/>
    <cellStyle name="Hyperlink" xfId="2801" builtinId="8" hidden="1"/>
    <cellStyle name="Hyperlink" xfId="2803" builtinId="8" hidden="1"/>
    <cellStyle name="Hyperlink" xfId="2805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3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1" builtinId="8" hidden="1"/>
    <cellStyle name="Hyperlink" xfId="2823" builtinId="8" hidden="1"/>
    <cellStyle name="Hyperlink" xfId="2825" builtinId="8" hidden="1"/>
    <cellStyle name="Hyperlink" xfId="2827" builtinId="8" hidden="1"/>
    <cellStyle name="Hyperlink" xfId="2829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7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5" builtinId="8" hidden="1"/>
    <cellStyle name="Hyperlink" xfId="2847" builtinId="8" hidden="1"/>
    <cellStyle name="Hyperlink" xfId="2849" builtinId="8" hidden="1"/>
    <cellStyle name="Hyperlink" xfId="2851" builtinId="8" hidden="1"/>
    <cellStyle name="Hyperlink" xfId="2853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1" builtinId="8" hidden="1"/>
    <cellStyle name="Hyperlink" xfId="2863" builtinId="8" hidden="1"/>
    <cellStyle name="Hyperlink" xfId="2865" builtinId="8" hidden="1"/>
    <cellStyle name="Hyperlink" xfId="2867" builtinId="8" hidden="1"/>
    <cellStyle name="Hyperlink" xfId="2869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7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5" builtinId="8" hidden="1"/>
    <cellStyle name="Hyperlink" xfId="2887" builtinId="8" hidden="1"/>
    <cellStyle name="Hyperlink" xfId="2889" builtinId="8" hidden="1"/>
    <cellStyle name="Hyperlink" xfId="2891" builtinId="8" hidden="1"/>
    <cellStyle name="Hyperlink" xfId="2893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1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09" builtinId="8" hidden="1"/>
    <cellStyle name="Hyperlink" xfId="2911" builtinId="8" hidden="1"/>
    <cellStyle name="Hyperlink" xfId="2913" builtinId="8" hidden="1"/>
    <cellStyle name="Hyperlink" xfId="2915" builtinId="8" hidden="1"/>
    <cellStyle name="Hyperlink" xfId="2917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5" builtinId="8" hidden="1"/>
    <cellStyle name="Hyperlink" xfId="2927" builtinId="8" hidden="1"/>
    <cellStyle name="Hyperlink" xfId="2929" builtinId="8" hidden="1"/>
    <cellStyle name="Hyperlink" xfId="2931" builtinId="8" hidden="1"/>
    <cellStyle name="Hyperlink" xfId="2933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1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49" builtinId="8" hidden="1"/>
    <cellStyle name="Hyperlink" xfId="2951" builtinId="8" hidden="1"/>
    <cellStyle name="Hyperlink" xfId="2953" builtinId="8" hidden="1"/>
    <cellStyle name="Hyperlink" xfId="2955" builtinId="8" hidden="1"/>
    <cellStyle name="Hyperlink" xfId="2957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5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3" builtinId="8" hidden="1"/>
    <cellStyle name="Hyperlink" xfId="2975" builtinId="8" hidden="1"/>
    <cellStyle name="Hyperlink" xfId="2977" builtinId="8" hidden="1"/>
    <cellStyle name="Hyperlink" xfId="2979" builtinId="8" hidden="1"/>
    <cellStyle name="Hyperlink" xfId="2981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89" builtinId="8" hidden="1"/>
    <cellStyle name="Hyperlink" xfId="2991" builtinId="8" hidden="1"/>
    <cellStyle name="Hyperlink" xfId="2993" builtinId="8" hidden="1"/>
    <cellStyle name="Hyperlink" xfId="2995" builtinId="8" hidden="1"/>
    <cellStyle name="Hyperlink" xfId="2997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5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3" builtinId="8" hidden="1"/>
    <cellStyle name="Hyperlink" xfId="3015" builtinId="8" hidden="1"/>
    <cellStyle name="Hyperlink" xfId="3017" builtinId="8" hidden="1"/>
    <cellStyle name="Hyperlink" xfId="3019" builtinId="8" hidden="1"/>
    <cellStyle name="Hyperlink" xfId="3021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29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37" builtinId="8" hidden="1"/>
    <cellStyle name="Hyperlink" xfId="3039" builtinId="8" hidden="1"/>
    <cellStyle name="Hyperlink" xfId="3041" builtinId="8" hidden="1"/>
    <cellStyle name="Hyperlink" xfId="3043" builtinId="8" hidden="1"/>
    <cellStyle name="Hyperlink" xfId="3045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3" builtinId="8" hidden="1"/>
    <cellStyle name="Hyperlink" xfId="3055" builtinId="8" hidden="1"/>
    <cellStyle name="Hyperlink" xfId="3057" builtinId="8" hidden="1"/>
    <cellStyle name="Hyperlink" xfId="3059" builtinId="8" hidden="1"/>
    <cellStyle name="Hyperlink" xfId="3061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69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7" builtinId="8" hidden="1"/>
    <cellStyle name="Hyperlink" xfId="3079" builtinId="8" hidden="1"/>
    <cellStyle name="Hyperlink" xfId="3081" builtinId="8" hidden="1"/>
    <cellStyle name="Hyperlink" xfId="3083" builtinId="8" hidden="1"/>
    <cellStyle name="Hyperlink" xfId="3085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3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1" builtinId="8" hidden="1"/>
    <cellStyle name="Hyperlink" xfId="3103" builtinId="8" hidden="1"/>
    <cellStyle name="Hyperlink" xfId="3105" builtinId="8" hidden="1"/>
    <cellStyle name="Hyperlink" xfId="3107" builtinId="8" hidden="1"/>
    <cellStyle name="Hyperlink" xfId="3109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7" builtinId="8" hidden="1"/>
    <cellStyle name="Hyperlink" xfId="3119" builtinId="8" hidden="1"/>
    <cellStyle name="Hyperlink" xfId="3121" builtinId="8" hidden="1"/>
    <cellStyle name="Hyperlink" xfId="3123" builtinId="8" hidden="1"/>
    <cellStyle name="Hyperlink" xfId="3125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3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1" builtinId="8" hidden="1"/>
    <cellStyle name="Hyperlink" xfId="3143" builtinId="8" hidden="1"/>
    <cellStyle name="Hyperlink" xfId="3145" builtinId="8" hidden="1"/>
    <cellStyle name="Hyperlink" xfId="3147" builtinId="8" hidden="1"/>
    <cellStyle name="Hyperlink" xfId="3149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7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5" builtinId="8" hidden="1"/>
    <cellStyle name="Hyperlink" xfId="3167" builtinId="8" hidden="1"/>
    <cellStyle name="Hyperlink" xfId="3169" builtinId="8" hidden="1"/>
    <cellStyle name="Hyperlink" xfId="3171" builtinId="8" hidden="1"/>
    <cellStyle name="Hyperlink" xfId="3173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1" builtinId="8" hidden="1"/>
    <cellStyle name="Hyperlink" xfId="3183" builtinId="8" hidden="1"/>
    <cellStyle name="Hyperlink" xfId="3185" builtinId="8" hidden="1"/>
    <cellStyle name="Hyperlink" xfId="3187" builtinId="8" hidden="1"/>
    <cellStyle name="Hyperlink" xfId="3189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7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5" builtinId="8" hidden="1"/>
    <cellStyle name="Hyperlink" xfId="3207" builtinId="8" hidden="1"/>
    <cellStyle name="Hyperlink" xfId="3209" builtinId="8" hidden="1"/>
    <cellStyle name="Hyperlink" xfId="3211" builtinId="8" hidden="1"/>
    <cellStyle name="Hyperlink" xfId="3213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1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29" builtinId="8" hidden="1"/>
    <cellStyle name="Hyperlink" xfId="3231" builtinId="8" hidden="1"/>
    <cellStyle name="Hyperlink" xfId="3233" builtinId="8" hidden="1"/>
    <cellStyle name="Hyperlink" xfId="3235" builtinId="8" hidden="1"/>
    <cellStyle name="Hyperlink" xfId="3237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5" builtinId="8" hidden="1"/>
    <cellStyle name="Hyperlink" xfId="3247" builtinId="8" hidden="1"/>
    <cellStyle name="Hyperlink" xfId="3249" builtinId="8" hidden="1"/>
    <cellStyle name="Hyperlink" xfId="3251" builtinId="8" hidden="1"/>
    <cellStyle name="Hyperlink" xfId="3253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1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69" builtinId="8" hidden="1"/>
    <cellStyle name="Hyperlink" xfId="3271" builtinId="8" hidden="1"/>
    <cellStyle name="Hyperlink" xfId="3273" builtinId="8" hidden="1"/>
    <cellStyle name="Hyperlink" xfId="3275" builtinId="8" hidden="1"/>
    <cellStyle name="Hyperlink" xfId="3277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5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3" builtinId="8" hidden="1"/>
    <cellStyle name="Hyperlink" xfId="3295" builtinId="8" hidden="1"/>
    <cellStyle name="Hyperlink" xfId="3297" builtinId="8" hidden="1"/>
    <cellStyle name="Hyperlink" xfId="3299" builtinId="8" hidden="1"/>
    <cellStyle name="Hyperlink" xfId="3301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09" builtinId="8" hidden="1"/>
    <cellStyle name="Hyperlink" xfId="3311" builtinId="8" hidden="1"/>
    <cellStyle name="Hyperlink" xfId="3313" builtinId="8" hidden="1"/>
    <cellStyle name="Hyperlink" xfId="3315" builtinId="8" hidden="1"/>
    <cellStyle name="Hyperlink" xfId="3317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5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3" builtinId="8" hidden="1"/>
    <cellStyle name="Hyperlink" xfId="3335" builtinId="8" hidden="1"/>
    <cellStyle name="Hyperlink" xfId="3337" builtinId="8" hidden="1"/>
    <cellStyle name="Hyperlink" xfId="3339" builtinId="8" hidden="1"/>
    <cellStyle name="Hyperlink" xfId="3341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49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57" builtinId="8" hidden="1"/>
    <cellStyle name="Hyperlink" xfId="3359" builtinId="8" hidden="1"/>
    <cellStyle name="Hyperlink" xfId="3361" builtinId="8" hidden="1"/>
    <cellStyle name="Hyperlink" xfId="3363" builtinId="8" hidden="1"/>
    <cellStyle name="Hyperlink" xfId="3365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3" builtinId="8" hidden="1"/>
    <cellStyle name="Hyperlink" xfId="3375" builtinId="8" hidden="1"/>
    <cellStyle name="Hyperlink" xfId="3377" builtinId="8" hidden="1"/>
    <cellStyle name="Hyperlink" xfId="3379" builtinId="8" hidden="1"/>
    <cellStyle name="Hyperlink" xfId="3381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89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7" builtinId="8" hidden="1"/>
    <cellStyle name="Hyperlink" xfId="3399" builtinId="8" hidden="1"/>
    <cellStyle name="Hyperlink" xfId="3401" builtinId="8" hidden="1"/>
    <cellStyle name="Hyperlink" xfId="3403" builtinId="8" hidden="1"/>
    <cellStyle name="Hyperlink" xfId="3405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3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1" builtinId="8" hidden="1"/>
    <cellStyle name="Hyperlink" xfId="3423" builtinId="8" hidden="1"/>
    <cellStyle name="Hyperlink" xfId="3425" builtinId="8" hidden="1"/>
    <cellStyle name="Hyperlink" xfId="3427" builtinId="8" hidden="1"/>
    <cellStyle name="Hyperlink" xfId="3429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7" builtinId="8" hidden="1"/>
    <cellStyle name="Hyperlink" xfId="3439" builtinId="8" hidden="1"/>
    <cellStyle name="Hyperlink" xfId="3441" builtinId="8" hidden="1"/>
    <cellStyle name="Hyperlink" xfId="3443" builtinId="8" hidden="1"/>
    <cellStyle name="Hyperlink" xfId="3445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3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1" builtinId="8" hidden="1"/>
    <cellStyle name="Hyperlink" xfId="3463" builtinId="8" hidden="1"/>
    <cellStyle name="Hyperlink" xfId="3465" builtinId="8" hidden="1"/>
    <cellStyle name="Hyperlink" xfId="3467" builtinId="8" hidden="1"/>
    <cellStyle name="Hyperlink" xfId="3469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7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5" builtinId="8" hidden="1"/>
    <cellStyle name="Hyperlink" xfId="3487" builtinId="8" hidden="1"/>
    <cellStyle name="Hyperlink" xfId="3489" builtinId="8" hidden="1"/>
    <cellStyle name="Hyperlink" xfId="3491" builtinId="8" hidden="1"/>
    <cellStyle name="Hyperlink" xfId="3493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1" builtinId="8" hidden="1"/>
    <cellStyle name="Hyperlink" xfId="3503" builtinId="8" hidden="1"/>
    <cellStyle name="Hyperlink" xfId="3505" builtinId="8" hidden="1"/>
    <cellStyle name="Hyperlink" xfId="3507" builtinId="8" hidden="1"/>
    <cellStyle name="Hyperlink" xfId="3509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7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5" builtinId="8" hidden="1"/>
    <cellStyle name="Hyperlink" xfId="3527" builtinId="8" hidden="1"/>
    <cellStyle name="Hyperlink" xfId="3529" builtinId="8" hidden="1"/>
    <cellStyle name="Hyperlink" xfId="3531" builtinId="8" hidden="1"/>
    <cellStyle name="Hyperlink" xfId="3533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1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49" builtinId="8" hidden="1"/>
    <cellStyle name="Hyperlink" xfId="3551" builtinId="8" hidden="1"/>
    <cellStyle name="Hyperlink" xfId="3553" builtinId="8" hidden="1"/>
    <cellStyle name="Hyperlink" xfId="3555" builtinId="8" hidden="1"/>
    <cellStyle name="Hyperlink" xfId="3557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5" builtinId="8" hidden="1"/>
    <cellStyle name="Hyperlink" xfId="3567" builtinId="8" hidden="1"/>
    <cellStyle name="Hyperlink" xfId="3569" builtinId="8" hidden="1"/>
    <cellStyle name="Hyperlink" xfId="3571" builtinId="8" hidden="1"/>
    <cellStyle name="Hyperlink" xfId="3573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1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89" builtinId="8" hidden="1"/>
    <cellStyle name="Hyperlink" xfId="3591" builtinId="8" hidden="1"/>
    <cellStyle name="Hyperlink" xfId="3593" builtinId="8" hidden="1"/>
    <cellStyle name="Hyperlink" xfId="3595" builtinId="8" hidden="1"/>
    <cellStyle name="Hyperlink" xfId="3597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5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3" builtinId="8" hidden="1"/>
    <cellStyle name="Hyperlink" xfId="3615" builtinId="8" hidden="1"/>
    <cellStyle name="Hyperlink" xfId="3617" builtinId="8" hidden="1"/>
    <cellStyle name="Hyperlink" xfId="3619" builtinId="8" hidden="1"/>
    <cellStyle name="Hyperlink" xfId="3621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29" builtinId="8" hidden="1"/>
    <cellStyle name="Hyperlink" xfId="3631" builtinId="8" hidden="1"/>
    <cellStyle name="Hyperlink" xfId="3633" builtinId="8" hidden="1"/>
    <cellStyle name="Hyperlink" xfId="3635" builtinId="8" hidden="1"/>
    <cellStyle name="Hyperlink" xfId="3637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5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3" builtinId="8" hidden="1"/>
    <cellStyle name="Hyperlink" xfId="3655" builtinId="8" hidden="1"/>
    <cellStyle name="Hyperlink" xfId="3657" builtinId="8" hidden="1"/>
    <cellStyle name="Hyperlink" xfId="3659" builtinId="8" hidden="1"/>
    <cellStyle name="Hyperlink" xfId="3661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69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77" builtinId="8" hidden="1"/>
    <cellStyle name="Hyperlink" xfId="3679" builtinId="8" hidden="1"/>
    <cellStyle name="Hyperlink" xfId="3681" builtinId="8" hidden="1"/>
    <cellStyle name="Hyperlink" xfId="3683" builtinId="8" hidden="1"/>
    <cellStyle name="Hyperlink" xfId="3685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3" builtinId="8" hidden="1"/>
    <cellStyle name="Hyperlink" xfId="3695" builtinId="8" hidden="1"/>
    <cellStyle name="Hyperlink" xfId="3697" builtinId="8" hidden="1"/>
    <cellStyle name="Hyperlink" xfId="3699" builtinId="8" hidden="1"/>
    <cellStyle name="Hyperlink" xfId="3701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09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7" builtinId="8" hidden="1"/>
    <cellStyle name="Hyperlink" xfId="3719" builtinId="8" hidden="1"/>
    <cellStyle name="Hyperlink" xfId="3721" builtinId="8" hidden="1"/>
    <cellStyle name="Hyperlink" xfId="3723" builtinId="8" hidden="1"/>
    <cellStyle name="Hyperlink" xfId="3725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3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1" builtinId="8" hidden="1"/>
    <cellStyle name="Hyperlink" xfId="3743" builtinId="8" hidden="1"/>
    <cellStyle name="Hyperlink" xfId="3745" builtinId="8" hidden="1"/>
    <cellStyle name="Hyperlink" xfId="3747" builtinId="8" hidden="1"/>
    <cellStyle name="Hyperlink" xfId="3749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7" builtinId="8" hidden="1"/>
    <cellStyle name="Hyperlink" xfId="3759" builtinId="8" hidden="1"/>
    <cellStyle name="Hyperlink" xfId="3761" builtinId="8" hidden="1"/>
    <cellStyle name="Hyperlink" xfId="3763" builtinId="8" hidden="1"/>
    <cellStyle name="Hyperlink" xfId="3765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3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1" builtinId="8" hidden="1"/>
    <cellStyle name="Hyperlink" xfId="3783" builtinId="8" hidden="1"/>
    <cellStyle name="Hyperlink" xfId="3785" builtinId="8" hidden="1"/>
    <cellStyle name="Hyperlink" xfId="3787" builtinId="8" hidden="1"/>
    <cellStyle name="Hyperlink" xfId="3789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7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5" builtinId="8" hidden="1"/>
    <cellStyle name="Hyperlink" xfId="3807" builtinId="8" hidden="1"/>
    <cellStyle name="Hyperlink" xfId="3809" builtinId="8" hidden="1"/>
    <cellStyle name="Hyperlink" xfId="3811" builtinId="8" hidden="1"/>
    <cellStyle name="Hyperlink" xfId="3813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1" builtinId="8" hidden="1"/>
    <cellStyle name="Hyperlink" xfId="3823" builtinId="8" hidden="1"/>
    <cellStyle name="Hyperlink" xfId="3825" builtinId="8" hidden="1"/>
    <cellStyle name="Hyperlink" xfId="3827" builtinId="8" hidden="1"/>
    <cellStyle name="Hyperlink" xfId="3829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7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5" builtinId="8" hidden="1"/>
    <cellStyle name="Hyperlink" xfId="3847" builtinId="8" hidden="1"/>
    <cellStyle name="Hyperlink" xfId="3849" builtinId="8" hidden="1"/>
    <cellStyle name="Hyperlink" xfId="3851" builtinId="8" hidden="1"/>
    <cellStyle name="Hyperlink" xfId="3853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1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69" builtinId="8" hidden="1"/>
    <cellStyle name="Hyperlink" xfId="3871" builtinId="8" hidden="1"/>
    <cellStyle name="Hyperlink" xfId="3873" builtinId="8" hidden="1"/>
    <cellStyle name="Hyperlink" xfId="3875" builtinId="8" hidden="1"/>
    <cellStyle name="Hyperlink" xfId="3877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5" builtinId="8" hidden="1"/>
    <cellStyle name="Hyperlink" xfId="3887" builtinId="8" hidden="1"/>
    <cellStyle name="Hyperlink" xfId="3889" builtinId="8" hidden="1"/>
    <cellStyle name="Hyperlink" xfId="3891" builtinId="8" hidden="1"/>
    <cellStyle name="Hyperlink" xfId="3893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1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09" builtinId="8" hidden="1"/>
    <cellStyle name="Hyperlink" xfId="3911" builtinId="8" hidden="1"/>
    <cellStyle name="Hyperlink" xfId="3913" builtinId="8" hidden="1"/>
    <cellStyle name="Hyperlink" xfId="3915" builtinId="8" hidden="1"/>
    <cellStyle name="Hyperlink" xfId="3917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5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3" builtinId="8" hidden="1"/>
    <cellStyle name="Hyperlink" xfId="3935" builtinId="8" hidden="1"/>
    <cellStyle name="Hyperlink" xfId="3937" builtinId="8" hidden="1"/>
    <cellStyle name="Hyperlink" xfId="3939" builtinId="8" hidden="1"/>
    <cellStyle name="Hyperlink" xfId="3941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49" builtinId="8" hidden="1"/>
    <cellStyle name="Hyperlink" xfId="3951" builtinId="8" hidden="1"/>
    <cellStyle name="Hyperlink" xfId="3953" builtinId="8" hidden="1"/>
    <cellStyle name="Hyperlink" xfId="3955" builtinId="8" hidden="1"/>
    <cellStyle name="Hyperlink" xfId="3957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5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3" builtinId="8" hidden="1"/>
    <cellStyle name="Hyperlink" xfId="3975" builtinId="8" hidden="1"/>
    <cellStyle name="Hyperlink" xfId="3977" builtinId="8" hidden="1"/>
    <cellStyle name="Hyperlink" xfId="3979" builtinId="8" hidden="1"/>
    <cellStyle name="Hyperlink" xfId="3981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89" builtinId="8" hidden="1"/>
    <cellStyle name="Hyperlink" xfId="3991" builtinId="8" hidden="1"/>
    <cellStyle name="Hyperlink" xfId="3993" builtinId="8" hidden="1"/>
    <cellStyle name="Hyperlink" xfId="3995" builtinId="8" hidden="1"/>
    <cellStyle name="Hyperlink" xfId="3997" builtinId="8" hidden="1"/>
    <cellStyle name="Hyperlink" xfId="3999" builtinId="8" hidden="1"/>
    <cellStyle name="Hyperlink" xfId="4001" builtinId="8" hidden="1"/>
    <cellStyle name="Hyperlink" xfId="4003" builtinId="8" hidden="1"/>
    <cellStyle name="Hyperlink" xfId="4005" builtinId="8" hidden="1"/>
    <cellStyle name="Hyperlink" xfId="4007" builtinId="8" hidden="1"/>
    <cellStyle name="Hyperlink" xfId="4009" builtinId="8" hidden="1"/>
    <cellStyle name="Hyperlink" xfId="4011" builtinId="8" hidden="1"/>
    <cellStyle name="Hyperlink" xfId="4013" builtinId="8" hidden="1"/>
    <cellStyle name="Hyperlink" xfId="4015" builtinId="8" hidden="1"/>
    <cellStyle name="Hyperlink" xfId="4017" builtinId="8" hidden="1"/>
    <cellStyle name="Hyperlink" xfId="4019" builtinId="8" hidden="1"/>
    <cellStyle name="Hyperlink" xfId="4021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29" builtinId="8" hidden="1"/>
    <cellStyle name="Hyperlink" xfId="4031" builtinId="8" hidden="1"/>
    <cellStyle name="Hyperlink" xfId="4033" builtinId="8" hidden="1"/>
    <cellStyle name="Hyperlink" xfId="4035" builtinId="8" hidden="1"/>
    <cellStyle name="Hyperlink" xfId="4037" builtinId="8" hidden="1"/>
    <cellStyle name="Hyperlink" xfId="4039" builtinId="8" hidden="1"/>
    <cellStyle name="Hyperlink" xfId="4041" builtinId="8" hidden="1"/>
    <cellStyle name="Hyperlink" xfId="4043" builtinId="8" hidden="1"/>
    <cellStyle name="Hyperlink" xfId="4045" builtinId="8" hidden="1"/>
    <cellStyle name="Hyperlink" xfId="4047" builtinId="8" hidden="1"/>
    <cellStyle name="Hyperlink" xfId="4049" builtinId="8" hidden="1"/>
    <cellStyle name="Hyperlink" xfId="4051" builtinId="8" hidden="1"/>
    <cellStyle name="Hyperlink" xfId="4053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1" builtinId="8" hidden="1"/>
    <cellStyle name="Hyperlink" xfId="4063" builtinId="8" hidden="1"/>
    <cellStyle name="Hyperlink" xfId="4065" builtinId="8" hidden="1"/>
    <cellStyle name="Hyperlink" xfId="4067" builtinId="8" hidden="1"/>
    <cellStyle name="Hyperlink" xfId="4069" builtinId="8" hidden="1"/>
    <cellStyle name="Hyperlink" xfId="4071" builtinId="8" hidden="1"/>
    <cellStyle name="Hyperlink" xfId="4073" builtinId="8" hidden="1"/>
    <cellStyle name="Hyperlink" xfId="4075" builtinId="8" hidden="1"/>
    <cellStyle name="Hyperlink" xfId="4077" builtinId="8" hidden="1"/>
    <cellStyle name="Hyperlink" xfId="4079" builtinId="8" hidden="1"/>
    <cellStyle name="Hyperlink" xfId="4081" builtinId="8" hidden="1"/>
    <cellStyle name="Hyperlink" xfId="4083" builtinId="8" hidden="1"/>
    <cellStyle name="Hyperlink" xfId="4085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3" builtinId="8" hidden="1"/>
    <cellStyle name="Hyperlink" xfId="4095" builtinId="8" hidden="1"/>
    <cellStyle name="Hyperlink" xfId="4097" builtinId="8" hidden="1"/>
    <cellStyle name="Hyperlink" xfId="4099" builtinId="8" hidden="1"/>
    <cellStyle name="Hyperlink" xfId="4101" builtinId="8" hidden="1"/>
    <cellStyle name="Hyperlink" xfId="4103" builtinId="8" hidden="1"/>
    <cellStyle name="Hyperlink" xfId="4105" builtinId="8" hidden="1"/>
    <cellStyle name="Hyperlink" xfId="4107" builtinId="8" hidden="1"/>
    <cellStyle name="Hyperlink" xfId="4109" builtinId="8" hidden="1"/>
    <cellStyle name="Hyperlink" xfId="4111" builtinId="8" hidden="1"/>
    <cellStyle name="Hyperlink" xfId="4113" builtinId="8" hidden="1"/>
    <cellStyle name="Hyperlink" xfId="4115" builtinId="8" hidden="1"/>
    <cellStyle name="Hyperlink" xfId="4117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5" builtinId="8" hidden="1"/>
    <cellStyle name="Hyperlink" xfId="4127" builtinId="8" hidden="1"/>
    <cellStyle name="Hyperlink" xfId="4129" builtinId="8" hidden="1"/>
    <cellStyle name="Hyperlink" xfId="4131" builtinId="8" hidden="1"/>
    <cellStyle name="Hyperlink" xfId="4133" builtinId="8" hidden="1"/>
    <cellStyle name="Hyperlink" xfId="4135" builtinId="8" hidden="1"/>
    <cellStyle name="Hyperlink" xfId="4137" builtinId="8" hidden="1"/>
    <cellStyle name="Hyperlink" xfId="4139" builtinId="8" hidden="1"/>
    <cellStyle name="Hyperlink" xfId="4141" builtinId="8" hidden="1"/>
    <cellStyle name="Hyperlink" xfId="4143" builtinId="8" hidden="1"/>
    <cellStyle name="Hyperlink" xfId="4145" builtinId="8" hidden="1"/>
    <cellStyle name="Hyperlink" xfId="4147" builtinId="8" hidden="1"/>
    <cellStyle name="Hyperlink" xfId="4149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57" builtinId="8" hidden="1"/>
    <cellStyle name="Hyperlink" xfId="4159" builtinId="8" hidden="1"/>
    <cellStyle name="Hyperlink" xfId="4161" builtinId="8" hidden="1"/>
    <cellStyle name="Hyperlink" xfId="4163" builtinId="8" hidden="1"/>
    <cellStyle name="Hyperlink" xfId="4165" builtinId="8" hidden="1"/>
    <cellStyle name="Hyperlink" xfId="4167" builtinId="8" hidden="1"/>
    <cellStyle name="Hyperlink" xfId="4169" builtinId="8" hidden="1"/>
    <cellStyle name="Hyperlink" xfId="4171" builtinId="8" hidden="1"/>
    <cellStyle name="Hyperlink" xfId="4173" builtinId="8" hidden="1"/>
    <cellStyle name="Hyperlink" xfId="4175" builtinId="8" hidden="1"/>
    <cellStyle name="Hyperlink" xfId="4177" builtinId="8" hidden="1"/>
    <cellStyle name="Hyperlink" xfId="4179" builtinId="8" hidden="1"/>
    <cellStyle name="Hyperlink" xfId="4181" builtinId="8" hidden="1"/>
    <cellStyle name="Hyperlink" xfId="4183" builtinId="8" hidden="1"/>
    <cellStyle name="Hyperlink" xfId="4185" builtinId="8" hidden="1"/>
    <cellStyle name="Hyperlink" xfId="4187" builtinId="8" hidden="1"/>
    <cellStyle name="Hyperlink" xfId="4189" builtinId="8" hidden="1"/>
    <cellStyle name="Hyperlink" xfId="4191" builtinId="8" hidden="1"/>
    <cellStyle name="Hyperlink" xfId="4193" builtinId="8" hidden="1"/>
    <cellStyle name="Hyperlink" xfId="4195" builtinId="8" hidden="1"/>
    <cellStyle name="Hyperlink" xfId="4197" builtinId="8" hidden="1"/>
    <cellStyle name="Hyperlink" xfId="4199" builtinId="8" hidden="1"/>
    <cellStyle name="Hyperlink" xfId="4201" builtinId="8" hidden="1"/>
    <cellStyle name="Hyperlink" xfId="4203" builtinId="8" hidden="1"/>
    <cellStyle name="Hyperlink" xfId="4205" builtinId="8" hidden="1"/>
    <cellStyle name="Hyperlink" xfId="4207" builtinId="8" hidden="1"/>
    <cellStyle name="Hyperlink" xfId="4209" builtinId="8" hidden="1"/>
    <cellStyle name="Hyperlink" xfId="4211" builtinId="8" hidden="1"/>
    <cellStyle name="Hyperlink" xfId="4213" builtinId="8" hidden="1"/>
    <cellStyle name="Hyperlink" xfId="4215" builtinId="8" hidden="1"/>
    <cellStyle name="Hyperlink" xfId="4217" builtinId="8" hidden="1"/>
    <cellStyle name="Hyperlink" xfId="4219" builtinId="8" hidden="1"/>
    <cellStyle name="Hyperlink" xfId="4221" builtinId="8" hidden="1"/>
    <cellStyle name="Hyperlink" xfId="4223" builtinId="8" hidden="1"/>
    <cellStyle name="Hyperlink" xfId="4225" builtinId="8" hidden="1"/>
    <cellStyle name="Hyperlink" xfId="4227" builtinId="8" hidden="1"/>
    <cellStyle name="Hyperlink" xfId="4229" builtinId="8" hidden="1"/>
    <cellStyle name="Hyperlink" xfId="4231" builtinId="8" hidden="1"/>
    <cellStyle name="Hyperlink" xfId="4233" builtinId="8" hidden="1"/>
    <cellStyle name="Hyperlink" xfId="4235" builtinId="8" hidden="1"/>
    <cellStyle name="Hyperlink" xfId="4237" builtinId="8" hidden="1"/>
    <cellStyle name="Hyperlink" xfId="4239" builtinId="8" hidden="1"/>
    <cellStyle name="Hyperlink" xfId="4241" builtinId="8" hidden="1"/>
    <cellStyle name="Hyperlink" xfId="4243" builtinId="8" hidden="1"/>
    <cellStyle name="Hyperlink" xfId="4245" builtinId="8" hidden="1"/>
    <cellStyle name="Hyperlink" xfId="4247" builtinId="8" hidden="1"/>
    <cellStyle name="Hyperlink" xfId="4249" builtinId="8" hidden="1"/>
    <cellStyle name="Hyperlink" xfId="4251" builtinId="8" hidden="1"/>
    <cellStyle name="Hyperlink" xfId="4253" builtinId="8" hidden="1"/>
    <cellStyle name="Hyperlink" xfId="4255" builtinId="8" hidden="1"/>
    <cellStyle name="Hyperlink" xfId="4257" builtinId="8" hidden="1"/>
    <cellStyle name="Hyperlink" xfId="4259" builtinId="8" hidden="1"/>
    <cellStyle name="Hyperlink" xfId="4261" builtinId="8" hidden="1"/>
    <cellStyle name="Hyperlink" xfId="4263" builtinId="8" hidden="1"/>
    <cellStyle name="Hyperlink" xfId="4265" builtinId="8" hidden="1"/>
    <cellStyle name="Hyperlink" xfId="4267" builtinId="8" hidden="1"/>
    <cellStyle name="Hyperlink" xfId="4269" builtinId="8" hidden="1"/>
    <cellStyle name="Hyperlink" xfId="4271" builtinId="8" hidden="1"/>
    <cellStyle name="Hyperlink" xfId="4273" builtinId="8" hidden="1"/>
    <cellStyle name="Hyperlink" xfId="4275" builtinId="8" hidden="1"/>
    <cellStyle name="Hyperlink" xfId="4277" builtinId="8" hidden="1"/>
    <cellStyle name="Hyperlink" xfId="4279" builtinId="8" hidden="1"/>
    <cellStyle name="Hyperlink" xfId="4281" builtinId="8" hidden="1"/>
    <cellStyle name="Hyperlink" xfId="4283" builtinId="8" hidden="1"/>
    <cellStyle name="Hyperlink" xfId="4285" builtinId="8" hidden="1"/>
    <cellStyle name="Hyperlink" xfId="4287" builtinId="8" hidden="1"/>
    <cellStyle name="Hyperlink" xfId="4289" builtinId="8" hidden="1"/>
    <cellStyle name="Hyperlink" xfId="4291" builtinId="8" hidden="1"/>
    <cellStyle name="Hyperlink" xfId="4293" builtinId="8" hidden="1"/>
    <cellStyle name="Hyperlink" xfId="4295" builtinId="8" hidden="1"/>
    <cellStyle name="Hyperlink" xfId="4297" builtinId="8" hidden="1"/>
    <cellStyle name="Hyperlink" xfId="4299" builtinId="8" hidden="1"/>
    <cellStyle name="Hyperlink" xfId="4301" builtinId="8" hidden="1"/>
    <cellStyle name="Hyperlink" xfId="4303" builtinId="8" hidden="1"/>
    <cellStyle name="Hyperlink" xfId="4305" builtinId="8" hidden="1"/>
    <cellStyle name="Hyperlink" xfId="4307" builtinId="8" hidden="1"/>
    <cellStyle name="Hyperlink" xfId="4310" builtinId="8" hidden="1"/>
    <cellStyle name="Hyperlink" xfId="4312" builtinId="8" hidden="1"/>
    <cellStyle name="Hyperlink" xfId="4314" builtinId="8" hidden="1"/>
    <cellStyle name="Hyperlink" xfId="4316" builtinId="8" hidden="1"/>
    <cellStyle name="Hyperlink" xfId="4318" builtinId="8" hidden="1"/>
    <cellStyle name="Hyperlink" xfId="4320" builtinId="8" hidden="1"/>
    <cellStyle name="Hyperlink" xfId="4322" builtinId="8" hidden="1"/>
    <cellStyle name="Hyperlink" xfId="4324" builtinId="8" hidden="1"/>
    <cellStyle name="Hyperlink" xfId="4326" builtinId="8" hidden="1"/>
    <cellStyle name="Hyperlink" xfId="4328" builtinId="8" hidden="1"/>
    <cellStyle name="Hyperlink" xfId="4330" builtinId="8" hidden="1"/>
    <cellStyle name="Hyperlink" xfId="4332" builtinId="8" hidden="1"/>
    <cellStyle name="Hyperlink" xfId="4334" builtinId="8" hidden="1"/>
    <cellStyle name="Hyperlink" xfId="4336" builtinId="8" hidden="1"/>
    <cellStyle name="Hyperlink" xfId="4338" builtinId="8" hidden="1"/>
    <cellStyle name="Hyperlink" xfId="4340" builtinId="8" hidden="1"/>
    <cellStyle name="Hyperlink" xfId="4342" builtinId="8" hidden="1"/>
    <cellStyle name="Hyperlink" xfId="4344" builtinId="8" hidden="1"/>
    <cellStyle name="Hyperlink" xfId="4346" builtinId="8" hidden="1"/>
    <cellStyle name="Hyperlink" xfId="4348" builtinId="8" hidden="1"/>
    <cellStyle name="Hyperlink" xfId="4350" builtinId="8" hidden="1"/>
    <cellStyle name="Hyperlink" xfId="4352" builtinId="8" hidden="1"/>
    <cellStyle name="Hyperlink" xfId="4354" builtinId="8" hidden="1"/>
    <cellStyle name="Hyperlink" xfId="4356" builtinId="8" hidden="1"/>
    <cellStyle name="Hyperlink" xfId="4358" builtinId="8" hidden="1"/>
    <cellStyle name="Hyperlink" xfId="4360" builtinId="8" hidden="1"/>
    <cellStyle name="Hyperlink" xfId="4362" builtinId="8" hidden="1"/>
    <cellStyle name="Hyperlink" xfId="4364" builtinId="8" hidden="1"/>
    <cellStyle name="Hyperlink" xfId="4366" builtinId="8" hidden="1"/>
    <cellStyle name="Hyperlink" xfId="4368" builtinId="8" hidden="1"/>
    <cellStyle name="Hyperlink" xfId="4370" builtinId="8" hidden="1"/>
    <cellStyle name="Hyperlink" xfId="4372" builtinId="8" hidden="1"/>
    <cellStyle name="Hyperlink" xfId="4374" builtinId="8" hidden="1"/>
    <cellStyle name="Hyperlink" xfId="4376" builtinId="8" hidden="1"/>
    <cellStyle name="Hyperlink" xfId="4378" builtinId="8" hidden="1"/>
    <cellStyle name="Hyperlink" xfId="4380" builtinId="8" hidden="1"/>
    <cellStyle name="Hyperlink" xfId="4382" builtinId="8" hidden="1"/>
    <cellStyle name="Hyperlink" xfId="4384" builtinId="8" hidden="1"/>
    <cellStyle name="Hyperlink" xfId="4386" builtinId="8" hidden="1"/>
    <cellStyle name="Hyperlink" xfId="4388" builtinId="8" hidden="1"/>
    <cellStyle name="Hyperlink" xfId="4390" builtinId="8" hidden="1"/>
    <cellStyle name="Hyperlink" xfId="4392" builtinId="8" hidden="1"/>
    <cellStyle name="Hyperlink" xfId="4394" builtinId="8" hidden="1"/>
    <cellStyle name="Hyperlink" xfId="4396" builtinId="8" hidden="1"/>
    <cellStyle name="Hyperlink" xfId="4398" builtinId="8" hidden="1"/>
    <cellStyle name="Hyperlink" xfId="4400" builtinId="8" hidden="1"/>
    <cellStyle name="Hyperlink" xfId="4402" builtinId="8" hidden="1"/>
    <cellStyle name="Hyperlink" xfId="4404" builtinId="8" hidden="1"/>
    <cellStyle name="Hyperlink" xfId="4406" builtinId="8" hidden="1"/>
    <cellStyle name="Hyperlink" xfId="4408" builtinId="8" hidden="1"/>
    <cellStyle name="Hyperlink" xfId="4410" builtinId="8" hidden="1"/>
    <cellStyle name="Hyperlink" xfId="4412" builtinId="8" hidden="1"/>
    <cellStyle name="Hyperlink" xfId="4414" builtinId="8" hidden="1"/>
    <cellStyle name="Hyperlink" xfId="4416" builtinId="8" hidden="1"/>
    <cellStyle name="Hyperlink" xfId="4418" builtinId="8" hidden="1"/>
    <cellStyle name="Hyperlink" xfId="4420" builtinId="8" hidden="1"/>
    <cellStyle name="Hyperlink" xfId="4422" builtinId="8" hidden="1"/>
    <cellStyle name="Hyperlink" xfId="4424" builtinId="8" hidden="1"/>
    <cellStyle name="Hyperlink" xfId="4426" builtinId="8" hidden="1"/>
    <cellStyle name="Hyperlink" xfId="4428" builtinId="8" hidden="1"/>
    <cellStyle name="Hyperlink" xfId="4430" builtinId="8" hidden="1"/>
    <cellStyle name="Hyperlink" xfId="4432" builtinId="8" hidden="1"/>
    <cellStyle name="Hyperlink" xfId="4434" builtinId="8" hidden="1"/>
    <cellStyle name="Hyperlink" xfId="4436" builtinId="8" hidden="1"/>
    <cellStyle name="Hyperlink" xfId="4438" builtinId="8" hidden="1"/>
    <cellStyle name="Hyperlink" xfId="4440" builtinId="8" hidden="1"/>
    <cellStyle name="Hyperlink" xfId="4442" builtinId="8" hidden="1"/>
    <cellStyle name="Hyperlink" xfId="4444" builtinId="8" hidden="1"/>
    <cellStyle name="Hyperlink" xfId="4446" builtinId="8" hidden="1"/>
    <cellStyle name="Hyperlink" xfId="4448" builtinId="8" hidden="1"/>
    <cellStyle name="Hyperlink" xfId="4450" builtinId="8" hidden="1"/>
    <cellStyle name="Hyperlink" xfId="4452" builtinId="8" hidden="1"/>
    <cellStyle name="Hyperlink" xfId="4454" builtinId="8" hidden="1"/>
    <cellStyle name="Hyperlink" xfId="4456" builtinId="8" hidden="1"/>
    <cellStyle name="Hyperlink" xfId="4458" builtinId="8" hidden="1"/>
    <cellStyle name="Hyperlink" xfId="4460" builtinId="8" hidden="1"/>
    <cellStyle name="Hyperlink" xfId="4462" builtinId="8" hidden="1"/>
    <cellStyle name="Hyperlink" xfId="4464" builtinId="8" hidden="1"/>
    <cellStyle name="Hyperlink" xfId="4466" builtinId="8" hidden="1"/>
    <cellStyle name="Hyperlink" xfId="4468" builtinId="8" hidden="1"/>
    <cellStyle name="Hyperlink" xfId="4470" builtinId="8" hidden="1"/>
    <cellStyle name="Hyperlink" xfId="4472" builtinId="8" hidden="1"/>
    <cellStyle name="Hyperlink" xfId="4474" builtinId="8" hidden="1"/>
    <cellStyle name="Hyperlink" xfId="4476" builtinId="8" hidden="1"/>
    <cellStyle name="Hyperlink" xfId="4478" builtinId="8" hidden="1"/>
    <cellStyle name="Hyperlink" xfId="4480" builtinId="8" hidden="1"/>
    <cellStyle name="Hyperlink" xfId="4482" builtinId="8" hidden="1"/>
    <cellStyle name="Hyperlink" xfId="4484" builtinId="8" hidden="1"/>
    <cellStyle name="Hyperlink" xfId="4486" builtinId="8" hidden="1"/>
    <cellStyle name="Hyperlink" xfId="4488" builtinId="8" hidden="1"/>
    <cellStyle name="Hyperlink" xfId="4490" builtinId="8" hidden="1"/>
    <cellStyle name="Hyperlink" xfId="4492" builtinId="8" hidden="1"/>
    <cellStyle name="Hyperlink" xfId="4494" builtinId="8" hidden="1"/>
    <cellStyle name="Hyperlink" xfId="4496" builtinId="8" hidden="1"/>
    <cellStyle name="Hyperlink" xfId="4498" builtinId="8" hidden="1"/>
    <cellStyle name="Hyperlink" xfId="4500" builtinId="8" hidden="1"/>
    <cellStyle name="Hyperlink" xfId="4502" builtinId="8" hidden="1"/>
    <cellStyle name="Hyperlink" xfId="4504" builtinId="8" hidden="1"/>
    <cellStyle name="Hyperlink" xfId="4506" builtinId="8" hidden="1"/>
    <cellStyle name="Hyperlink" xfId="4508" builtinId="8" hidden="1"/>
    <cellStyle name="Hyperlink" xfId="4510" builtinId="8" hidden="1"/>
    <cellStyle name="Hyperlink" xfId="4512" builtinId="8" hidden="1"/>
    <cellStyle name="Hyperlink" xfId="4514" builtinId="8" hidden="1"/>
    <cellStyle name="Hyperlink" xfId="4516" builtinId="8" hidden="1"/>
    <cellStyle name="Hyperlink" xfId="4518" builtinId="8" hidden="1"/>
    <cellStyle name="Hyperlink" xfId="4520" builtinId="8" hidden="1"/>
    <cellStyle name="Hyperlink" xfId="4522" builtinId="8" hidden="1"/>
    <cellStyle name="Hyperlink" xfId="4524" builtinId="8" hidden="1"/>
    <cellStyle name="Hyperlink" xfId="4526" builtinId="8" hidden="1"/>
    <cellStyle name="Hyperlink" xfId="4528" builtinId="8" hidden="1"/>
    <cellStyle name="Hyperlink" xfId="4530" builtinId="8" hidden="1"/>
    <cellStyle name="Hyperlink" xfId="4532" builtinId="8" hidden="1"/>
    <cellStyle name="Hyperlink" xfId="4534" builtinId="8" hidden="1"/>
    <cellStyle name="Hyperlink" xfId="4536" builtinId="8" hidden="1"/>
    <cellStyle name="Hyperlink" xfId="4538" builtinId="8" hidden="1"/>
    <cellStyle name="Hyperlink" xfId="4540" builtinId="8" hidden="1"/>
    <cellStyle name="Hyperlink" xfId="4542" builtinId="8" hidden="1"/>
    <cellStyle name="Hyperlink" xfId="4544" builtinId="8" hidden="1"/>
    <cellStyle name="Hyperlink" xfId="4546" builtinId="8" hidden="1"/>
    <cellStyle name="Hyperlink" xfId="4548" builtinId="8" hidden="1"/>
    <cellStyle name="Hyperlink" xfId="4550" builtinId="8" hidden="1"/>
    <cellStyle name="Hyperlink" xfId="4552" builtinId="8" hidden="1"/>
    <cellStyle name="Hyperlink" xfId="4554" builtinId="8" hidden="1"/>
    <cellStyle name="Hyperlink" xfId="4556" builtinId="8" hidden="1"/>
    <cellStyle name="Hyperlink" xfId="4558" builtinId="8" hidden="1"/>
    <cellStyle name="Hyperlink" xfId="4560" builtinId="8" hidden="1"/>
    <cellStyle name="Hyperlink" xfId="4562" builtinId="8" hidden="1"/>
    <cellStyle name="Hyperlink" xfId="4564" builtinId="8" hidden="1"/>
    <cellStyle name="Hyperlink" xfId="4566" builtinId="8" hidden="1"/>
    <cellStyle name="Hyperlink" xfId="4568" builtinId="8" hidden="1"/>
    <cellStyle name="Hyperlink" xfId="4570" builtinId="8" hidden="1"/>
    <cellStyle name="Hyperlink" xfId="4572" builtinId="8" hidden="1"/>
    <cellStyle name="Hyperlink" xfId="4574" builtinId="8" hidden="1"/>
    <cellStyle name="Hyperlink" xfId="4576" builtinId="8" hidden="1"/>
    <cellStyle name="Hyperlink" xfId="4578" builtinId="8" hidden="1"/>
    <cellStyle name="Hyperlink" xfId="4580" builtinId="8" hidden="1"/>
    <cellStyle name="Hyperlink" xfId="4582" builtinId="8" hidden="1"/>
    <cellStyle name="Hyperlink" xfId="4584" builtinId="8" hidden="1"/>
    <cellStyle name="Hyperlink" xfId="4586" builtinId="8" hidden="1"/>
    <cellStyle name="Hyperlink" xfId="4588" builtinId="8" hidden="1"/>
    <cellStyle name="Hyperlink" xfId="4590" builtinId="8" hidden="1"/>
    <cellStyle name="Hyperlink" xfId="4592" builtinId="8" hidden="1"/>
    <cellStyle name="Hyperlink" xfId="4594" builtinId="8" hidden="1"/>
    <cellStyle name="Hyperlink" xfId="4596" builtinId="8" hidden="1"/>
    <cellStyle name="Hyperlink" xfId="4598" builtinId="8" hidden="1"/>
    <cellStyle name="Hyperlink" xfId="4600" builtinId="8" hidden="1"/>
    <cellStyle name="Hyperlink" xfId="4602" builtinId="8" hidden="1"/>
    <cellStyle name="Hyperlink" xfId="4604" builtinId="8" hidden="1"/>
    <cellStyle name="Hyperlink" xfId="4606" builtinId="8" hidden="1"/>
    <cellStyle name="Hyperlink" xfId="4608" builtinId="8" hidden="1"/>
    <cellStyle name="Hyperlink" xfId="4610" builtinId="8" hidden="1"/>
    <cellStyle name="Hyperlink" xfId="4612" builtinId="8" hidden="1"/>
    <cellStyle name="Hyperlink" xfId="4614" builtinId="8" hidden="1"/>
    <cellStyle name="Hyperlink" xfId="4616" builtinId="8" hidden="1"/>
    <cellStyle name="Hyperlink" xfId="4618" builtinId="8" hidden="1"/>
    <cellStyle name="Hyperlink" xfId="4620" builtinId="8" hidden="1"/>
    <cellStyle name="Hyperlink" xfId="4622" builtinId="8" hidden="1"/>
    <cellStyle name="Hyperlink" xfId="4624" builtinId="8" hidden="1"/>
    <cellStyle name="Hyperlink" xfId="4626" builtinId="8" hidden="1"/>
    <cellStyle name="Hyperlink" xfId="4628" builtinId="8" hidden="1"/>
    <cellStyle name="Hyperlink" xfId="4630" builtinId="8" hidden="1"/>
    <cellStyle name="Hyperlink" xfId="4632" builtinId="8" hidden="1"/>
    <cellStyle name="Hyperlink" xfId="4634" builtinId="8" hidden="1"/>
    <cellStyle name="Hyperlink" xfId="4636" builtinId="8" hidden="1"/>
    <cellStyle name="Hyperlink" xfId="4638" builtinId="8" hidden="1"/>
    <cellStyle name="Hyperlink" xfId="4640" builtinId="8" hidden="1"/>
    <cellStyle name="Hyperlink" xfId="4642" builtinId="8" hidden="1"/>
    <cellStyle name="Hyperlink" xfId="4644" builtinId="8" hidden="1"/>
    <cellStyle name="Hyperlink" xfId="4646" builtinId="8" hidden="1"/>
    <cellStyle name="Hyperlink" xfId="4648" builtinId="8" hidden="1"/>
    <cellStyle name="Hyperlink" xfId="4650" builtinId="8" hidden="1"/>
    <cellStyle name="Hyperlink" xfId="4652" builtinId="8" hidden="1"/>
    <cellStyle name="Hyperlink" xfId="4654" builtinId="8" hidden="1"/>
    <cellStyle name="Hyperlink" xfId="4656" builtinId="8" hidden="1"/>
    <cellStyle name="Hyperlink" xfId="4658" builtinId="8" hidden="1"/>
    <cellStyle name="Hyperlink" xfId="4660" builtinId="8" hidden="1"/>
    <cellStyle name="Hyperlink" xfId="4662" builtinId="8" hidden="1"/>
    <cellStyle name="Hyperlink" xfId="4664" builtinId="8" hidden="1"/>
    <cellStyle name="Hyperlink" xfId="4666" builtinId="8" hidden="1"/>
    <cellStyle name="Hyperlink" xfId="4668" builtinId="8" hidden="1"/>
    <cellStyle name="Hyperlink" xfId="4670" builtinId="8" hidden="1"/>
    <cellStyle name="Hyperlink" xfId="4672" builtinId="8" hidden="1"/>
    <cellStyle name="Hyperlink" xfId="4674" builtinId="8" hidden="1"/>
    <cellStyle name="Hyperlink" xfId="4676" builtinId="8" hidden="1"/>
    <cellStyle name="Hyperlink" xfId="4678" builtinId="8" hidden="1"/>
    <cellStyle name="Hyperlink" xfId="4680" builtinId="8" hidden="1"/>
    <cellStyle name="Hyperlink" xfId="4682" builtinId="8" hidden="1"/>
    <cellStyle name="Hyperlink" xfId="4684" builtinId="8" hidden="1"/>
    <cellStyle name="Hyperlink" xfId="4686" builtinId="8" hidden="1"/>
    <cellStyle name="Hyperlink" xfId="4688" builtinId="8" hidden="1"/>
    <cellStyle name="Hyperlink" xfId="4690" builtinId="8" hidden="1"/>
    <cellStyle name="Hyperlink" xfId="4692" builtinId="8" hidden="1"/>
    <cellStyle name="Hyperlink" xfId="4694" builtinId="8" hidden="1"/>
    <cellStyle name="Hyperlink" xfId="4696" builtinId="8" hidden="1"/>
    <cellStyle name="Hyperlink" xfId="4698" builtinId="8" hidden="1"/>
    <cellStyle name="Hyperlink" xfId="4700" builtinId="8" hidden="1"/>
    <cellStyle name="Hyperlink" xfId="4702" builtinId="8" hidden="1"/>
    <cellStyle name="Hyperlink" xfId="4704" builtinId="8" hidden="1"/>
    <cellStyle name="Hyperlink" xfId="4706" builtinId="8" hidden="1"/>
    <cellStyle name="Hyperlink" xfId="4708" builtinId="8" hidden="1"/>
    <cellStyle name="Hyperlink" xfId="4710" builtinId="8" hidden="1"/>
    <cellStyle name="Hyperlink" xfId="4712" builtinId="8" hidden="1"/>
    <cellStyle name="Hyperlink" xfId="4714" builtinId="8" hidden="1"/>
    <cellStyle name="Hyperlink" xfId="4716" builtinId="8" hidden="1"/>
    <cellStyle name="Hyperlink" xfId="4718" builtinId="8" hidden="1"/>
    <cellStyle name="Hyperlink" xfId="4720" builtinId="8" hidden="1"/>
    <cellStyle name="Hyperlink" xfId="4722" builtinId="8" hidden="1"/>
    <cellStyle name="Hyperlink" xfId="4724" builtinId="8" hidden="1"/>
    <cellStyle name="Hyperlink" xfId="4726" builtinId="8" hidden="1"/>
    <cellStyle name="Hyperlink" xfId="4728" builtinId="8" hidden="1"/>
    <cellStyle name="Hyperlink" xfId="4730" builtinId="8" hidden="1"/>
    <cellStyle name="Hyperlink" xfId="4732" builtinId="8" hidden="1"/>
    <cellStyle name="Hyperlink" xfId="4734" builtinId="8" hidden="1"/>
    <cellStyle name="Hyperlink" xfId="4736" builtinId="8" hidden="1"/>
    <cellStyle name="Hyperlink" xfId="4738" builtinId="8" hidden="1"/>
    <cellStyle name="Hyperlink" xfId="4740" builtinId="8" hidden="1"/>
    <cellStyle name="Hyperlink" xfId="4742" builtinId="8" hidden="1"/>
    <cellStyle name="Hyperlink" xfId="4744" builtinId="8" hidden="1"/>
    <cellStyle name="Hyperlink" xfId="4746" builtinId="8" hidden="1"/>
    <cellStyle name="Hyperlink" xfId="4748" builtinId="8" hidden="1"/>
    <cellStyle name="Hyperlink" xfId="4750" builtinId="8" hidden="1"/>
    <cellStyle name="Hyperlink" xfId="4752" builtinId="8" hidden="1"/>
    <cellStyle name="Hyperlink" xfId="4754" builtinId="8" hidden="1"/>
    <cellStyle name="Hyperlink" xfId="4756" builtinId="8" hidden="1"/>
    <cellStyle name="Hyperlink" xfId="4758" builtinId="8" hidden="1"/>
    <cellStyle name="Hyperlink" xfId="4760" builtinId="8" hidden="1"/>
    <cellStyle name="Hyperlink" xfId="4762" builtinId="8" hidden="1"/>
    <cellStyle name="Hyperlink" xfId="4764" builtinId="8" hidden="1"/>
    <cellStyle name="Hyperlink" xfId="4766" builtinId="8" hidden="1"/>
    <cellStyle name="Hyperlink" xfId="4768" builtinId="8" hidden="1"/>
    <cellStyle name="Hyperlink" xfId="4770" builtinId="8" hidden="1"/>
    <cellStyle name="Hyperlink" xfId="4772" builtinId="8" hidden="1"/>
    <cellStyle name="Hyperlink" xfId="4774" builtinId="8" hidden="1"/>
    <cellStyle name="Hyperlink" xfId="4776" builtinId="8" hidden="1"/>
    <cellStyle name="Hyperlink" xfId="4778" builtinId="8" hidden="1"/>
    <cellStyle name="Hyperlink" xfId="4780" builtinId="8" hidden="1"/>
    <cellStyle name="Hyperlink" xfId="4782" builtinId="8" hidden="1"/>
    <cellStyle name="Hyperlink" xfId="4784" builtinId="8" hidden="1"/>
    <cellStyle name="Hyperlink" xfId="4786" builtinId="8" hidden="1"/>
    <cellStyle name="Hyperlink" xfId="4788" builtinId="8" hidden="1"/>
    <cellStyle name="Hyperlink" xfId="4790" builtinId="8" hidden="1"/>
    <cellStyle name="Hyperlink" xfId="4792" builtinId="8" hidden="1"/>
    <cellStyle name="Hyperlink" xfId="4794" builtinId="8" hidden="1"/>
    <cellStyle name="Hyperlink" xfId="4796" builtinId="8" hidden="1"/>
    <cellStyle name="Hyperlink" xfId="4798" builtinId="8" hidden="1"/>
    <cellStyle name="Hyperlink" xfId="4800" builtinId="8" hidden="1"/>
    <cellStyle name="Hyperlink" xfId="4802" builtinId="8" hidden="1"/>
    <cellStyle name="Hyperlink" xfId="4804" builtinId="8" hidden="1"/>
    <cellStyle name="Hyperlink" xfId="4806" builtinId="8" hidden="1"/>
    <cellStyle name="Hyperlink" xfId="4808" builtinId="8" hidden="1"/>
    <cellStyle name="Hyperlink" xfId="4810" builtinId="8" hidden="1"/>
    <cellStyle name="Hyperlink" xfId="4812" builtinId="8" hidden="1"/>
    <cellStyle name="Hyperlink" xfId="4814" builtinId="8" hidden="1"/>
    <cellStyle name="Hyperlink" xfId="4816" builtinId="8" hidden="1"/>
    <cellStyle name="Hyperlink" xfId="4818" builtinId="8" hidden="1"/>
    <cellStyle name="Hyperlink" xfId="4820" builtinId="8" hidden="1"/>
    <cellStyle name="Hyperlink" xfId="4822" builtinId="8" hidden="1"/>
    <cellStyle name="Hyperlink" xfId="4824" builtinId="8" hidden="1"/>
    <cellStyle name="Hyperlink" xfId="4826" builtinId="8" hidden="1"/>
    <cellStyle name="Hyperlink" xfId="4828" builtinId="8" hidden="1"/>
    <cellStyle name="Hyperlink" xfId="4830" builtinId="8" hidden="1"/>
    <cellStyle name="Hyperlink" xfId="4832" builtinId="8" hidden="1"/>
    <cellStyle name="Hyperlink" xfId="4834" builtinId="8" hidden="1"/>
    <cellStyle name="Hyperlink" xfId="4836" builtinId="8" hidden="1"/>
    <cellStyle name="Hyperlink" xfId="4838" builtinId="8" hidden="1"/>
    <cellStyle name="Hyperlink" xfId="4840" builtinId="8" hidden="1"/>
    <cellStyle name="Hyperlink" xfId="4842" builtinId="8" hidden="1"/>
    <cellStyle name="Hyperlink" xfId="4844" builtinId="8" hidden="1"/>
    <cellStyle name="Hyperlink" xfId="4846" builtinId="8" hidden="1"/>
    <cellStyle name="Hyperlink" xfId="4848" builtinId="8" hidden="1"/>
    <cellStyle name="Hyperlink" xfId="4850" builtinId="8" hidden="1"/>
    <cellStyle name="Hyperlink" xfId="4852" builtinId="8" hidden="1"/>
    <cellStyle name="Hyperlink" xfId="4854" builtinId="8" hidden="1"/>
    <cellStyle name="Hyperlink" xfId="4856" builtinId="8" hidden="1"/>
    <cellStyle name="Hyperlink" xfId="4858" builtinId="8" hidden="1"/>
    <cellStyle name="Hyperlink" xfId="4860" builtinId="8" hidden="1"/>
    <cellStyle name="Hyperlink" xfId="4862" builtinId="8" hidden="1"/>
    <cellStyle name="Hyperlink" xfId="4864" builtinId="8" hidden="1"/>
    <cellStyle name="Hyperlink" xfId="4866" builtinId="8" hidden="1"/>
    <cellStyle name="Hyperlink" xfId="4868" builtinId="8" hidden="1"/>
    <cellStyle name="Hyperlink" xfId="4870" builtinId="8" hidden="1"/>
    <cellStyle name="Hyperlink" xfId="4872" builtinId="8" hidden="1"/>
    <cellStyle name="Hyperlink" xfId="4874" builtinId="8" hidden="1"/>
    <cellStyle name="Hyperlink" xfId="4876" builtinId="8" hidden="1"/>
    <cellStyle name="Hyperlink" xfId="4878" builtinId="8" hidden="1"/>
    <cellStyle name="Hyperlink" xfId="4880" builtinId="8" hidden="1"/>
    <cellStyle name="Hyperlink" xfId="4882" builtinId="8" hidden="1"/>
    <cellStyle name="Hyperlink" xfId="4884" builtinId="8" hidden="1"/>
    <cellStyle name="Hyperlink" xfId="4886" builtinId="8" hidden="1"/>
    <cellStyle name="Hyperlink" xfId="4888" builtinId="8" hidden="1"/>
    <cellStyle name="Hyperlink" xfId="4890" builtinId="8" hidden="1"/>
    <cellStyle name="Hyperlink" xfId="4892" builtinId="8" hidden="1"/>
    <cellStyle name="Hyperlink" xfId="4894" builtinId="8" hidden="1"/>
    <cellStyle name="Hyperlink" xfId="4896" builtinId="8" hidden="1"/>
    <cellStyle name="Hyperlink" xfId="4898" builtinId="8" hidden="1"/>
    <cellStyle name="Hyperlink" xfId="4900" builtinId="8" hidden="1"/>
    <cellStyle name="Hyperlink" xfId="4902" builtinId="8" hidden="1"/>
    <cellStyle name="Hyperlink" xfId="4904" builtinId="8" hidden="1"/>
    <cellStyle name="Hyperlink" xfId="4906" builtinId="8" hidden="1"/>
    <cellStyle name="Hyperlink" xfId="4908" builtinId="8" hidden="1"/>
    <cellStyle name="Hyperlink" xfId="4910" builtinId="8" hidden="1"/>
    <cellStyle name="Hyperlink" xfId="4912" builtinId="8" hidden="1"/>
    <cellStyle name="Hyperlink" xfId="4914" builtinId="8" hidden="1"/>
    <cellStyle name="Hyperlink" xfId="4916" builtinId="8" hidden="1"/>
    <cellStyle name="Hyperlink" xfId="4918" builtinId="8" hidden="1"/>
    <cellStyle name="Hyperlink" xfId="4920" builtinId="8" hidden="1"/>
    <cellStyle name="Hyperlink" xfId="4922" builtinId="8" hidden="1"/>
    <cellStyle name="Hyperlink" xfId="4924" builtinId="8" hidden="1"/>
    <cellStyle name="Hyperlink" xfId="4926" builtinId="8" hidden="1"/>
    <cellStyle name="Hyperlink" xfId="4928" builtinId="8" hidden="1"/>
    <cellStyle name="Hyperlink" xfId="4930" builtinId="8" hidden="1"/>
    <cellStyle name="Hyperlink" xfId="4932" builtinId="8" hidden="1"/>
    <cellStyle name="Hyperlink" xfId="4934" builtinId="8" hidden="1"/>
    <cellStyle name="Hyperlink" xfId="4936" builtinId="8" hidden="1"/>
    <cellStyle name="Hyperlink" xfId="4938" builtinId="8" hidden="1"/>
    <cellStyle name="Hyperlink" xfId="4940" builtinId="8" hidden="1"/>
    <cellStyle name="Hyperlink" xfId="4942" builtinId="8" hidden="1"/>
    <cellStyle name="Hyperlink" xfId="4944" builtinId="8" hidden="1"/>
    <cellStyle name="Hyperlink" xfId="4946" builtinId="8" hidden="1"/>
    <cellStyle name="Hyperlink" xfId="4948" builtinId="8" hidden="1"/>
    <cellStyle name="Hyperlink" xfId="4950" builtinId="8" hidden="1"/>
    <cellStyle name="Hyperlink" xfId="4952" builtinId="8" hidden="1"/>
    <cellStyle name="Hyperlink" xfId="4954" builtinId="8" hidden="1"/>
    <cellStyle name="Hyperlink" xfId="4956" builtinId="8" hidden="1"/>
    <cellStyle name="Hyperlink" xfId="4958" builtinId="8" hidden="1"/>
    <cellStyle name="Hyperlink" xfId="4960" builtinId="8" hidden="1"/>
    <cellStyle name="Hyperlink" xfId="4962" builtinId="8" hidden="1"/>
    <cellStyle name="Hyperlink" xfId="4964" builtinId="8" hidden="1"/>
    <cellStyle name="Hyperlink" xfId="4966" builtinId="8" hidden="1"/>
    <cellStyle name="Hyperlink" xfId="4968" builtinId="8" hidden="1"/>
    <cellStyle name="Hyperlink" xfId="4970" builtinId="8" hidden="1"/>
    <cellStyle name="Hyperlink" xfId="4972" builtinId="8" hidden="1"/>
    <cellStyle name="Hyperlink" xfId="4974" builtinId="8" hidden="1"/>
    <cellStyle name="Hyperlink" xfId="4976" builtinId="8" hidden="1"/>
    <cellStyle name="Hyperlink" xfId="4978" builtinId="8" hidden="1"/>
    <cellStyle name="Hyperlink" xfId="4980" builtinId="8" hidden="1"/>
    <cellStyle name="Hyperlink" xfId="4982" builtinId="8" hidden="1"/>
    <cellStyle name="Hyperlink" xfId="4984" builtinId="8" hidden="1"/>
    <cellStyle name="Hyperlink" xfId="4986" builtinId="8" hidden="1"/>
    <cellStyle name="Hyperlink" xfId="4988" builtinId="8" hidden="1"/>
    <cellStyle name="Hyperlink" xfId="4990" builtinId="8" hidden="1"/>
    <cellStyle name="Hyperlink" xfId="4992" builtinId="8" hidden="1"/>
    <cellStyle name="Hyperlink" xfId="4994" builtinId="8" hidden="1"/>
    <cellStyle name="Hyperlink" xfId="4996" builtinId="8" hidden="1"/>
    <cellStyle name="Hyperlink" xfId="4998" builtinId="8" hidden="1"/>
    <cellStyle name="Hyperlink" xfId="5000" builtinId="8" hidden="1"/>
    <cellStyle name="Hyperlink" xfId="5002" builtinId="8" hidden="1"/>
    <cellStyle name="Hyperlink" xfId="5004" builtinId="8" hidden="1"/>
    <cellStyle name="Hyperlink" xfId="5006" builtinId="8" hidden="1"/>
    <cellStyle name="Hyperlink" xfId="5008" builtinId="8" hidden="1"/>
    <cellStyle name="Hyperlink" xfId="5010" builtinId="8" hidden="1"/>
    <cellStyle name="Hyperlink" xfId="5012" builtinId="8" hidden="1"/>
    <cellStyle name="Hyperlink" xfId="5014" builtinId="8" hidden="1"/>
    <cellStyle name="Hyperlink" xfId="5016" builtinId="8" hidden="1"/>
    <cellStyle name="Hyperlink" xfId="5018" builtinId="8" hidden="1"/>
    <cellStyle name="Hyperlink" xfId="5020" builtinId="8" hidden="1"/>
    <cellStyle name="Hyperlink" xfId="5022" builtinId="8" hidden="1"/>
    <cellStyle name="Hyperlink" xfId="5024" builtinId="8" hidden="1"/>
    <cellStyle name="Hyperlink" xfId="5026" builtinId="8" hidden="1"/>
    <cellStyle name="Hyperlink" xfId="5028" builtinId="8" hidden="1"/>
    <cellStyle name="Hyperlink" xfId="5030" builtinId="8" hidden="1"/>
    <cellStyle name="Hyperlink" xfId="5032" builtinId="8" hidden="1"/>
    <cellStyle name="Hyperlink" xfId="5034" builtinId="8" hidden="1"/>
    <cellStyle name="Hyperlink" xfId="5036" builtinId="8" hidden="1"/>
    <cellStyle name="Hyperlink" xfId="5038" builtinId="8" hidden="1"/>
    <cellStyle name="Hyperlink" xfId="5040" builtinId="8" hidden="1"/>
    <cellStyle name="Hyperlink" xfId="5042" builtinId="8" hidden="1"/>
    <cellStyle name="Hyperlink" xfId="5044" builtinId="8" hidden="1"/>
    <cellStyle name="Hyperlink" xfId="5046" builtinId="8" hidden="1"/>
    <cellStyle name="Hyperlink" xfId="5048" builtinId="8" hidden="1"/>
    <cellStyle name="Hyperlink" xfId="5050" builtinId="8" hidden="1"/>
    <cellStyle name="Hyperlink" xfId="5052" builtinId="8" hidden="1"/>
    <cellStyle name="Hyperlink" xfId="5054" builtinId="8" hidden="1"/>
    <cellStyle name="Hyperlink" xfId="5056" builtinId="8" hidden="1"/>
    <cellStyle name="Hyperlink" xfId="5058" builtinId="8" hidden="1"/>
    <cellStyle name="Hyperlink" xfId="5060" builtinId="8" hidden="1"/>
    <cellStyle name="Hyperlink" xfId="5062" builtinId="8" hidden="1"/>
    <cellStyle name="Hyperlink" xfId="5064" builtinId="8" hidden="1"/>
    <cellStyle name="Hyperlink" xfId="5066" builtinId="8" hidden="1"/>
    <cellStyle name="Hyperlink" xfId="5068" builtinId="8" hidden="1"/>
    <cellStyle name="Hyperlink" xfId="5070" builtinId="8" hidden="1"/>
    <cellStyle name="Hyperlink" xfId="5072" builtinId="8" hidden="1"/>
    <cellStyle name="Hyperlink" xfId="5074" builtinId="8" hidden="1"/>
    <cellStyle name="Hyperlink" xfId="5076" builtinId="8" hidden="1"/>
    <cellStyle name="Hyperlink" xfId="5078" builtinId="8" hidden="1"/>
    <cellStyle name="Hyperlink" xfId="5080" builtinId="8" hidden="1"/>
    <cellStyle name="Hyperlink" xfId="5082" builtinId="8" hidden="1"/>
    <cellStyle name="Hyperlink" xfId="5084" builtinId="8" hidden="1"/>
    <cellStyle name="Hyperlink" xfId="5086" builtinId="8" hidden="1"/>
    <cellStyle name="Hyperlink" xfId="5088" builtinId="8" hidden="1"/>
    <cellStyle name="Hyperlink" xfId="5090" builtinId="8" hidden="1"/>
    <cellStyle name="Hyperlink" xfId="5092" builtinId="8" hidden="1"/>
    <cellStyle name="Hyperlink" xfId="5094" builtinId="8" hidden="1"/>
    <cellStyle name="Hyperlink" xfId="5096" builtinId="8" hidden="1"/>
    <cellStyle name="Hyperlink" xfId="5098" builtinId="8" hidden="1"/>
    <cellStyle name="Hyperlink" xfId="5100" builtinId="8" hidden="1"/>
    <cellStyle name="Hyperlink" xfId="5102" builtinId="8" hidden="1"/>
    <cellStyle name="Hyperlink" xfId="5104" builtinId="8" hidden="1"/>
    <cellStyle name="Hyperlink" xfId="5106" builtinId="8" hidden="1"/>
    <cellStyle name="Hyperlink" xfId="5108" builtinId="8" hidden="1"/>
    <cellStyle name="Hyperlink" xfId="5110" builtinId="8" hidden="1"/>
    <cellStyle name="Hyperlink" xfId="5112" builtinId="8" hidden="1"/>
    <cellStyle name="Hyperlink" xfId="5114" builtinId="8" hidden="1"/>
    <cellStyle name="Hyperlink" xfId="5116" builtinId="8" hidden="1"/>
    <cellStyle name="Hyperlink" xfId="5118" builtinId="8" hidden="1"/>
    <cellStyle name="Hyperlink" xfId="5120" builtinId="8" hidden="1"/>
    <cellStyle name="Hyperlink" xfId="5122" builtinId="8" hidden="1"/>
    <cellStyle name="Hyperlink" xfId="5124" builtinId="8" hidden="1"/>
    <cellStyle name="Hyperlink" xfId="5126" builtinId="8" hidden="1"/>
    <cellStyle name="Hyperlink" xfId="5128" builtinId="8" hidden="1"/>
    <cellStyle name="Hyperlink" xfId="5130" builtinId="8" hidden="1"/>
    <cellStyle name="Hyperlink" xfId="5132" builtinId="8" hidden="1"/>
    <cellStyle name="Hyperlink" xfId="5134" builtinId="8" hidden="1"/>
    <cellStyle name="Hyperlink" xfId="5136" builtinId="8" hidden="1"/>
    <cellStyle name="Hyperlink" xfId="5138" builtinId="8" hidden="1"/>
    <cellStyle name="Hyperlink" xfId="5140" builtinId="8" hidden="1"/>
    <cellStyle name="Hyperlink" xfId="5142" builtinId="8" hidden="1"/>
    <cellStyle name="Hyperlink" xfId="5144" builtinId="8" hidden="1"/>
    <cellStyle name="Hyperlink" xfId="5146" builtinId="8" hidden="1"/>
    <cellStyle name="Hyperlink" xfId="5148" builtinId="8" hidden="1"/>
    <cellStyle name="Hyperlink" xfId="5150" builtinId="8" hidden="1"/>
    <cellStyle name="Hyperlink" xfId="5152" builtinId="8" hidden="1"/>
    <cellStyle name="Hyperlink" xfId="5154" builtinId="8" hidden="1"/>
    <cellStyle name="Hyperlink" xfId="5156" builtinId="8" hidden="1"/>
    <cellStyle name="Hyperlink" xfId="5158" builtinId="8" hidden="1"/>
    <cellStyle name="Hyperlink" xfId="5160" builtinId="8" hidden="1"/>
    <cellStyle name="Hyperlink" xfId="5162" builtinId="8" hidden="1"/>
    <cellStyle name="Hyperlink" xfId="5164" builtinId="8" hidden="1"/>
    <cellStyle name="Hyperlink" xfId="5166" builtinId="8" hidden="1"/>
    <cellStyle name="Hyperlink" xfId="5168" builtinId="8" hidden="1"/>
    <cellStyle name="Hyperlink" xfId="5182" builtinId="8" hidden="1"/>
    <cellStyle name="Hyperlink" xfId="5184" builtinId="8" hidden="1"/>
    <cellStyle name="Hyperlink" xfId="5186" builtinId="8" hidden="1"/>
    <cellStyle name="Hyperlink" xfId="5188" builtinId="8" hidden="1"/>
    <cellStyle name="Hyperlink" xfId="5190" builtinId="8" hidden="1"/>
    <cellStyle name="Hyperlink" xfId="5192" builtinId="8" hidden="1"/>
    <cellStyle name="Hyperlink" xfId="5194" builtinId="8" hidden="1"/>
    <cellStyle name="Hyperlink" xfId="5196" builtinId="8" hidden="1"/>
    <cellStyle name="Hyperlink" xfId="5198" builtinId="8" hidden="1"/>
    <cellStyle name="Hyperlink" xfId="5200" builtinId="8" hidden="1"/>
    <cellStyle name="Hyperlink" xfId="5202" builtinId="8" hidden="1"/>
    <cellStyle name="Hyperlink" xfId="5204" builtinId="8" hidden="1"/>
    <cellStyle name="Hyperlink" xfId="5206" builtinId="8" hidden="1"/>
    <cellStyle name="Hyperlink" xfId="5208" builtinId="8" hidden="1"/>
    <cellStyle name="Hyperlink" xfId="5210" builtinId="8" hidden="1"/>
    <cellStyle name="Hyperlink" xfId="5212" builtinId="8" hidden="1"/>
    <cellStyle name="Hyperlink" xfId="5214" builtinId="8" hidden="1"/>
    <cellStyle name="Hyperlink" xfId="5216" builtinId="8" hidden="1"/>
    <cellStyle name="Hyperlink" xfId="5218" builtinId="8" hidden="1"/>
    <cellStyle name="Hyperlink" xfId="5220" builtinId="8" hidden="1"/>
    <cellStyle name="Hyperlink" xfId="5222" builtinId="8" hidden="1"/>
    <cellStyle name="Hyperlink" xfId="5224" builtinId="8" hidden="1"/>
    <cellStyle name="Hyperlink" xfId="5226" builtinId="8" hidden="1"/>
    <cellStyle name="Hyperlink" xfId="5228" builtinId="8" hidden="1"/>
    <cellStyle name="Hyperlink" xfId="5230" builtinId="8" hidden="1"/>
    <cellStyle name="Hyperlink" xfId="5232" builtinId="8" hidden="1"/>
    <cellStyle name="Hyperlink" xfId="5234" builtinId="8" hidden="1"/>
    <cellStyle name="Hyperlink" xfId="5236" builtinId="8" hidden="1"/>
    <cellStyle name="Hyperlink" xfId="5238" builtinId="8" hidden="1"/>
    <cellStyle name="Hyperlink" xfId="5240" builtinId="8" hidden="1"/>
    <cellStyle name="Hyperlink" xfId="5242" builtinId="8" hidden="1"/>
    <cellStyle name="Hyperlink" xfId="5244" builtinId="8" hidden="1"/>
    <cellStyle name="Hyperlink" xfId="5246" builtinId="8" hidden="1"/>
    <cellStyle name="Hyperlink" xfId="5248" builtinId="8" hidden="1"/>
    <cellStyle name="Hyperlink" xfId="5250" builtinId="8" hidden="1"/>
    <cellStyle name="Hyperlink" xfId="5252" builtinId="8" hidden="1"/>
    <cellStyle name="Hyperlink" xfId="5254" builtinId="8" hidden="1"/>
    <cellStyle name="Hyperlink" xfId="5256" builtinId="8" hidden="1"/>
    <cellStyle name="Hyperlink" xfId="5258" builtinId="8" hidden="1"/>
    <cellStyle name="Hyperlink" xfId="5260" builtinId="8" hidden="1"/>
    <cellStyle name="Hyperlink" xfId="5262" builtinId="8" hidden="1"/>
    <cellStyle name="Hyperlink" xfId="5264" builtinId="8" hidden="1"/>
    <cellStyle name="Hyperlink" xfId="5266" builtinId="8" hidden="1"/>
    <cellStyle name="Hyperlink" xfId="5268" builtinId="8" hidden="1"/>
    <cellStyle name="Hyperlink" xfId="5270" builtinId="8" hidden="1"/>
    <cellStyle name="Hyperlink" xfId="5272" builtinId="8" hidden="1"/>
    <cellStyle name="Hyperlink" xfId="5274" builtinId="8" hidden="1"/>
    <cellStyle name="Hyperlink" xfId="5276" builtinId="8" hidden="1"/>
    <cellStyle name="Hyperlink" xfId="5278" builtinId="8" hidden="1"/>
    <cellStyle name="Hyperlink" xfId="5280" builtinId="8" hidden="1"/>
    <cellStyle name="Hyperlink" xfId="5282" builtinId="8" hidden="1"/>
    <cellStyle name="Hyperlink" xfId="5284" builtinId="8" hidden="1"/>
    <cellStyle name="Hyperlink" xfId="5286" builtinId="8" hidden="1"/>
    <cellStyle name="Hyperlink" xfId="5288" builtinId="8" hidden="1"/>
    <cellStyle name="Hyperlink" xfId="5290" builtinId="8" hidden="1"/>
    <cellStyle name="Hyperlink" xfId="5292" builtinId="8" hidden="1"/>
    <cellStyle name="Hyperlink" xfId="5294" builtinId="8" hidden="1"/>
    <cellStyle name="Hyperlink" xfId="5296" builtinId="8" hidden="1"/>
    <cellStyle name="Hyperlink" xfId="5298" builtinId="8" hidden="1"/>
    <cellStyle name="Hyperlink" xfId="5300" builtinId="8" hidden="1"/>
    <cellStyle name="Hyperlink" xfId="5302" builtinId="8" hidden="1"/>
    <cellStyle name="Hyperlink" xfId="5304" builtinId="8" hidden="1"/>
    <cellStyle name="Hyperlink" xfId="5306" builtinId="8" hidden="1"/>
    <cellStyle name="Hyperlink" xfId="5308" builtinId="8" hidden="1"/>
    <cellStyle name="Hyperlink" xfId="5310" builtinId="8" hidden="1"/>
    <cellStyle name="Hyperlink" xfId="5312" builtinId="8" hidden="1"/>
    <cellStyle name="Hyperlink" xfId="5314" builtinId="8" hidden="1"/>
    <cellStyle name="Hyperlink" xfId="5316" builtinId="8" hidden="1"/>
    <cellStyle name="Hyperlink" xfId="5318" builtinId="8" hidden="1"/>
    <cellStyle name="Hyperlink" xfId="5320" builtinId="8" hidden="1"/>
    <cellStyle name="Hyperlink" xfId="5322" builtinId="8" hidden="1"/>
    <cellStyle name="Hyperlink" xfId="5324" builtinId="8" hidden="1"/>
    <cellStyle name="Hyperlink" xfId="5326" builtinId="8" hidden="1"/>
    <cellStyle name="Hyperlink" xfId="5328" builtinId="8" hidden="1"/>
    <cellStyle name="Hyperlink" xfId="5330" builtinId="8" hidden="1"/>
    <cellStyle name="Hyperlink" xfId="5332" builtinId="8" hidden="1"/>
    <cellStyle name="Hyperlink" xfId="5334" builtinId="8" hidden="1"/>
    <cellStyle name="Hyperlink" xfId="5336" builtinId="8" hidden="1"/>
    <cellStyle name="Hyperlink" xfId="5338" builtinId="8" hidden="1"/>
    <cellStyle name="Hyperlink" xfId="5340" builtinId="8" hidden="1"/>
    <cellStyle name="Hyperlink" xfId="5342" builtinId="8" hidden="1"/>
    <cellStyle name="Hyperlink" xfId="5344" builtinId="8" hidden="1"/>
    <cellStyle name="Hyperlink" xfId="5346" builtinId="8" hidden="1"/>
    <cellStyle name="Hyperlink" xfId="5348" builtinId="8" hidden="1"/>
    <cellStyle name="Hyperlink" xfId="5350" builtinId="8" hidden="1"/>
    <cellStyle name="Hyperlink" xfId="5352" builtinId="8" hidden="1"/>
    <cellStyle name="Hyperlink" xfId="5354" builtinId="8" hidden="1"/>
    <cellStyle name="Hyperlink" xfId="5356" builtinId="8" hidden="1"/>
    <cellStyle name="Hyperlink" xfId="5358" builtinId="8" hidden="1"/>
    <cellStyle name="Hyperlink" xfId="5360" builtinId="8" hidden="1"/>
    <cellStyle name="Hyperlink" xfId="5362" builtinId="8" hidden="1"/>
    <cellStyle name="Hyperlink" xfId="5364" builtinId="8" hidden="1"/>
    <cellStyle name="Hyperlink" xfId="5366" builtinId="8" hidden="1"/>
    <cellStyle name="Hyperlink" xfId="5368" builtinId="8" hidden="1"/>
    <cellStyle name="Hyperlink" xfId="5370" builtinId="8" hidden="1"/>
    <cellStyle name="Hyperlink" xfId="5372" builtinId="8" hidden="1"/>
    <cellStyle name="Hyperlink" xfId="5374" builtinId="8" hidden="1"/>
    <cellStyle name="Hyperlink" xfId="5376" builtinId="8" hidden="1"/>
    <cellStyle name="Hyperlink" xfId="5378" builtinId="8" hidden="1"/>
    <cellStyle name="Hyperlink" xfId="5380" builtinId="8" hidden="1"/>
    <cellStyle name="Hyperlink" xfId="5382" builtinId="8" hidden="1"/>
    <cellStyle name="Hyperlink" xfId="5384" builtinId="8" hidden="1"/>
    <cellStyle name="Hyperlink" xfId="5386" builtinId="8" hidden="1"/>
    <cellStyle name="Hyperlink" xfId="5388" builtinId="8" hidden="1"/>
    <cellStyle name="Hyperlink" xfId="5390" builtinId="8" hidden="1"/>
    <cellStyle name="Hyperlink" xfId="5392" builtinId="8" hidden="1"/>
    <cellStyle name="Hyperlink" xfId="5394" builtinId="8" hidden="1"/>
    <cellStyle name="Hyperlink" xfId="5396" builtinId="8" hidden="1"/>
    <cellStyle name="Hyperlink" xfId="5398" builtinId="8" hidden="1"/>
    <cellStyle name="Hyperlink" xfId="5400" builtinId="8" hidden="1"/>
    <cellStyle name="Hyperlink" xfId="5402" builtinId="8" hidden="1"/>
    <cellStyle name="Hyperlink" xfId="5404" builtinId="8" hidden="1"/>
    <cellStyle name="Hyperlink" xfId="5406" builtinId="8" hidden="1"/>
    <cellStyle name="Hyperlink" xfId="5408" builtinId="8" hidden="1"/>
    <cellStyle name="Hyperlink" xfId="5410" builtinId="8" hidden="1"/>
    <cellStyle name="Hyperlink" xfId="5412" builtinId="8" hidden="1"/>
    <cellStyle name="Hyperlink" xfId="5414" builtinId="8" hidden="1"/>
    <cellStyle name="Hyperlink" xfId="5416" builtinId="8" hidden="1"/>
    <cellStyle name="Hyperlink" xfId="5418" builtinId="8" hidden="1"/>
    <cellStyle name="Hyperlink" xfId="5420" builtinId="8" hidden="1"/>
    <cellStyle name="Hyperlink" xfId="5422" builtinId="8" hidden="1"/>
    <cellStyle name="Hyperlink" xfId="5424" builtinId="8" hidden="1"/>
    <cellStyle name="Hyperlink" xfId="5426" builtinId="8" hidden="1"/>
    <cellStyle name="Hyperlink" xfId="5428" builtinId="8" hidden="1"/>
    <cellStyle name="Hyperlink" xfId="5430" builtinId="8" hidden="1"/>
    <cellStyle name="Hyperlink" xfId="5432" builtinId="8" hidden="1"/>
    <cellStyle name="Hyperlink" xfId="5434" builtinId="8" hidden="1"/>
    <cellStyle name="Hyperlink" xfId="5436" builtinId="8" hidden="1"/>
    <cellStyle name="Hyperlink" xfId="5438" builtinId="8" hidden="1"/>
    <cellStyle name="Hyperlink" xfId="5440" builtinId="8" hidden="1"/>
    <cellStyle name="Hyperlink" xfId="5442" builtinId="8" hidden="1"/>
    <cellStyle name="Hyperlink" xfId="5444" builtinId="8" hidden="1"/>
    <cellStyle name="Hyperlink" xfId="5446" builtinId="8" hidden="1"/>
    <cellStyle name="Hyperlink" xfId="5448" builtinId="8" hidden="1"/>
    <cellStyle name="Hyperlink" xfId="5450" builtinId="8" hidden="1"/>
    <cellStyle name="Hyperlink" xfId="5452" builtinId="8" hidden="1"/>
    <cellStyle name="Hyperlink" xfId="5454" builtinId="8" hidden="1"/>
    <cellStyle name="Hyperlink" xfId="5456" builtinId="8" hidden="1"/>
    <cellStyle name="Hyperlink" xfId="5458" builtinId="8" hidden="1"/>
    <cellStyle name="Hyperlink" xfId="5460" builtinId="8" hidden="1"/>
    <cellStyle name="Hyperlink" xfId="5462" builtinId="8" hidden="1"/>
    <cellStyle name="Hyperlink" xfId="5464" builtinId="8" hidden="1"/>
    <cellStyle name="Hyperlink" xfId="5466" builtinId="8" hidden="1"/>
    <cellStyle name="Hyperlink" xfId="5468" builtinId="8" hidden="1"/>
    <cellStyle name="Hyperlink" xfId="5470" builtinId="8" hidden="1"/>
    <cellStyle name="Hyperlink" xfId="5472" builtinId="8" hidden="1"/>
    <cellStyle name="Hyperlink" xfId="5474" builtinId="8" hidden="1"/>
    <cellStyle name="Hyperlink" xfId="5476" builtinId="8" hidden="1"/>
    <cellStyle name="Hyperlink" xfId="5478" builtinId="8" hidden="1"/>
    <cellStyle name="Hyperlink" xfId="5480" builtinId="8" hidden="1"/>
    <cellStyle name="Hyperlink" xfId="5482" builtinId="8" hidden="1"/>
    <cellStyle name="Hyperlink" xfId="5484" builtinId="8" hidden="1"/>
    <cellStyle name="Hyperlink" xfId="5486" builtinId="8" hidden="1"/>
    <cellStyle name="Hyperlink" xfId="5488" builtinId="8" hidden="1"/>
    <cellStyle name="Hyperlink" xfId="5490" builtinId="8" hidden="1"/>
    <cellStyle name="Hyperlink" xfId="5492" builtinId="8" hidden="1"/>
    <cellStyle name="Hyperlink" xfId="5494" builtinId="8" hidden="1"/>
    <cellStyle name="Hyperlink" xfId="5496" builtinId="8" hidden="1"/>
    <cellStyle name="Hyperlink" xfId="5498" builtinId="8" hidden="1"/>
    <cellStyle name="Hyperlink" xfId="5500" builtinId="8" hidden="1"/>
    <cellStyle name="Hyperlink" xfId="5502" builtinId="8" hidden="1"/>
    <cellStyle name="Hyperlink" xfId="5504" builtinId="8" hidden="1"/>
    <cellStyle name="Hyperlink" xfId="5506" builtinId="8" hidden="1"/>
    <cellStyle name="Hyperlink" xfId="5508" builtinId="8" hidden="1"/>
    <cellStyle name="Hyperlink" xfId="5510" builtinId="8" hidden="1"/>
    <cellStyle name="Hyperlink" xfId="5512" builtinId="8" hidden="1"/>
    <cellStyle name="Hyperlink" xfId="5514" builtinId="8" hidden="1"/>
    <cellStyle name="Hyperlink" xfId="5516" builtinId="8" hidden="1"/>
    <cellStyle name="Hyperlink" xfId="5518" builtinId="8" hidden="1"/>
    <cellStyle name="Hyperlink" xfId="5520" builtinId="8" hidden="1"/>
    <cellStyle name="Hyperlink" xfId="5522" builtinId="8" hidden="1"/>
    <cellStyle name="Hyperlink" xfId="5524" builtinId="8" hidden="1"/>
    <cellStyle name="Hyperlink" xfId="5526" builtinId="8" hidden="1"/>
    <cellStyle name="Hyperlink" xfId="5528" builtinId="8" hidden="1"/>
    <cellStyle name="Hyperlink" xfId="5530" builtinId="8" hidden="1"/>
    <cellStyle name="Hyperlink" xfId="5532" builtinId="8" hidden="1"/>
    <cellStyle name="Hyperlink" xfId="5534" builtinId="8" hidden="1"/>
    <cellStyle name="Hyperlink" xfId="5536" builtinId="8" hidden="1"/>
    <cellStyle name="Hyperlink" xfId="5538" builtinId="8" hidden="1"/>
    <cellStyle name="Hyperlink" xfId="5540" builtinId="8" hidden="1"/>
    <cellStyle name="Hyperlink" xfId="5542" builtinId="8" hidden="1"/>
    <cellStyle name="Hyperlink" xfId="5544" builtinId="8" hidden="1"/>
    <cellStyle name="Hyperlink" xfId="5546" builtinId="8" hidden="1"/>
    <cellStyle name="Hyperlink" xfId="5548" builtinId="8" hidden="1"/>
    <cellStyle name="Hyperlink" xfId="5550" builtinId="8" hidden="1"/>
    <cellStyle name="Hyperlink" xfId="5552" builtinId="8" hidden="1"/>
    <cellStyle name="Hyperlink" xfId="5554" builtinId="8" hidden="1"/>
    <cellStyle name="Hyperlink" xfId="5556" builtinId="8" hidden="1"/>
    <cellStyle name="Hyperlink" xfId="5558" builtinId="8" hidden="1"/>
    <cellStyle name="Hyperlink" xfId="5560" builtinId="8" hidden="1"/>
    <cellStyle name="Hyperlink" xfId="5562" builtinId="8" hidden="1"/>
    <cellStyle name="Hyperlink" xfId="5564" builtinId="8" hidden="1"/>
    <cellStyle name="Hyperlink" xfId="5566" builtinId="8" hidden="1"/>
    <cellStyle name="Hyperlink" xfId="5568" builtinId="8" hidden="1"/>
    <cellStyle name="Hyperlink" xfId="5570" builtinId="8" hidden="1"/>
    <cellStyle name="Hyperlink" xfId="5572" builtinId="8" hidden="1"/>
    <cellStyle name="Hyperlink" xfId="5574" builtinId="8" hidden="1"/>
    <cellStyle name="Hyperlink" xfId="5576" builtinId="8" hidden="1"/>
    <cellStyle name="Hyperlink" xfId="5578" builtinId="8" hidden="1"/>
    <cellStyle name="Hyperlink" xfId="5580" builtinId="8" hidden="1"/>
    <cellStyle name="Hyperlink" xfId="5582" builtinId="8" hidden="1"/>
    <cellStyle name="Hyperlink" xfId="5584" builtinId="8" hidden="1"/>
    <cellStyle name="Hyperlink" xfId="5586" builtinId="8" hidden="1"/>
    <cellStyle name="Hyperlink" xfId="5588" builtinId="8" hidden="1"/>
    <cellStyle name="Hyperlink" xfId="5590" builtinId="8" hidden="1"/>
    <cellStyle name="Hyperlink" xfId="5592" builtinId="8" hidden="1"/>
    <cellStyle name="Hyperlink" xfId="5594" builtinId="8" hidden="1"/>
    <cellStyle name="Hyperlink" xfId="5596" builtinId="8" hidden="1"/>
    <cellStyle name="Hyperlink" xfId="5598" builtinId="8" hidden="1"/>
    <cellStyle name="Hyperlink" xfId="5600" builtinId="8" hidden="1"/>
    <cellStyle name="Hyperlink" xfId="5602" builtinId="8" hidden="1"/>
    <cellStyle name="Hyperlink" xfId="5604" builtinId="8" hidden="1"/>
    <cellStyle name="Hyperlink" xfId="5606" builtinId="8" hidden="1"/>
    <cellStyle name="Hyperlink" xfId="5608" builtinId="8" hidden="1"/>
    <cellStyle name="Hyperlink" xfId="5610" builtinId="8" hidden="1"/>
    <cellStyle name="Hyperlink" xfId="5612" builtinId="8" hidden="1"/>
    <cellStyle name="Hyperlink" xfId="5614" builtinId="8" hidden="1"/>
    <cellStyle name="Hyperlink" xfId="5616" builtinId="8" hidden="1"/>
    <cellStyle name="Hyperlink" xfId="5618" builtinId="8" hidden="1"/>
    <cellStyle name="Hyperlink" xfId="5620" builtinId="8" hidden="1"/>
    <cellStyle name="Hyperlink" xfId="5622" builtinId="8" hidden="1"/>
    <cellStyle name="Hyperlink" xfId="5624" builtinId="8" hidden="1"/>
    <cellStyle name="Hyperlink" xfId="5626" builtinId="8" hidden="1"/>
    <cellStyle name="Hyperlink" xfId="5628" builtinId="8" hidden="1"/>
    <cellStyle name="Hyperlink" xfId="5630" builtinId="8" hidden="1"/>
    <cellStyle name="Hyperlink" xfId="5632" builtinId="8" hidden="1"/>
    <cellStyle name="Hyperlink" xfId="5634" builtinId="8" hidden="1"/>
    <cellStyle name="Hyperlink" xfId="5636" builtinId="8" hidden="1"/>
    <cellStyle name="Hyperlink" xfId="5638" builtinId="8" hidden="1"/>
    <cellStyle name="Hyperlink" xfId="5640" builtinId="8" hidden="1"/>
    <cellStyle name="Hyperlink" xfId="5642" builtinId="8" hidden="1"/>
    <cellStyle name="Hyperlink" xfId="5644" builtinId="8" hidden="1"/>
    <cellStyle name="Hyperlink" xfId="5646" builtinId="8" hidden="1"/>
    <cellStyle name="Hyperlink" xfId="5648" builtinId="8" hidden="1"/>
    <cellStyle name="Hyperlink" xfId="5650" builtinId="8" hidden="1"/>
    <cellStyle name="Hyperlink" xfId="5652" builtinId="8" hidden="1"/>
    <cellStyle name="Hyperlink" xfId="5654" builtinId="8" hidden="1"/>
    <cellStyle name="Hyperlink" xfId="5656" builtinId="8" hidden="1"/>
    <cellStyle name="Hyperlink" xfId="5658" builtinId="8" hidden="1"/>
    <cellStyle name="Hyperlink" xfId="5660" builtinId="8" hidden="1"/>
    <cellStyle name="Hyperlink" xfId="5662" builtinId="8" hidden="1"/>
    <cellStyle name="Hyperlink" xfId="5664" builtinId="8" hidden="1"/>
    <cellStyle name="Hyperlink" xfId="5666" builtinId="8" hidden="1"/>
    <cellStyle name="Hyperlink" xfId="5668" builtinId="8" hidden="1"/>
    <cellStyle name="Hyperlink" xfId="5670" builtinId="8" hidden="1"/>
    <cellStyle name="Hyperlink" xfId="5672" builtinId="8" hidden="1"/>
    <cellStyle name="Hyperlink" xfId="5674" builtinId="8" hidden="1"/>
    <cellStyle name="Hyperlink" xfId="5676" builtinId="8" hidden="1"/>
    <cellStyle name="Hyperlink" xfId="5678" builtinId="8" hidden="1"/>
    <cellStyle name="Hyperlink" xfId="5680" builtinId="8" hidden="1"/>
    <cellStyle name="Hyperlink" xfId="5682" builtinId="8" hidden="1"/>
    <cellStyle name="Hyperlink" xfId="5684" builtinId="8" hidden="1"/>
    <cellStyle name="Hyperlink" xfId="5686" builtinId="8" hidden="1"/>
    <cellStyle name="Hyperlink" xfId="5688" builtinId="8" hidden="1"/>
    <cellStyle name="Hyperlink" xfId="5690" builtinId="8" hidden="1"/>
    <cellStyle name="Hyperlink" xfId="5692" builtinId="8" hidden="1"/>
    <cellStyle name="Hyperlink" xfId="5694" builtinId="8" hidden="1"/>
    <cellStyle name="Hyperlink" xfId="5696" builtinId="8" hidden="1"/>
    <cellStyle name="Hyperlink" xfId="5698" builtinId="8" hidden="1"/>
    <cellStyle name="Hyperlink" xfId="5700" builtinId="8" hidden="1"/>
    <cellStyle name="Hyperlink" xfId="5702" builtinId="8" hidden="1"/>
    <cellStyle name="Hyperlink" xfId="5704" builtinId="8" hidden="1"/>
    <cellStyle name="Hyperlink" xfId="5706" builtinId="8" hidden="1"/>
    <cellStyle name="Hyperlink" xfId="5708" builtinId="8" hidden="1"/>
    <cellStyle name="Hyperlink" xfId="5710" builtinId="8" hidden="1"/>
    <cellStyle name="Hyperlink" xfId="5712" builtinId="8" hidden="1"/>
    <cellStyle name="Hyperlink" xfId="5714" builtinId="8" hidden="1"/>
    <cellStyle name="Hyperlink" xfId="5716" builtinId="8" hidden="1"/>
    <cellStyle name="Hyperlink" xfId="5718" builtinId="8" hidden="1"/>
    <cellStyle name="Hyperlink" xfId="5720" builtinId="8" hidden="1"/>
    <cellStyle name="Hyperlink" xfId="5722" builtinId="8" hidden="1"/>
    <cellStyle name="Hyperlink" xfId="5724" builtinId="8" hidden="1"/>
    <cellStyle name="Hyperlink" xfId="5726" builtinId="8" hidden="1"/>
    <cellStyle name="Hyperlink" xfId="5728" builtinId="8" hidden="1"/>
    <cellStyle name="Hyperlink" xfId="5730" builtinId="8" hidden="1"/>
    <cellStyle name="Hyperlink" xfId="5732" builtinId="8" hidden="1"/>
    <cellStyle name="Hyperlink" xfId="5734" builtinId="8" hidden="1"/>
    <cellStyle name="Hyperlink" xfId="5736" builtinId="8" hidden="1"/>
    <cellStyle name="Hyperlink" xfId="5738" builtinId="8" hidden="1"/>
    <cellStyle name="Hyperlink" xfId="5740" builtinId="8" hidden="1"/>
    <cellStyle name="Hyperlink" xfId="5742" builtinId="8" hidden="1"/>
    <cellStyle name="Hyperlink" xfId="5744" builtinId="8" hidden="1"/>
    <cellStyle name="Hyperlink" xfId="5746" builtinId="8" hidden="1"/>
    <cellStyle name="Hyperlink" xfId="5748" builtinId="8" hidden="1"/>
    <cellStyle name="Hyperlink" xfId="5750" builtinId="8" hidden="1"/>
    <cellStyle name="Hyperlink" xfId="5752" builtinId="8" hidden="1"/>
    <cellStyle name="Hyperlink" xfId="5754" builtinId="8" hidden="1"/>
    <cellStyle name="Hyperlink" xfId="5756" builtinId="8" hidden="1"/>
    <cellStyle name="Hyperlink" xfId="5758" builtinId="8" hidden="1"/>
    <cellStyle name="Hyperlink" xfId="5760" builtinId="8" hidden="1"/>
    <cellStyle name="Hyperlink" xfId="5762" builtinId="8" hidden="1"/>
    <cellStyle name="Hyperlink" xfId="5764" builtinId="8" hidden="1"/>
    <cellStyle name="Hyperlink" xfId="5766" builtinId="8" hidden="1"/>
    <cellStyle name="Hyperlink" xfId="5768" builtinId="8" hidden="1"/>
    <cellStyle name="Hyperlink" xfId="5770" builtinId="8" hidden="1"/>
    <cellStyle name="Hyperlink" xfId="5772" builtinId="8" hidden="1"/>
    <cellStyle name="Hyperlink" xfId="5774" builtinId="8" hidden="1"/>
    <cellStyle name="Hyperlink" xfId="5776" builtinId="8" hidden="1"/>
    <cellStyle name="Hyperlink" xfId="5778" builtinId="8" hidden="1"/>
    <cellStyle name="Hyperlink" xfId="5780" builtinId="8" hidden="1"/>
    <cellStyle name="Hyperlink" xfId="5782" builtinId="8" hidden="1"/>
    <cellStyle name="Hyperlink" xfId="5784" builtinId="8" hidden="1"/>
    <cellStyle name="Hyperlink" xfId="5786" builtinId="8" hidden="1"/>
    <cellStyle name="Hyperlink" xfId="5788" builtinId="8" hidden="1"/>
    <cellStyle name="Hyperlink" xfId="5790" builtinId="8" hidden="1"/>
    <cellStyle name="Hyperlink" xfId="5792" builtinId="8" hidden="1"/>
    <cellStyle name="Hyperlink" xfId="5794" builtinId="8" hidden="1"/>
    <cellStyle name="Hyperlink" xfId="5796" builtinId="8" hidden="1"/>
    <cellStyle name="Hyperlink" xfId="5798" builtinId="8" hidden="1"/>
    <cellStyle name="Hyperlink" xfId="5800" builtinId="8" hidden="1"/>
    <cellStyle name="Hyperlink" xfId="5802" builtinId="8" hidden="1"/>
    <cellStyle name="Hyperlink" xfId="5804" builtinId="8" hidden="1"/>
    <cellStyle name="Hyperlink" xfId="5806" builtinId="8" hidden="1"/>
    <cellStyle name="Hyperlink" xfId="5808" builtinId="8" hidden="1"/>
    <cellStyle name="Hyperlink" xfId="5810" builtinId="8" hidden="1"/>
    <cellStyle name="Hyperlink" xfId="5812" builtinId="8" hidden="1"/>
    <cellStyle name="Hyperlink" xfId="5814" builtinId="8" hidden="1"/>
    <cellStyle name="Hyperlink" xfId="5816" builtinId="8" hidden="1"/>
    <cellStyle name="Hyperlink" xfId="5818" builtinId="8" hidden="1"/>
    <cellStyle name="Hyperlink" xfId="5820" builtinId="8" hidden="1"/>
    <cellStyle name="Hyperlink" xfId="5822" builtinId="8" hidden="1"/>
    <cellStyle name="Hyperlink" xfId="5824" builtinId="8" hidden="1"/>
    <cellStyle name="Hyperlink" xfId="5826" builtinId="8" hidden="1"/>
    <cellStyle name="Hyperlink" xfId="5828" builtinId="8" hidden="1"/>
    <cellStyle name="Hyperlink" xfId="5830" builtinId="8" hidden="1"/>
    <cellStyle name="Hyperlink" xfId="5832" builtinId="8" hidden="1"/>
    <cellStyle name="Hyperlink" xfId="5834" builtinId="8" hidden="1"/>
    <cellStyle name="Hyperlink" xfId="5836" builtinId="8" hidden="1"/>
    <cellStyle name="Hyperlink" xfId="5838" builtinId="8" hidden="1"/>
    <cellStyle name="Hyperlink" xfId="5840" builtinId="8" hidden="1"/>
    <cellStyle name="Hyperlink" xfId="5842" builtinId="8" hidden="1"/>
    <cellStyle name="Hyperlink" xfId="5844" builtinId="8" hidden="1"/>
    <cellStyle name="Hyperlink" xfId="5846" builtinId="8" hidden="1"/>
    <cellStyle name="Hyperlink" xfId="5848" builtinId="8" hidden="1"/>
    <cellStyle name="Hyperlink" xfId="5850" builtinId="8" hidden="1"/>
    <cellStyle name="Hyperlink" xfId="5852" builtinId="8" hidden="1"/>
    <cellStyle name="Hyperlink" xfId="5854" builtinId="8" hidden="1"/>
    <cellStyle name="Hyperlink" xfId="5856" builtinId="8" hidden="1"/>
    <cellStyle name="Hyperlink" xfId="5858" builtinId="8" hidden="1"/>
    <cellStyle name="Hyperlink" xfId="5860" builtinId="8" hidden="1"/>
    <cellStyle name="Hyperlink" xfId="5862" builtinId="8" hidden="1"/>
    <cellStyle name="Hyperlink" xfId="5864" builtinId="8" hidden="1"/>
    <cellStyle name="Hyperlink" xfId="5866" builtinId="8" hidden="1"/>
    <cellStyle name="Hyperlink" xfId="5868" builtinId="8" hidden="1"/>
    <cellStyle name="Hyperlink" xfId="5870" builtinId="8" hidden="1"/>
    <cellStyle name="Hyperlink" xfId="5872" builtinId="8" hidden="1"/>
    <cellStyle name="Hyperlink" xfId="5874" builtinId="8" hidden="1"/>
    <cellStyle name="Hyperlink" xfId="5876" builtinId="8" hidden="1"/>
    <cellStyle name="Hyperlink" xfId="5878" builtinId="8" hidden="1"/>
    <cellStyle name="Hyperlink" xfId="5880" builtinId="8" hidden="1"/>
    <cellStyle name="Hyperlink" xfId="5882" builtinId="8" hidden="1"/>
    <cellStyle name="Hyperlink" xfId="5884" builtinId="8" hidden="1"/>
    <cellStyle name="Hyperlink" xfId="5886" builtinId="8" hidden="1"/>
    <cellStyle name="Hyperlink" xfId="5888" builtinId="8" hidden="1"/>
    <cellStyle name="Hyperlink" xfId="5890" builtinId="8" hidden="1"/>
    <cellStyle name="Hyperlink" xfId="5892" builtinId="8" hidden="1"/>
    <cellStyle name="Hyperlink" xfId="5894" builtinId="8" hidden="1"/>
    <cellStyle name="Hyperlink" xfId="5896" builtinId="8" hidden="1"/>
    <cellStyle name="Hyperlink" xfId="5898" builtinId="8" hidden="1"/>
    <cellStyle name="Hyperlink" xfId="5900" builtinId="8" hidden="1"/>
    <cellStyle name="Hyperlink" xfId="5902" builtinId="8" hidden="1"/>
    <cellStyle name="Hyperlink" xfId="5904" builtinId="8" hidden="1"/>
    <cellStyle name="Hyperlink" xfId="5906" builtinId="8" hidden="1"/>
    <cellStyle name="Hyperlink" xfId="5908" builtinId="8" hidden="1"/>
    <cellStyle name="Hyperlink" xfId="5910" builtinId="8" hidden="1"/>
    <cellStyle name="Hyperlink" xfId="5912" builtinId="8" hidden="1"/>
    <cellStyle name="Hyperlink" xfId="5914" builtinId="8" hidden="1"/>
    <cellStyle name="Hyperlink" xfId="5916" builtinId="8" hidden="1"/>
    <cellStyle name="Hyperlink" xfId="5918" builtinId="8" hidden="1"/>
    <cellStyle name="Hyperlink" xfId="5920" builtinId="8" hidden="1"/>
    <cellStyle name="Hyperlink" xfId="5922" builtinId="8" hidden="1"/>
    <cellStyle name="Hyperlink" xfId="5924" builtinId="8" hidden="1"/>
    <cellStyle name="Hyperlink" xfId="5926" builtinId="8" hidden="1"/>
    <cellStyle name="Hyperlink" xfId="5928" builtinId="8" hidden="1"/>
    <cellStyle name="Hyperlink" xfId="5930" builtinId="8" hidden="1"/>
    <cellStyle name="Hyperlink" xfId="5932" builtinId="8" hidden="1"/>
    <cellStyle name="Hyperlink" xfId="5934" builtinId="8" hidden="1"/>
    <cellStyle name="Hyperlink" xfId="5936" builtinId="8" hidden="1"/>
    <cellStyle name="Hyperlink" xfId="5938" builtinId="8" hidden="1"/>
    <cellStyle name="Hyperlink" xfId="5940" builtinId="8" hidden="1"/>
    <cellStyle name="Hyperlink" xfId="5942" builtinId="8" hidden="1"/>
    <cellStyle name="Hyperlink" xfId="5944" builtinId="8" hidden="1"/>
    <cellStyle name="Hyperlink" xfId="5946" builtinId="8" hidden="1"/>
    <cellStyle name="Hyperlink" xfId="5948" builtinId="8" hidden="1"/>
    <cellStyle name="Hyperlink" xfId="5950" builtinId="8" hidden="1"/>
    <cellStyle name="Hyperlink" xfId="5952" builtinId="8" hidden="1"/>
    <cellStyle name="Hyperlink" xfId="5954" builtinId="8" hidden="1"/>
    <cellStyle name="Hyperlink" xfId="5956" builtinId="8" hidden="1"/>
    <cellStyle name="Hyperlink" xfId="5958" builtinId="8" hidden="1"/>
    <cellStyle name="Hyperlink" xfId="5960" builtinId="8" hidden="1"/>
    <cellStyle name="Hyperlink" xfId="5962" builtinId="8" hidden="1"/>
    <cellStyle name="Hyperlink" xfId="5964" builtinId="8" hidden="1"/>
    <cellStyle name="Hyperlink" xfId="5966" builtinId="8" hidden="1"/>
    <cellStyle name="Hyperlink" xfId="5968" builtinId="8" hidden="1"/>
    <cellStyle name="Hyperlink" xfId="5970" builtinId="8" hidden="1"/>
    <cellStyle name="Hyperlink" xfId="5972" builtinId="8" hidden="1"/>
    <cellStyle name="Hyperlink" xfId="5974" builtinId="8" hidden="1"/>
    <cellStyle name="Hyperlink" xfId="5976" builtinId="8" hidden="1"/>
    <cellStyle name="Hyperlink" xfId="5978" builtinId="8" hidden="1"/>
    <cellStyle name="Hyperlink" xfId="5980" builtinId="8" hidden="1"/>
    <cellStyle name="Hyperlink" xfId="5982" builtinId="8" hidden="1"/>
    <cellStyle name="Hyperlink" xfId="5984" builtinId="8" hidden="1"/>
    <cellStyle name="Hyperlink" xfId="5986" builtinId="8" hidden="1"/>
    <cellStyle name="Hyperlink" xfId="5988" builtinId="8" hidden="1"/>
    <cellStyle name="Hyperlink" xfId="5990" builtinId="8" hidden="1"/>
    <cellStyle name="Hyperlink" xfId="5992" builtinId="8" hidden="1"/>
    <cellStyle name="Hyperlink" xfId="5994" builtinId="8" hidden="1"/>
    <cellStyle name="Hyperlink" xfId="5996" builtinId="8" hidden="1"/>
    <cellStyle name="Hyperlink" xfId="5998" builtinId="8" hidden="1"/>
    <cellStyle name="Hyperlink" xfId="6000" builtinId="8" hidden="1"/>
    <cellStyle name="Hyperlink" xfId="6002" builtinId="8" hidden="1"/>
    <cellStyle name="Hyperlink" xfId="6004" builtinId="8" hidden="1"/>
    <cellStyle name="Hyperlink" xfId="6006" builtinId="8" hidden="1"/>
    <cellStyle name="Hyperlink" xfId="6008" builtinId="8" hidden="1"/>
    <cellStyle name="Hyperlink" xfId="6010" builtinId="8" hidden="1"/>
    <cellStyle name="Hyperlink" xfId="6012" builtinId="8" hidden="1"/>
    <cellStyle name="Hyperlink" xfId="6014" builtinId="8" hidden="1"/>
    <cellStyle name="Hyperlink" xfId="6016" builtinId="8" hidden="1"/>
    <cellStyle name="Hyperlink" xfId="6018" builtinId="8" hidden="1"/>
    <cellStyle name="Hyperlink" xfId="6020" builtinId="8" hidden="1"/>
    <cellStyle name="Hyperlink" xfId="6022" builtinId="8" hidden="1"/>
    <cellStyle name="Hyperlink" xfId="6024" builtinId="8" hidden="1"/>
    <cellStyle name="Hyperlink" xfId="6026" builtinId="8" hidden="1"/>
    <cellStyle name="Hyperlink" xfId="6028" builtinId="8" hidden="1"/>
    <cellStyle name="Hyperlink" xfId="6030" builtinId="8" hidden="1"/>
    <cellStyle name="Hyperlink" xfId="6032" builtinId="8" hidden="1"/>
    <cellStyle name="Hyperlink" xfId="6034" builtinId="8" hidden="1"/>
    <cellStyle name="Hyperlink" xfId="6036" builtinId="8" hidden="1"/>
    <cellStyle name="Hyperlink" xfId="6038" builtinId="8" hidden="1"/>
    <cellStyle name="Hyperlink" xfId="6040" builtinId="8" hidden="1"/>
    <cellStyle name="Hyperlink" xfId="6042" builtinId="8" hidden="1"/>
    <cellStyle name="Hyperlink" xfId="6044" builtinId="8" hidden="1"/>
    <cellStyle name="Hyperlink" xfId="6046" builtinId="8" hidden="1"/>
    <cellStyle name="Hyperlink" xfId="6048" builtinId="8" hidden="1"/>
    <cellStyle name="Hyperlink" xfId="6050" builtinId="8" hidden="1"/>
    <cellStyle name="Hyperlink" xfId="6052" builtinId="8" hidden="1"/>
    <cellStyle name="Hyperlink" xfId="6054" builtinId="8" hidden="1"/>
    <cellStyle name="Hyperlink" xfId="6056" builtinId="8" hidden="1"/>
    <cellStyle name="Hyperlink" xfId="6058" builtinId="8" hidden="1"/>
    <cellStyle name="Hyperlink" xfId="6060" builtinId="8" hidden="1"/>
    <cellStyle name="Hyperlink" xfId="6062" builtinId="8" hidden="1"/>
    <cellStyle name="Hyperlink" xfId="6064" builtinId="8" hidden="1"/>
    <cellStyle name="Hyperlink" xfId="6066" builtinId="8" hidden="1"/>
    <cellStyle name="Hyperlink" xfId="6068" builtinId="8" hidden="1"/>
    <cellStyle name="Hyperlink" xfId="6070" builtinId="8" hidden="1"/>
    <cellStyle name="Hyperlink" xfId="6072" builtinId="8" hidden="1"/>
    <cellStyle name="Hyperlink" xfId="6074" builtinId="8" hidden="1"/>
    <cellStyle name="Hyperlink" xfId="6076" builtinId="8" hidden="1"/>
    <cellStyle name="Hyperlink" xfId="6078" builtinId="8" hidden="1"/>
    <cellStyle name="Hyperlink" xfId="6080" builtinId="8" hidden="1"/>
    <cellStyle name="Hyperlink" xfId="6082" builtinId="8" hidden="1"/>
    <cellStyle name="Hyperlink" xfId="6084" builtinId="8" hidden="1"/>
    <cellStyle name="Hyperlink" xfId="6086" builtinId="8" hidden="1"/>
    <cellStyle name="Hyperlink" xfId="6088" builtinId="8" hidden="1"/>
    <cellStyle name="Hyperlink" xfId="6090" builtinId="8" hidden="1"/>
    <cellStyle name="Hyperlink" xfId="6092" builtinId="8" hidden="1"/>
    <cellStyle name="Hyperlink" xfId="6094" builtinId="8" hidden="1"/>
    <cellStyle name="Hyperlink" xfId="6096" builtinId="8" hidden="1"/>
    <cellStyle name="Hyperlink" xfId="6098" builtinId="8" hidden="1"/>
    <cellStyle name="Hyperlink" xfId="6100" builtinId="8" hidden="1"/>
    <cellStyle name="Hyperlink" xfId="6102" builtinId="8" hidden="1"/>
    <cellStyle name="Hyperlink" xfId="6104" builtinId="8" hidden="1"/>
    <cellStyle name="Hyperlink" xfId="6106" builtinId="8" hidden="1"/>
    <cellStyle name="Hyperlink" xfId="6108" builtinId="8" hidden="1"/>
    <cellStyle name="Hyperlink" xfId="6110" builtinId="8" hidden="1"/>
    <cellStyle name="Hyperlink" xfId="6112" builtinId="8" hidden="1"/>
    <cellStyle name="Hyperlink" xfId="6114" builtinId="8" hidden="1"/>
    <cellStyle name="Hyperlink" xfId="6116" builtinId="8" hidden="1"/>
    <cellStyle name="Hyperlink" xfId="6118" builtinId="8" hidden="1"/>
    <cellStyle name="Hyperlink" xfId="6120" builtinId="8" hidden="1"/>
    <cellStyle name="Hyperlink" xfId="6122" builtinId="8" hidden="1"/>
    <cellStyle name="Hyperlink" xfId="6124" builtinId="8" hidden="1"/>
    <cellStyle name="Hyperlink" xfId="6126" builtinId="8" hidden="1"/>
    <cellStyle name="Hyperlink" xfId="6128" builtinId="8" hidden="1"/>
    <cellStyle name="Hyperlink" xfId="6130" builtinId="8" hidden="1"/>
    <cellStyle name="Hyperlink" xfId="6132" builtinId="8" hidden="1"/>
    <cellStyle name="Hyperlink" xfId="6134" builtinId="8" hidden="1"/>
    <cellStyle name="Hyperlink" xfId="6136" builtinId="8" hidden="1"/>
    <cellStyle name="Hyperlink" xfId="6138" builtinId="8" hidden="1"/>
    <cellStyle name="Hyperlink" xfId="6140" builtinId="8" hidden="1"/>
    <cellStyle name="Hyperlink" xfId="6142" builtinId="8" hidden="1"/>
    <cellStyle name="Hyperlink" xfId="6144" builtinId="8" hidden="1"/>
    <cellStyle name="Hyperlink" xfId="6146" builtinId="8" hidden="1"/>
    <cellStyle name="Hyperlink" xfId="6148" builtinId="8" hidden="1"/>
    <cellStyle name="Hyperlink" xfId="6150" builtinId="8" hidden="1"/>
    <cellStyle name="Hyperlink" xfId="6152" builtinId="8" hidden="1"/>
    <cellStyle name="Hyperlink" xfId="6154" builtinId="8" hidden="1"/>
    <cellStyle name="Hyperlink" xfId="6156" builtinId="8" hidden="1"/>
    <cellStyle name="Hyperlink" xfId="6158" builtinId="8" hidden="1"/>
    <cellStyle name="Hyperlink" xfId="6160" builtinId="8" hidden="1"/>
    <cellStyle name="Hyperlink" xfId="6162" builtinId="8" hidden="1"/>
    <cellStyle name="Hyperlink" xfId="6164" builtinId="8" hidden="1"/>
    <cellStyle name="Hyperlink" xfId="6166" builtinId="8" hidden="1"/>
    <cellStyle name="Hyperlink" xfId="6168" builtinId="8" hidden="1"/>
    <cellStyle name="Hyperlink" xfId="6170" builtinId="8" hidden="1"/>
    <cellStyle name="Hyperlink" xfId="6172" builtinId="8" hidden="1"/>
    <cellStyle name="Hyperlink" xfId="6174" builtinId="8" hidden="1"/>
    <cellStyle name="Hyperlink" xfId="6176" builtinId="8" hidden="1"/>
    <cellStyle name="Hyperlink" xfId="6178" builtinId="8" hidden="1"/>
    <cellStyle name="Hyperlink" xfId="6180" builtinId="8" hidden="1"/>
    <cellStyle name="Hyperlink" xfId="6182" builtinId="8" hidden="1"/>
    <cellStyle name="Hyperlink" xfId="6184" builtinId="8" hidden="1"/>
    <cellStyle name="Hyperlink" xfId="6186" builtinId="8" hidden="1"/>
    <cellStyle name="Hyperlink" xfId="6188" builtinId="8" hidden="1"/>
    <cellStyle name="Hyperlink" xfId="6190" builtinId="8" hidden="1"/>
    <cellStyle name="Hyperlink" xfId="6192" builtinId="8" hidden="1"/>
    <cellStyle name="Hyperlink" xfId="6194" builtinId="8" hidden="1"/>
    <cellStyle name="Hyperlink" xfId="6196" builtinId="8" hidden="1"/>
    <cellStyle name="Hyperlink" xfId="6198" builtinId="8" hidden="1"/>
    <cellStyle name="Hyperlink" xfId="6200" builtinId="8" hidden="1"/>
    <cellStyle name="Hyperlink" xfId="6202" builtinId="8" hidden="1"/>
    <cellStyle name="Hyperlink" xfId="6204" builtinId="8" hidden="1"/>
    <cellStyle name="Hyperlink" xfId="6206" builtinId="8" hidden="1"/>
    <cellStyle name="Hyperlink" xfId="6208" builtinId="8" hidden="1"/>
    <cellStyle name="Hyperlink" xfId="6210" builtinId="8" hidden="1"/>
    <cellStyle name="Hyperlink" xfId="6212" builtinId="8" hidden="1"/>
    <cellStyle name="Hyperlink" xfId="6214" builtinId="8" hidden="1"/>
    <cellStyle name="Hyperlink" xfId="6216" builtinId="8" hidden="1"/>
    <cellStyle name="Hyperlink" xfId="6218" builtinId="8" hidden="1"/>
    <cellStyle name="Hyperlink" xfId="6220" builtinId="8" hidden="1"/>
    <cellStyle name="Hyperlink" xfId="6222" builtinId="8" hidden="1"/>
    <cellStyle name="Hyperlink" xfId="6224" builtinId="8" hidden="1"/>
    <cellStyle name="Hyperlink" xfId="6226" builtinId="8" hidden="1"/>
    <cellStyle name="Hyperlink" xfId="6228" builtinId="8" hidden="1"/>
    <cellStyle name="Hyperlink" xfId="6230" builtinId="8" hidden="1"/>
    <cellStyle name="Hyperlink" xfId="6232" builtinId="8" hidden="1"/>
    <cellStyle name="Hyperlink" xfId="6234" builtinId="8" hidden="1"/>
    <cellStyle name="Hyperlink" xfId="6236" builtinId="8" hidden="1"/>
    <cellStyle name="Hyperlink" xfId="6238" builtinId="8" hidden="1"/>
    <cellStyle name="Hyperlink" xfId="6240" builtinId="8" hidden="1"/>
    <cellStyle name="Hyperlink" xfId="6242" builtinId="8" hidden="1"/>
    <cellStyle name="Hyperlink" xfId="6244" builtinId="8" hidden="1"/>
    <cellStyle name="Hyperlink" xfId="6246" builtinId="8" hidden="1"/>
    <cellStyle name="Hyperlink" xfId="6248" builtinId="8" hidden="1"/>
    <cellStyle name="Hyperlink" xfId="6250" builtinId="8" hidden="1"/>
    <cellStyle name="Hyperlink" xfId="6252" builtinId="8" hidden="1"/>
    <cellStyle name="Hyperlink" xfId="6254" builtinId="8" hidden="1"/>
    <cellStyle name="Hyperlink" xfId="6256" builtinId="8" hidden="1"/>
    <cellStyle name="Hyperlink" xfId="6258" builtinId="8" hidden="1"/>
    <cellStyle name="Hyperlink" xfId="6260" builtinId="8" hidden="1"/>
    <cellStyle name="Hyperlink" xfId="6262" builtinId="8" hidden="1"/>
    <cellStyle name="Hyperlink" xfId="6264" builtinId="8" hidden="1"/>
    <cellStyle name="Hyperlink" xfId="6266" builtinId="8" hidden="1"/>
    <cellStyle name="Hyperlink" xfId="6268" builtinId="8" hidden="1"/>
    <cellStyle name="Hyperlink" xfId="6270" builtinId="8" hidden="1"/>
    <cellStyle name="Hyperlink" xfId="6272" builtinId="8" hidden="1"/>
    <cellStyle name="Hyperlink" xfId="6274" builtinId="8" hidden="1"/>
    <cellStyle name="Hyperlink" xfId="6276" builtinId="8" hidden="1"/>
    <cellStyle name="Hyperlink" xfId="6278" builtinId="8" hidden="1"/>
    <cellStyle name="Hyperlink" xfId="6280" builtinId="8" hidden="1"/>
    <cellStyle name="Hyperlink" xfId="6282" builtinId="8" hidden="1"/>
    <cellStyle name="Hyperlink" xfId="6284" builtinId="8" hidden="1"/>
    <cellStyle name="Hyperlink" xfId="6286" builtinId="8" hidden="1"/>
    <cellStyle name="Hyperlink" xfId="6288" builtinId="8" hidden="1"/>
    <cellStyle name="Hyperlink" xfId="6290" builtinId="8" hidden="1"/>
    <cellStyle name="Hyperlink" xfId="6292" builtinId="8" hidden="1"/>
    <cellStyle name="Hyperlink" xfId="6294" builtinId="8" hidden="1"/>
    <cellStyle name="Hyperlink" xfId="6296" builtinId="8" hidden="1"/>
    <cellStyle name="Hyperlink" xfId="6298" builtinId="8" hidden="1"/>
    <cellStyle name="Hyperlink" xfId="6300" builtinId="8" hidden="1"/>
    <cellStyle name="Hyperlink" xfId="6302" builtinId="8" hidden="1"/>
    <cellStyle name="Hyperlink" xfId="6304" builtinId="8" hidden="1"/>
    <cellStyle name="Hyperlink" xfId="6306" builtinId="8" hidden="1"/>
    <cellStyle name="Hyperlink" xfId="6308" builtinId="8" hidden="1"/>
    <cellStyle name="Hyperlink" xfId="6310" builtinId="8" hidden="1"/>
    <cellStyle name="Hyperlink" xfId="6312" builtinId="8" hidden="1"/>
    <cellStyle name="Hyperlink" xfId="6314" builtinId="8" hidden="1"/>
    <cellStyle name="Hyperlink" xfId="6316" builtinId="8" hidden="1"/>
    <cellStyle name="Hyperlink" xfId="6318" builtinId="8" hidden="1"/>
    <cellStyle name="Hyperlink" xfId="6320" builtinId="8" hidden="1"/>
    <cellStyle name="Hyperlink" xfId="6322" builtinId="8" hidden="1"/>
    <cellStyle name="Hyperlink" xfId="6324" builtinId="8" hidden="1"/>
    <cellStyle name="Hyperlink" xfId="6326" builtinId="8" hidden="1"/>
    <cellStyle name="Hyperlink" xfId="6328" builtinId="8" hidden="1"/>
    <cellStyle name="Hyperlink" xfId="6330" builtinId="8" hidden="1"/>
    <cellStyle name="Hyperlink" xfId="6332" builtinId="8" hidden="1"/>
    <cellStyle name="Hyperlink" xfId="6334" builtinId="8" hidden="1"/>
    <cellStyle name="Hyperlink" xfId="6336" builtinId="8" hidden="1"/>
    <cellStyle name="Hyperlink" xfId="6338" builtinId="8" hidden="1"/>
    <cellStyle name="Hyperlink" xfId="6340" builtinId="8" hidden="1"/>
    <cellStyle name="Hyperlink" xfId="6342" builtinId="8" hidden="1"/>
    <cellStyle name="Hyperlink" xfId="6344" builtinId="8" hidden="1"/>
    <cellStyle name="Hyperlink" xfId="6346" builtinId="8" hidden="1"/>
    <cellStyle name="Hyperlink" xfId="6348" builtinId="8" hidden="1"/>
    <cellStyle name="Hyperlink" xfId="6350" builtinId="8" hidden="1"/>
    <cellStyle name="Hyperlink" xfId="6352" builtinId="8" hidden="1"/>
    <cellStyle name="Hyperlink" xfId="6354" builtinId="8" hidden="1"/>
    <cellStyle name="Hyperlink" xfId="6356" builtinId="8" hidden="1"/>
    <cellStyle name="Hyperlink" xfId="6358" builtinId="8" hidden="1"/>
    <cellStyle name="Hyperlink" xfId="6360" builtinId="8" hidden="1"/>
    <cellStyle name="Hyperlink" xfId="6362" builtinId="8" hidden="1"/>
    <cellStyle name="Hyperlink" xfId="6364" builtinId="8" hidden="1"/>
    <cellStyle name="Hyperlink" xfId="6366" builtinId="8" hidden="1"/>
    <cellStyle name="Hyperlink" xfId="6368" builtinId="8" hidden="1"/>
    <cellStyle name="Hyperlink" xfId="6370" builtinId="8" hidden="1"/>
    <cellStyle name="Hyperlink" xfId="6372" builtinId="8" hidden="1"/>
    <cellStyle name="Hyperlink" xfId="6374" builtinId="8" hidden="1"/>
    <cellStyle name="Hyperlink" xfId="6376" builtinId="8" hidden="1"/>
    <cellStyle name="Hyperlink" xfId="6378" builtinId="8" hidden="1"/>
    <cellStyle name="Hyperlink" xfId="6380" builtinId="8" hidden="1"/>
    <cellStyle name="Hyperlink" xfId="6382" builtinId="8" hidden="1"/>
    <cellStyle name="Hyperlink" xfId="6384" builtinId="8" hidden="1"/>
    <cellStyle name="Hyperlink" xfId="6386" builtinId="8" hidden="1"/>
    <cellStyle name="Hyperlink" xfId="6388" builtinId="8" hidden="1"/>
    <cellStyle name="Hyperlink" xfId="6391" builtinId="8" hidden="1"/>
    <cellStyle name="Hyperlink" xfId="6393" builtinId="8" hidden="1"/>
    <cellStyle name="Hyperlink" xfId="6395" builtinId="8" hidden="1"/>
    <cellStyle name="Hyperlink" xfId="6397" builtinId="8" hidden="1"/>
    <cellStyle name="Hyperlink" xfId="6399" builtinId="8" hidden="1"/>
    <cellStyle name="Hyperlink" xfId="6401" builtinId="8" hidden="1"/>
    <cellStyle name="Hyperlink" xfId="6403" builtinId="8" hidden="1"/>
    <cellStyle name="Hyperlink" xfId="6405" builtinId="8" hidden="1"/>
    <cellStyle name="Hyperlink" xfId="6407" builtinId="8" hidden="1"/>
    <cellStyle name="Hyperlink" xfId="6409" builtinId="8" hidden="1"/>
    <cellStyle name="Hyperlink" xfId="6411" builtinId="8" hidden="1"/>
    <cellStyle name="Hyperlink" xfId="6413" builtinId="8" hidden="1"/>
    <cellStyle name="Hyperlink" xfId="6415" builtinId="8" hidden="1"/>
    <cellStyle name="Hyperlink" xfId="6417" builtinId="8" hidden="1"/>
    <cellStyle name="Hyperlink" xfId="6419" builtinId="8" hidden="1"/>
    <cellStyle name="Hyperlink" xfId="6421" builtinId="8" hidden="1"/>
    <cellStyle name="Hyperlink" xfId="6423" builtinId="8" hidden="1"/>
    <cellStyle name="Hyperlink" xfId="6425" builtinId="8" hidden="1"/>
    <cellStyle name="Hyperlink" xfId="6427" builtinId="8" hidden="1"/>
    <cellStyle name="Hyperlink" xfId="6429" builtinId="8" hidden="1"/>
    <cellStyle name="Hyperlink" xfId="6431" builtinId="8" hidden="1"/>
    <cellStyle name="Hyperlink" xfId="6433" builtinId="8" hidden="1"/>
    <cellStyle name="Hyperlink" xfId="6435" builtinId="8" hidden="1"/>
    <cellStyle name="Hyperlink" xfId="6437" builtinId="8" hidden="1"/>
    <cellStyle name="Hyperlink" xfId="6439" builtinId="8" hidden="1"/>
    <cellStyle name="Hyperlink" xfId="6441" builtinId="8" hidden="1"/>
    <cellStyle name="Hyperlink" xfId="6443" builtinId="8" hidden="1"/>
    <cellStyle name="Hyperlink" xfId="6445" builtinId="8" hidden="1"/>
    <cellStyle name="Hyperlink" xfId="6447" builtinId="8" hidden="1"/>
    <cellStyle name="Hyperlink" xfId="6449" builtinId="8" hidden="1"/>
    <cellStyle name="Hyperlink" xfId="6451" builtinId="8" hidden="1"/>
    <cellStyle name="Hyperlink" xfId="6453" builtinId="8" hidden="1"/>
    <cellStyle name="Hyperlink" xfId="6455" builtinId="8" hidden="1"/>
    <cellStyle name="Hyperlink" xfId="6457" builtinId="8" hidden="1"/>
    <cellStyle name="Hyperlink" xfId="6459" builtinId="8" hidden="1"/>
    <cellStyle name="Hyperlink" xfId="6461" builtinId="8" hidden="1"/>
    <cellStyle name="Hyperlink" xfId="6463" builtinId="8" hidden="1"/>
    <cellStyle name="Hyperlink" xfId="6465" builtinId="8" hidden="1"/>
    <cellStyle name="Hyperlink" xfId="6467" builtinId="8" hidden="1"/>
    <cellStyle name="Hyperlink" xfId="6469" builtinId="8" hidden="1"/>
    <cellStyle name="Hyperlink" xfId="6471" builtinId="8" hidden="1"/>
    <cellStyle name="Hyperlink" xfId="6473" builtinId="8" hidden="1"/>
    <cellStyle name="Hyperlink" xfId="6475" builtinId="8" hidden="1"/>
    <cellStyle name="Hyperlink" xfId="6477" builtinId="8" hidden="1"/>
    <cellStyle name="Hyperlink" xfId="6479" builtinId="8" hidden="1"/>
    <cellStyle name="Hyperlink" xfId="6481" builtinId="8" hidden="1"/>
    <cellStyle name="Hyperlink" xfId="6483" builtinId="8" hidden="1"/>
    <cellStyle name="Hyperlink" xfId="6485" builtinId="8" hidden="1"/>
    <cellStyle name="Hyperlink" xfId="6487" builtinId="8" hidden="1"/>
    <cellStyle name="Hyperlink" xfId="6489" builtinId="8" hidden="1"/>
    <cellStyle name="Hyperlink" xfId="6491" builtinId="8" hidden="1"/>
    <cellStyle name="Hyperlink" xfId="6493" builtinId="8" hidden="1"/>
    <cellStyle name="Hyperlink" xfId="6495" builtinId="8" hidden="1"/>
    <cellStyle name="Hyperlink" xfId="6497" builtinId="8" hidden="1"/>
    <cellStyle name="Hyperlink" xfId="6499" builtinId="8" hidden="1"/>
    <cellStyle name="Hyperlink" xfId="6501" builtinId="8" hidden="1"/>
    <cellStyle name="Hyperlink" xfId="6503" builtinId="8" hidden="1"/>
    <cellStyle name="Hyperlink" xfId="6505" builtinId="8" hidden="1"/>
    <cellStyle name="Hyperlink" xfId="6507" builtinId="8" hidden="1"/>
    <cellStyle name="Hyperlink" xfId="6509" builtinId="8" hidden="1"/>
    <cellStyle name="Hyperlink" xfId="6511" builtinId="8" hidden="1"/>
    <cellStyle name="Hyperlink" xfId="6513" builtinId="8" hidden="1"/>
    <cellStyle name="Hyperlink" xfId="6515" builtinId="8" hidden="1"/>
    <cellStyle name="Hyperlink" xfId="6517" builtinId="8" hidden="1"/>
    <cellStyle name="Hyperlink" xfId="6519" builtinId="8" hidden="1"/>
    <cellStyle name="Hyperlink" xfId="6521" builtinId="8" hidden="1"/>
    <cellStyle name="Hyperlink" xfId="6523" builtinId="8" hidden="1"/>
    <cellStyle name="Hyperlink" xfId="6525" builtinId="8" hidden="1"/>
    <cellStyle name="Hyperlink" xfId="6527" builtinId="8" hidden="1"/>
    <cellStyle name="Hyperlink" xfId="6529" builtinId="8" hidden="1"/>
    <cellStyle name="Hyperlink" xfId="6531" builtinId="8" hidden="1"/>
    <cellStyle name="Hyperlink" xfId="6533" builtinId="8" hidden="1"/>
    <cellStyle name="Hyperlink" xfId="6535" builtinId="8" hidden="1"/>
    <cellStyle name="Hyperlink" xfId="6537" builtinId="8" hidden="1"/>
    <cellStyle name="Hyperlink" xfId="6539" builtinId="8" hidden="1"/>
    <cellStyle name="Hyperlink" xfId="6541" builtinId="8" hidden="1"/>
    <cellStyle name="Hyperlink" xfId="6543" builtinId="8" hidden="1"/>
    <cellStyle name="Hyperlink" xfId="6545" builtinId="8" hidden="1"/>
    <cellStyle name="Hyperlink" xfId="6547" builtinId="8" hidden="1"/>
    <cellStyle name="Hyperlink" xfId="6549" builtinId="8" hidden="1"/>
    <cellStyle name="Hyperlink" xfId="6551" builtinId="8" hidden="1"/>
    <cellStyle name="Hyperlink" xfId="6553" builtinId="8" hidden="1"/>
    <cellStyle name="Hyperlink" xfId="6555" builtinId="8" hidden="1"/>
    <cellStyle name="Hyperlink" xfId="6557" builtinId="8" hidden="1"/>
    <cellStyle name="Hyperlink" xfId="6559" builtinId="8" hidden="1"/>
    <cellStyle name="Hyperlink" xfId="6561" builtinId="8" hidden="1"/>
    <cellStyle name="Hyperlink" xfId="6563" builtinId="8" hidden="1"/>
    <cellStyle name="Hyperlink" xfId="6565" builtinId="8" hidden="1"/>
    <cellStyle name="Hyperlink" xfId="6567" builtinId="8" hidden="1"/>
    <cellStyle name="Hyperlink" xfId="6569" builtinId="8" hidden="1"/>
    <cellStyle name="Hyperlink" xfId="6571" builtinId="8" hidden="1"/>
    <cellStyle name="Hyperlink" xfId="6573" builtinId="8" hidden="1"/>
    <cellStyle name="Hyperlink" xfId="6575" builtinId="8" hidden="1"/>
    <cellStyle name="Hyperlink" xfId="6577" builtinId="8" hidden="1"/>
    <cellStyle name="Hyperlink" xfId="6579" builtinId="8" hidden="1"/>
    <cellStyle name="Hyperlink" xfId="6581" builtinId="8" hidden="1"/>
    <cellStyle name="Hyperlink" xfId="6583" builtinId="8" hidden="1"/>
    <cellStyle name="Hyperlink" xfId="6585" builtinId="8" hidden="1"/>
    <cellStyle name="Hyperlink" xfId="6587" builtinId="8" hidden="1"/>
    <cellStyle name="Hyperlink" xfId="6589" builtinId="8" hidden="1"/>
    <cellStyle name="Hyperlink" xfId="6591" builtinId="8" hidden="1"/>
    <cellStyle name="Hyperlink" xfId="6593" builtinId="8" hidden="1"/>
    <cellStyle name="Hyperlink" xfId="6595" builtinId="8" hidden="1"/>
    <cellStyle name="Hyperlink" xfId="6597" builtinId="8" hidden="1"/>
    <cellStyle name="Hyperlink" xfId="6599" builtinId="8" hidden="1"/>
    <cellStyle name="Hyperlink" xfId="6601" builtinId="8" hidden="1"/>
    <cellStyle name="Hyperlink" xfId="6603" builtinId="8" hidden="1"/>
    <cellStyle name="Hyperlink" xfId="6605" builtinId="8" hidden="1"/>
    <cellStyle name="Hyperlink" xfId="6607" builtinId="8" hidden="1"/>
    <cellStyle name="Hyperlink" xfId="6609" builtinId="8" hidden="1"/>
    <cellStyle name="Hyperlink" xfId="6611" builtinId="8" hidden="1"/>
    <cellStyle name="Hyperlink" xfId="6613" builtinId="8" hidden="1"/>
    <cellStyle name="Hyperlink" xfId="6615" builtinId="8" hidden="1"/>
    <cellStyle name="Hyperlink" xfId="6617" builtinId="8" hidden="1"/>
    <cellStyle name="Hyperlink" xfId="6619" builtinId="8" hidden="1"/>
    <cellStyle name="Hyperlink" xfId="6621" builtinId="8" hidden="1"/>
    <cellStyle name="Hyperlink" xfId="6623" builtinId="8" hidden="1"/>
    <cellStyle name="Hyperlink" xfId="6625" builtinId="8" hidden="1"/>
    <cellStyle name="Hyperlink" xfId="6627" builtinId="8" hidden="1"/>
    <cellStyle name="Hyperlink" xfId="6629" builtinId="8" hidden="1"/>
    <cellStyle name="Hyperlink" xfId="6631" builtinId="8" hidden="1"/>
    <cellStyle name="Hyperlink" xfId="6633" builtinId="8" hidden="1"/>
    <cellStyle name="Hyperlink" xfId="6635" builtinId="8" hidden="1"/>
    <cellStyle name="Hyperlink" xfId="6637" builtinId="8" hidden="1"/>
    <cellStyle name="Hyperlink" xfId="6639" builtinId="8" hidden="1"/>
    <cellStyle name="Hyperlink" xfId="6641" builtinId="8" hidden="1"/>
    <cellStyle name="Hyperlink" xfId="6643" builtinId="8" hidden="1"/>
    <cellStyle name="Hyperlink" xfId="6645" builtinId="8" hidden="1"/>
    <cellStyle name="Hyperlink" xfId="6647" builtinId="8" hidden="1"/>
    <cellStyle name="Hyperlink" xfId="6649" builtinId="8" hidden="1"/>
    <cellStyle name="Hyperlink" xfId="6651" builtinId="8" hidden="1"/>
    <cellStyle name="Hyperlink" xfId="6653" builtinId="8" hidden="1"/>
    <cellStyle name="Hyperlink" xfId="6655" builtinId="8" hidden="1"/>
    <cellStyle name="Hyperlink" xfId="6657" builtinId="8" hidden="1"/>
    <cellStyle name="Hyperlink" xfId="6659" builtinId="8" hidden="1"/>
    <cellStyle name="Hyperlink" xfId="6661" builtinId="8" hidden="1"/>
    <cellStyle name="Hyperlink" xfId="6663" builtinId="8" hidden="1"/>
    <cellStyle name="Hyperlink" xfId="6665" builtinId="8" hidden="1"/>
    <cellStyle name="Hyperlink" xfId="6667" builtinId="8" hidden="1"/>
    <cellStyle name="Hyperlink" xfId="6669" builtinId="8" hidden="1"/>
    <cellStyle name="Hyperlink" xfId="6671" builtinId="8" hidden="1"/>
    <cellStyle name="Hyperlink" xfId="6673" builtinId="8" hidden="1"/>
    <cellStyle name="Hyperlink" xfId="6675" builtinId="8" hidden="1"/>
    <cellStyle name="Hyperlink" xfId="6677" builtinId="8" hidden="1"/>
    <cellStyle name="Hyperlink" xfId="6679" builtinId="8" hidden="1"/>
    <cellStyle name="Hyperlink" xfId="6681" builtinId="8" hidden="1"/>
    <cellStyle name="Hyperlink" xfId="6683" builtinId="8" hidden="1"/>
    <cellStyle name="Hyperlink" xfId="6685" builtinId="8" hidden="1"/>
    <cellStyle name="Hyperlink" xfId="6687" builtinId="8" hidden="1"/>
    <cellStyle name="Hyperlink" xfId="6689" builtinId="8" hidden="1"/>
    <cellStyle name="Hyperlink" xfId="6691" builtinId="8" hidden="1"/>
    <cellStyle name="Hyperlink" xfId="6693" builtinId="8" hidden="1"/>
    <cellStyle name="Hyperlink" xfId="6695" builtinId="8" hidden="1"/>
    <cellStyle name="Hyperlink" xfId="6697" builtinId="8" hidden="1"/>
    <cellStyle name="Hyperlink" xfId="6699" builtinId="8" hidden="1"/>
    <cellStyle name="Hyperlink" xfId="6701" builtinId="8" hidden="1"/>
    <cellStyle name="Hyperlink" xfId="6703" builtinId="8" hidden="1"/>
    <cellStyle name="Hyperlink" xfId="6705" builtinId="8" hidden="1"/>
    <cellStyle name="Hyperlink" xfId="6707" builtinId="8" hidden="1"/>
    <cellStyle name="Hyperlink" xfId="6709" builtinId="8" hidden="1"/>
    <cellStyle name="Hyperlink" xfId="6711" builtinId="8" hidden="1"/>
    <cellStyle name="Hyperlink" xfId="6713" builtinId="8" hidden="1"/>
    <cellStyle name="Hyperlink" xfId="6715" builtinId="8" hidden="1"/>
    <cellStyle name="Hyperlink" xfId="6717" builtinId="8" hidden="1"/>
    <cellStyle name="Hyperlink" xfId="6719" builtinId="8" hidden="1"/>
    <cellStyle name="Hyperlink" xfId="6721" builtinId="8" hidden="1"/>
    <cellStyle name="Hyperlink" xfId="6723" builtinId="8" hidden="1"/>
    <cellStyle name="Hyperlink" xfId="6725" builtinId="8" hidden="1"/>
    <cellStyle name="Hyperlink" xfId="6727" builtinId="8" hidden="1"/>
    <cellStyle name="Hyperlink" xfId="6729" builtinId="8" hidden="1"/>
    <cellStyle name="Hyperlink" xfId="6731" builtinId="8" hidden="1"/>
    <cellStyle name="Hyperlink" xfId="6733" builtinId="8" hidden="1"/>
    <cellStyle name="Hyperlink" xfId="6735" builtinId="8" hidden="1"/>
    <cellStyle name="Hyperlink" xfId="6737" builtinId="8" hidden="1"/>
    <cellStyle name="Hyperlink" xfId="6739" builtinId="8" hidden="1"/>
    <cellStyle name="Hyperlink" xfId="6741" builtinId="8" hidden="1"/>
    <cellStyle name="Hyperlink" xfId="6743" builtinId="8" hidden="1"/>
    <cellStyle name="Hyperlink" xfId="6745" builtinId="8" hidden="1"/>
    <cellStyle name="Hyperlink" xfId="6747" builtinId="8" hidden="1"/>
    <cellStyle name="Hyperlink" xfId="6749" builtinId="8" hidden="1"/>
    <cellStyle name="Hyperlink" xfId="6751" builtinId="8" hidden="1"/>
    <cellStyle name="Hyperlink" xfId="6753" builtinId="8" hidden="1"/>
    <cellStyle name="Hyperlink" xfId="6755" builtinId="8" hidden="1"/>
    <cellStyle name="Hyperlink" xfId="6757" builtinId="8" hidden="1"/>
    <cellStyle name="Hyperlink" xfId="6759" builtinId="8" hidden="1"/>
    <cellStyle name="Hyperlink" xfId="6761" builtinId="8" hidden="1"/>
    <cellStyle name="Hyperlink" xfId="6763" builtinId="8" hidden="1"/>
    <cellStyle name="Hyperlink" xfId="6765" builtinId="8" hidden="1"/>
    <cellStyle name="Hyperlink" xfId="6767" builtinId="8" hidden="1"/>
    <cellStyle name="Hyperlink" xfId="6769" builtinId="8" hidden="1"/>
    <cellStyle name="Hyperlink" xfId="6771" builtinId="8" hidden="1"/>
    <cellStyle name="Hyperlink" xfId="6773" builtinId="8" hidden="1"/>
    <cellStyle name="Hyperlink" xfId="6775" builtinId="8" hidden="1"/>
    <cellStyle name="Hyperlink" xfId="6777" builtinId="8" hidden="1"/>
    <cellStyle name="Hyperlink" xfId="6779" builtinId="8" hidden="1"/>
    <cellStyle name="Hyperlink" xfId="6781" builtinId="8" hidden="1"/>
    <cellStyle name="Hyperlink" xfId="6783" builtinId="8" hidden="1"/>
    <cellStyle name="Hyperlink" xfId="6785" builtinId="8" hidden="1"/>
    <cellStyle name="Hyperlink" xfId="6787" builtinId="8" hidden="1"/>
    <cellStyle name="Hyperlink" xfId="6789" builtinId="8" hidden="1"/>
    <cellStyle name="Hyperlink" xfId="6791" builtinId="8" hidden="1"/>
    <cellStyle name="Hyperlink" xfId="6793" builtinId="8" hidden="1"/>
    <cellStyle name="Hyperlink" xfId="6795" builtinId="8" hidden="1"/>
    <cellStyle name="Hyperlink" xfId="6797" builtinId="8" hidden="1"/>
    <cellStyle name="Hyperlink" xfId="6799" builtinId="8" hidden="1"/>
    <cellStyle name="Hyperlink" xfId="6801" builtinId="8" hidden="1"/>
    <cellStyle name="Hyperlink" xfId="6803" builtinId="8" hidden="1"/>
    <cellStyle name="Hyperlink" xfId="6805" builtinId="8" hidden="1"/>
    <cellStyle name="Hyperlink" xfId="6807" builtinId="8" hidden="1"/>
    <cellStyle name="Hyperlink" xfId="6809" builtinId="8" hidden="1"/>
    <cellStyle name="Hyperlink" xfId="6811" builtinId="8" hidden="1"/>
    <cellStyle name="Hyperlink" xfId="6813" builtinId="8" hidden="1"/>
    <cellStyle name="Hyperlink" xfId="6815" builtinId="8" hidden="1"/>
    <cellStyle name="Hyperlink" xfId="6817" builtinId="8" hidden="1"/>
    <cellStyle name="Hyperlink" xfId="6819" builtinId="8" hidden="1"/>
    <cellStyle name="Hyperlink" xfId="6821" builtinId="8" hidden="1"/>
    <cellStyle name="Hyperlink" xfId="6823" builtinId="8" hidden="1"/>
    <cellStyle name="Hyperlink" xfId="6825" builtinId="8" hidden="1"/>
    <cellStyle name="Hyperlink" xfId="6827" builtinId="8" hidden="1"/>
    <cellStyle name="Hyperlink" xfId="6829" builtinId="8" hidden="1"/>
    <cellStyle name="Hyperlink" xfId="6831" builtinId="8" hidden="1"/>
    <cellStyle name="Hyperlink" xfId="6833" builtinId="8" hidden="1"/>
    <cellStyle name="Hyperlink" xfId="6835" builtinId="8" hidden="1"/>
    <cellStyle name="Hyperlink" xfId="6837" builtinId="8" hidden="1"/>
    <cellStyle name="Hyperlink" xfId="6839" builtinId="8" hidden="1"/>
    <cellStyle name="Hyperlink" xfId="6841" builtinId="8" hidden="1"/>
    <cellStyle name="Hyperlink" xfId="6843" builtinId="8" hidden="1"/>
    <cellStyle name="Hyperlink" xfId="6845" builtinId="8" hidden="1"/>
    <cellStyle name="Hyperlink" xfId="6847" builtinId="8" hidden="1"/>
    <cellStyle name="Hyperlink" xfId="6849" builtinId="8" hidden="1"/>
    <cellStyle name="Hyperlink" xfId="6851" builtinId="8" hidden="1"/>
    <cellStyle name="Hyperlink" xfId="6853" builtinId="8" hidden="1"/>
    <cellStyle name="Hyperlink" xfId="6855" builtinId="8" hidden="1"/>
    <cellStyle name="Hyperlink" xfId="6857" builtinId="8" hidden="1"/>
    <cellStyle name="Hyperlink" xfId="6859" builtinId="8" hidden="1"/>
    <cellStyle name="Hyperlink" xfId="6861" builtinId="8" hidden="1"/>
    <cellStyle name="Hyperlink" xfId="6863" builtinId="8" hidden="1"/>
    <cellStyle name="Hyperlink" xfId="6865" builtinId="8" hidden="1"/>
    <cellStyle name="Hyperlink" xfId="6867" builtinId="8" hidden="1"/>
    <cellStyle name="Hyperlink" xfId="6869" builtinId="8" hidden="1"/>
    <cellStyle name="Hyperlink" xfId="6871" builtinId="8" hidden="1"/>
    <cellStyle name="Hyperlink" xfId="6873" builtinId="8" hidden="1"/>
    <cellStyle name="Hyperlink" xfId="6875" builtinId="8" hidden="1"/>
    <cellStyle name="Hyperlink" xfId="6877" builtinId="8" hidden="1"/>
    <cellStyle name="Normal" xfId="0" builtinId="0"/>
    <cellStyle name="Normal 18" xfId="355" xr:uid="{00000000-0005-0000-0000-0000D71A0000}"/>
    <cellStyle name="Normal 2" xfId="356" xr:uid="{00000000-0005-0000-0000-0000D81A0000}"/>
    <cellStyle name="Normál 2" xfId="357" xr:uid="{00000000-0005-0000-0000-0000D91A0000}"/>
    <cellStyle name="Normal 3" xfId="358" xr:uid="{00000000-0005-0000-0000-0000DA1A0000}"/>
    <cellStyle name="Normal_PSU-584 KennettOct31_13" xfId="4309" xr:uid="{00000000-0005-0000-0000-0000DB1A0000}"/>
    <cellStyle name="Normalny_Arkusz2" xfId="1186" xr:uid="{00000000-0005-0000-0000-0000DC1A0000}"/>
    <cellStyle name="Percent 2" xfId="1188" xr:uid="{00000000-0005-0000-0000-0000DD1A0000}"/>
    <cellStyle name="TableStyleLight1" xfId="359" xr:uid="{00000000-0005-0000-0000-0000DE1A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20"/>
  <sheetViews>
    <sheetView tabSelected="1" workbookViewId="0">
      <pane xSplit="2" ySplit="3" topLeftCell="C300" activePane="bottomRight" state="frozen"/>
      <selection pane="topRight" activeCell="C1" sqref="C1"/>
      <selection pane="bottomLeft" activeCell="A2" sqref="A2"/>
      <selection pane="bottomRight" activeCell="I1" sqref="I1"/>
    </sheetView>
  </sheetViews>
  <sheetFormatPr baseColWidth="10" defaultColWidth="11" defaultRowHeight="16" x14ac:dyDescent="0.2"/>
  <cols>
    <col min="1" max="4" width="15" style="12" customWidth="1"/>
    <col min="5" max="5" width="13.5" style="12" customWidth="1"/>
    <col min="6" max="6" width="30.5" style="12" customWidth="1"/>
    <col min="7" max="8" width="15" style="12" customWidth="1"/>
    <col min="9" max="9" width="8.5" style="12" customWidth="1"/>
    <col min="10" max="10" width="53.5" style="12" customWidth="1"/>
    <col min="11" max="11" width="4.5" style="12" customWidth="1"/>
    <col min="12" max="12" width="40.5" style="12" customWidth="1"/>
    <col min="13" max="13" width="49" style="12" customWidth="1"/>
    <col min="14" max="14" width="12.83203125" style="12" customWidth="1"/>
    <col min="15" max="15" width="42.6640625" style="12" customWidth="1"/>
    <col min="16" max="25" width="12.83203125" style="12" customWidth="1"/>
    <col min="26" max="30" width="15" style="12" customWidth="1"/>
    <col min="31" max="31" width="19.83203125" style="12" customWidth="1"/>
    <col min="32" max="32" width="38" style="12" customWidth="1"/>
    <col min="33" max="16384" width="11" style="3"/>
  </cols>
  <sheetData>
    <row r="1" spans="1:40" customFormat="1" x14ac:dyDescent="0.2">
      <c r="A1" s="159" t="s">
        <v>8184</v>
      </c>
    </row>
    <row r="3" spans="1:40" s="6" customFormat="1" ht="112" customHeight="1" x14ac:dyDescent="0.2">
      <c r="A3" s="7" t="s">
        <v>7153</v>
      </c>
      <c r="B3" s="7" t="s">
        <v>0</v>
      </c>
      <c r="C3" s="7" t="s">
        <v>2</v>
      </c>
      <c r="D3" s="7" t="s">
        <v>3</v>
      </c>
      <c r="E3" s="7" t="s">
        <v>4</v>
      </c>
      <c r="F3" s="7" t="s">
        <v>6611</v>
      </c>
      <c r="G3" s="7" t="s">
        <v>6610</v>
      </c>
      <c r="H3" s="7" t="s">
        <v>6630</v>
      </c>
      <c r="I3" s="7" t="s">
        <v>5</v>
      </c>
      <c r="J3" s="7" t="s">
        <v>6</v>
      </c>
      <c r="K3" s="7" t="s">
        <v>6685</v>
      </c>
      <c r="L3" s="7" t="s">
        <v>7674</v>
      </c>
      <c r="M3" s="7" t="s">
        <v>7675</v>
      </c>
      <c r="N3" s="7" t="s">
        <v>7145</v>
      </c>
      <c r="O3" s="7" t="s">
        <v>7</v>
      </c>
      <c r="P3" s="7" t="s">
        <v>9</v>
      </c>
      <c r="Q3" s="7" t="s">
        <v>6982</v>
      </c>
      <c r="R3" s="7" t="s">
        <v>6016</v>
      </c>
      <c r="S3" s="7" t="s">
        <v>6017</v>
      </c>
      <c r="T3" s="7" t="s">
        <v>1</v>
      </c>
      <c r="U3" s="7" t="s">
        <v>7152</v>
      </c>
      <c r="V3" s="7" t="s">
        <v>8121</v>
      </c>
      <c r="W3" s="7" t="s">
        <v>8122</v>
      </c>
      <c r="X3" s="7" t="s">
        <v>8020</v>
      </c>
      <c r="Y3" s="7" t="s">
        <v>8019</v>
      </c>
      <c r="Z3" s="7" t="s">
        <v>8174</v>
      </c>
      <c r="AA3" s="7" t="s">
        <v>8175</v>
      </c>
      <c r="AB3" s="7" t="s">
        <v>7793</v>
      </c>
      <c r="AC3" s="7" t="s">
        <v>7794</v>
      </c>
      <c r="AD3" s="7" t="s">
        <v>7795</v>
      </c>
      <c r="AE3" s="7" t="s">
        <v>8133</v>
      </c>
      <c r="AF3" s="7" t="s">
        <v>8090</v>
      </c>
      <c r="AL3" s="7"/>
      <c r="AM3" s="7"/>
      <c r="AN3" s="7"/>
    </row>
    <row r="4" spans="1:40" x14ac:dyDescent="0.2">
      <c r="A4" s="12" t="s">
        <v>1586</v>
      </c>
      <c r="B4" s="12" t="s">
        <v>7119</v>
      </c>
      <c r="C4" s="12" t="s">
        <v>1589</v>
      </c>
      <c r="D4" s="12" t="s">
        <v>13</v>
      </c>
      <c r="E4" s="12" t="s">
        <v>7678</v>
      </c>
      <c r="F4" s="12" t="s">
        <v>5460</v>
      </c>
      <c r="G4" s="12" t="s">
        <v>1587</v>
      </c>
      <c r="H4" s="12" t="s">
        <v>6614</v>
      </c>
      <c r="I4" s="12">
        <v>4472</v>
      </c>
      <c r="J4" s="12" t="s">
        <v>1590</v>
      </c>
      <c r="K4" s="12" t="s">
        <v>6657</v>
      </c>
      <c r="L4" s="12" t="s">
        <v>1588</v>
      </c>
      <c r="M4" s="12" t="s">
        <v>1588</v>
      </c>
      <c r="N4" s="12" t="s">
        <v>5785</v>
      </c>
      <c r="O4" s="12" t="s">
        <v>1591</v>
      </c>
      <c r="P4" s="12" t="s">
        <v>1592</v>
      </c>
      <c r="Q4" s="12" t="s">
        <v>6645</v>
      </c>
      <c r="R4" s="12">
        <v>6.7974949999999996</v>
      </c>
      <c r="S4" s="12">
        <v>38.207852000000003</v>
      </c>
      <c r="T4" s="12" t="s">
        <v>11</v>
      </c>
      <c r="U4" s="12" t="s">
        <v>1593</v>
      </c>
      <c r="V4" s="12" t="s">
        <v>5757</v>
      </c>
      <c r="W4" s="12" t="s">
        <v>7160</v>
      </c>
      <c r="X4" s="12">
        <v>11.289</v>
      </c>
      <c r="Y4" s="12">
        <v>1181617</v>
      </c>
      <c r="Z4" s="12" t="s">
        <v>17</v>
      </c>
      <c r="AA4" s="12" t="s">
        <v>17</v>
      </c>
      <c r="AB4" s="12" t="s">
        <v>17</v>
      </c>
      <c r="AC4" s="12" t="s">
        <v>144</v>
      </c>
      <c r="AD4" s="12" t="s">
        <v>17</v>
      </c>
      <c r="AE4" s="12" t="s">
        <v>17</v>
      </c>
      <c r="AF4" s="12" t="s">
        <v>1594</v>
      </c>
    </row>
    <row r="5" spans="1:40" x14ac:dyDescent="0.2">
      <c r="A5" s="12" t="s">
        <v>3006</v>
      </c>
      <c r="B5" s="12" t="s">
        <v>3007</v>
      </c>
      <c r="C5" s="12" t="s">
        <v>3007</v>
      </c>
      <c r="D5" s="12" t="s">
        <v>163</v>
      </c>
      <c r="E5" s="12" t="s">
        <v>7676</v>
      </c>
      <c r="F5" s="12" t="s">
        <v>5458</v>
      </c>
      <c r="G5" s="12" t="s">
        <v>1473</v>
      </c>
      <c r="H5" s="12" t="s">
        <v>6613</v>
      </c>
      <c r="I5" s="12">
        <v>0</v>
      </c>
      <c r="J5" s="12" t="s">
        <v>164</v>
      </c>
      <c r="K5" s="12" t="s">
        <v>6646</v>
      </c>
      <c r="L5" s="12" t="s">
        <v>3008</v>
      </c>
      <c r="M5" s="12" t="s">
        <v>3008</v>
      </c>
      <c r="N5" s="12" t="s">
        <v>5785</v>
      </c>
      <c r="O5" s="12" t="s">
        <v>17</v>
      </c>
      <c r="P5" s="12" t="s">
        <v>3009</v>
      </c>
      <c r="Q5" s="12" t="s">
        <v>6645</v>
      </c>
      <c r="R5" s="12">
        <v>1</v>
      </c>
      <c r="S5" s="12">
        <v>29</v>
      </c>
      <c r="T5" s="12" t="s">
        <v>11</v>
      </c>
      <c r="U5" s="12" t="s">
        <v>17</v>
      </c>
      <c r="V5" s="12" t="s">
        <v>3010</v>
      </c>
      <c r="W5" s="12" t="s">
        <v>7415</v>
      </c>
      <c r="X5" s="12">
        <v>39.590000000000003</v>
      </c>
      <c r="Y5" s="12">
        <v>1111710</v>
      </c>
      <c r="Z5" s="12" t="s">
        <v>6613</v>
      </c>
      <c r="AA5" s="12" t="s">
        <v>6613</v>
      </c>
      <c r="AB5" s="12" t="s">
        <v>6613</v>
      </c>
      <c r="AC5" s="12" t="s">
        <v>6613</v>
      </c>
      <c r="AD5" s="12" t="s">
        <v>6613</v>
      </c>
      <c r="AE5" s="12" t="s">
        <v>6613</v>
      </c>
      <c r="AF5" s="12" t="s">
        <v>45</v>
      </c>
    </row>
    <row r="6" spans="1:40" x14ac:dyDescent="0.2">
      <c r="A6" s="12" t="s">
        <v>3016</v>
      </c>
      <c r="B6" s="12" t="s">
        <v>3017</v>
      </c>
      <c r="C6" s="12" t="s">
        <v>3017</v>
      </c>
      <c r="D6" s="12" t="s">
        <v>163</v>
      </c>
      <c r="E6" s="12" t="s">
        <v>7676</v>
      </c>
      <c r="F6" s="12" t="s">
        <v>5458</v>
      </c>
      <c r="G6" s="12" t="s">
        <v>159</v>
      </c>
      <c r="H6" s="12" t="s">
        <v>6613</v>
      </c>
      <c r="I6" s="12">
        <v>0</v>
      </c>
      <c r="J6" s="12" t="s">
        <v>164</v>
      </c>
      <c r="K6" s="12" t="s">
        <v>6646</v>
      </c>
      <c r="L6" s="12" t="s">
        <v>3008</v>
      </c>
      <c r="M6" s="12" t="s">
        <v>3008</v>
      </c>
      <c r="N6" s="12" t="s">
        <v>5785</v>
      </c>
      <c r="O6" s="12" t="s">
        <v>17</v>
      </c>
      <c r="P6" s="12" t="s">
        <v>3009</v>
      </c>
      <c r="Q6" s="12" t="s">
        <v>6645</v>
      </c>
      <c r="R6" s="12">
        <v>1</v>
      </c>
      <c r="S6" s="12">
        <v>29</v>
      </c>
      <c r="T6" s="12" t="s">
        <v>11</v>
      </c>
      <c r="U6" s="12" t="s">
        <v>17</v>
      </c>
      <c r="V6" s="12" t="s">
        <v>3018</v>
      </c>
      <c r="W6" s="12" t="s">
        <v>7415</v>
      </c>
      <c r="X6" s="12">
        <v>41.77</v>
      </c>
      <c r="Y6" s="12">
        <v>1113571</v>
      </c>
      <c r="Z6" s="12" t="s">
        <v>6613</v>
      </c>
      <c r="AA6" s="12" t="s">
        <v>6613</v>
      </c>
      <c r="AB6" s="12" t="s">
        <v>6613</v>
      </c>
      <c r="AC6" s="12" t="s">
        <v>6613</v>
      </c>
      <c r="AD6" s="12" t="s">
        <v>6613</v>
      </c>
      <c r="AE6" s="12" t="s">
        <v>6613</v>
      </c>
      <c r="AF6" s="12" t="s">
        <v>45</v>
      </c>
    </row>
    <row r="7" spans="1:40" x14ac:dyDescent="0.2">
      <c r="A7" s="12" t="s">
        <v>3013</v>
      </c>
      <c r="B7" s="12" t="s">
        <v>3014</v>
      </c>
      <c r="C7" s="12" t="s">
        <v>3014</v>
      </c>
      <c r="D7" s="12" t="s">
        <v>163</v>
      </c>
      <c r="E7" s="12" t="s">
        <v>7676</v>
      </c>
      <c r="F7" s="12" t="s">
        <v>5458</v>
      </c>
      <c r="G7" s="12" t="s">
        <v>159</v>
      </c>
      <c r="H7" s="12" t="s">
        <v>6613</v>
      </c>
      <c r="I7" s="12">
        <v>0</v>
      </c>
      <c r="J7" s="12" t="s">
        <v>164</v>
      </c>
      <c r="K7" s="12" t="s">
        <v>6646</v>
      </c>
      <c r="L7" s="12" t="s">
        <v>3008</v>
      </c>
      <c r="M7" s="12" t="s">
        <v>3008</v>
      </c>
      <c r="N7" s="12" t="s">
        <v>5785</v>
      </c>
      <c r="O7" s="12" t="s">
        <v>17</v>
      </c>
      <c r="P7" s="12" t="s">
        <v>3009</v>
      </c>
      <c r="Q7" s="12" t="s">
        <v>6645</v>
      </c>
      <c r="R7" s="16">
        <v>1</v>
      </c>
      <c r="S7" s="16">
        <v>29</v>
      </c>
      <c r="T7" s="12" t="s">
        <v>11</v>
      </c>
      <c r="U7" s="12" t="s">
        <v>17</v>
      </c>
      <c r="V7" s="12" t="s">
        <v>3015</v>
      </c>
      <c r="W7" s="12" t="s">
        <v>7415</v>
      </c>
      <c r="X7" s="12">
        <v>38.78</v>
      </c>
      <c r="Y7" s="12">
        <v>1116564</v>
      </c>
      <c r="Z7" s="12" t="s">
        <v>6613</v>
      </c>
      <c r="AA7" s="12" t="s">
        <v>6613</v>
      </c>
      <c r="AB7" s="12" t="s">
        <v>6613</v>
      </c>
      <c r="AC7" s="12" t="s">
        <v>6613</v>
      </c>
      <c r="AD7" s="12" t="s">
        <v>6613</v>
      </c>
      <c r="AE7" s="12" t="s">
        <v>6613</v>
      </c>
      <c r="AF7" s="12" t="s">
        <v>45</v>
      </c>
    </row>
    <row r="8" spans="1:40" x14ac:dyDescent="0.2">
      <c r="A8" s="12" t="s">
        <v>3019</v>
      </c>
      <c r="B8" s="12" t="s">
        <v>3020</v>
      </c>
      <c r="C8" s="12" t="s">
        <v>3020</v>
      </c>
      <c r="D8" s="12" t="s">
        <v>163</v>
      </c>
      <c r="E8" s="12" t="s">
        <v>7676</v>
      </c>
      <c r="F8" s="12" t="s">
        <v>5458</v>
      </c>
      <c r="G8" s="12" t="s">
        <v>159</v>
      </c>
      <c r="H8" s="12" t="s">
        <v>6613</v>
      </c>
      <c r="I8" s="12">
        <v>0</v>
      </c>
      <c r="J8" s="12" t="s">
        <v>164</v>
      </c>
      <c r="K8" s="12" t="s">
        <v>6646</v>
      </c>
      <c r="L8" s="12" t="s">
        <v>3008</v>
      </c>
      <c r="M8" s="12" t="s">
        <v>3008</v>
      </c>
      <c r="N8" s="12" t="s">
        <v>5785</v>
      </c>
      <c r="O8" s="12" t="s">
        <v>17</v>
      </c>
      <c r="P8" s="12" t="s">
        <v>3009</v>
      </c>
      <c r="Q8" s="12" t="s">
        <v>6645</v>
      </c>
      <c r="R8" s="16">
        <v>1</v>
      </c>
      <c r="S8" s="16">
        <v>29</v>
      </c>
      <c r="T8" s="12" t="s">
        <v>25</v>
      </c>
      <c r="U8" s="12" t="s">
        <v>17</v>
      </c>
      <c r="V8" s="12" t="s">
        <v>6639</v>
      </c>
      <c r="W8" s="12" t="s">
        <v>6639</v>
      </c>
      <c r="X8" s="12">
        <v>38.299999999999997</v>
      </c>
      <c r="Y8" s="12">
        <v>1118300</v>
      </c>
      <c r="Z8" s="12" t="s">
        <v>6613</v>
      </c>
      <c r="AA8" s="12" t="s">
        <v>6613</v>
      </c>
      <c r="AB8" s="12" t="s">
        <v>6613</v>
      </c>
      <c r="AC8" s="12" t="s">
        <v>6613</v>
      </c>
      <c r="AD8" s="12" t="s">
        <v>6613</v>
      </c>
      <c r="AE8" s="12" t="s">
        <v>6613</v>
      </c>
      <c r="AF8" s="12" t="s">
        <v>45</v>
      </c>
    </row>
    <row r="9" spans="1:40" x14ac:dyDescent="0.2">
      <c r="A9" s="12" t="s">
        <v>3011</v>
      </c>
      <c r="B9" s="12" t="s">
        <v>3012</v>
      </c>
      <c r="C9" s="12" t="s">
        <v>3012</v>
      </c>
      <c r="D9" s="12" t="s">
        <v>163</v>
      </c>
      <c r="E9" s="12" t="s">
        <v>7676</v>
      </c>
      <c r="F9" s="12" t="s">
        <v>5458</v>
      </c>
      <c r="G9" s="12" t="s">
        <v>1478</v>
      </c>
      <c r="H9" s="12" t="s">
        <v>6613</v>
      </c>
      <c r="I9" s="12">
        <v>0</v>
      </c>
      <c r="J9" s="12" t="s">
        <v>164</v>
      </c>
      <c r="K9" s="12" t="s">
        <v>6646</v>
      </c>
      <c r="L9" s="12" t="s">
        <v>3008</v>
      </c>
      <c r="M9" s="12" t="s">
        <v>3008</v>
      </c>
      <c r="N9" s="12" t="s">
        <v>5785</v>
      </c>
      <c r="O9" s="12" t="s">
        <v>17</v>
      </c>
      <c r="P9" s="12" t="s">
        <v>3009</v>
      </c>
      <c r="Q9" s="12" t="s">
        <v>6645</v>
      </c>
      <c r="R9" s="16">
        <v>1</v>
      </c>
      <c r="S9" s="16">
        <v>29</v>
      </c>
      <c r="T9" s="12" t="s">
        <v>11</v>
      </c>
      <c r="U9" s="12" t="s">
        <v>17</v>
      </c>
      <c r="V9" s="12" t="s">
        <v>17</v>
      </c>
      <c r="W9" s="12" t="s">
        <v>17</v>
      </c>
      <c r="X9" s="12">
        <v>24.34</v>
      </c>
      <c r="Y9" s="12">
        <v>1149957</v>
      </c>
      <c r="Z9" s="12" t="s">
        <v>6613</v>
      </c>
      <c r="AA9" s="12" t="s">
        <v>6613</v>
      </c>
      <c r="AB9" s="12" t="s">
        <v>6613</v>
      </c>
      <c r="AC9" s="12" t="s">
        <v>6613</v>
      </c>
      <c r="AD9" s="12" t="s">
        <v>6613</v>
      </c>
      <c r="AE9" s="12" t="s">
        <v>6613</v>
      </c>
      <c r="AF9" s="12" t="s">
        <v>45</v>
      </c>
    </row>
    <row r="10" spans="1:40" x14ac:dyDescent="0.2">
      <c r="A10" s="12" t="s">
        <v>3879</v>
      </c>
      <c r="B10" s="12" t="s">
        <v>3880</v>
      </c>
      <c r="C10" s="12" t="s">
        <v>3881</v>
      </c>
      <c r="D10" s="12" t="s">
        <v>143</v>
      </c>
      <c r="E10" s="12" t="s">
        <v>7678</v>
      </c>
      <c r="F10" s="12" t="s">
        <v>5460</v>
      </c>
      <c r="G10" s="12" t="s">
        <v>222</v>
      </c>
      <c r="H10" s="12" t="s">
        <v>6614</v>
      </c>
      <c r="I10" s="12">
        <v>4331</v>
      </c>
      <c r="J10" s="12" t="s">
        <v>3882</v>
      </c>
      <c r="K10" s="12" t="s">
        <v>6648</v>
      </c>
      <c r="L10" s="12" t="s">
        <v>3871</v>
      </c>
      <c r="M10" s="12" t="s">
        <v>3871</v>
      </c>
      <c r="N10" s="12" t="s">
        <v>5785</v>
      </c>
      <c r="O10" s="12" t="s">
        <v>1541</v>
      </c>
      <c r="P10" s="12" t="s">
        <v>18</v>
      </c>
      <c r="Q10" s="12" t="s">
        <v>6647</v>
      </c>
      <c r="R10" s="12">
        <v>51.698332999999998</v>
      </c>
      <c r="S10" s="12">
        <v>103.703056</v>
      </c>
      <c r="T10" s="12" t="s">
        <v>11</v>
      </c>
      <c r="U10" s="12" t="s">
        <v>3883</v>
      </c>
      <c r="V10" s="12" t="s">
        <v>69</v>
      </c>
      <c r="W10" s="12" t="s">
        <v>7415</v>
      </c>
      <c r="X10" s="12">
        <v>1.1000000000000001</v>
      </c>
      <c r="Y10" s="12">
        <v>685820</v>
      </c>
      <c r="Z10" s="12" t="s">
        <v>17</v>
      </c>
      <c r="AA10" s="12" t="s">
        <v>17</v>
      </c>
      <c r="AB10" s="12" t="s">
        <v>17</v>
      </c>
      <c r="AC10" s="12" t="s">
        <v>144</v>
      </c>
      <c r="AD10" s="12" t="s">
        <v>17</v>
      </c>
      <c r="AE10" s="12" t="s">
        <v>17</v>
      </c>
      <c r="AF10" s="12" t="s">
        <v>45</v>
      </c>
    </row>
    <row r="11" spans="1:40" x14ac:dyDescent="0.2">
      <c r="A11" s="12" t="s">
        <v>3890</v>
      </c>
      <c r="B11" s="12" t="s">
        <v>3891</v>
      </c>
      <c r="C11" s="12" t="s">
        <v>3892</v>
      </c>
      <c r="D11" s="12" t="s">
        <v>143</v>
      </c>
      <c r="E11" s="12" t="s">
        <v>7678</v>
      </c>
      <c r="F11" s="12" t="s">
        <v>5458</v>
      </c>
      <c r="G11" s="12" t="s">
        <v>222</v>
      </c>
      <c r="H11" s="12" t="s">
        <v>6614</v>
      </c>
      <c r="I11" s="12">
        <v>4200</v>
      </c>
      <c r="J11" s="12" t="s">
        <v>2071</v>
      </c>
      <c r="K11" s="12" t="s">
        <v>6648</v>
      </c>
      <c r="L11" s="12" t="s">
        <v>3871</v>
      </c>
      <c r="M11" s="12" t="s">
        <v>3871</v>
      </c>
      <c r="N11" s="12" t="s">
        <v>5785</v>
      </c>
      <c r="O11" s="12" t="s">
        <v>1541</v>
      </c>
      <c r="P11" s="12" t="s">
        <v>18</v>
      </c>
      <c r="Q11" s="12" t="s">
        <v>6647</v>
      </c>
      <c r="R11" s="12">
        <v>51.698332999999998</v>
      </c>
      <c r="S11" s="12">
        <v>103.703056</v>
      </c>
      <c r="T11" s="12" t="s">
        <v>11</v>
      </c>
      <c r="U11" s="12" t="s">
        <v>3878</v>
      </c>
      <c r="V11" s="12" t="s">
        <v>2525</v>
      </c>
      <c r="W11" s="12" t="s">
        <v>7415</v>
      </c>
      <c r="X11" s="12">
        <v>0.4</v>
      </c>
      <c r="Y11" s="12">
        <v>338777</v>
      </c>
      <c r="Z11" s="12" t="s">
        <v>17</v>
      </c>
      <c r="AA11" s="12" t="s">
        <v>17</v>
      </c>
      <c r="AB11" s="12" t="s">
        <v>17</v>
      </c>
      <c r="AC11" s="12" t="s">
        <v>144</v>
      </c>
      <c r="AD11" s="12" t="s">
        <v>17</v>
      </c>
      <c r="AE11" s="12" t="s">
        <v>17</v>
      </c>
      <c r="AF11" s="12" t="s">
        <v>45</v>
      </c>
    </row>
    <row r="12" spans="1:40" x14ac:dyDescent="0.2">
      <c r="A12" s="12" t="s">
        <v>3884</v>
      </c>
      <c r="B12" s="12" t="s">
        <v>3885</v>
      </c>
      <c r="C12" s="12" t="s">
        <v>3886</v>
      </c>
      <c r="D12" s="12" t="s">
        <v>143</v>
      </c>
      <c r="E12" s="12" t="s">
        <v>7678</v>
      </c>
      <c r="F12" s="12" t="s">
        <v>5458</v>
      </c>
      <c r="G12" s="12" t="s">
        <v>222</v>
      </c>
      <c r="H12" s="12" t="s">
        <v>6614</v>
      </c>
      <c r="I12" s="12">
        <v>4200</v>
      </c>
      <c r="J12" s="12" t="s">
        <v>2071</v>
      </c>
      <c r="K12" s="12" t="s">
        <v>6648</v>
      </c>
      <c r="L12" s="12" t="s">
        <v>3871</v>
      </c>
      <c r="M12" s="12" t="s">
        <v>3871</v>
      </c>
      <c r="N12" s="12" t="s">
        <v>5785</v>
      </c>
      <c r="O12" s="12" t="s">
        <v>1541</v>
      </c>
      <c r="P12" s="12" t="s">
        <v>18</v>
      </c>
      <c r="Q12" s="12" t="s">
        <v>6647</v>
      </c>
      <c r="R12" s="12">
        <v>51.698332999999998</v>
      </c>
      <c r="S12" s="12">
        <v>103.703056</v>
      </c>
      <c r="T12" s="12" t="s">
        <v>11</v>
      </c>
      <c r="U12" s="12" t="s">
        <v>2506</v>
      </c>
      <c r="V12" s="12" t="s">
        <v>2525</v>
      </c>
      <c r="W12" s="12" t="s">
        <v>7415</v>
      </c>
      <c r="X12" s="12">
        <v>0.5</v>
      </c>
      <c r="Y12" s="12">
        <v>370400</v>
      </c>
      <c r="Z12" s="12" t="s">
        <v>17</v>
      </c>
      <c r="AA12" s="12" t="s">
        <v>17</v>
      </c>
      <c r="AB12" s="12" t="s">
        <v>17</v>
      </c>
      <c r="AC12" s="12" t="s">
        <v>144</v>
      </c>
      <c r="AD12" s="12" t="s">
        <v>17</v>
      </c>
      <c r="AE12" s="12" t="s">
        <v>17</v>
      </c>
      <c r="AF12" s="12" t="s">
        <v>45</v>
      </c>
    </row>
    <row r="13" spans="1:40" x14ac:dyDescent="0.2">
      <c r="A13" s="12" t="s">
        <v>3887</v>
      </c>
      <c r="B13" s="12" t="s">
        <v>3888</v>
      </c>
      <c r="C13" s="12" t="s">
        <v>3889</v>
      </c>
      <c r="D13" s="12" t="s">
        <v>143</v>
      </c>
      <c r="E13" s="12" t="s">
        <v>7678</v>
      </c>
      <c r="F13" s="12" t="s">
        <v>5458</v>
      </c>
      <c r="G13" s="12" t="s">
        <v>222</v>
      </c>
      <c r="H13" s="12" t="s">
        <v>6614</v>
      </c>
      <c r="I13" s="12">
        <v>4200</v>
      </c>
      <c r="J13" s="12" t="s">
        <v>2071</v>
      </c>
      <c r="K13" s="12" t="s">
        <v>6648</v>
      </c>
      <c r="L13" s="12" t="s">
        <v>3871</v>
      </c>
      <c r="M13" s="12" t="s">
        <v>3871</v>
      </c>
      <c r="N13" s="12" t="s">
        <v>5785</v>
      </c>
      <c r="O13" s="12" t="s">
        <v>1541</v>
      </c>
      <c r="P13" s="12" t="s">
        <v>18</v>
      </c>
      <c r="Q13" s="12" t="s">
        <v>6647</v>
      </c>
      <c r="R13" s="12">
        <v>51.698332999999998</v>
      </c>
      <c r="S13" s="12">
        <v>103.703056</v>
      </c>
      <c r="T13" s="12" t="s">
        <v>11</v>
      </c>
      <c r="U13" s="12" t="s">
        <v>3878</v>
      </c>
      <c r="V13" s="12" t="s">
        <v>2525</v>
      </c>
      <c r="W13" s="12" t="s">
        <v>7415</v>
      </c>
      <c r="X13" s="12">
        <v>0.7</v>
      </c>
      <c r="Y13" s="12">
        <v>483510</v>
      </c>
      <c r="Z13" s="12" t="s">
        <v>17</v>
      </c>
      <c r="AA13" s="12" t="s">
        <v>17</v>
      </c>
      <c r="AB13" s="12" t="s">
        <v>17</v>
      </c>
      <c r="AC13" s="12" t="s">
        <v>144</v>
      </c>
      <c r="AD13" s="12" t="s">
        <v>17</v>
      </c>
      <c r="AE13" s="12" t="s">
        <v>17</v>
      </c>
      <c r="AF13" s="12" t="s">
        <v>45</v>
      </c>
    </row>
    <row r="14" spans="1:40" x14ac:dyDescent="0.2">
      <c r="A14" s="12" t="s">
        <v>3874</v>
      </c>
      <c r="B14" s="12" t="s">
        <v>3875</v>
      </c>
      <c r="C14" s="12" t="s">
        <v>3876</v>
      </c>
      <c r="D14" s="12" t="s">
        <v>143</v>
      </c>
      <c r="E14" s="12" t="s">
        <v>7678</v>
      </c>
      <c r="F14" s="12" t="s">
        <v>5460</v>
      </c>
      <c r="G14" s="12" t="s">
        <v>222</v>
      </c>
      <c r="H14" s="12" t="s">
        <v>6614</v>
      </c>
      <c r="I14" s="12">
        <v>4121</v>
      </c>
      <c r="J14" s="12" t="s">
        <v>3877</v>
      </c>
      <c r="K14" s="12" t="s">
        <v>6648</v>
      </c>
      <c r="L14" s="12" t="s">
        <v>3871</v>
      </c>
      <c r="M14" s="12" t="s">
        <v>3871</v>
      </c>
      <c r="N14" s="12" t="s">
        <v>5785</v>
      </c>
      <c r="O14" s="12" t="s">
        <v>1541</v>
      </c>
      <c r="P14" s="12" t="s">
        <v>18</v>
      </c>
      <c r="Q14" s="12" t="s">
        <v>6647</v>
      </c>
      <c r="R14" s="12">
        <v>51.698332999999998</v>
      </c>
      <c r="S14" s="12">
        <v>103.703056</v>
      </c>
      <c r="T14" s="12" t="s">
        <v>11</v>
      </c>
      <c r="U14" s="12" t="s">
        <v>3878</v>
      </c>
      <c r="V14" s="12" t="s">
        <v>2525</v>
      </c>
      <c r="W14" s="12" t="s">
        <v>7415</v>
      </c>
      <c r="X14" s="12">
        <v>0.5</v>
      </c>
      <c r="Y14" s="12">
        <v>400753</v>
      </c>
      <c r="Z14" s="12" t="s">
        <v>17</v>
      </c>
      <c r="AA14" s="12" t="s">
        <v>17</v>
      </c>
      <c r="AB14" s="12" t="s">
        <v>17</v>
      </c>
      <c r="AC14" s="12" t="s">
        <v>144</v>
      </c>
      <c r="AD14" s="12" t="s">
        <v>17</v>
      </c>
      <c r="AE14" s="12" t="s">
        <v>17</v>
      </c>
      <c r="AF14" s="12" t="s">
        <v>45</v>
      </c>
    </row>
    <row r="15" spans="1:40" x14ac:dyDescent="0.2">
      <c r="A15" s="12" t="s">
        <v>3869</v>
      </c>
      <c r="B15" s="12" t="s">
        <v>3870</v>
      </c>
      <c r="C15" s="12" t="s">
        <v>3872</v>
      </c>
      <c r="D15" s="12" t="s">
        <v>143</v>
      </c>
      <c r="E15" s="12" t="s">
        <v>7678</v>
      </c>
      <c r="F15" s="12" t="s">
        <v>5460</v>
      </c>
      <c r="G15" s="12" t="s">
        <v>222</v>
      </c>
      <c r="H15" s="12" t="s">
        <v>6614</v>
      </c>
      <c r="I15" s="12">
        <v>4040</v>
      </c>
      <c r="J15" s="12" t="s">
        <v>3873</v>
      </c>
      <c r="K15" s="12" t="s">
        <v>6648</v>
      </c>
      <c r="L15" s="12" t="s">
        <v>3871</v>
      </c>
      <c r="M15" s="12" t="s">
        <v>3871</v>
      </c>
      <c r="N15" s="12" t="s">
        <v>5785</v>
      </c>
      <c r="O15" s="12" t="s">
        <v>1541</v>
      </c>
      <c r="P15" s="12" t="s">
        <v>18</v>
      </c>
      <c r="Q15" s="12" t="s">
        <v>6647</v>
      </c>
      <c r="R15" s="12">
        <v>51.698332999999998</v>
      </c>
      <c r="S15" s="12">
        <v>103.703056</v>
      </c>
      <c r="T15" s="12" t="s">
        <v>11</v>
      </c>
      <c r="U15" s="12" t="s">
        <v>1558</v>
      </c>
      <c r="V15" s="12" t="s">
        <v>2545</v>
      </c>
      <c r="W15" s="12" t="s">
        <v>7415</v>
      </c>
      <c r="X15" s="12">
        <v>0.3</v>
      </c>
      <c r="Y15" s="12">
        <v>254062</v>
      </c>
      <c r="Z15" s="12" t="s">
        <v>17</v>
      </c>
      <c r="AA15" s="12" t="s">
        <v>17</v>
      </c>
      <c r="AB15" s="12" t="s">
        <v>17</v>
      </c>
      <c r="AC15" s="12" t="s">
        <v>144</v>
      </c>
      <c r="AD15" s="12" t="s">
        <v>17</v>
      </c>
      <c r="AE15" s="12" t="s">
        <v>17</v>
      </c>
      <c r="AF15" s="12" t="s">
        <v>45</v>
      </c>
    </row>
    <row r="16" spans="1:40" x14ac:dyDescent="0.2">
      <c r="A16" s="12" t="s">
        <v>1582</v>
      </c>
      <c r="B16" s="12" t="s">
        <v>1583</v>
      </c>
      <c r="C16" s="12" t="s">
        <v>1584</v>
      </c>
      <c r="D16" s="12" t="s">
        <v>143</v>
      </c>
      <c r="E16" s="12" t="s">
        <v>7678</v>
      </c>
      <c r="F16" s="12" t="s">
        <v>5460</v>
      </c>
      <c r="G16" s="12" t="s">
        <v>222</v>
      </c>
      <c r="H16" s="12" t="s">
        <v>6614</v>
      </c>
      <c r="I16" s="12">
        <v>7941</v>
      </c>
      <c r="J16" s="12" t="s">
        <v>1585</v>
      </c>
      <c r="K16" s="12" t="s">
        <v>1573</v>
      </c>
      <c r="L16" s="12" t="s">
        <v>1538</v>
      </c>
      <c r="M16" s="12" t="s">
        <v>1537</v>
      </c>
      <c r="N16" s="12" t="s">
        <v>5785</v>
      </c>
      <c r="O16" s="12" t="s">
        <v>1541</v>
      </c>
      <c r="P16" s="12" t="s">
        <v>18</v>
      </c>
      <c r="Q16" s="12" t="s">
        <v>6647</v>
      </c>
      <c r="R16" s="12">
        <v>51.698332999999998</v>
      </c>
      <c r="S16" s="12">
        <v>103.703056</v>
      </c>
      <c r="T16" s="12" t="s">
        <v>11</v>
      </c>
      <c r="U16" s="12" t="s">
        <v>1558</v>
      </c>
      <c r="V16" s="12" t="s">
        <v>1153</v>
      </c>
      <c r="W16" s="12" t="s">
        <v>7415</v>
      </c>
      <c r="X16" s="12">
        <v>2.2000000000000002</v>
      </c>
      <c r="Y16" s="12">
        <v>951406</v>
      </c>
      <c r="Z16" s="12" t="s">
        <v>17</v>
      </c>
      <c r="AA16" s="12" t="s">
        <v>17</v>
      </c>
      <c r="AB16" s="12" t="s">
        <v>17</v>
      </c>
      <c r="AC16" s="12" t="s">
        <v>144</v>
      </c>
      <c r="AD16" s="12" t="s">
        <v>17</v>
      </c>
      <c r="AE16" s="12" t="s">
        <v>17</v>
      </c>
      <c r="AF16" s="12" t="s">
        <v>45</v>
      </c>
    </row>
    <row r="17" spans="1:32" x14ac:dyDescent="0.2">
      <c r="A17" s="12" t="s">
        <v>1578</v>
      </c>
      <c r="B17" s="12" t="s">
        <v>1579</v>
      </c>
      <c r="C17" s="12" t="s">
        <v>1580</v>
      </c>
      <c r="D17" s="12" t="s">
        <v>143</v>
      </c>
      <c r="E17" s="12" t="s">
        <v>7678</v>
      </c>
      <c r="F17" s="12" t="s">
        <v>5460</v>
      </c>
      <c r="G17" s="12" t="s">
        <v>222</v>
      </c>
      <c r="H17" s="12" t="s">
        <v>6614</v>
      </c>
      <c r="I17" s="12">
        <v>7840</v>
      </c>
      <c r="J17" s="12" t="s">
        <v>1581</v>
      </c>
      <c r="K17" s="12" t="s">
        <v>1573</v>
      </c>
      <c r="L17" s="12" t="s">
        <v>1538</v>
      </c>
      <c r="M17" s="12" t="s">
        <v>1537</v>
      </c>
      <c r="N17" s="12" t="s">
        <v>5785</v>
      </c>
      <c r="O17" s="12" t="s">
        <v>1541</v>
      </c>
      <c r="P17" s="12" t="s">
        <v>18</v>
      </c>
      <c r="Q17" s="12" t="s">
        <v>6647</v>
      </c>
      <c r="R17" s="12">
        <v>51.698332999999998</v>
      </c>
      <c r="S17" s="12">
        <v>103.703056</v>
      </c>
      <c r="T17" s="12" t="s">
        <v>25</v>
      </c>
      <c r="U17" s="12" t="s">
        <v>1568</v>
      </c>
      <c r="V17" s="12" t="s">
        <v>6639</v>
      </c>
      <c r="W17" s="12" t="s">
        <v>6639</v>
      </c>
      <c r="X17" s="12">
        <v>4.5</v>
      </c>
      <c r="Y17" s="12">
        <v>1113894</v>
      </c>
      <c r="Z17" s="12" t="s">
        <v>6639</v>
      </c>
      <c r="AA17" s="12" t="s">
        <v>6639</v>
      </c>
      <c r="AB17" s="12" t="s">
        <v>17</v>
      </c>
      <c r="AC17" s="12" t="s">
        <v>144</v>
      </c>
      <c r="AD17" s="12" t="s">
        <v>17</v>
      </c>
      <c r="AE17" s="12" t="s">
        <v>17</v>
      </c>
      <c r="AF17" s="12" t="s">
        <v>45</v>
      </c>
    </row>
    <row r="18" spans="1:32" x14ac:dyDescent="0.2">
      <c r="A18" s="12" t="s">
        <v>1574</v>
      </c>
      <c r="B18" s="12" t="s">
        <v>1575</v>
      </c>
      <c r="C18" s="12" t="s">
        <v>1576</v>
      </c>
      <c r="D18" s="12" t="s">
        <v>143</v>
      </c>
      <c r="E18" s="12" t="s">
        <v>7678</v>
      </c>
      <c r="F18" s="12" t="s">
        <v>5460</v>
      </c>
      <c r="G18" s="12" t="s">
        <v>222</v>
      </c>
      <c r="H18" s="12" t="s">
        <v>6614</v>
      </c>
      <c r="I18" s="12">
        <v>7727</v>
      </c>
      <c r="J18" s="12" t="s">
        <v>1577</v>
      </c>
      <c r="K18" s="12" t="s">
        <v>1573</v>
      </c>
      <c r="L18" s="12" t="s">
        <v>1538</v>
      </c>
      <c r="M18" s="12" t="s">
        <v>1537</v>
      </c>
      <c r="N18" s="12" t="s">
        <v>5785</v>
      </c>
      <c r="O18" s="12" t="s">
        <v>1541</v>
      </c>
      <c r="P18" s="12" t="s">
        <v>18</v>
      </c>
      <c r="Q18" s="12" t="s">
        <v>6647</v>
      </c>
      <c r="R18" s="12">
        <v>51.698332999999998</v>
      </c>
      <c r="S18" s="12">
        <v>103.703056</v>
      </c>
      <c r="T18" s="12" t="s">
        <v>25</v>
      </c>
      <c r="U18" s="12" t="s">
        <v>1542</v>
      </c>
      <c r="V18" s="12" t="s">
        <v>6639</v>
      </c>
      <c r="W18" s="12" t="s">
        <v>6639</v>
      </c>
      <c r="X18" s="12">
        <v>2.9</v>
      </c>
      <c r="Y18" s="12">
        <v>1020382</v>
      </c>
      <c r="Z18" s="12" t="s">
        <v>6639</v>
      </c>
      <c r="AA18" s="12" t="s">
        <v>6639</v>
      </c>
      <c r="AB18" s="12" t="s">
        <v>17</v>
      </c>
      <c r="AC18" s="12" t="s">
        <v>144</v>
      </c>
      <c r="AD18" s="12" t="s">
        <v>17</v>
      </c>
      <c r="AE18" s="12" t="s">
        <v>17</v>
      </c>
      <c r="AF18" s="12" t="s">
        <v>45</v>
      </c>
    </row>
    <row r="19" spans="1:32" x14ac:dyDescent="0.2">
      <c r="A19" s="12" t="s">
        <v>1569</v>
      </c>
      <c r="B19" s="12" t="s">
        <v>1570</v>
      </c>
      <c r="C19" s="12" t="s">
        <v>1571</v>
      </c>
      <c r="D19" s="12" t="s">
        <v>143</v>
      </c>
      <c r="E19" s="12" t="s">
        <v>7678</v>
      </c>
      <c r="F19" s="12" t="s">
        <v>5460</v>
      </c>
      <c r="G19" s="12" t="s">
        <v>222</v>
      </c>
      <c r="H19" s="12" t="s">
        <v>6614</v>
      </c>
      <c r="I19" s="12">
        <v>7701</v>
      </c>
      <c r="J19" s="12" t="s">
        <v>1572</v>
      </c>
      <c r="K19" s="12" t="s">
        <v>1573</v>
      </c>
      <c r="L19" s="12" t="s">
        <v>1538</v>
      </c>
      <c r="M19" s="12" t="s">
        <v>1537</v>
      </c>
      <c r="N19" s="12" t="s">
        <v>5785</v>
      </c>
      <c r="O19" s="12" t="s">
        <v>1541</v>
      </c>
      <c r="P19" s="12" t="s">
        <v>18</v>
      </c>
      <c r="Q19" s="12" t="s">
        <v>6647</v>
      </c>
      <c r="R19" s="12">
        <v>51.698332999999998</v>
      </c>
      <c r="S19" s="12">
        <v>103.703056</v>
      </c>
      <c r="T19" s="12" t="s">
        <v>11</v>
      </c>
      <c r="U19" s="12" t="s">
        <v>1568</v>
      </c>
      <c r="V19" s="12" t="s">
        <v>1573</v>
      </c>
      <c r="W19" s="12" t="s">
        <v>7415</v>
      </c>
      <c r="X19" s="12">
        <v>2.4</v>
      </c>
      <c r="Y19" s="12">
        <v>993217</v>
      </c>
      <c r="Z19" s="12" t="s">
        <v>17</v>
      </c>
      <c r="AA19" s="12" t="s">
        <v>17</v>
      </c>
      <c r="AB19" s="12" t="s">
        <v>17</v>
      </c>
      <c r="AC19" s="12" t="s">
        <v>144</v>
      </c>
      <c r="AD19" s="12" t="s">
        <v>17</v>
      </c>
      <c r="AE19" s="12" t="s">
        <v>17</v>
      </c>
      <c r="AF19" s="12" t="s">
        <v>45</v>
      </c>
    </row>
    <row r="20" spans="1:32" x14ac:dyDescent="0.2">
      <c r="A20" s="12" t="s">
        <v>1564</v>
      </c>
      <c r="B20" s="12" t="s">
        <v>1565</v>
      </c>
      <c r="C20" s="12" t="s">
        <v>1566</v>
      </c>
      <c r="D20" s="12" t="s">
        <v>143</v>
      </c>
      <c r="E20" s="12" t="s">
        <v>7678</v>
      </c>
      <c r="F20" s="12" t="s">
        <v>5460</v>
      </c>
      <c r="G20" s="12" t="s">
        <v>222</v>
      </c>
      <c r="H20" s="12" t="s">
        <v>6614</v>
      </c>
      <c r="I20" s="12">
        <v>7645</v>
      </c>
      <c r="J20" s="12" t="s">
        <v>1567</v>
      </c>
      <c r="K20" s="12" t="s">
        <v>1573</v>
      </c>
      <c r="L20" s="12" t="s">
        <v>1538</v>
      </c>
      <c r="M20" s="12" t="s">
        <v>1537</v>
      </c>
      <c r="N20" s="12" t="s">
        <v>5785</v>
      </c>
      <c r="O20" s="12" t="s">
        <v>1541</v>
      </c>
      <c r="P20" s="12" t="s">
        <v>18</v>
      </c>
      <c r="Q20" s="12" t="s">
        <v>6647</v>
      </c>
      <c r="R20" s="12">
        <v>51.698332999999998</v>
      </c>
      <c r="S20" s="12">
        <v>103.703056</v>
      </c>
      <c r="T20" s="12" t="s">
        <v>11</v>
      </c>
      <c r="U20" s="12" t="s">
        <v>1568</v>
      </c>
      <c r="V20" s="12" t="s">
        <v>1153</v>
      </c>
      <c r="W20" s="12" t="s">
        <v>7415</v>
      </c>
      <c r="X20" s="12">
        <v>2.2999999999999998</v>
      </c>
      <c r="Y20" s="12">
        <v>980937</v>
      </c>
      <c r="Z20" s="12" t="s">
        <v>17</v>
      </c>
      <c r="AA20" s="12" t="s">
        <v>17</v>
      </c>
      <c r="AB20" s="12" t="s">
        <v>17</v>
      </c>
      <c r="AC20" s="12" t="s">
        <v>144</v>
      </c>
      <c r="AD20" s="12" t="s">
        <v>17</v>
      </c>
      <c r="AE20" s="12" t="s">
        <v>17</v>
      </c>
      <c r="AF20" s="12" t="s">
        <v>45</v>
      </c>
    </row>
    <row r="21" spans="1:32" x14ac:dyDescent="0.2">
      <c r="A21" s="12" t="s">
        <v>1559</v>
      </c>
      <c r="B21" s="12" t="s">
        <v>1560</v>
      </c>
      <c r="C21" s="12" t="s">
        <v>1561</v>
      </c>
      <c r="D21" s="12" t="s">
        <v>143</v>
      </c>
      <c r="E21" s="12" t="s">
        <v>7678</v>
      </c>
      <c r="F21" s="12" t="s">
        <v>5460</v>
      </c>
      <c r="G21" s="12" t="s">
        <v>222</v>
      </c>
      <c r="H21" s="12" t="s">
        <v>6614</v>
      </c>
      <c r="I21" s="12">
        <v>7392</v>
      </c>
      <c r="J21" s="12" t="s">
        <v>1562</v>
      </c>
      <c r="K21" s="12" t="s">
        <v>1573</v>
      </c>
      <c r="L21" s="12" t="s">
        <v>1538</v>
      </c>
      <c r="M21" s="12" t="s">
        <v>1537</v>
      </c>
      <c r="N21" s="12" t="s">
        <v>5785</v>
      </c>
      <c r="O21" s="12" t="s">
        <v>1541</v>
      </c>
      <c r="P21" s="12" t="s">
        <v>18</v>
      </c>
      <c r="Q21" s="12" t="s">
        <v>6647</v>
      </c>
      <c r="R21" s="12">
        <v>51.698332999999998</v>
      </c>
      <c r="S21" s="12">
        <v>103.703056</v>
      </c>
      <c r="T21" s="12" t="s">
        <v>11</v>
      </c>
      <c r="U21" s="12" t="s">
        <v>1558</v>
      </c>
      <c r="V21" s="12" t="s">
        <v>1563</v>
      </c>
      <c r="W21" s="12" t="s">
        <v>7415</v>
      </c>
      <c r="X21" s="12">
        <v>0.9</v>
      </c>
      <c r="Y21" s="12">
        <v>586546</v>
      </c>
      <c r="Z21" s="12" t="s">
        <v>17</v>
      </c>
      <c r="AA21" s="12" t="s">
        <v>17</v>
      </c>
      <c r="AB21" s="12" t="s">
        <v>17</v>
      </c>
      <c r="AC21" s="12" t="s">
        <v>144</v>
      </c>
      <c r="AD21" s="12" t="s">
        <v>17</v>
      </c>
      <c r="AE21" s="12" t="s">
        <v>17</v>
      </c>
      <c r="AF21" s="12" t="s">
        <v>45</v>
      </c>
    </row>
    <row r="22" spans="1:32" x14ac:dyDescent="0.2">
      <c r="A22" s="12" t="s">
        <v>1554</v>
      </c>
      <c r="B22" s="12" t="s">
        <v>1555</v>
      </c>
      <c r="C22" s="12" t="s">
        <v>1556</v>
      </c>
      <c r="D22" s="12" t="s">
        <v>143</v>
      </c>
      <c r="E22" s="12" t="s">
        <v>7678</v>
      </c>
      <c r="F22" s="12" t="s">
        <v>5460</v>
      </c>
      <c r="G22" s="12" t="s">
        <v>222</v>
      </c>
      <c r="H22" s="12" t="s">
        <v>6614</v>
      </c>
      <c r="I22" s="12">
        <v>7341</v>
      </c>
      <c r="J22" s="12" t="s">
        <v>1557</v>
      </c>
      <c r="K22" s="12" t="s">
        <v>1573</v>
      </c>
      <c r="L22" s="12" t="s">
        <v>1538</v>
      </c>
      <c r="M22" s="12" t="s">
        <v>1537</v>
      </c>
      <c r="N22" s="12" t="s">
        <v>5785</v>
      </c>
      <c r="O22" s="12" t="s">
        <v>1541</v>
      </c>
      <c r="P22" s="12" t="s">
        <v>18</v>
      </c>
      <c r="Q22" s="12" t="s">
        <v>6647</v>
      </c>
      <c r="R22" s="12">
        <v>51.698332999999998</v>
      </c>
      <c r="S22" s="12">
        <v>103.703056</v>
      </c>
      <c r="T22" s="12" t="s">
        <v>25</v>
      </c>
      <c r="U22" s="12" t="s">
        <v>1558</v>
      </c>
      <c r="V22" s="12" t="s">
        <v>6639</v>
      </c>
      <c r="W22" s="12" t="s">
        <v>6639</v>
      </c>
      <c r="X22" s="12">
        <v>2.4</v>
      </c>
      <c r="Y22" s="12">
        <v>967308</v>
      </c>
      <c r="Z22" s="12" t="s">
        <v>6639</v>
      </c>
      <c r="AA22" s="12" t="s">
        <v>6639</v>
      </c>
      <c r="AB22" s="12" t="s">
        <v>17</v>
      </c>
      <c r="AC22" s="12" t="s">
        <v>144</v>
      </c>
      <c r="AD22" s="12" t="s">
        <v>17</v>
      </c>
      <c r="AE22" s="12" t="s">
        <v>17</v>
      </c>
      <c r="AF22" s="12" t="s">
        <v>45</v>
      </c>
    </row>
    <row r="23" spans="1:32" x14ac:dyDescent="0.2">
      <c r="A23" s="12" t="s">
        <v>1548</v>
      </c>
      <c r="B23" s="12" t="s">
        <v>1549</v>
      </c>
      <c r="C23" s="12" t="s">
        <v>1550</v>
      </c>
      <c r="D23" s="12" t="s">
        <v>143</v>
      </c>
      <c r="E23" s="12" t="s">
        <v>7678</v>
      </c>
      <c r="F23" s="12" t="s">
        <v>5460</v>
      </c>
      <c r="G23" s="12" t="s">
        <v>222</v>
      </c>
      <c r="H23" s="12" t="s">
        <v>6614</v>
      </c>
      <c r="I23" s="12">
        <v>7336</v>
      </c>
      <c r="J23" s="12" t="s">
        <v>1551</v>
      </c>
      <c r="K23" s="12" t="s">
        <v>1573</v>
      </c>
      <c r="L23" s="12" t="s">
        <v>1538</v>
      </c>
      <c r="M23" s="12" t="s">
        <v>1537</v>
      </c>
      <c r="N23" s="12" t="s">
        <v>5785</v>
      </c>
      <c r="O23" s="12" t="s">
        <v>1541</v>
      </c>
      <c r="P23" s="12" t="s">
        <v>18</v>
      </c>
      <c r="Q23" s="12" t="s">
        <v>6647</v>
      </c>
      <c r="R23" s="12">
        <v>51.698332999999998</v>
      </c>
      <c r="S23" s="12">
        <v>103.703056</v>
      </c>
      <c r="T23" s="12" t="s">
        <v>11</v>
      </c>
      <c r="U23" s="12" t="s">
        <v>1552</v>
      </c>
      <c r="V23" s="12" t="s">
        <v>1553</v>
      </c>
      <c r="W23" s="12" t="s">
        <v>7415</v>
      </c>
      <c r="X23" s="12">
        <v>0.6</v>
      </c>
      <c r="Y23" s="12">
        <v>427597</v>
      </c>
      <c r="Z23" s="12" t="s">
        <v>17</v>
      </c>
      <c r="AA23" s="12" t="s">
        <v>17</v>
      </c>
      <c r="AB23" s="12" t="s">
        <v>17</v>
      </c>
      <c r="AC23" s="12" t="s">
        <v>144</v>
      </c>
      <c r="AD23" s="12" t="s">
        <v>17</v>
      </c>
      <c r="AE23" s="12" t="s">
        <v>17</v>
      </c>
      <c r="AF23" s="12" t="s">
        <v>45</v>
      </c>
    </row>
    <row r="24" spans="1:32" x14ac:dyDescent="0.2">
      <c r="A24" s="12" t="s">
        <v>1543</v>
      </c>
      <c r="B24" s="12" t="s">
        <v>1544</v>
      </c>
      <c r="C24" s="12" t="s">
        <v>1545</v>
      </c>
      <c r="D24" s="12" t="s">
        <v>143</v>
      </c>
      <c r="E24" s="12" t="s">
        <v>7678</v>
      </c>
      <c r="F24" s="12" t="s">
        <v>5460</v>
      </c>
      <c r="G24" s="12" t="s">
        <v>222</v>
      </c>
      <c r="H24" s="12" t="s">
        <v>6614</v>
      </c>
      <c r="I24" s="12">
        <v>7246</v>
      </c>
      <c r="J24" s="12" t="s">
        <v>1546</v>
      </c>
      <c r="K24" s="12" t="s">
        <v>1573</v>
      </c>
      <c r="L24" s="12" t="s">
        <v>1538</v>
      </c>
      <c r="M24" s="12" t="s">
        <v>1537</v>
      </c>
      <c r="N24" s="12" t="s">
        <v>5785</v>
      </c>
      <c r="O24" s="12" t="s">
        <v>1541</v>
      </c>
      <c r="P24" s="12" t="s">
        <v>18</v>
      </c>
      <c r="Q24" s="12" t="s">
        <v>6647</v>
      </c>
      <c r="R24" s="12">
        <v>51.698332999999998</v>
      </c>
      <c r="S24" s="12">
        <v>103.703056</v>
      </c>
      <c r="T24" s="12" t="s">
        <v>25</v>
      </c>
      <c r="U24" s="12" t="s">
        <v>1547</v>
      </c>
      <c r="V24" s="12" t="s">
        <v>6639</v>
      </c>
      <c r="W24" s="12" t="s">
        <v>6639</v>
      </c>
      <c r="X24" s="12">
        <v>2.7</v>
      </c>
      <c r="Y24" s="12">
        <v>997054</v>
      </c>
      <c r="Z24" s="12" t="s">
        <v>6639</v>
      </c>
      <c r="AA24" s="12" t="s">
        <v>6639</v>
      </c>
      <c r="AB24" s="12" t="s">
        <v>17</v>
      </c>
      <c r="AC24" s="12" t="s">
        <v>144</v>
      </c>
      <c r="AD24" s="12" t="s">
        <v>17</v>
      </c>
      <c r="AE24" s="12" t="s">
        <v>17</v>
      </c>
      <c r="AF24" s="12" t="s">
        <v>45</v>
      </c>
    </row>
    <row r="25" spans="1:32" x14ac:dyDescent="0.2">
      <c r="A25" s="12" t="s">
        <v>1535</v>
      </c>
      <c r="B25" s="12" t="s">
        <v>1536</v>
      </c>
      <c r="C25" s="12" t="s">
        <v>1539</v>
      </c>
      <c r="D25" s="12" t="s">
        <v>143</v>
      </c>
      <c r="E25" s="12" t="s">
        <v>7678</v>
      </c>
      <c r="F25" s="12" t="s">
        <v>5460</v>
      </c>
      <c r="G25" s="12" t="s">
        <v>222</v>
      </c>
      <c r="H25" s="12" t="s">
        <v>6614</v>
      </c>
      <c r="I25" s="12">
        <v>7242</v>
      </c>
      <c r="J25" s="12" t="s">
        <v>1540</v>
      </c>
      <c r="K25" s="12" t="s">
        <v>1573</v>
      </c>
      <c r="L25" s="12" t="s">
        <v>1538</v>
      </c>
      <c r="M25" s="12" t="s">
        <v>1537</v>
      </c>
      <c r="N25" s="12" t="s">
        <v>5785</v>
      </c>
      <c r="O25" s="12" t="s">
        <v>1541</v>
      </c>
      <c r="P25" s="12" t="s">
        <v>18</v>
      </c>
      <c r="Q25" s="12" t="s">
        <v>6647</v>
      </c>
      <c r="R25" s="12">
        <v>51.698332999999998</v>
      </c>
      <c r="S25" s="12">
        <v>103.703056</v>
      </c>
      <c r="T25" s="12" t="s">
        <v>11</v>
      </c>
      <c r="U25" s="12" t="s">
        <v>1542</v>
      </c>
      <c r="V25" s="12" t="s">
        <v>1153</v>
      </c>
      <c r="W25" s="12" t="s">
        <v>7415</v>
      </c>
      <c r="X25" s="12">
        <v>1.1000000000000001</v>
      </c>
      <c r="Y25" s="12">
        <v>656345</v>
      </c>
      <c r="Z25" s="12" t="s">
        <v>17</v>
      </c>
      <c r="AA25" s="12" t="s">
        <v>17</v>
      </c>
      <c r="AB25" s="12" t="s">
        <v>17</v>
      </c>
      <c r="AC25" s="12" t="s">
        <v>144</v>
      </c>
      <c r="AD25" s="12" t="s">
        <v>17</v>
      </c>
      <c r="AE25" s="12" t="s">
        <v>17</v>
      </c>
      <c r="AF25" s="12" t="s">
        <v>45</v>
      </c>
    </row>
    <row r="26" spans="1:32" x14ac:dyDescent="0.2">
      <c r="A26" s="12" t="s">
        <v>189</v>
      </c>
      <c r="B26" s="12" t="s">
        <v>190</v>
      </c>
      <c r="C26" s="12" t="s">
        <v>190</v>
      </c>
      <c r="D26" s="12" t="s">
        <v>163</v>
      </c>
      <c r="E26" s="12" t="s">
        <v>7676</v>
      </c>
      <c r="F26" s="12" t="s">
        <v>5458</v>
      </c>
      <c r="G26" s="12" t="s">
        <v>159</v>
      </c>
      <c r="H26" s="12" t="s">
        <v>6613</v>
      </c>
      <c r="I26" s="12">
        <v>0</v>
      </c>
      <c r="J26" s="12" t="s">
        <v>164</v>
      </c>
      <c r="K26" s="12" t="s">
        <v>6646</v>
      </c>
      <c r="L26" s="12" t="s">
        <v>186</v>
      </c>
      <c r="M26" s="12" t="s">
        <v>186</v>
      </c>
      <c r="N26" s="12" t="s">
        <v>5785</v>
      </c>
      <c r="O26" s="12" t="s">
        <v>17</v>
      </c>
      <c r="P26" s="12" t="s">
        <v>187</v>
      </c>
      <c r="Q26" s="12" t="s">
        <v>6647</v>
      </c>
      <c r="R26" s="12">
        <v>22.843145</v>
      </c>
      <c r="S26" s="12">
        <v>121.185356</v>
      </c>
      <c r="T26" s="12" t="s">
        <v>11</v>
      </c>
      <c r="U26" s="12" t="s">
        <v>17</v>
      </c>
      <c r="V26" s="12" t="s">
        <v>188</v>
      </c>
      <c r="W26" s="12" t="s">
        <v>7415</v>
      </c>
      <c r="X26" s="12">
        <v>46.3</v>
      </c>
      <c r="Y26" s="12">
        <v>1119335</v>
      </c>
      <c r="Z26" s="12" t="s">
        <v>6613</v>
      </c>
      <c r="AA26" s="12" t="s">
        <v>6613</v>
      </c>
      <c r="AB26" s="12" t="s">
        <v>6613</v>
      </c>
      <c r="AC26" s="12" t="s">
        <v>6613</v>
      </c>
      <c r="AD26" s="12" t="s">
        <v>6613</v>
      </c>
      <c r="AE26" s="12" t="s">
        <v>6613</v>
      </c>
      <c r="AF26" s="12" t="s">
        <v>45</v>
      </c>
    </row>
    <row r="27" spans="1:32" x14ac:dyDescent="0.2">
      <c r="A27" s="12" t="s">
        <v>184</v>
      </c>
      <c r="B27" s="12" t="s">
        <v>185</v>
      </c>
      <c r="C27" s="12" t="s">
        <v>185</v>
      </c>
      <c r="D27" s="12" t="s">
        <v>163</v>
      </c>
      <c r="E27" s="12" t="s">
        <v>7676</v>
      </c>
      <c r="F27" s="12" t="s">
        <v>5458</v>
      </c>
      <c r="G27" s="12" t="s">
        <v>159</v>
      </c>
      <c r="H27" s="12" t="s">
        <v>6613</v>
      </c>
      <c r="I27" s="12">
        <v>0</v>
      </c>
      <c r="J27" s="12" t="s">
        <v>164</v>
      </c>
      <c r="K27" s="12" t="s">
        <v>6646</v>
      </c>
      <c r="L27" s="12" t="s">
        <v>186</v>
      </c>
      <c r="M27" s="12" t="s">
        <v>186</v>
      </c>
      <c r="N27" s="12" t="s">
        <v>5785</v>
      </c>
      <c r="O27" s="12" t="s">
        <v>17</v>
      </c>
      <c r="P27" s="12" t="s">
        <v>187</v>
      </c>
      <c r="Q27" s="12" t="s">
        <v>6647</v>
      </c>
      <c r="R27" s="12">
        <v>22.843145</v>
      </c>
      <c r="S27" s="12">
        <v>121.185356</v>
      </c>
      <c r="T27" s="12" t="s">
        <v>11</v>
      </c>
      <c r="U27" s="12" t="s">
        <v>17</v>
      </c>
      <c r="V27" s="12" t="s">
        <v>188</v>
      </c>
      <c r="W27" s="12" t="s">
        <v>7415</v>
      </c>
      <c r="X27" s="12">
        <v>36.74</v>
      </c>
      <c r="Y27" s="12">
        <v>1119534</v>
      </c>
      <c r="Z27" s="12" t="s">
        <v>6613</v>
      </c>
      <c r="AA27" s="12" t="s">
        <v>6613</v>
      </c>
      <c r="AB27" s="12" t="s">
        <v>6613</v>
      </c>
      <c r="AC27" s="12" t="s">
        <v>6613</v>
      </c>
      <c r="AD27" s="12" t="s">
        <v>6613</v>
      </c>
      <c r="AE27" s="12" t="s">
        <v>6613</v>
      </c>
      <c r="AF27" s="12" t="s">
        <v>45</v>
      </c>
    </row>
    <row r="28" spans="1:32" x14ac:dyDescent="0.2">
      <c r="A28" s="12" t="s">
        <v>504</v>
      </c>
      <c r="B28" s="12" t="s">
        <v>505</v>
      </c>
      <c r="C28" s="12" t="s">
        <v>505</v>
      </c>
      <c r="D28" s="12" t="s">
        <v>163</v>
      </c>
      <c r="E28" s="12" t="s">
        <v>7676</v>
      </c>
      <c r="F28" s="12" t="s">
        <v>5458</v>
      </c>
      <c r="G28" s="12" t="s">
        <v>159</v>
      </c>
      <c r="H28" s="12" t="s">
        <v>6613</v>
      </c>
      <c r="I28" s="12">
        <v>0</v>
      </c>
      <c r="J28" s="12" t="s">
        <v>164</v>
      </c>
      <c r="K28" s="12" t="s">
        <v>6646</v>
      </c>
      <c r="L28" s="12" t="s">
        <v>506</v>
      </c>
      <c r="M28" s="12" t="s">
        <v>506</v>
      </c>
      <c r="N28" s="12" t="s">
        <v>5785</v>
      </c>
      <c r="O28" s="12" t="s">
        <v>17</v>
      </c>
      <c r="P28" s="12" t="s">
        <v>187</v>
      </c>
      <c r="Q28" s="12" t="s">
        <v>6647</v>
      </c>
      <c r="R28" s="12">
        <v>24.611712000000001</v>
      </c>
      <c r="S28" s="12">
        <v>121.29644399999999</v>
      </c>
      <c r="T28" s="12" t="s">
        <v>11</v>
      </c>
      <c r="U28" s="12" t="s">
        <v>17</v>
      </c>
      <c r="V28" s="12" t="s">
        <v>507</v>
      </c>
      <c r="W28" s="12" t="s">
        <v>7415</v>
      </c>
      <c r="X28" s="12">
        <v>37.18</v>
      </c>
      <c r="Y28" s="12">
        <v>1119388</v>
      </c>
      <c r="Z28" s="12" t="s">
        <v>6613</v>
      </c>
      <c r="AA28" s="12" t="s">
        <v>6613</v>
      </c>
      <c r="AB28" s="12" t="s">
        <v>6613</v>
      </c>
      <c r="AC28" s="12" t="s">
        <v>6613</v>
      </c>
      <c r="AD28" s="12" t="s">
        <v>6613</v>
      </c>
      <c r="AE28" s="12" t="s">
        <v>6613</v>
      </c>
      <c r="AF28" s="12" t="s">
        <v>45</v>
      </c>
    </row>
    <row r="29" spans="1:32" x14ac:dyDescent="0.2">
      <c r="A29" s="12" t="s">
        <v>1417</v>
      </c>
      <c r="B29" s="12" t="s">
        <v>1418</v>
      </c>
      <c r="C29" s="12" t="s">
        <v>1418</v>
      </c>
      <c r="D29" s="12" t="s">
        <v>163</v>
      </c>
      <c r="E29" s="12" t="s">
        <v>7676</v>
      </c>
      <c r="F29" s="12" t="s">
        <v>5458</v>
      </c>
      <c r="G29" s="12" t="s">
        <v>159</v>
      </c>
      <c r="H29" s="12" t="s">
        <v>6613</v>
      </c>
      <c r="I29" s="12">
        <v>0</v>
      </c>
      <c r="J29" s="12" t="s">
        <v>164</v>
      </c>
      <c r="K29" s="12" t="s">
        <v>6646</v>
      </c>
      <c r="L29" s="12" t="s">
        <v>1419</v>
      </c>
      <c r="M29" s="12" t="s">
        <v>1419</v>
      </c>
      <c r="N29" s="12" t="s">
        <v>5785</v>
      </c>
      <c r="O29" s="12" t="s">
        <v>1420</v>
      </c>
      <c r="P29" s="12" t="s">
        <v>18</v>
      </c>
      <c r="Q29" s="12" t="s">
        <v>6647</v>
      </c>
      <c r="R29" s="12">
        <v>69</v>
      </c>
      <c r="S29" s="12">
        <v>169</v>
      </c>
      <c r="T29" s="12" t="s">
        <v>11</v>
      </c>
      <c r="U29" s="12" t="s">
        <v>17</v>
      </c>
      <c r="V29" s="12" t="s">
        <v>1421</v>
      </c>
      <c r="W29" s="12" t="s">
        <v>7415</v>
      </c>
      <c r="X29" s="12">
        <v>47.09</v>
      </c>
      <c r="Y29" s="12">
        <v>1120162</v>
      </c>
      <c r="Z29" s="12" t="s">
        <v>6613</v>
      </c>
      <c r="AA29" s="12" t="s">
        <v>6613</v>
      </c>
      <c r="AB29" s="12" t="s">
        <v>6613</v>
      </c>
      <c r="AC29" s="12" t="s">
        <v>6613</v>
      </c>
      <c r="AD29" s="12" t="s">
        <v>6613</v>
      </c>
      <c r="AE29" s="12" t="s">
        <v>6613</v>
      </c>
      <c r="AF29" s="12" t="s">
        <v>45</v>
      </c>
    </row>
    <row r="30" spans="1:32" x14ac:dyDescent="0.2">
      <c r="A30" s="12" t="s">
        <v>1485</v>
      </c>
      <c r="B30" s="12" t="s">
        <v>1486</v>
      </c>
      <c r="C30" s="12" t="s">
        <v>1486</v>
      </c>
      <c r="D30" s="12" t="s">
        <v>163</v>
      </c>
      <c r="E30" s="12" t="s">
        <v>7676</v>
      </c>
      <c r="F30" s="12" t="s">
        <v>5458</v>
      </c>
      <c r="G30" s="12" t="s">
        <v>159</v>
      </c>
      <c r="H30" s="12" t="s">
        <v>6613</v>
      </c>
      <c r="I30" s="12">
        <v>0</v>
      </c>
      <c r="J30" s="12" t="s">
        <v>164</v>
      </c>
      <c r="K30" s="12" t="s">
        <v>6646</v>
      </c>
      <c r="L30" s="12" t="s">
        <v>1475</v>
      </c>
      <c r="M30" s="12" t="s">
        <v>1475</v>
      </c>
      <c r="N30" s="12" t="s">
        <v>5785</v>
      </c>
      <c r="O30" s="12" t="s">
        <v>17</v>
      </c>
      <c r="P30" s="12" t="s">
        <v>1476</v>
      </c>
      <c r="Q30" s="12" t="s">
        <v>6647</v>
      </c>
      <c r="R30" s="12">
        <v>21</v>
      </c>
      <c r="S30" s="12">
        <v>100</v>
      </c>
      <c r="T30" s="12" t="s">
        <v>25</v>
      </c>
      <c r="U30" s="12" t="s">
        <v>17</v>
      </c>
      <c r="V30" s="12" t="s">
        <v>6639</v>
      </c>
      <c r="W30" s="12" t="s">
        <v>6639</v>
      </c>
      <c r="X30" s="12">
        <v>39.049999999999997</v>
      </c>
      <c r="Y30" s="12">
        <v>1107190</v>
      </c>
      <c r="Z30" s="12" t="s">
        <v>6613</v>
      </c>
      <c r="AA30" s="12" t="s">
        <v>6613</v>
      </c>
      <c r="AB30" s="12" t="s">
        <v>6613</v>
      </c>
      <c r="AC30" s="12" t="s">
        <v>6613</v>
      </c>
      <c r="AD30" s="12" t="s">
        <v>6613</v>
      </c>
      <c r="AE30" s="12" t="s">
        <v>6613</v>
      </c>
      <c r="AF30" s="12" t="s">
        <v>45</v>
      </c>
    </row>
    <row r="31" spans="1:32" x14ac:dyDescent="0.2">
      <c r="A31" s="12" t="s">
        <v>1472</v>
      </c>
      <c r="B31" s="12" t="s">
        <v>1474</v>
      </c>
      <c r="C31" s="12" t="s">
        <v>1474</v>
      </c>
      <c r="D31" s="12" t="s">
        <v>163</v>
      </c>
      <c r="E31" s="12" t="s">
        <v>7676</v>
      </c>
      <c r="F31" s="12" t="s">
        <v>5458</v>
      </c>
      <c r="G31" s="12" t="s">
        <v>1473</v>
      </c>
      <c r="H31" s="12" t="s">
        <v>6613</v>
      </c>
      <c r="I31" s="12">
        <v>0</v>
      </c>
      <c r="J31" s="12" t="s">
        <v>164</v>
      </c>
      <c r="K31" s="12" t="s">
        <v>6646</v>
      </c>
      <c r="L31" s="12" t="s">
        <v>1475</v>
      </c>
      <c r="M31" s="12" t="s">
        <v>1475</v>
      </c>
      <c r="N31" s="12" t="s">
        <v>5785</v>
      </c>
      <c r="O31" s="12" t="s">
        <v>17</v>
      </c>
      <c r="P31" s="12" t="s">
        <v>1476</v>
      </c>
      <c r="Q31" s="12" t="s">
        <v>6647</v>
      </c>
      <c r="R31" s="12">
        <v>21</v>
      </c>
      <c r="S31" s="12">
        <v>100</v>
      </c>
      <c r="T31" s="12" t="s">
        <v>11</v>
      </c>
      <c r="U31" s="12" t="s">
        <v>17</v>
      </c>
      <c r="V31" s="12" t="s">
        <v>841</v>
      </c>
      <c r="W31" s="12" t="s">
        <v>7415</v>
      </c>
      <c r="X31" s="12">
        <v>39.22</v>
      </c>
      <c r="Y31" s="12">
        <v>1117410</v>
      </c>
      <c r="Z31" s="12" t="s">
        <v>6613</v>
      </c>
      <c r="AA31" s="12" t="s">
        <v>6613</v>
      </c>
      <c r="AB31" s="12" t="s">
        <v>6613</v>
      </c>
      <c r="AC31" s="12" t="s">
        <v>6613</v>
      </c>
      <c r="AD31" s="12" t="s">
        <v>6613</v>
      </c>
      <c r="AE31" s="12" t="s">
        <v>6613</v>
      </c>
      <c r="AF31" s="12" t="s">
        <v>45</v>
      </c>
    </row>
    <row r="32" spans="1:32" x14ac:dyDescent="0.2">
      <c r="A32" s="12" t="s">
        <v>1483</v>
      </c>
      <c r="B32" s="12" t="s">
        <v>1484</v>
      </c>
      <c r="C32" s="12" t="s">
        <v>1484</v>
      </c>
      <c r="D32" s="12" t="s">
        <v>163</v>
      </c>
      <c r="E32" s="12" t="s">
        <v>7676</v>
      </c>
      <c r="F32" s="12" t="s">
        <v>5458</v>
      </c>
      <c r="G32" s="12" t="s">
        <v>159</v>
      </c>
      <c r="H32" s="12" t="s">
        <v>6613</v>
      </c>
      <c r="I32" s="12">
        <v>0</v>
      </c>
      <c r="J32" s="12" t="s">
        <v>164</v>
      </c>
      <c r="K32" s="12" t="s">
        <v>6646</v>
      </c>
      <c r="L32" s="12" t="s">
        <v>1475</v>
      </c>
      <c r="M32" s="12" t="s">
        <v>1475</v>
      </c>
      <c r="N32" s="12" t="s">
        <v>5785</v>
      </c>
      <c r="O32" s="12" t="s">
        <v>17</v>
      </c>
      <c r="P32" s="12" t="s">
        <v>1476</v>
      </c>
      <c r="Q32" s="12" t="s">
        <v>6647</v>
      </c>
      <c r="R32" s="12">
        <v>21</v>
      </c>
      <c r="S32" s="12">
        <v>100</v>
      </c>
      <c r="T32" s="12" t="s">
        <v>25</v>
      </c>
      <c r="U32" s="12" t="s">
        <v>17</v>
      </c>
      <c r="V32" s="12" t="s">
        <v>6639</v>
      </c>
      <c r="W32" s="12" t="s">
        <v>6639</v>
      </c>
      <c r="X32" s="12">
        <v>49.51</v>
      </c>
      <c r="Y32" s="12">
        <v>1119088</v>
      </c>
      <c r="Z32" s="12" t="s">
        <v>6613</v>
      </c>
      <c r="AA32" s="12" t="s">
        <v>6613</v>
      </c>
      <c r="AB32" s="12" t="s">
        <v>6613</v>
      </c>
      <c r="AC32" s="12" t="s">
        <v>6613</v>
      </c>
      <c r="AD32" s="12" t="s">
        <v>6613</v>
      </c>
      <c r="AE32" s="12" t="s">
        <v>6613</v>
      </c>
      <c r="AF32" s="12" t="s">
        <v>45</v>
      </c>
    </row>
    <row r="33" spans="1:32" x14ac:dyDescent="0.2">
      <c r="A33" s="12" t="s">
        <v>1480</v>
      </c>
      <c r="B33" s="12" t="s">
        <v>1481</v>
      </c>
      <c r="C33" s="12" t="s">
        <v>1481</v>
      </c>
      <c r="D33" s="12" t="s">
        <v>163</v>
      </c>
      <c r="E33" s="12" t="s">
        <v>7676</v>
      </c>
      <c r="F33" s="12" t="s">
        <v>5458</v>
      </c>
      <c r="G33" s="12" t="s">
        <v>159</v>
      </c>
      <c r="H33" s="12" t="s">
        <v>6613</v>
      </c>
      <c r="I33" s="12">
        <v>0</v>
      </c>
      <c r="J33" s="12" t="s">
        <v>164</v>
      </c>
      <c r="K33" s="12" t="s">
        <v>6646</v>
      </c>
      <c r="L33" s="12" t="s">
        <v>1475</v>
      </c>
      <c r="M33" s="12" t="s">
        <v>1475</v>
      </c>
      <c r="N33" s="12" t="s">
        <v>5785</v>
      </c>
      <c r="O33" s="12" t="s">
        <v>17</v>
      </c>
      <c r="P33" s="12" t="s">
        <v>1476</v>
      </c>
      <c r="Q33" s="12" t="s">
        <v>6647</v>
      </c>
      <c r="R33" s="12">
        <v>21</v>
      </c>
      <c r="S33" s="12">
        <v>100</v>
      </c>
      <c r="T33" s="12" t="s">
        <v>11</v>
      </c>
      <c r="U33" s="12" t="s">
        <v>17</v>
      </c>
      <c r="V33" s="12" t="s">
        <v>1482</v>
      </c>
      <c r="W33" s="12" t="s">
        <v>7415</v>
      </c>
      <c r="X33" s="12">
        <v>39.75</v>
      </c>
      <c r="Y33" s="12">
        <v>1119289</v>
      </c>
      <c r="Z33" s="12" t="s">
        <v>6613</v>
      </c>
      <c r="AA33" s="12" t="s">
        <v>6613</v>
      </c>
      <c r="AB33" s="12" t="s">
        <v>6613</v>
      </c>
      <c r="AC33" s="12" t="s">
        <v>6613</v>
      </c>
      <c r="AD33" s="12" t="s">
        <v>6613</v>
      </c>
      <c r="AE33" s="12" t="s">
        <v>6613</v>
      </c>
      <c r="AF33" s="12" t="s">
        <v>45</v>
      </c>
    </row>
    <row r="34" spans="1:32" x14ac:dyDescent="0.2">
      <c r="A34" s="12" t="s">
        <v>1477</v>
      </c>
      <c r="B34" s="12" t="s">
        <v>1479</v>
      </c>
      <c r="C34" s="12" t="s">
        <v>1479</v>
      </c>
      <c r="D34" s="12" t="s">
        <v>163</v>
      </c>
      <c r="E34" s="12" t="s">
        <v>7676</v>
      </c>
      <c r="F34" s="12" t="s">
        <v>5458</v>
      </c>
      <c r="G34" s="12" t="s">
        <v>1478</v>
      </c>
      <c r="H34" s="12" t="s">
        <v>6613</v>
      </c>
      <c r="I34" s="12">
        <v>0</v>
      </c>
      <c r="J34" s="12" t="s">
        <v>164</v>
      </c>
      <c r="K34" s="12" t="s">
        <v>6646</v>
      </c>
      <c r="L34" s="12" t="s">
        <v>1475</v>
      </c>
      <c r="M34" s="12" t="s">
        <v>1475</v>
      </c>
      <c r="N34" s="12" t="s">
        <v>5785</v>
      </c>
      <c r="O34" s="12" t="s">
        <v>17</v>
      </c>
      <c r="P34" s="12" t="s">
        <v>1476</v>
      </c>
      <c r="Q34" s="12" t="s">
        <v>6647</v>
      </c>
      <c r="R34" s="12">
        <v>21</v>
      </c>
      <c r="S34" s="12">
        <v>100</v>
      </c>
      <c r="T34" s="12" t="s">
        <v>11</v>
      </c>
      <c r="U34" s="12" t="s">
        <v>17</v>
      </c>
      <c r="V34" s="12" t="s">
        <v>17</v>
      </c>
      <c r="W34" s="12" t="s">
        <v>17</v>
      </c>
      <c r="X34" s="12">
        <v>28.31</v>
      </c>
      <c r="Y34" s="12">
        <v>1150277</v>
      </c>
      <c r="Z34" s="12" t="s">
        <v>6613</v>
      </c>
      <c r="AA34" s="12" t="s">
        <v>6613</v>
      </c>
      <c r="AB34" s="12" t="s">
        <v>6613</v>
      </c>
      <c r="AC34" s="12" t="s">
        <v>6613</v>
      </c>
      <c r="AD34" s="12" t="s">
        <v>6613</v>
      </c>
      <c r="AE34" s="12" t="s">
        <v>6613</v>
      </c>
      <c r="AF34" s="12" t="s">
        <v>1985</v>
      </c>
    </row>
    <row r="35" spans="1:32" x14ac:dyDescent="0.2">
      <c r="A35" s="12" t="s">
        <v>2014</v>
      </c>
      <c r="B35" s="12" t="s">
        <v>2015</v>
      </c>
      <c r="C35" s="12" t="s">
        <v>2015</v>
      </c>
      <c r="D35" s="12" t="s">
        <v>163</v>
      </c>
      <c r="E35" s="12" t="s">
        <v>7676</v>
      </c>
      <c r="F35" s="12" t="s">
        <v>5458</v>
      </c>
      <c r="G35" s="12" t="s">
        <v>159</v>
      </c>
      <c r="H35" s="12" t="s">
        <v>6613</v>
      </c>
      <c r="I35" s="12">
        <v>0</v>
      </c>
      <c r="J35" s="12" t="s">
        <v>164</v>
      </c>
      <c r="K35" s="12" t="s">
        <v>6646</v>
      </c>
      <c r="L35" s="12" t="s">
        <v>2008</v>
      </c>
      <c r="M35" s="12" t="s">
        <v>2008</v>
      </c>
      <c r="N35" s="12" t="s">
        <v>5785</v>
      </c>
      <c r="O35" s="12" t="s">
        <v>17</v>
      </c>
      <c r="P35" s="12" t="s">
        <v>1476</v>
      </c>
      <c r="Q35" s="12" t="s">
        <v>6647</v>
      </c>
      <c r="R35" s="12">
        <v>48.497534160000001</v>
      </c>
      <c r="S35" s="12">
        <v>124</v>
      </c>
      <c r="T35" s="12" t="s">
        <v>11</v>
      </c>
      <c r="U35" s="12" t="s">
        <v>17</v>
      </c>
      <c r="V35" s="12" t="s">
        <v>2016</v>
      </c>
      <c r="W35" s="12" t="s">
        <v>7415</v>
      </c>
      <c r="X35" s="12">
        <v>42.36</v>
      </c>
      <c r="Y35" s="12">
        <v>1117128</v>
      </c>
      <c r="Z35" s="12" t="s">
        <v>6613</v>
      </c>
      <c r="AA35" s="12" t="s">
        <v>6613</v>
      </c>
      <c r="AB35" s="12" t="s">
        <v>6613</v>
      </c>
      <c r="AC35" s="12" t="s">
        <v>6613</v>
      </c>
      <c r="AD35" s="12" t="s">
        <v>6613</v>
      </c>
      <c r="AE35" s="12" t="s">
        <v>6613</v>
      </c>
      <c r="AF35" s="12" t="s">
        <v>45</v>
      </c>
    </row>
    <row r="36" spans="1:32" x14ac:dyDescent="0.2">
      <c r="A36" s="12" t="s">
        <v>2006</v>
      </c>
      <c r="B36" s="12" t="s">
        <v>2007</v>
      </c>
      <c r="C36" s="12" t="s">
        <v>2007</v>
      </c>
      <c r="D36" s="12" t="s">
        <v>163</v>
      </c>
      <c r="E36" s="12" t="s">
        <v>7676</v>
      </c>
      <c r="F36" s="12" t="s">
        <v>5458</v>
      </c>
      <c r="G36" s="12" t="s">
        <v>1473</v>
      </c>
      <c r="H36" s="12" t="s">
        <v>6613</v>
      </c>
      <c r="I36" s="12">
        <v>0</v>
      </c>
      <c r="J36" s="12" t="s">
        <v>164</v>
      </c>
      <c r="K36" s="12" t="s">
        <v>6646</v>
      </c>
      <c r="L36" s="12" t="s">
        <v>2008</v>
      </c>
      <c r="M36" s="12" t="s">
        <v>2008</v>
      </c>
      <c r="N36" s="12" t="s">
        <v>5785</v>
      </c>
      <c r="O36" s="12" t="s">
        <v>17</v>
      </c>
      <c r="P36" s="12" t="s">
        <v>1476</v>
      </c>
      <c r="Q36" s="12" t="s">
        <v>6647</v>
      </c>
      <c r="R36" s="12">
        <v>32.265668120000001</v>
      </c>
      <c r="S36" s="12">
        <v>114</v>
      </c>
      <c r="T36" s="12" t="s">
        <v>11</v>
      </c>
      <c r="U36" s="12" t="s">
        <v>17</v>
      </c>
      <c r="V36" s="12" t="s">
        <v>2009</v>
      </c>
      <c r="W36" s="12" t="s">
        <v>7415</v>
      </c>
      <c r="X36" s="12">
        <v>37.72</v>
      </c>
      <c r="Y36" s="12">
        <v>1118654</v>
      </c>
      <c r="Z36" s="12" t="s">
        <v>6613</v>
      </c>
      <c r="AA36" s="12" t="s">
        <v>6613</v>
      </c>
      <c r="AB36" s="12" t="s">
        <v>6613</v>
      </c>
      <c r="AC36" s="12" t="s">
        <v>6613</v>
      </c>
      <c r="AD36" s="12" t="s">
        <v>6613</v>
      </c>
      <c r="AE36" s="12" t="s">
        <v>6613</v>
      </c>
      <c r="AF36" s="12" t="s">
        <v>45</v>
      </c>
    </row>
    <row r="37" spans="1:32" x14ac:dyDescent="0.2">
      <c r="A37" s="12" t="s">
        <v>2012</v>
      </c>
      <c r="B37" s="12" t="s">
        <v>2013</v>
      </c>
      <c r="C37" s="12" t="s">
        <v>2013</v>
      </c>
      <c r="D37" s="12" t="s">
        <v>163</v>
      </c>
      <c r="E37" s="12" t="s">
        <v>7676</v>
      </c>
      <c r="F37" s="12" t="s">
        <v>5458</v>
      </c>
      <c r="G37" s="12" t="s">
        <v>159</v>
      </c>
      <c r="H37" s="12" t="s">
        <v>6613</v>
      </c>
      <c r="I37" s="12">
        <v>0</v>
      </c>
      <c r="J37" s="12" t="s">
        <v>164</v>
      </c>
      <c r="K37" s="12" t="s">
        <v>6646</v>
      </c>
      <c r="L37" s="12" t="s">
        <v>2008</v>
      </c>
      <c r="M37" s="12" t="s">
        <v>2008</v>
      </c>
      <c r="N37" s="12" t="s">
        <v>5785</v>
      </c>
      <c r="O37" s="12" t="s">
        <v>17</v>
      </c>
      <c r="P37" s="12" t="s">
        <v>1476</v>
      </c>
      <c r="Q37" s="12" t="s">
        <v>6647</v>
      </c>
      <c r="R37" s="16">
        <v>32.265668120000001</v>
      </c>
      <c r="S37" s="16">
        <v>114</v>
      </c>
      <c r="T37" s="12" t="s">
        <v>25</v>
      </c>
      <c r="U37" s="12" t="s">
        <v>17</v>
      </c>
      <c r="V37" s="12" t="s">
        <v>6639</v>
      </c>
      <c r="W37" s="12" t="s">
        <v>6639</v>
      </c>
      <c r="X37" s="12">
        <v>68.83</v>
      </c>
      <c r="Y37" s="12">
        <v>1119545</v>
      </c>
      <c r="Z37" s="12" t="s">
        <v>6613</v>
      </c>
      <c r="AA37" s="12" t="s">
        <v>6613</v>
      </c>
      <c r="AB37" s="12" t="s">
        <v>6613</v>
      </c>
      <c r="AC37" s="12" t="s">
        <v>6613</v>
      </c>
      <c r="AD37" s="12" t="s">
        <v>6613</v>
      </c>
      <c r="AE37" s="12" t="s">
        <v>6613</v>
      </c>
      <c r="AF37" s="12" t="s">
        <v>45</v>
      </c>
    </row>
    <row r="38" spans="1:32" x14ac:dyDescent="0.2">
      <c r="A38" s="12" t="s">
        <v>2010</v>
      </c>
      <c r="B38" s="12" t="s">
        <v>2011</v>
      </c>
      <c r="C38" s="12" t="s">
        <v>2011</v>
      </c>
      <c r="D38" s="12" t="s">
        <v>163</v>
      </c>
      <c r="E38" s="12" t="s">
        <v>7676</v>
      </c>
      <c r="F38" s="12" t="s">
        <v>5458</v>
      </c>
      <c r="G38" s="12" t="s">
        <v>1478</v>
      </c>
      <c r="H38" s="12" t="s">
        <v>6613</v>
      </c>
      <c r="I38" s="12">
        <v>0</v>
      </c>
      <c r="J38" s="12" t="s">
        <v>164</v>
      </c>
      <c r="K38" s="12" t="s">
        <v>6646</v>
      </c>
      <c r="L38" s="12" t="s">
        <v>2008</v>
      </c>
      <c r="M38" s="12" t="s">
        <v>2008</v>
      </c>
      <c r="N38" s="12" t="s">
        <v>5785</v>
      </c>
      <c r="O38" s="12" t="s">
        <v>17</v>
      </c>
      <c r="P38" s="12" t="s">
        <v>1476</v>
      </c>
      <c r="Q38" s="12" t="s">
        <v>6647</v>
      </c>
      <c r="R38" s="12">
        <v>32.265668120000001</v>
      </c>
      <c r="S38" s="12">
        <v>114</v>
      </c>
      <c r="T38" s="12" t="s">
        <v>11</v>
      </c>
      <c r="U38" s="12" t="s">
        <v>17</v>
      </c>
      <c r="V38" s="12" t="s">
        <v>17</v>
      </c>
      <c r="W38" s="12" t="s">
        <v>17</v>
      </c>
      <c r="X38" s="12">
        <v>27.74</v>
      </c>
      <c r="Y38" s="12">
        <v>1150264</v>
      </c>
      <c r="Z38" s="12" t="s">
        <v>6613</v>
      </c>
      <c r="AA38" s="12" t="s">
        <v>6613</v>
      </c>
      <c r="AB38" s="12" t="s">
        <v>6613</v>
      </c>
      <c r="AC38" s="12" t="s">
        <v>6613</v>
      </c>
      <c r="AD38" s="12" t="s">
        <v>6613</v>
      </c>
      <c r="AE38" s="12" t="s">
        <v>6613</v>
      </c>
      <c r="AF38" s="12" t="s">
        <v>1985</v>
      </c>
    </row>
    <row r="39" spans="1:32" x14ac:dyDescent="0.2">
      <c r="A39" s="12" t="s">
        <v>3893</v>
      </c>
      <c r="B39" s="12" t="s">
        <v>3894</v>
      </c>
      <c r="C39" s="12" t="s">
        <v>3894</v>
      </c>
      <c r="D39" s="12" t="s">
        <v>163</v>
      </c>
      <c r="E39" s="12" t="s">
        <v>7676</v>
      </c>
      <c r="F39" s="12" t="s">
        <v>5458</v>
      </c>
      <c r="G39" s="12" t="s">
        <v>159</v>
      </c>
      <c r="H39" s="12" t="s">
        <v>6614</v>
      </c>
      <c r="I39" s="12">
        <v>0</v>
      </c>
      <c r="J39" s="12" t="s">
        <v>164</v>
      </c>
      <c r="K39" s="12" t="s">
        <v>6646</v>
      </c>
      <c r="L39" s="12" t="s">
        <v>3895</v>
      </c>
      <c r="M39" s="12" t="s">
        <v>3895</v>
      </c>
      <c r="N39" s="12" t="s">
        <v>5785</v>
      </c>
      <c r="O39" s="12" t="s">
        <v>3896</v>
      </c>
      <c r="P39" s="12" t="s">
        <v>2604</v>
      </c>
      <c r="Q39" s="12" t="s">
        <v>6647</v>
      </c>
      <c r="R39" s="12">
        <v>27.81666667</v>
      </c>
      <c r="S39" s="12">
        <v>86.666666669999998</v>
      </c>
      <c r="T39" s="12" t="s">
        <v>11</v>
      </c>
      <c r="U39" s="12" t="s">
        <v>17</v>
      </c>
      <c r="V39" s="12" t="s">
        <v>3725</v>
      </c>
      <c r="W39" s="12" t="s">
        <v>7415</v>
      </c>
      <c r="X39" s="12">
        <v>31.97</v>
      </c>
      <c r="Y39" s="12">
        <v>1119020</v>
      </c>
      <c r="Z39" s="12" t="s">
        <v>6613</v>
      </c>
      <c r="AA39" s="12" t="s">
        <v>6613</v>
      </c>
      <c r="AB39" s="12" t="s">
        <v>6613</v>
      </c>
      <c r="AC39" s="12" t="s">
        <v>6613</v>
      </c>
      <c r="AD39" s="12" t="s">
        <v>6613</v>
      </c>
      <c r="AE39" s="12" t="s">
        <v>6613</v>
      </c>
      <c r="AF39" s="12" t="s">
        <v>45</v>
      </c>
    </row>
    <row r="40" spans="1:32" x14ac:dyDescent="0.2">
      <c r="A40" s="12" t="s">
        <v>3897</v>
      </c>
      <c r="B40" s="12" t="s">
        <v>3898</v>
      </c>
      <c r="C40" s="12" t="s">
        <v>3898</v>
      </c>
      <c r="D40" s="12" t="s">
        <v>163</v>
      </c>
      <c r="E40" s="12" t="s">
        <v>7676</v>
      </c>
      <c r="F40" s="12" t="s">
        <v>5458</v>
      </c>
      <c r="G40" s="12" t="s">
        <v>159</v>
      </c>
      <c r="H40" s="12" t="s">
        <v>6614</v>
      </c>
      <c r="I40" s="12">
        <v>0</v>
      </c>
      <c r="J40" s="12" t="s">
        <v>164</v>
      </c>
      <c r="K40" s="12" t="s">
        <v>6646</v>
      </c>
      <c r="L40" s="12" t="s">
        <v>3895</v>
      </c>
      <c r="M40" s="12" t="s">
        <v>3895</v>
      </c>
      <c r="N40" s="12" t="s">
        <v>5785</v>
      </c>
      <c r="O40" s="12" t="s">
        <v>3896</v>
      </c>
      <c r="P40" s="12" t="s">
        <v>2604</v>
      </c>
      <c r="Q40" s="12" t="s">
        <v>6647</v>
      </c>
      <c r="R40" s="12">
        <v>27.81666667</v>
      </c>
      <c r="S40" s="12">
        <v>86.666666669999998</v>
      </c>
      <c r="T40" s="12" t="s">
        <v>25</v>
      </c>
      <c r="U40" s="12" t="s">
        <v>17</v>
      </c>
      <c r="V40" s="12" t="s">
        <v>6639</v>
      </c>
      <c r="W40" s="12" t="s">
        <v>6639</v>
      </c>
      <c r="X40" s="12">
        <v>48.89</v>
      </c>
      <c r="Y40" s="12">
        <v>1119027</v>
      </c>
      <c r="Z40" s="12" t="s">
        <v>6613</v>
      </c>
      <c r="AA40" s="12" t="s">
        <v>6613</v>
      </c>
      <c r="AB40" s="12" t="s">
        <v>6613</v>
      </c>
      <c r="AC40" s="12" t="s">
        <v>6613</v>
      </c>
      <c r="AD40" s="12" t="s">
        <v>6613</v>
      </c>
      <c r="AE40" s="12" t="s">
        <v>6613</v>
      </c>
      <c r="AF40" s="12" t="s">
        <v>45</v>
      </c>
    </row>
    <row r="41" spans="1:32" x14ac:dyDescent="0.2">
      <c r="A41" s="12" t="s">
        <v>4768</v>
      </c>
      <c r="B41" s="12" t="s">
        <v>4769</v>
      </c>
      <c r="C41" s="12" t="s">
        <v>17</v>
      </c>
      <c r="D41" s="12" t="s">
        <v>17</v>
      </c>
      <c r="E41" s="12" t="s">
        <v>7676</v>
      </c>
      <c r="F41" s="12" t="s">
        <v>5458</v>
      </c>
      <c r="G41" s="12" t="s">
        <v>222</v>
      </c>
      <c r="H41" s="12" t="s">
        <v>6614</v>
      </c>
      <c r="I41" s="12">
        <v>0</v>
      </c>
      <c r="J41" s="12" t="s">
        <v>164</v>
      </c>
      <c r="K41" s="12" t="s">
        <v>6646</v>
      </c>
      <c r="L41" s="12" t="s">
        <v>4767</v>
      </c>
      <c r="M41" s="12" t="s">
        <v>4767</v>
      </c>
      <c r="N41" s="12" t="s">
        <v>5785</v>
      </c>
      <c r="O41" s="12" t="s">
        <v>17</v>
      </c>
      <c r="P41" s="12" t="s">
        <v>17</v>
      </c>
      <c r="Q41" s="12" t="s">
        <v>6647</v>
      </c>
      <c r="R41" s="12" t="s">
        <v>17</v>
      </c>
      <c r="S41" s="12" t="s">
        <v>17</v>
      </c>
      <c r="T41" s="12" t="s">
        <v>1126</v>
      </c>
      <c r="U41" s="12" t="s">
        <v>17</v>
      </c>
      <c r="V41" s="12" t="s">
        <v>7414</v>
      </c>
      <c r="W41" s="12" t="s">
        <v>7414</v>
      </c>
      <c r="X41" s="12" t="s">
        <v>17</v>
      </c>
      <c r="Y41" s="12">
        <v>1181744</v>
      </c>
      <c r="Z41" s="12" t="s">
        <v>6613</v>
      </c>
      <c r="AA41" s="12" t="s">
        <v>6613</v>
      </c>
      <c r="AB41" s="12" t="s">
        <v>6613</v>
      </c>
      <c r="AC41" s="12" t="s">
        <v>6613</v>
      </c>
      <c r="AD41" s="12" t="s">
        <v>6613</v>
      </c>
      <c r="AE41" s="12" t="s">
        <v>6613</v>
      </c>
      <c r="AF41" s="12" t="s">
        <v>45</v>
      </c>
    </row>
    <row r="42" spans="1:32" x14ac:dyDescent="0.2">
      <c r="A42" s="12" t="s">
        <v>4765</v>
      </c>
      <c r="B42" s="12" t="s">
        <v>4766</v>
      </c>
      <c r="C42" s="12" t="s">
        <v>17</v>
      </c>
      <c r="D42" s="12" t="s">
        <v>17</v>
      </c>
      <c r="E42" s="12" t="s">
        <v>7676</v>
      </c>
      <c r="F42" s="12" t="s">
        <v>5458</v>
      </c>
      <c r="G42" s="12" t="s">
        <v>222</v>
      </c>
      <c r="H42" s="12" t="s">
        <v>6614</v>
      </c>
      <c r="I42" s="12">
        <v>0</v>
      </c>
      <c r="J42" s="12" t="s">
        <v>164</v>
      </c>
      <c r="K42" s="12" t="s">
        <v>6646</v>
      </c>
      <c r="L42" s="12" t="s">
        <v>4767</v>
      </c>
      <c r="M42" s="12" t="s">
        <v>4767</v>
      </c>
      <c r="N42" s="12" t="s">
        <v>5785</v>
      </c>
      <c r="O42" s="12" t="s">
        <v>17</v>
      </c>
      <c r="P42" s="12" t="s">
        <v>17</v>
      </c>
      <c r="Q42" s="12" t="s">
        <v>6647</v>
      </c>
      <c r="R42" s="12" t="s">
        <v>17</v>
      </c>
      <c r="S42" s="12" t="s">
        <v>17</v>
      </c>
      <c r="T42" s="12" t="s">
        <v>1126</v>
      </c>
      <c r="U42" s="12" t="s">
        <v>17</v>
      </c>
      <c r="V42" s="12" t="s">
        <v>7414</v>
      </c>
      <c r="W42" s="12" t="s">
        <v>7414</v>
      </c>
      <c r="X42" s="12" t="s">
        <v>17</v>
      </c>
      <c r="Y42" s="12">
        <v>1181828</v>
      </c>
      <c r="Z42" s="12" t="s">
        <v>6613</v>
      </c>
      <c r="AA42" s="12" t="s">
        <v>6613</v>
      </c>
      <c r="AB42" s="12" t="s">
        <v>6613</v>
      </c>
      <c r="AC42" s="12" t="s">
        <v>6613</v>
      </c>
      <c r="AD42" s="12" t="s">
        <v>6613</v>
      </c>
      <c r="AE42" s="12" t="s">
        <v>6613</v>
      </c>
      <c r="AF42" s="12" t="s">
        <v>45</v>
      </c>
    </row>
    <row r="43" spans="1:32" x14ac:dyDescent="0.2">
      <c r="A43" s="12" t="s">
        <v>4770</v>
      </c>
      <c r="B43" s="12" t="s">
        <v>4771</v>
      </c>
      <c r="C43" s="12" t="s">
        <v>17</v>
      </c>
      <c r="D43" s="12" t="s">
        <v>17</v>
      </c>
      <c r="E43" s="12" t="s">
        <v>7676</v>
      </c>
      <c r="F43" s="12" t="s">
        <v>5458</v>
      </c>
      <c r="G43" s="12" t="s">
        <v>222</v>
      </c>
      <c r="H43" s="12" t="s">
        <v>6614</v>
      </c>
      <c r="I43" s="12">
        <v>0</v>
      </c>
      <c r="J43" s="12" t="s">
        <v>164</v>
      </c>
      <c r="K43" s="12" t="s">
        <v>6646</v>
      </c>
      <c r="L43" s="12" t="s">
        <v>4767</v>
      </c>
      <c r="M43" s="12" t="s">
        <v>4767</v>
      </c>
      <c r="N43" s="12" t="s">
        <v>5785</v>
      </c>
      <c r="O43" s="12" t="s">
        <v>17</v>
      </c>
      <c r="P43" s="12" t="s">
        <v>17</v>
      </c>
      <c r="Q43" s="12" t="s">
        <v>6647</v>
      </c>
      <c r="R43" s="12" t="s">
        <v>17</v>
      </c>
      <c r="S43" s="12" t="s">
        <v>17</v>
      </c>
      <c r="T43" s="12" t="s">
        <v>1126</v>
      </c>
      <c r="U43" s="12" t="s">
        <v>17</v>
      </c>
      <c r="V43" s="12" t="s">
        <v>7414</v>
      </c>
      <c r="W43" s="12" t="s">
        <v>7414</v>
      </c>
      <c r="X43" s="12" t="s">
        <v>17</v>
      </c>
      <c r="Y43" s="12">
        <v>1181850</v>
      </c>
      <c r="Z43" s="12" t="s">
        <v>6613</v>
      </c>
      <c r="AA43" s="12" t="s">
        <v>6613</v>
      </c>
      <c r="AB43" s="12" t="s">
        <v>6613</v>
      </c>
      <c r="AC43" s="12" t="s">
        <v>6613</v>
      </c>
      <c r="AD43" s="12" t="s">
        <v>6613</v>
      </c>
      <c r="AE43" s="12" t="s">
        <v>6613</v>
      </c>
      <c r="AF43" s="12" t="s">
        <v>45</v>
      </c>
    </row>
    <row r="44" spans="1:32" x14ac:dyDescent="0.2">
      <c r="A44" s="12" t="s">
        <v>4664</v>
      </c>
      <c r="B44" s="12" t="s">
        <v>4664</v>
      </c>
      <c r="C44" s="12" t="s">
        <v>4664</v>
      </c>
      <c r="D44" s="12" t="s">
        <v>100</v>
      </c>
      <c r="E44" s="12" t="s">
        <v>8110</v>
      </c>
      <c r="F44" s="12" t="s">
        <v>5460</v>
      </c>
      <c r="G44" s="12" t="s">
        <v>4665</v>
      </c>
      <c r="H44" s="12" t="s">
        <v>6614</v>
      </c>
      <c r="I44" s="12">
        <v>39475</v>
      </c>
      <c r="J44" s="12" t="s">
        <v>8155</v>
      </c>
      <c r="K44" s="12" t="s">
        <v>6649</v>
      </c>
      <c r="L44" s="12" t="s">
        <v>4664</v>
      </c>
      <c r="M44" s="12" t="s">
        <v>4664</v>
      </c>
      <c r="N44" s="12" t="s">
        <v>5785</v>
      </c>
      <c r="O44" s="12" t="s">
        <v>4664</v>
      </c>
      <c r="P44" s="12" t="s">
        <v>1476</v>
      </c>
      <c r="Q44" s="12" t="s">
        <v>6647</v>
      </c>
      <c r="R44" s="12">
        <v>39.39</v>
      </c>
      <c r="S44" s="12">
        <v>115.52</v>
      </c>
      <c r="T44" s="12" t="s">
        <v>11</v>
      </c>
      <c r="U44" s="12" t="s">
        <v>17</v>
      </c>
      <c r="V44" s="12" t="s">
        <v>4666</v>
      </c>
      <c r="W44" s="12" t="s">
        <v>7415</v>
      </c>
      <c r="X44" s="12">
        <v>4.7539999999999996</v>
      </c>
      <c r="Y44" s="12">
        <v>901237</v>
      </c>
      <c r="Z44" s="12" t="s">
        <v>17</v>
      </c>
      <c r="AA44" s="12" t="s">
        <v>17</v>
      </c>
      <c r="AB44" s="12" t="s">
        <v>17</v>
      </c>
      <c r="AC44" s="12" t="s">
        <v>17</v>
      </c>
      <c r="AD44" s="12" t="s">
        <v>17</v>
      </c>
      <c r="AE44" s="12" t="s">
        <v>17</v>
      </c>
      <c r="AF44" s="12" t="s">
        <v>45</v>
      </c>
    </row>
    <row r="45" spans="1:32" x14ac:dyDescent="0.2">
      <c r="A45" s="12" t="s">
        <v>3734</v>
      </c>
      <c r="B45" s="12" t="s">
        <v>3734</v>
      </c>
      <c r="C45" s="12" t="s">
        <v>3735</v>
      </c>
      <c r="D45" s="12" t="s">
        <v>13</v>
      </c>
      <c r="E45" s="12" t="s">
        <v>8110</v>
      </c>
      <c r="F45" s="12" t="s">
        <v>5460</v>
      </c>
      <c r="G45" s="12" t="s">
        <v>1914</v>
      </c>
      <c r="H45" s="12" t="s">
        <v>6614</v>
      </c>
      <c r="I45" s="12">
        <v>6154</v>
      </c>
      <c r="J45" s="12" t="s">
        <v>3737</v>
      </c>
      <c r="K45" s="12" t="s">
        <v>6651</v>
      </c>
      <c r="L45" s="12" t="s">
        <v>3727</v>
      </c>
      <c r="M45" s="12" t="s">
        <v>3727</v>
      </c>
      <c r="N45" s="12" t="s">
        <v>5785</v>
      </c>
      <c r="O45" s="12" t="s">
        <v>3731</v>
      </c>
      <c r="P45" s="12" t="s">
        <v>3732</v>
      </c>
      <c r="Q45" s="12" t="s">
        <v>6650</v>
      </c>
      <c r="R45" s="16">
        <v>47.746699999999997</v>
      </c>
      <c r="S45" s="16">
        <v>22.395</v>
      </c>
      <c r="T45" s="12" t="s">
        <v>25</v>
      </c>
      <c r="U45" s="12" t="s">
        <v>827</v>
      </c>
      <c r="V45" s="12" t="s">
        <v>6639</v>
      </c>
      <c r="W45" s="12" t="s">
        <v>6639</v>
      </c>
      <c r="X45" s="12">
        <v>1.925</v>
      </c>
      <c r="Y45" s="12">
        <v>699220</v>
      </c>
      <c r="Z45" s="12" t="s">
        <v>6639</v>
      </c>
      <c r="AA45" s="12" t="s">
        <v>6639</v>
      </c>
      <c r="AB45" s="12" t="s">
        <v>3736</v>
      </c>
      <c r="AC45" s="12" t="s">
        <v>21</v>
      </c>
      <c r="AD45" s="12">
        <v>0.114</v>
      </c>
      <c r="AE45" s="12">
        <v>0.94199999999999995</v>
      </c>
      <c r="AF45" s="12" t="s">
        <v>8077</v>
      </c>
    </row>
    <row r="46" spans="1:32" x14ac:dyDescent="0.2">
      <c r="A46" s="12" t="s">
        <v>4685</v>
      </c>
      <c r="B46" s="12" t="s">
        <v>4686</v>
      </c>
      <c r="C46" s="12" t="s">
        <v>4687</v>
      </c>
      <c r="D46" s="12" t="s">
        <v>4688</v>
      </c>
      <c r="E46" s="12" t="s">
        <v>8110</v>
      </c>
      <c r="F46" s="12" t="s">
        <v>5458</v>
      </c>
      <c r="G46" s="12" t="s">
        <v>1914</v>
      </c>
      <c r="H46" s="12" t="s">
        <v>6614</v>
      </c>
      <c r="I46" s="12">
        <v>5750</v>
      </c>
      <c r="J46" s="12" t="s">
        <v>4690</v>
      </c>
      <c r="K46" s="12" t="s">
        <v>6651</v>
      </c>
      <c r="L46" s="12" t="s">
        <v>4668</v>
      </c>
      <c r="M46" s="12" t="s">
        <v>4668</v>
      </c>
      <c r="N46" s="12" t="s">
        <v>5785</v>
      </c>
      <c r="O46" s="12" t="s">
        <v>4672</v>
      </c>
      <c r="P46" s="12" t="s">
        <v>1931</v>
      </c>
      <c r="Q46" s="12" t="s">
        <v>6650</v>
      </c>
      <c r="R46" s="12">
        <v>48.722499999999997</v>
      </c>
      <c r="S46" s="12">
        <v>25.880832999999999</v>
      </c>
      <c r="T46" s="12" t="s">
        <v>11</v>
      </c>
      <c r="U46" s="12" t="s">
        <v>4691</v>
      </c>
      <c r="V46" s="12" t="s">
        <v>3661</v>
      </c>
      <c r="W46" s="12" t="s">
        <v>7160</v>
      </c>
      <c r="X46" s="12">
        <v>2.9000000000000001E-2</v>
      </c>
      <c r="Y46" s="12">
        <v>34031</v>
      </c>
      <c r="Z46" s="12" t="s">
        <v>17</v>
      </c>
      <c r="AA46" s="12" t="s">
        <v>17</v>
      </c>
      <c r="AB46" s="12" t="s">
        <v>4689</v>
      </c>
      <c r="AC46" s="12" t="s">
        <v>21</v>
      </c>
      <c r="AD46" s="12">
        <v>0.13600000000000001</v>
      </c>
      <c r="AE46" s="12">
        <v>0.96</v>
      </c>
      <c r="AF46" s="12" t="s">
        <v>45</v>
      </c>
    </row>
    <row r="47" spans="1:32" x14ac:dyDescent="0.2">
      <c r="A47" s="12" t="s">
        <v>4667</v>
      </c>
      <c r="B47" s="12" t="s">
        <v>4667</v>
      </c>
      <c r="C47" s="12" t="s">
        <v>4669</v>
      </c>
      <c r="D47" s="12" t="s">
        <v>143</v>
      </c>
      <c r="E47" s="12" t="s">
        <v>8110</v>
      </c>
      <c r="F47" s="12" t="s">
        <v>5460</v>
      </c>
      <c r="G47" s="12" t="s">
        <v>1914</v>
      </c>
      <c r="H47" s="12" t="s">
        <v>6614</v>
      </c>
      <c r="I47" s="12">
        <v>5736</v>
      </c>
      <c r="J47" s="12" t="s">
        <v>4671</v>
      </c>
      <c r="K47" s="12" t="s">
        <v>6651</v>
      </c>
      <c r="L47" s="12" t="s">
        <v>4668</v>
      </c>
      <c r="M47" s="12" t="s">
        <v>4668</v>
      </c>
      <c r="N47" s="12" t="s">
        <v>5785</v>
      </c>
      <c r="O47" s="12" t="s">
        <v>4672</v>
      </c>
      <c r="P47" s="12" t="s">
        <v>1931</v>
      </c>
      <c r="Q47" s="12" t="s">
        <v>6650</v>
      </c>
      <c r="R47" s="12">
        <v>48.722499999999997</v>
      </c>
      <c r="S47" s="12">
        <v>25.880832999999999</v>
      </c>
      <c r="T47" s="12" t="s">
        <v>11</v>
      </c>
      <c r="U47" s="12" t="s">
        <v>4673</v>
      </c>
      <c r="V47" s="12" t="s">
        <v>316</v>
      </c>
      <c r="W47" s="12" t="s">
        <v>7160</v>
      </c>
      <c r="X47" s="12">
        <v>0.21099999999999999</v>
      </c>
      <c r="Y47" s="12">
        <v>219791</v>
      </c>
      <c r="Z47" s="12" t="s">
        <v>17</v>
      </c>
      <c r="AA47" s="12" t="s">
        <v>17</v>
      </c>
      <c r="AB47" s="12" t="s">
        <v>4670</v>
      </c>
      <c r="AC47" s="12" t="s">
        <v>21</v>
      </c>
      <c r="AD47" s="12">
        <v>8.5000000000000006E-2</v>
      </c>
      <c r="AE47" s="12">
        <v>1</v>
      </c>
      <c r="AF47" s="12" t="s">
        <v>4674</v>
      </c>
    </row>
    <row r="48" spans="1:32" x14ac:dyDescent="0.2">
      <c r="A48" s="12" t="s">
        <v>4681</v>
      </c>
      <c r="B48" s="12" t="s">
        <v>4681</v>
      </c>
      <c r="C48" s="12" t="s">
        <v>4682</v>
      </c>
      <c r="D48" s="12" t="s">
        <v>40</v>
      </c>
      <c r="E48" s="12" t="s">
        <v>8110</v>
      </c>
      <c r="F48" s="12" t="s">
        <v>5460</v>
      </c>
      <c r="G48" s="12" t="s">
        <v>1914</v>
      </c>
      <c r="H48" s="12" t="s">
        <v>6614</v>
      </c>
      <c r="I48" s="12">
        <v>5735</v>
      </c>
      <c r="J48" s="12" t="s">
        <v>4684</v>
      </c>
      <c r="K48" s="12" t="s">
        <v>6651</v>
      </c>
      <c r="L48" s="12" t="s">
        <v>4668</v>
      </c>
      <c r="M48" s="12" t="s">
        <v>4668</v>
      </c>
      <c r="N48" s="12" t="s">
        <v>5785</v>
      </c>
      <c r="O48" s="12" t="s">
        <v>4672</v>
      </c>
      <c r="P48" s="12" t="s">
        <v>1931</v>
      </c>
      <c r="Q48" s="12" t="s">
        <v>6650</v>
      </c>
      <c r="R48" s="12">
        <v>48.722499999999997</v>
      </c>
      <c r="S48" s="12">
        <v>25.880832999999999</v>
      </c>
      <c r="T48" s="12" t="s">
        <v>11</v>
      </c>
      <c r="U48" s="12" t="s">
        <v>213</v>
      </c>
      <c r="V48" s="12" t="s">
        <v>316</v>
      </c>
      <c r="W48" s="12" t="s">
        <v>7160</v>
      </c>
      <c r="X48" s="12">
        <v>0.154</v>
      </c>
      <c r="Y48" s="12">
        <v>164691</v>
      </c>
      <c r="Z48" s="12" t="s">
        <v>17</v>
      </c>
      <c r="AA48" s="12" t="s">
        <v>17</v>
      </c>
      <c r="AB48" s="12" t="s">
        <v>4683</v>
      </c>
      <c r="AC48" s="12" t="s">
        <v>21</v>
      </c>
      <c r="AD48" s="12">
        <v>8.6999999999999994E-2</v>
      </c>
      <c r="AE48" s="12">
        <v>0.99099999999999999</v>
      </c>
      <c r="AF48" s="12" t="s">
        <v>45</v>
      </c>
    </row>
    <row r="49" spans="1:32" x14ac:dyDescent="0.2">
      <c r="A49" s="12" t="s">
        <v>3726</v>
      </c>
      <c r="B49" s="12" t="s">
        <v>3726</v>
      </c>
      <c r="C49" s="12" t="s">
        <v>3728</v>
      </c>
      <c r="D49" s="12" t="s">
        <v>13</v>
      </c>
      <c r="E49" s="12" t="s">
        <v>8110</v>
      </c>
      <c r="F49" s="12" t="s">
        <v>5460</v>
      </c>
      <c r="G49" s="12" t="s">
        <v>1914</v>
      </c>
      <c r="H49" s="12" t="s">
        <v>6614</v>
      </c>
      <c r="I49" s="12">
        <v>5653</v>
      </c>
      <c r="J49" s="12" t="s">
        <v>3730</v>
      </c>
      <c r="K49" s="12" t="s">
        <v>6651</v>
      </c>
      <c r="L49" s="12" t="s">
        <v>3727</v>
      </c>
      <c r="M49" s="12" t="s">
        <v>3727</v>
      </c>
      <c r="N49" s="12" t="s">
        <v>5785</v>
      </c>
      <c r="O49" s="12" t="s">
        <v>3731</v>
      </c>
      <c r="P49" s="12" t="s">
        <v>3732</v>
      </c>
      <c r="Q49" s="12" t="s">
        <v>6650</v>
      </c>
      <c r="R49" s="16">
        <v>47.746699999999997</v>
      </c>
      <c r="S49" s="16">
        <v>22.395</v>
      </c>
      <c r="T49" s="12" t="s">
        <v>11</v>
      </c>
      <c r="U49" s="12" t="s">
        <v>257</v>
      </c>
      <c r="V49" s="12" t="s">
        <v>3733</v>
      </c>
      <c r="W49" s="12" t="s">
        <v>7160</v>
      </c>
      <c r="X49" s="12">
        <v>3.077</v>
      </c>
      <c r="Y49" s="12">
        <v>784776</v>
      </c>
      <c r="Z49" s="12" t="s">
        <v>17</v>
      </c>
      <c r="AA49" s="12" t="s">
        <v>17</v>
      </c>
      <c r="AB49" s="12" t="s">
        <v>3729</v>
      </c>
      <c r="AC49" s="12" t="s">
        <v>21</v>
      </c>
      <c r="AD49" s="12">
        <v>0.107</v>
      </c>
      <c r="AE49" s="12">
        <v>0.997</v>
      </c>
      <c r="AF49" s="12" t="s">
        <v>3345</v>
      </c>
    </row>
    <row r="50" spans="1:32" x14ac:dyDescent="0.2">
      <c r="A50" s="12" t="s">
        <v>4675</v>
      </c>
      <c r="B50" s="12" t="s">
        <v>4676</v>
      </c>
      <c r="C50" s="12" t="s">
        <v>4677</v>
      </c>
      <c r="D50" s="12" t="s">
        <v>40</v>
      </c>
      <c r="E50" s="12" t="s">
        <v>8110</v>
      </c>
      <c r="F50" s="12" t="s">
        <v>5460</v>
      </c>
      <c r="G50" s="12" t="s">
        <v>1914</v>
      </c>
      <c r="H50" s="12" t="s">
        <v>6614</v>
      </c>
      <c r="I50" s="12">
        <v>5647</v>
      </c>
      <c r="J50" s="12" t="s">
        <v>4679</v>
      </c>
      <c r="K50" s="12" t="s">
        <v>6651</v>
      </c>
      <c r="L50" s="12" t="s">
        <v>4668</v>
      </c>
      <c r="M50" s="12" t="s">
        <v>4668</v>
      </c>
      <c r="N50" s="12" t="s">
        <v>5785</v>
      </c>
      <c r="O50" s="12" t="s">
        <v>4672</v>
      </c>
      <c r="P50" s="12" t="s">
        <v>1931</v>
      </c>
      <c r="Q50" s="12" t="s">
        <v>6650</v>
      </c>
      <c r="R50" s="12">
        <v>48.722499999999997</v>
      </c>
      <c r="S50" s="12">
        <v>25.880832999999999</v>
      </c>
      <c r="T50" s="12" t="s">
        <v>11</v>
      </c>
      <c r="U50" s="12" t="s">
        <v>531</v>
      </c>
      <c r="V50" s="12" t="s">
        <v>4680</v>
      </c>
      <c r="W50" s="12" t="s">
        <v>7160</v>
      </c>
      <c r="X50" s="12">
        <v>5.3999999999999999E-2</v>
      </c>
      <c r="Y50" s="12">
        <v>62041</v>
      </c>
      <c r="Z50" s="12" t="s">
        <v>17</v>
      </c>
      <c r="AA50" s="12" t="s">
        <v>17</v>
      </c>
      <c r="AB50" s="12" t="s">
        <v>4678</v>
      </c>
      <c r="AC50" s="12" t="s">
        <v>21</v>
      </c>
      <c r="AD50" s="12">
        <v>0.113</v>
      </c>
      <c r="AE50" s="12">
        <v>0.97199999999999998</v>
      </c>
      <c r="AF50" s="12" t="s">
        <v>45</v>
      </c>
    </row>
    <row r="51" spans="1:32" x14ac:dyDescent="0.2">
      <c r="A51" s="12" t="s">
        <v>1422</v>
      </c>
      <c r="B51" s="12" t="s">
        <v>1422</v>
      </c>
      <c r="C51" s="12" t="s">
        <v>1424</v>
      </c>
      <c r="D51" s="12" t="s">
        <v>13</v>
      </c>
      <c r="E51" s="12" t="s">
        <v>8110</v>
      </c>
      <c r="F51" s="12" t="s">
        <v>1426</v>
      </c>
      <c r="G51" s="12" t="s">
        <v>1423</v>
      </c>
      <c r="H51" s="12" t="s">
        <v>6614</v>
      </c>
      <c r="I51" s="12">
        <v>5454</v>
      </c>
      <c r="J51" s="12" t="s">
        <v>1426</v>
      </c>
      <c r="K51" s="12" t="s">
        <v>6651</v>
      </c>
      <c r="L51" s="12" t="s">
        <v>7416</v>
      </c>
      <c r="M51" s="12" t="s">
        <v>7416</v>
      </c>
      <c r="N51" s="12" t="s">
        <v>5785</v>
      </c>
      <c r="O51" s="12" t="s">
        <v>1427</v>
      </c>
      <c r="P51" s="12" t="s">
        <v>1428</v>
      </c>
      <c r="Q51" s="12" t="s">
        <v>6650</v>
      </c>
      <c r="R51" s="12">
        <v>50.19</v>
      </c>
      <c r="S51" s="12">
        <v>14.157999999999999</v>
      </c>
      <c r="T51" s="12" t="s">
        <v>11</v>
      </c>
      <c r="U51" s="12" t="s">
        <v>1429</v>
      </c>
      <c r="V51" s="12" t="s">
        <v>5767</v>
      </c>
      <c r="W51" s="12" t="s">
        <v>7160</v>
      </c>
      <c r="X51" s="12">
        <v>3.6469459999999998</v>
      </c>
      <c r="Y51" s="12">
        <v>773560</v>
      </c>
      <c r="Z51" s="12" t="s">
        <v>17</v>
      </c>
      <c r="AA51" s="12" t="s">
        <v>17</v>
      </c>
      <c r="AB51" s="12" t="s">
        <v>1425</v>
      </c>
      <c r="AC51" s="12" t="s">
        <v>21</v>
      </c>
      <c r="AD51" s="12">
        <v>7.0000000000000007E-2</v>
      </c>
      <c r="AE51" s="12">
        <v>1</v>
      </c>
      <c r="AF51" s="12" t="s">
        <v>82</v>
      </c>
    </row>
    <row r="52" spans="1:32" x14ac:dyDescent="0.2">
      <c r="A52" s="12" t="s">
        <v>562</v>
      </c>
      <c r="B52" s="12" t="s">
        <v>562</v>
      </c>
      <c r="C52" s="12" t="s">
        <v>563</v>
      </c>
      <c r="D52" s="12" t="s">
        <v>13</v>
      </c>
      <c r="E52" s="12" t="s">
        <v>8110</v>
      </c>
      <c r="F52" s="12" t="s">
        <v>5460</v>
      </c>
      <c r="G52" s="12" t="s">
        <v>526</v>
      </c>
      <c r="H52" s="12" t="s">
        <v>6614</v>
      </c>
      <c r="I52" s="12">
        <v>5185</v>
      </c>
      <c r="J52" s="12" t="s">
        <v>565</v>
      </c>
      <c r="K52" s="12" t="s">
        <v>6651</v>
      </c>
      <c r="L52" s="12" t="s">
        <v>519</v>
      </c>
      <c r="M52" s="12" t="s">
        <v>519</v>
      </c>
      <c r="N52" s="12" t="s">
        <v>5785</v>
      </c>
      <c r="O52" s="12" t="s">
        <v>530</v>
      </c>
      <c r="P52" s="12" t="s">
        <v>524</v>
      </c>
      <c r="Q52" s="12" t="s">
        <v>6650</v>
      </c>
      <c r="R52" s="12">
        <v>47.620939999999997</v>
      </c>
      <c r="S52" s="12">
        <v>19.04494</v>
      </c>
      <c r="T52" s="12" t="s">
        <v>11</v>
      </c>
      <c r="U52" s="12" t="s">
        <v>566</v>
      </c>
      <c r="V52" s="12" t="s">
        <v>567</v>
      </c>
      <c r="W52" s="12" t="s">
        <v>7160</v>
      </c>
      <c r="X52" s="12">
        <v>1.6639999999999999</v>
      </c>
      <c r="Y52" s="12">
        <v>758484</v>
      </c>
      <c r="Z52" s="12" t="s">
        <v>17</v>
      </c>
      <c r="AA52" s="12" t="s">
        <v>17</v>
      </c>
      <c r="AB52" s="12" t="s">
        <v>564</v>
      </c>
      <c r="AC52" s="12" t="s">
        <v>21</v>
      </c>
      <c r="AD52" s="12">
        <v>8.3000000000000004E-2</v>
      </c>
      <c r="AE52" s="12">
        <v>0.97699999999999998</v>
      </c>
      <c r="AF52" s="12" t="s">
        <v>8079</v>
      </c>
    </row>
    <row r="53" spans="1:32" x14ac:dyDescent="0.2">
      <c r="A53" s="12" t="s">
        <v>574</v>
      </c>
      <c r="B53" s="12" t="s">
        <v>574</v>
      </c>
      <c r="C53" s="12" t="s">
        <v>575</v>
      </c>
      <c r="D53" s="12" t="s">
        <v>26</v>
      </c>
      <c r="E53" s="12" t="s">
        <v>8110</v>
      </c>
      <c r="F53" s="12" t="s">
        <v>5460</v>
      </c>
      <c r="G53" s="12" t="s">
        <v>526</v>
      </c>
      <c r="H53" s="12" t="s">
        <v>6614</v>
      </c>
      <c r="I53" s="12">
        <v>5182</v>
      </c>
      <c r="J53" s="12" t="s">
        <v>8152</v>
      </c>
      <c r="K53" s="12" t="s">
        <v>6651</v>
      </c>
      <c r="L53" s="12" t="s">
        <v>519</v>
      </c>
      <c r="M53" s="12" t="s">
        <v>519</v>
      </c>
      <c r="N53" s="12" t="s">
        <v>5785</v>
      </c>
      <c r="O53" s="12" t="s">
        <v>577</v>
      </c>
      <c r="P53" s="12" t="s">
        <v>524</v>
      </c>
      <c r="Q53" s="12" t="s">
        <v>6650</v>
      </c>
      <c r="R53" s="12">
        <v>46.665765</v>
      </c>
      <c r="S53" s="12">
        <v>17.270773999999999</v>
      </c>
      <c r="T53" s="12" t="s">
        <v>25</v>
      </c>
      <c r="U53" s="12" t="s">
        <v>578</v>
      </c>
      <c r="V53" s="12" t="s">
        <v>6639</v>
      </c>
      <c r="W53" s="12" t="s">
        <v>6639</v>
      </c>
      <c r="X53" s="12">
        <v>2.5000000000000001E-2</v>
      </c>
      <c r="Y53" s="12">
        <v>29086</v>
      </c>
      <c r="Z53" s="12" t="s">
        <v>6639</v>
      </c>
      <c r="AA53" s="12" t="s">
        <v>6639</v>
      </c>
      <c r="AB53" s="12" t="s">
        <v>576</v>
      </c>
      <c r="AC53" s="12" t="s">
        <v>21</v>
      </c>
      <c r="AD53" s="12">
        <v>0.125</v>
      </c>
      <c r="AE53" s="12" t="s">
        <v>17</v>
      </c>
      <c r="AF53" s="12" t="s">
        <v>45</v>
      </c>
    </row>
    <row r="54" spans="1:32" x14ac:dyDescent="0.2">
      <c r="A54" s="12" t="s">
        <v>556</v>
      </c>
      <c r="B54" s="12" t="s">
        <v>556</v>
      </c>
      <c r="C54" s="12" t="s">
        <v>557</v>
      </c>
      <c r="D54" s="12" t="s">
        <v>13</v>
      </c>
      <c r="E54" s="12" t="s">
        <v>8110</v>
      </c>
      <c r="F54" s="12" t="s">
        <v>5460</v>
      </c>
      <c r="G54" s="12" t="s">
        <v>526</v>
      </c>
      <c r="H54" s="12" t="s">
        <v>6614</v>
      </c>
      <c r="I54" s="12">
        <v>5179</v>
      </c>
      <c r="J54" s="12" t="s">
        <v>559</v>
      </c>
      <c r="K54" s="12" t="s">
        <v>6651</v>
      </c>
      <c r="L54" s="12" t="s">
        <v>519</v>
      </c>
      <c r="M54" s="12" t="s">
        <v>519</v>
      </c>
      <c r="N54" s="12" t="s">
        <v>5785</v>
      </c>
      <c r="O54" s="12" t="s">
        <v>551</v>
      </c>
      <c r="P54" s="12" t="s">
        <v>524</v>
      </c>
      <c r="Q54" s="12" t="s">
        <v>6650</v>
      </c>
      <c r="R54" s="12">
        <v>47.318750000000001</v>
      </c>
      <c r="S54" s="12">
        <v>19.166920000000001</v>
      </c>
      <c r="T54" s="12" t="s">
        <v>11</v>
      </c>
      <c r="U54" s="12" t="s">
        <v>560</v>
      </c>
      <c r="V54" s="12" t="s">
        <v>280</v>
      </c>
      <c r="W54" s="12" t="s">
        <v>7160</v>
      </c>
      <c r="X54" s="12">
        <v>0.82299999999999995</v>
      </c>
      <c r="Y54" s="12">
        <v>546806</v>
      </c>
      <c r="Z54" s="12" t="s">
        <v>17</v>
      </c>
      <c r="AA54" s="12" t="s">
        <v>17</v>
      </c>
      <c r="AB54" s="12" t="s">
        <v>558</v>
      </c>
      <c r="AC54" s="12" t="s">
        <v>21</v>
      </c>
      <c r="AD54" s="12">
        <v>0.13400000000000001</v>
      </c>
      <c r="AE54" s="12">
        <v>0.98499999999999999</v>
      </c>
      <c r="AF54" s="12" t="s">
        <v>561</v>
      </c>
    </row>
    <row r="55" spans="1:32" x14ac:dyDescent="0.2">
      <c r="A55" s="12" t="s">
        <v>585</v>
      </c>
      <c r="B55" s="12" t="s">
        <v>585</v>
      </c>
      <c r="C55" s="12" t="s">
        <v>586</v>
      </c>
      <c r="D55" s="12" t="s">
        <v>13</v>
      </c>
      <c r="E55" s="12" t="s">
        <v>8110</v>
      </c>
      <c r="F55" s="12" t="s">
        <v>5458</v>
      </c>
      <c r="G55" s="12" t="s">
        <v>526</v>
      </c>
      <c r="H55" s="12" t="s">
        <v>6614</v>
      </c>
      <c r="I55" s="12">
        <v>5175</v>
      </c>
      <c r="J55" s="12" t="s">
        <v>582</v>
      </c>
      <c r="K55" s="12" t="s">
        <v>6651</v>
      </c>
      <c r="L55" s="12" t="s">
        <v>519</v>
      </c>
      <c r="M55" s="12" t="s">
        <v>519</v>
      </c>
      <c r="N55" s="12" t="s">
        <v>5785</v>
      </c>
      <c r="O55" s="12" t="s">
        <v>537</v>
      </c>
      <c r="P55" s="12" t="s">
        <v>524</v>
      </c>
      <c r="Q55" s="12" t="s">
        <v>6650</v>
      </c>
      <c r="R55" s="12">
        <v>46.784689999999998</v>
      </c>
      <c r="S55" s="12">
        <v>17.731714</v>
      </c>
      <c r="T55" s="12" t="s">
        <v>11</v>
      </c>
      <c r="U55" s="12" t="s">
        <v>588</v>
      </c>
      <c r="V55" s="12" t="s">
        <v>589</v>
      </c>
      <c r="W55" s="12" t="s">
        <v>7160</v>
      </c>
      <c r="X55" s="12">
        <v>3.6999999999999998E-2</v>
      </c>
      <c r="Y55" s="12">
        <v>42687</v>
      </c>
      <c r="Z55" s="12" t="s">
        <v>17</v>
      </c>
      <c r="AA55" s="12" t="s">
        <v>17</v>
      </c>
      <c r="AB55" s="12" t="s">
        <v>587</v>
      </c>
      <c r="AC55" s="12" t="s">
        <v>21</v>
      </c>
      <c r="AD55" s="12">
        <v>0.22600000000000001</v>
      </c>
      <c r="AE55" s="12" t="s">
        <v>17</v>
      </c>
      <c r="AF55" s="12" t="s">
        <v>45</v>
      </c>
    </row>
    <row r="56" spans="1:32" x14ac:dyDescent="0.2">
      <c r="A56" s="12" t="s">
        <v>579</v>
      </c>
      <c r="B56" s="12" t="s">
        <v>579</v>
      </c>
      <c r="C56" s="12" t="s">
        <v>580</v>
      </c>
      <c r="D56" s="12" t="s">
        <v>13</v>
      </c>
      <c r="E56" s="12" t="s">
        <v>8110</v>
      </c>
      <c r="F56" s="12" t="s">
        <v>5458</v>
      </c>
      <c r="G56" s="12" t="s">
        <v>526</v>
      </c>
      <c r="H56" s="12" t="s">
        <v>6614</v>
      </c>
      <c r="I56" s="12">
        <v>5175</v>
      </c>
      <c r="J56" s="12" t="s">
        <v>582</v>
      </c>
      <c r="K56" s="12" t="s">
        <v>6651</v>
      </c>
      <c r="L56" s="12" t="s">
        <v>519</v>
      </c>
      <c r="M56" s="12" t="s">
        <v>519</v>
      </c>
      <c r="N56" s="12" t="s">
        <v>5785</v>
      </c>
      <c r="O56" s="12" t="s">
        <v>537</v>
      </c>
      <c r="P56" s="12" t="s">
        <v>524</v>
      </c>
      <c r="Q56" s="12" t="s">
        <v>6650</v>
      </c>
      <c r="R56" s="12">
        <v>46.784689999999998</v>
      </c>
      <c r="S56" s="12">
        <v>17.731714</v>
      </c>
      <c r="T56" s="12" t="s">
        <v>11</v>
      </c>
      <c r="U56" s="12" t="s">
        <v>900</v>
      </c>
      <c r="V56" s="12" t="s">
        <v>1946</v>
      </c>
      <c r="W56" s="12" t="s">
        <v>7160</v>
      </c>
      <c r="X56" s="12">
        <v>0.66900000000000004</v>
      </c>
      <c r="Y56" s="12">
        <v>520804</v>
      </c>
      <c r="Z56" s="12" t="s">
        <v>17</v>
      </c>
      <c r="AA56" s="12" t="s">
        <v>17</v>
      </c>
      <c r="AB56" s="12" t="s">
        <v>581</v>
      </c>
      <c r="AC56" s="12" t="s">
        <v>21</v>
      </c>
      <c r="AD56" s="12">
        <v>0.188</v>
      </c>
      <c r="AE56" s="12" t="s">
        <v>17</v>
      </c>
      <c r="AF56" s="12" t="s">
        <v>45</v>
      </c>
    </row>
    <row r="57" spans="1:32" x14ac:dyDescent="0.2">
      <c r="A57" s="12" t="s">
        <v>590</v>
      </c>
      <c r="B57" s="12" t="s">
        <v>590</v>
      </c>
      <c r="C57" s="12" t="s">
        <v>591</v>
      </c>
      <c r="D57" s="12" t="s">
        <v>13</v>
      </c>
      <c r="E57" s="12" t="s">
        <v>8110</v>
      </c>
      <c r="F57" s="12" t="s">
        <v>5458</v>
      </c>
      <c r="G57" s="12" t="s">
        <v>526</v>
      </c>
      <c r="H57" s="12" t="s">
        <v>6614</v>
      </c>
      <c r="I57" s="12">
        <v>5175</v>
      </c>
      <c r="J57" s="12" t="s">
        <v>582</v>
      </c>
      <c r="K57" s="12" t="s">
        <v>6651</v>
      </c>
      <c r="L57" s="12" t="s">
        <v>519</v>
      </c>
      <c r="M57" s="12" t="s">
        <v>519</v>
      </c>
      <c r="N57" s="12" t="s">
        <v>5785</v>
      </c>
      <c r="O57" s="12" t="s">
        <v>593</v>
      </c>
      <c r="P57" s="12" t="s">
        <v>524</v>
      </c>
      <c r="Q57" s="12" t="s">
        <v>6650</v>
      </c>
      <c r="R57" s="12">
        <v>47.684975999999999</v>
      </c>
      <c r="S57" s="12">
        <v>19.918434000000001</v>
      </c>
      <c r="T57" s="12" t="s">
        <v>25</v>
      </c>
      <c r="U57" s="12" t="s">
        <v>5744</v>
      </c>
      <c r="V57" s="12" t="s">
        <v>6639</v>
      </c>
      <c r="W57" s="12" t="s">
        <v>6639</v>
      </c>
      <c r="X57" s="12">
        <v>0.81100000000000005</v>
      </c>
      <c r="Y57" s="12">
        <v>572729</v>
      </c>
      <c r="Z57" s="12" t="s">
        <v>6639</v>
      </c>
      <c r="AA57" s="12" t="s">
        <v>6639</v>
      </c>
      <c r="AB57" s="12" t="s">
        <v>592</v>
      </c>
      <c r="AC57" s="12" t="s">
        <v>21</v>
      </c>
      <c r="AD57" s="12">
        <v>0.16300000000000001</v>
      </c>
      <c r="AE57" s="12">
        <v>0.997</v>
      </c>
      <c r="AF57" s="12" t="s">
        <v>45</v>
      </c>
    </row>
    <row r="58" spans="1:32" x14ac:dyDescent="0.2">
      <c r="A58" s="12" t="s">
        <v>552</v>
      </c>
      <c r="B58" s="12" t="s">
        <v>552</v>
      </c>
      <c r="C58" s="12" t="s">
        <v>553</v>
      </c>
      <c r="D58" s="12" t="s">
        <v>13</v>
      </c>
      <c r="E58" s="12" t="s">
        <v>8110</v>
      </c>
      <c r="F58" s="12" t="s">
        <v>5460</v>
      </c>
      <c r="G58" s="12" t="s">
        <v>526</v>
      </c>
      <c r="H58" s="12" t="s">
        <v>6614</v>
      </c>
      <c r="I58" s="12">
        <v>5131</v>
      </c>
      <c r="J58" s="12" t="s">
        <v>555</v>
      </c>
      <c r="K58" s="12" t="s">
        <v>6651</v>
      </c>
      <c r="L58" s="12" t="s">
        <v>519</v>
      </c>
      <c r="M58" s="12" t="s">
        <v>519</v>
      </c>
      <c r="N58" s="12" t="s">
        <v>5785</v>
      </c>
      <c r="O58" s="12" t="s">
        <v>537</v>
      </c>
      <c r="P58" s="12" t="s">
        <v>524</v>
      </c>
      <c r="Q58" s="12" t="s">
        <v>6650</v>
      </c>
      <c r="R58" s="12">
        <v>46.784689999999998</v>
      </c>
      <c r="S58" s="12">
        <v>17.731714</v>
      </c>
      <c r="T58" s="12" t="s">
        <v>11</v>
      </c>
      <c r="U58" s="12" t="s">
        <v>257</v>
      </c>
      <c r="V58" s="12" t="s">
        <v>1946</v>
      </c>
      <c r="W58" s="12" t="s">
        <v>7160</v>
      </c>
      <c r="X58" s="12">
        <v>0.33500000000000002</v>
      </c>
      <c r="Y58" s="12">
        <v>321304</v>
      </c>
      <c r="Z58" s="12" t="s">
        <v>17</v>
      </c>
      <c r="AA58" s="12" t="s">
        <v>17</v>
      </c>
      <c r="AB58" s="12" t="s">
        <v>554</v>
      </c>
      <c r="AC58" s="12" t="s">
        <v>21</v>
      </c>
      <c r="AD58" s="12">
        <v>0.13900000000000001</v>
      </c>
      <c r="AE58" s="12" t="s">
        <v>17</v>
      </c>
      <c r="AF58" s="12" t="s">
        <v>45</v>
      </c>
    </row>
    <row r="59" spans="1:32" x14ac:dyDescent="0.2">
      <c r="A59" s="12" t="s">
        <v>1921</v>
      </c>
      <c r="B59" s="12" t="s">
        <v>1922</v>
      </c>
      <c r="C59" s="12" t="s">
        <v>1923</v>
      </c>
      <c r="D59" s="12" t="s">
        <v>105</v>
      </c>
      <c r="E59" s="12" t="s">
        <v>8110</v>
      </c>
      <c r="F59" s="12" t="s">
        <v>5460</v>
      </c>
      <c r="G59" s="12" t="s">
        <v>1914</v>
      </c>
      <c r="H59" s="12" t="s">
        <v>6614</v>
      </c>
      <c r="I59" s="12">
        <v>5128</v>
      </c>
      <c r="J59" s="12" t="s">
        <v>1925</v>
      </c>
      <c r="K59" s="12" t="s">
        <v>6651</v>
      </c>
      <c r="L59" s="12" t="s">
        <v>1915</v>
      </c>
      <c r="M59" s="12" t="s">
        <v>1915</v>
      </c>
      <c r="N59" s="12" t="s">
        <v>5785</v>
      </c>
      <c r="O59" s="12" t="s">
        <v>1918</v>
      </c>
      <c r="P59" s="12" t="s">
        <v>1919</v>
      </c>
      <c r="Q59" s="12" t="s">
        <v>6650</v>
      </c>
      <c r="R59" s="12">
        <v>52.85</v>
      </c>
      <c r="S59" s="12">
        <v>17.883333329999999</v>
      </c>
      <c r="T59" s="12" t="s">
        <v>11</v>
      </c>
      <c r="U59" s="12" t="s">
        <v>231</v>
      </c>
      <c r="V59" s="12" t="s">
        <v>1926</v>
      </c>
      <c r="W59" s="12" t="s">
        <v>7160</v>
      </c>
      <c r="X59" s="12">
        <v>8.2000000000000003E-2</v>
      </c>
      <c r="Y59" s="12">
        <v>91505</v>
      </c>
      <c r="Z59" s="12" t="s">
        <v>17</v>
      </c>
      <c r="AA59" s="12" t="s">
        <v>17</v>
      </c>
      <c r="AB59" s="12" t="s">
        <v>1924</v>
      </c>
      <c r="AC59" s="12" t="s">
        <v>21</v>
      </c>
      <c r="AD59" s="12" t="s">
        <v>17</v>
      </c>
      <c r="AE59" s="12">
        <v>0.97499999999999998</v>
      </c>
      <c r="AF59" s="12" t="s">
        <v>45</v>
      </c>
    </row>
    <row r="60" spans="1:32" x14ac:dyDescent="0.2">
      <c r="A60" s="12" t="s">
        <v>547</v>
      </c>
      <c r="B60" s="12" t="s">
        <v>547</v>
      </c>
      <c r="C60" s="12" t="s">
        <v>548</v>
      </c>
      <c r="D60" s="12" t="s">
        <v>13</v>
      </c>
      <c r="E60" s="12" t="s">
        <v>8110</v>
      </c>
      <c r="F60" s="12" t="s">
        <v>5460</v>
      </c>
      <c r="G60" s="12" t="s">
        <v>526</v>
      </c>
      <c r="H60" s="12" t="s">
        <v>6614</v>
      </c>
      <c r="I60" s="12">
        <v>5096</v>
      </c>
      <c r="J60" s="12" t="s">
        <v>550</v>
      </c>
      <c r="K60" s="12" t="s">
        <v>6651</v>
      </c>
      <c r="L60" s="12" t="s">
        <v>519</v>
      </c>
      <c r="M60" s="12" t="s">
        <v>519</v>
      </c>
      <c r="N60" s="12" t="s">
        <v>5785</v>
      </c>
      <c r="O60" s="12" t="s">
        <v>551</v>
      </c>
      <c r="P60" s="12" t="s">
        <v>524</v>
      </c>
      <c r="Q60" s="12" t="s">
        <v>6650</v>
      </c>
      <c r="R60" s="12">
        <v>47.318750000000001</v>
      </c>
      <c r="S60" s="12">
        <v>19.166920000000001</v>
      </c>
      <c r="T60" s="12" t="s">
        <v>25</v>
      </c>
      <c r="U60" s="12" t="s">
        <v>213</v>
      </c>
      <c r="V60" s="12" t="s">
        <v>6639</v>
      </c>
      <c r="W60" s="12" t="s">
        <v>6639</v>
      </c>
      <c r="X60" s="12">
        <v>4.3</v>
      </c>
      <c r="Y60" s="12">
        <v>852351</v>
      </c>
      <c r="Z60" s="12" t="s">
        <v>6639</v>
      </c>
      <c r="AA60" s="12" t="s">
        <v>6639</v>
      </c>
      <c r="AB60" s="12" t="s">
        <v>549</v>
      </c>
      <c r="AC60" s="12" t="s">
        <v>21</v>
      </c>
      <c r="AD60" s="12">
        <v>9.9000000000000005E-2</v>
      </c>
      <c r="AE60" s="12">
        <v>0.97899999999999998</v>
      </c>
      <c r="AF60" s="12" t="s">
        <v>45</v>
      </c>
    </row>
    <row r="61" spans="1:32" x14ac:dyDescent="0.2">
      <c r="A61" s="12" t="s">
        <v>541</v>
      </c>
      <c r="B61" s="12" t="s">
        <v>541</v>
      </c>
      <c r="C61" s="12" t="s">
        <v>542</v>
      </c>
      <c r="D61" s="12" t="s">
        <v>13</v>
      </c>
      <c r="E61" s="12" t="s">
        <v>8110</v>
      </c>
      <c r="F61" s="12" t="s">
        <v>5460</v>
      </c>
      <c r="G61" s="12" t="s">
        <v>526</v>
      </c>
      <c r="H61" s="12" t="s">
        <v>6614</v>
      </c>
      <c r="I61" s="12">
        <v>5093</v>
      </c>
      <c r="J61" s="12" t="s">
        <v>544</v>
      </c>
      <c r="K61" s="12" t="s">
        <v>6651</v>
      </c>
      <c r="L61" s="12" t="s">
        <v>519</v>
      </c>
      <c r="M61" s="12" t="s">
        <v>519</v>
      </c>
      <c r="N61" s="12" t="s">
        <v>5785</v>
      </c>
      <c r="O61" s="12" t="s">
        <v>530</v>
      </c>
      <c r="P61" s="12" t="s">
        <v>524</v>
      </c>
      <c r="Q61" s="12" t="s">
        <v>6650</v>
      </c>
      <c r="R61" s="12">
        <v>47.620939999999997</v>
      </c>
      <c r="S61" s="12">
        <v>19.04494</v>
      </c>
      <c r="T61" s="12" t="s">
        <v>11</v>
      </c>
      <c r="U61" s="12" t="s">
        <v>545</v>
      </c>
      <c r="V61" s="12" t="s">
        <v>546</v>
      </c>
      <c r="W61" s="12" t="s">
        <v>7160</v>
      </c>
      <c r="X61" s="12">
        <v>6.3780000000000001</v>
      </c>
      <c r="Y61" s="12">
        <v>1032010</v>
      </c>
      <c r="Z61" s="12" t="s">
        <v>17</v>
      </c>
      <c r="AA61" s="12" t="s">
        <v>17</v>
      </c>
      <c r="AB61" s="12" t="s">
        <v>543</v>
      </c>
      <c r="AC61" s="12" t="s">
        <v>58</v>
      </c>
      <c r="AD61" s="12" t="s">
        <v>7852</v>
      </c>
      <c r="AE61" s="12" t="s">
        <v>7790</v>
      </c>
      <c r="AF61" s="12" t="s">
        <v>22</v>
      </c>
    </row>
    <row r="62" spans="1:32" x14ac:dyDescent="0.2">
      <c r="A62" s="12" t="s">
        <v>533</v>
      </c>
      <c r="B62" s="12" t="s">
        <v>533</v>
      </c>
      <c r="C62" s="12" t="s">
        <v>534</v>
      </c>
      <c r="D62" s="12" t="s">
        <v>13</v>
      </c>
      <c r="E62" s="12" t="s">
        <v>8110</v>
      </c>
      <c r="F62" s="12" t="s">
        <v>5460</v>
      </c>
      <c r="G62" s="12" t="s">
        <v>526</v>
      </c>
      <c r="H62" s="12" t="s">
        <v>6614</v>
      </c>
      <c r="I62" s="12">
        <v>5081</v>
      </c>
      <c r="J62" s="12" t="s">
        <v>536</v>
      </c>
      <c r="K62" s="12" t="s">
        <v>6651</v>
      </c>
      <c r="L62" s="12" t="s">
        <v>519</v>
      </c>
      <c r="M62" s="12" t="s">
        <v>519</v>
      </c>
      <c r="N62" s="12" t="s">
        <v>5785</v>
      </c>
      <c r="O62" s="12" t="s">
        <v>537</v>
      </c>
      <c r="P62" s="12" t="s">
        <v>524</v>
      </c>
      <c r="Q62" s="12" t="s">
        <v>6650</v>
      </c>
      <c r="R62" s="12">
        <v>46.784689999999998</v>
      </c>
      <c r="S62" s="12">
        <v>17.731714</v>
      </c>
      <c r="T62" s="12" t="s">
        <v>11</v>
      </c>
      <c r="U62" s="12" t="s">
        <v>538</v>
      </c>
      <c r="V62" s="12" t="s">
        <v>539</v>
      </c>
      <c r="W62" s="12" t="s">
        <v>7160</v>
      </c>
      <c r="X62" s="12">
        <v>2.306</v>
      </c>
      <c r="Y62" s="12">
        <v>867336</v>
      </c>
      <c r="Z62" s="12" t="s">
        <v>17</v>
      </c>
      <c r="AA62" s="12" t="s">
        <v>17</v>
      </c>
      <c r="AB62" s="12" t="s">
        <v>535</v>
      </c>
      <c r="AC62" s="12" t="s">
        <v>21</v>
      </c>
      <c r="AD62" s="12" t="s">
        <v>17</v>
      </c>
      <c r="AE62" s="12" t="s">
        <v>17</v>
      </c>
      <c r="AF62" s="12" t="s">
        <v>540</v>
      </c>
    </row>
    <row r="63" spans="1:32" x14ac:dyDescent="0.2">
      <c r="A63" s="12" t="s">
        <v>525</v>
      </c>
      <c r="B63" s="12" t="s">
        <v>525</v>
      </c>
      <c r="C63" s="12" t="s">
        <v>527</v>
      </c>
      <c r="D63" s="12" t="s">
        <v>13</v>
      </c>
      <c r="E63" s="12" t="s">
        <v>8110</v>
      </c>
      <c r="F63" s="12" t="s">
        <v>5460</v>
      </c>
      <c r="G63" s="12" t="s">
        <v>526</v>
      </c>
      <c r="H63" s="12" t="s">
        <v>6614</v>
      </c>
      <c r="I63" s="12">
        <v>5081</v>
      </c>
      <c r="J63" s="12" t="s">
        <v>529</v>
      </c>
      <c r="K63" s="12" t="s">
        <v>6651</v>
      </c>
      <c r="L63" s="12" t="s">
        <v>519</v>
      </c>
      <c r="M63" s="12" t="s">
        <v>519</v>
      </c>
      <c r="N63" s="12" t="s">
        <v>5785</v>
      </c>
      <c r="O63" s="12" t="s">
        <v>530</v>
      </c>
      <c r="P63" s="12" t="s">
        <v>524</v>
      </c>
      <c r="Q63" s="12" t="s">
        <v>6650</v>
      </c>
      <c r="R63" s="12">
        <v>47.620939999999997</v>
      </c>
      <c r="S63" s="12">
        <v>19.04494</v>
      </c>
      <c r="T63" s="12" t="s">
        <v>11</v>
      </c>
      <c r="U63" s="12" t="s">
        <v>531</v>
      </c>
      <c r="V63" s="12" t="s">
        <v>532</v>
      </c>
      <c r="W63" s="12" t="s">
        <v>7160</v>
      </c>
      <c r="X63" s="12">
        <v>3.181</v>
      </c>
      <c r="Y63" s="12">
        <v>908256</v>
      </c>
      <c r="Z63" s="12" t="s">
        <v>17</v>
      </c>
      <c r="AA63" s="12" t="s">
        <v>17</v>
      </c>
      <c r="AB63" s="12" t="s">
        <v>528</v>
      </c>
      <c r="AC63" s="12" t="s">
        <v>58</v>
      </c>
      <c r="AD63" s="12" t="s">
        <v>7918</v>
      </c>
      <c r="AE63" s="12" t="s">
        <v>7774</v>
      </c>
      <c r="AF63" s="12" t="s">
        <v>7801</v>
      </c>
    </row>
    <row r="64" spans="1:32" x14ac:dyDescent="0.2">
      <c r="A64" s="12" t="s">
        <v>1947</v>
      </c>
      <c r="B64" s="12" t="s">
        <v>1947</v>
      </c>
      <c r="C64" s="12">
        <v>5.3</v>
      </c>
      <c r="D64" s="12" t="s">
        <v>40</v>
      </c>
      <c r="E64" s="12" t="s">
        <v>8110</v>
      </c>
      <c r="F64" s="12" t="s">
        <v>5458</v>
      </c>
      <c r="G64" s="12" t="s">
        <v>1914</v>
      </c>
      <c r="H64" s="12" t="s">
        <v>6614</v>
      </c>
      <c r="I64" s="12">
        <v>5050</v>
      </c>
      <c r="J64" s="12" t="s">
        <v>1949</v>
      </c>
      <c r="K64" s="12" t="s">
        <v>6651</v>
      </c>
      <c r="L64" s="12" t="s">
        <v>1915</v>
      </c>
      <c r="M64" s="12" t="s">
        <v>1915</v>
      </c>
      <c r="N64" s="12" t="s">
        <v>5785</v>
      </c>
      <c r="O64" s="12" t="s">
        <v>1918</v>
      </c>
      <c r="P64" s="12" t="s">
        <v>1919</v>
      </c>
      <c r="Q64" s="12" t="s">
        <v>6650</v>
      </c>
      <c r="R64" s="12">
        <v>52.85</v>
      </c>
      <c r="S64" s="12">
        <v>17.883333329999999</v>
      </c>
      <c r="T64" s="12" t="s">
        <v>25</v>
      </c>
      <c r="U64" s="12" t="s">
        <v>1950</v>
      </c>
      <c r="V64" s="12" t="s">
        <v>6639</v>
      </c>
      <c r="W64" s="12" t="s">
        <v>6639</v>
      </c>
      <c r="X64" s="12">
        <v>0.107</v>
      </c>
      <c r="Y64" s="12">
        <v>112399</v>
      </c>
      <c r="Z64" s="12" t="s">
        <v>6639</v>
      </c>
      <c r="AA64" s="12" t="s">
        <v>6639</v>
      </c>
      <c r="AB64" s="12" t="s">
        <v>1948</v>
      </c>
      <c r="AC64" s="12" t="s">
        <v>21</v>
      </c>
      <c r="AD64" s="12">
        <v>0.06</v>
      </c>
      <c r="AE64" s="12">
        <v>0.99</v>
      </c>
      <c r="AF64" s="12" t="s">
        <v>45</v>
      </c>
    </row>
    <row r="65" spans="1:32" x14ac:dyDescent="0.2">
      <c r="A65" s="12" t="s">
        <v>1951</v>
      </c>
      <c r="B65" s="12" t="s">
        <v>1951</v>
      </c>
      <c r="C65" s="12">
        <v>8.5</v>
      </c>
      <c r="D65" s="12" t="s">
        <v>100</v>
      </c>
      <c r="E65" s="12" t="s">
        <v>8110</v>
      </c>
      <c r="F65" s="12" t="s">
        <v>5458</v>
      </c>
      <c r="G65" s="12" t="s">
        <v>1914</v>
      </c>
      <c r="H65" s="12" t="s">
        <v>6614</v>
      </c>
      <c r="I65" s="12">
        <v>5050</v>
      </c>
      <c r="J65" s="12" t="s">
        <v>1949</v>
      </c>
      <c r="K65" s="12" t="s">
        <v>6651</v>
      </c>
      <c r="L65" s="12" t="s">
        <v>1915</v>
      </c>
      <c r="M65" s="12" t="s">
        <v>1915</v>
      </c>
      <c r="N65" s="12" t="s">
        <v>5785</v>
      </c>
      <c r="O65" s="12" t="s">
        <v>1918</v>
      </c>
      <c r="P65" s="12" t="s">
        <v>1919</v>
      </c>
      <c r="Q65" s="12" t="s">
        <v>6650</v>
      </c>
      <c r="R65" s="12">
        <v>52.85</v>
      </c>
      <c r="S65" s="12">
        <v>17.883333329999999</v>
      </c>
      <c r="T65" s="12" t="s">
        <v>11</v>
      </c>
      <c r="U65" s="12" t="s">
        <v>1953</v>
      </c>
      <c r="V65" s="12" t="s">
        <v>1937</v>
      </c>
      <c r="W65" s="12" t="s">
        <v>7160</v>
      </c>
      <c r="X65" s="12">
        <v>0.752</v>
      </c>
      <c r="Y65" s="12">
        <v>510373</v>
      </c>
      <c r="Z65" s="12" t="s">
        <v>17</v>
      </c>
      <c r="AA65" s="12" t="s">
        <v>17</v>
      </c>
      <c r="AB65" s="12" t="s">
        <v>1952</v>
      </c>
      <c r="AC65" s="12" t="s">
        <v>21</v>
      </c>
      <c r="AD65" s="12">
        <v>0.104</v>
      </c>
      <c r="AE65" s="12">
        <v>0.99399999999999999</v>
      </c>
      <c r="AF65" s="12" t="s">
        <v>45</v>
      </c>
    </row>
    <row r="66" spans="1:32" x14ac:dyDescent="0.2">
      <c r="A66" s="12" t="s">
        <v>568</v>
      </c>
      <c r="B66" s="12" t="s">
        <v>568</v>
      </c>
      <c r="C66" s="12" t="s">
        <v>569</v>
      </c>
      <c r="D66" s="12" t="s">
        <v>13</v>
      </c>
      <c r="E66" s="12" t="s">
        <v>8110</v>
      </c>
      <c r="F66" s="12" t="s">
        <v>5458</v>
      </c>
      <c r="G66" s="12" t="s">
        <v>526</v>
      </c>
      <c r="H66" s="12" t="s">
        <v>6614</v>
      </c>
      <c r="I66" s="12">
        <v>5025</v>
      </c>
      <c r="J66" s="12" t="s">
        <v>571</v>
      </c>
      <c r="K66" s="12" t="s">
        <v>6651</v>
      </c>
      <c r="L66" s="12" t="s">
        <v>519</v>
      </c>
      <c r="M66" s="12" t="s">
        <v>519</v>
      </c>
      <c r="N66" s="12" t="s">
        <v>5785</v>
      </c>
      <c r="O66" s="12" t="s">
        <v>530</v>
      </c>
      <c r="P66" s="12" t="s">
        <v>524</v>
      </c>
      <c r="Q66" s="12" t="s">
        <v>6650</v>
      </c>
      <c r="R66" s="12">
        <v>47.620939999999997</v>
      </c>
      <c r="S66" s="12">
        <v>19.04494</v>
      </c>
      <c r="T66" s="12" t="s">
        <v>11</v>
      </c>
      <c r="U66" s="12" t="s">
        <v>572</v>
      </c>
      <c r="V66" s="12" t="s">
        <v>567</v>
      </c>
      <c r="W66" s="12" t="s">
        <v>7160</v>
      </c>
      <c r="X66" s="12">
        <v>7.0000000000000007E-2</v>
      </c>
      <c r="Y66" s="12">
        <v>79059</v>
      </c>
      <c r="Z66" s="12" t="s">
        <v>17</v>
      </c>
      <c r="AA66" s="12" t="s">
        <v>17</v>
      </c>
      <c r="AB66" s="12" t="s">
        <v>570</v>
      </c>
      <c r="AC66" s="12" t="s">
        <v>21</v>
      </c>
      <c r="AD66" s="12">
        <v>0.14699999999999999</v>
      </c>
      <c r="AE66" s="12">
        <v>0.40799999999999997</v>
      </c>
      <c r="AF66" s="12" t="s">
        <v>573</v>
      </c>
    </row>
    <row r="67" spans="1:32" x14ac:dyDescent="0.2">
      <c r="A67" s="12" t="s">
        <v>1942</v>
      </c>
      <c r="B67" s="12" t="s">
        <v>1942</v>
      </c>
      <c r="C67" s="12">
        <v>7.6</v>
      </c>
      <c r="D67" s="12" t="s">
        <v>105</v>
      </c>
      <c r="E67" s="12" t="s">
        <v>8110</v>
      </c>
      <c r="F67" s="12" t="s">
        <v>5458</v>
      </c>
      <c r="G67" s="12" t="s">
        <v>1914</v>
      </c>
      <c r="H67" s="12" t="s">
        <v>6614</v>
      </c>
      <c r="I67" s="12">
        <v>4950</v>
      </c>
      <c r="J67" s="12" t="s">
        <v>1944</v>
      </c>
      <c r="K67" s="12" t="s">
        <v>6651</v>
      </c>
      <c r="L67" s="12" t="s">
        <v>1915</v>
      </c>
      <c r="M67" s="12" t="s">
        <v>1915</v>
      </c>
      <c r="N67" s="12" t="s">
        <v>5785</v>
      </c>
      <c r="O67" s="12" t="s">
        <v>1918</v>
      </c>
      <c r="P67" s="12" t="s">
        <v>1919</v>
      </c>
      <c r="Q67" s="12" t="s">
        <v>6650</v>
      </c>
      <c r="R67" s="12">
        <v>52.85</v>
      </c>
      <c r="S67" s="12">
        <v>17.883333329999999</v>
      </c>
      <c r="T67" s="12" t="s">
        <v>11</v>
      </c>
      <c r="U67" s="12" t="s">
        <v>1945</v>
      </c>
      <c r="V67" s="12" t="s">
        <v>589</v>
      </c>
      <c r="W67" s="12" t="s">
        <v>7160</v>
      </c>
      <c r="X67" s="12">
        <v>0.19600000000000001</v>
      </c>
      <c r="Y67" s="12">
        <v>189493</v>
      </c>
      <c r="Z67" s="12" t="s">
        <v>17</v>
      </c>
      <c r="AA67" s="12" t="s">
        <v>17</v>
      </c>
      <c r="AB67" s="12" t="s">
        <v>1943</v>
      </c>
      <c r="AC67" s="12" t="s">
        <v>21</v>
      </c>
      <c r="AD67" s="12" t="s">
        <v>17</v>
      </c>
      <c r="AE67" s="12">
        <v>0.99399999999999999</v>
      </c>
      <c r="AF67" s="12" t="s">
        <v>45</v>
      </c>
    </row>
    <row r="68" spans="1:32" x14ac:dyDescent="0.2">
      <c r="A68" s="12" t="s">
        <v>1938</v>
      </c>
      <c r="B68" s="12" t="s">
        <v>1938</v>
      </c>
      <c r="C68" s="12">
        <v>5.0999999999999996</v>
      </c>
      <c r="D68" s="12" t="s">
        <v>100</v>
      </c>
      <c r="E68" s="12" t="s">
        <v>8110</v>
      </c>
      <c r="F68" s="12" t="s">
        <v>5458</v>
      </c>
      <c r="G68" s="12" t="s">
        <v>1914</v>
      </c>
      <c r="H68" s="12" t="s">
        <v>6614</v>
      </c>
      <c r="I68" s="12">
        <v>4950</v>
      </c>
      <c r="J68" s="12" t="s">
        <v>1940</v>
      </c>
      <c r="K68" s="12" t="s">
        <v>6651</v>
      </c>
      <c r="L68" s="12" t="s">
        <v>1915</v>
      </c>
      <c r="M68" s="12" t="s">
        <v>1915</v>
      </c>
      <c r="N68" s="12" t="s">
        <v>5785</v>
      </c>
      <c r="O68" s="12" t="s">
        <v>1918</v>
      </c>
      <c r="P68" s="12" t="s">
        <v>1919</v>
      </c>
      <c r="Q68" s="12" t="s">
        <v>6650</v>
      </c>
      <c r="R68" s="12">
        <v>52.85</v>
      </c>
      <c r="S68" s="12">
        <v>17.883333329999999</v>
      </c>
      <c r="T68" s="12" t="s">
        <v>25</v>
      </c>
      <c r="U68" s="12" t="s">
        <v>1941</v>
      </c>
      <c r="V68" s="12" t="s">
        <v>6639</v>
      </c>
      <c r="W68" s="12" t="s">
        <v>6639</v>
      </c>
      <c r="X68" s="12">
        <v>0.97</v>
      </c>
      <c r="Y68" s="12">
        <v>528330</v>
      </c>
      <c r="Z68" s="12" t="s">
        <v>6639</v>
      </c>
      <c r="AA68" s="12" t="s">
        <v>6639</v>
      </c>
      <c r="AB68" s="12" t="s">
        <v>1939</v>
      </c>
      <c r="AC68" s="12" t="s">
        <v>21</v>
      </c>
      <c r="AD68" s="12">
        <v>7.8E-2</v>
      </c>
      <c r="AE68" s="12">
        <v>0.997</v>
      </c>
      <c r="AF68" s="12" t="s">
        <v>45</v>
      </c>
    </row>
    <row r="69" spans="1:32" x14ac:dyDescent="0.2">
      <c r="A69" s="12" t="s">
        <v>1935</v>
      </c>
      <c r="B69" s="12" t="s">
        <v>1935</v>
      </c>
      <c r="C69" s="12" t="s">
        <v>1935</v>
      </c>
      <c r="D69" s="12" t="s">
        <v>17</v>
      </c>
      <c r="E69" s="12" t="s">
        <v>8110</v>
      </c>
      <c r="F69" s="12" t="s">
        <v>5460</v>
      </c>
      <c r="G69" s="12" t="s">
        <v>1914</v>
      </c>
      <c r="H69" s="12" t="s">
        <v>6614</v>
      </c>
      <c r="I69" s="12">
        <v>4753</v>
      </c>
      <c r="J69" s="12" t="s">
        <v>1936</v>
      </c>
      <c r="K69" s="12" t="s">
        <v>6651</v>
      </c>
      <c r="L69" s="12" t="s">
        <v>1915</v>
      </c>
      <c r="M69" s="12" t="s">
        <v>1928</v>
      </c>
      <c r="N69" s="12" t="s">
        <v>5785</v>
      </c>
      <c r="O69" s="12" t="s">
        <v>1930</v>
      </c>
      <c r="P69" s="12" t="s">
        <v>1931</v>
      </c>
      <c r="Q69" s="12" t="s">
        <v>6650</v>
      </c>
      <c r="R69" s="12">
        <v>49.557777777777773</v>
      </c>
      <c r="S69" s="12">
        <v>27.688611111111111</v>
      </c>
      <c r="T69" s="12" t="s">
        <v>11</v>
      </c>
      <c r="U69" s="12" t="s">
        <v>17</v>
      </c>
      <c r="V69" s="12" t="s">
        <v>1937</v>
      </c>
      <c r="W69" s="12" t="s">
        <v>7160</v>
      </c>
      <c r="X69" s="12">
        <v>4.3019999999999996</v>
      </c>
      <c r="Y69" s="12">
        <v>900165</v>
      </c>
      <c r="Z69" s="12" t="s">
        <v>17</v>
      </c>
      <c r="AA69" s="12" t="s">
        <v>17</v>
      </c>
      <c r="AB69" s="12" t="s">
        <v>17</v>
      </c>
      <c r="AC69" s="12" t="s">
        <v>21</v>
      </c>
      <c r="AD69" s="12" t="s">
        <v>17</v>
      </c>
      <c r="AE69" s="12" t="s">
        <v>17</v>
      </c>
      <c r="AF69" s="12" t="s">
        <v>45</v>
      </c>
    </row>
    <row r="70" spans="1:32" x14ac:dyDescent="0.2">
      <c r="A70" s="12" t="s">
        <v>1933</v>
      </c>
      <c r="B70" s="12" t="s">
        <v>1933</v>
      </c>
      <c r="C70" s="12" t="s">
        <v>1933</v>
      </c>
      <c r="D70" s="12" t="s">
        <v>17</v>
      </c>
      <c r="E70" s="12" t="s">
        <v>8110</v>
      </c>
      <c r="F70" s="12" t="s">
        <v>5460</v>
      </c>
      <c r="G70" s="12" t="s">
        <v>1914</v>
      </c>
      <c r="H70" s="12" t="s">
        <v>6614</v>
      </c>
      <c r="I70" s="12">
        <v>4752</v>
      </c>
      <c r="J70" s="12" t="s">
        <v>1934</v>
      </c>
      <c r="K70" s="12" t="s">
        <v>6651</v>
      </c>
      <c r="L70" s="12" t="s">
        <v>1915</v>
      </c>
      <c r="M70" s="12" t="s">
        <v>1928</v>
      </c>
      <c r="N70" s="12" t="s">
        <v>5785</v>
      </c>
      <c r="O70" s="12" t="s">
        <v>1930</v>
      </c>
      <c r="P70" s="12" t="s">
        <v>1931</v>
      </c>
      <c r="Q70" s="12" t="s">
        <v>6650</v>
      </c>
      <c r="R70" s="12">
        <v>49.557777777777773</v>
      </c>
      <c r="S70" s="12">
        <v>27.688611111111111</v>
      </c>
      <c r="T70" s="12" t="s">
        <v>25</v>
      </c>
      <c r="U70" s="12" t="s">
        <v>17</v>
      </c>
      <c r="V70" s="12" t="s">
        <v>6639</v>
      </c>
      <c r="W70" s="12" t="s">
        <v>6639</v>
      </c>
      <c r="X70" s="12">
        <v>4.6349999999999998</v>
      </c>
      <c r="Y70" s="12">
        <v>869552</v>
      </c>
      <c r="Z70" s="12" t="s">
        <v>6639</v>
      </c>
      <c r="AA70" s="12" t="s">
        <v>6639</v>
      </c>
      <c r="AB70" s="12" t="s">
        <v>17</v>
      </c>
      <c r="AC70" s="12" t="s">
        <v>21</v>
      </c>
      <c r="AD70" s="12" t="s">
        <v>17</v>
      </c>
      <c r="AE70" s="12" t="s">
        <v>17</v>
      </c>
      <c r="AF70" s="12" t="s">
        <v>45</v>
      </c>
    </row>
    <row r="71" spans="1:32" x14ac:dyDescent="0.2">
      <c r="A71" s="12" t="s">
        <v>1927</v>
      </c>
      <c r="B71" s="12" t="s">
        <v>1927</v>
      </c>
      <c r="C71" s="12" t="s">
        <v>1927</v>
      </c>
      <c r="D71" s="12" t="s">
        <v>17</v>
      </c>
      <c r="E71" s="12" t="s">
        <v>8110</v>
      </c>
      <c r="F71" s="12" t="s">
        <v>5460</v>
      </c>
      <c r="G71" s="12" t="s">
        <v>1914</v>
      </c>
      <c r="H71" s="12" t="s">
        <v>6614</v>
      </c>
      <c r="I71" s="12">
        <v>4752</v>
      </c>
      <c r="J71" s="12" t="s">
        <v>1929</v>
      </c>
      <c r="K71" s="12" t="s">
        <v>6651</v>
      </c>
      <c r="L71" s="12" t="s">
        <v>1915</v>
      </c>
      <c r="M71" s="12" t="s">
        <v>1928</v>
      </c>
      <c r="N71" s="12" t="s">
        <v>5785</v>
      </c>
      <c r="O71" s="12" t="s">
        <v>1930</v>
      </c>
      <c r="P71" s="12" t="s">
        <v>1931</v>
      </c>
      <c r="Q71" s="12" t="s">
        <v>6650</v>
      </c>
      <c r="R71" s="12">
        <v>49.557777777777773</v>
      </c>
      <c r="S71" s="12">
        <v>27.688611111111111</v>
      </c>
      <c r="T71" s="12" t="s">
        <v>11</v>
      </c>
      <c r="U71" s="12" t="s">
        <v>17</v>
      </c>
      <c r="V71" s="12" t="s">
        <v>1932</v>
      </c>
      <c r="W71" s="12" t="s">
        <v>7160</v>
      </c>
      <c r="X71" s="12">
        <v>5.3360000000000003</v>
      </c>
      <c r="Y71" s="12">
        <v>926361</v>
      </c>
      <c r="Z71" s="12" t="s">
        <v>17</v>
      </c>
      <c r="AA71" s="12" t="s">
        <v>17</v>
      </c>
      <c r="AB71" s="12" t="s">
        <v>17</v>
      </c>
      <c r="AC71" s="12" t="s">
        <v>21</v>
      </c>
      <c r="AD71" s="12" t="s">
        <v>17</v>
      </c>
      <c r="AE71" s="12" t="s">
        <v>17</v>
      </c>
      <c r="AF71" s="12" t="s">
        <v>45</v>
      </c>
    </row>
    <row r="72" spans="1:32" x14ac:dyDescent="0.2">
      <c r="A72" s="12" t="s">
        <v>517</v>
      </c>
      <c r="B72" s="12" t="s">
        <v>517</v>
      </c>
      <c r="C72" s="12" t="s">
        <v>520</v>
      </c>
      <c r="D72" s="12" t="s">
        <v>13</v>
      </c>
      <c r="E72" s="12" t="s">
        <v>8110</v>
      </c>
      <c r="F72" s="12" t="s">
        <v>5460</v>
      </c>
      <c r="G72" s="12" t="s">
        <v>518</v>
      </c>
      <c r="H72" s="12" t="s">
        <v>6614</v>
      </c>
      <c r="I72" s="12">
        <v>4750</v>
      </c>
      <c r="J72" s="12" t="s">
        <v>522</v>
      </c>
      <c r="K72" s="12" t="s">
        <v>6651</v>
      </c>
      <c r="L72" s="12" t="s">
        <v>519</v>
      </c>
      <c r="M72" s="12" t="s">
        <v>519</v>
      </c>
      <c r="N72" s="12" t="s">
        <v>5785</v>
      </c>
      <c r="O72" s="12" t="s">
        <v>523</v>
      </c>
      <c r="P72" s="12" t="s">
        <v>524</v>
      </c>
      <c r="Q72" s="12" t="s">
        <v>6650</v>
      </c>
      <c r="R72" s="12">
        <v>47.167000000000002</v>
      </c>
      <c r="S72" s="12">
        <v>19.832999999999998</v>
      </c>
      <c r="T72" s="12" t="s">
        <v>25</v>
      </c>
      <c r="U72" s="12" t="s">
        <v>179</v>
      </c>
      <c r="V72" s="12" t="s">
        <v>6639</v>
      </c>
      <c r="W72" s="12" t="s">
        <v>6639</v>
      </c>
      <c r="X72" s="12">
        <v>4.5629999999999997</v>
      </c>
      <c r="Y72" s="12">
        <v>813947</v>
      </c>
      <c r="Z72" s="12" t="s">
        <v>6639</v>
      </c>
      <c r="AA72" s="12" t="s">
        <v>6639</v>
      </c>
      <c r="AB72" s="12" t="s">
        <v>521</v>
      </c>
      <c r="AC72" s="12" t="s">
        <v>21</v>
      </c>
      <c r="AD72" s="12">
        <v>0.112</v>
      </c>
      <c r="AE72" s="12">
        <v>0.99</v>
      </c>
      <c r="AF72" s="12" t="s">
        <v>45</v>
      </c>
    </row>
    <row r="73" spans="1:32" x14ac:dyDescent="0.2">
      <c r="A73" s="12" t="s">
        <v>1913</v>
      </c>
      <c r="B73" s="12" t="s">
        <v>1913</v>
      </c>
      <c r="C73" s="12">
        <v>3.4</v>
      </c>
      <c r="D73" s="12" t="s">
        <v>105</v>
      </c>
      <c r="E73" s="12" t="s">
        <v>8110</v>
      </c>
      <c r="F73" s="12" t="s">
        <v>5460</v>
      </c>
      <c r="G73" s="12" t="s">
        <v>1914</v>
      </c>
      <c r="H73" s="12" t="s">
        <v>6614</v>
      </c>
      <c r="I73" s="12">
        <v>4673</v>
      </c>
      <c r="J73" s="12" t="s">
        <v>1917</v>
      </c>
      <c r="K73" s="12" t="s">
        <v>6651</v>
      </c>
      <c r="L73" s="12" t="s">
        <v>1915</v>
      </c>
      <c r="M73" s="12" t="s">
        <v>1915</v>
      </c>
      <c r="N73" s="12" t="s">
        <v>5785</v>
      </c>
      <c r="O73" s="12" t="s">
        <v>1918</v>
      </c>
      <c r="P73" s="12" t="s">
        <v>1919</v>
      </c>
      <c r="Q73" s="12" t="s">
        <v>6650</v>
      </c>
      <c r="R73" s="12">
        <v>52.85</v>
      </c>
      <c r="S73" s="12">
        <v>17.883333329999999</v>
      </c>
      <c r="T73" s="12" t="s">
        <v>11</v>
      </c>
      <c r="U73" s="12" t="s">
        <v>1920</v>
      </c>
      <c r="V73" s="12" t="s">
        <v>1932</v>
      </c>
      <c r="W73" s="12" t="s">
        <v>7160</v>
      </c>
      <c r="X73" s="12">
        <v>0.318</v>
      </c>
      <c r="Y73" s="12">
        <v>290049</v>
      </c>
      <c r="Z73" s="12" t="s">
        <v>17</v>
      </c>
      <c r="AA73" s="12" t="s">
        <v>17</v>
      </c>
      <c r="AB73" s="12" t="s">
        <v>1916</v>
      </c>
      <c r="AC73" s="12" t="s">
        <v>21</v>
      </c>
      <c r="AD73" s="12">
        <v>7.3999999999999996E-2</v>
      </c>
      <c r="AE73" s="12">
        <v>0.98899999999999999</v>
      </c>
      <c r="AF73" s="12" t="s">
        <v>45</v>
      </c>
    </row>
    <row r="74" spans="1:32" x14ac:dyDescent="0.2">
      <c r="A74" s="12" t="s">
        <v>4942</v>
      </c>
      <c r="B74" s="12" t="s">
        <v>4942</v>
      </c>
      <c r="C74" s="12" t="s">
        <v>4943</v>
      </c>
      <c r="D74" s="12" t="s">
        <v>13</v>
      </c>
      <c r="E74" s="12" t="s">
        <v>8110</v>
      </c>
      <c r="F74" s="12" t="s">
        <v>5460</v>
      </c>
      <c r="G74" s="12" t="s">
        <v>1914</v>
      </c>
      <c r="H74" s="12" t="s">
        <v>6614</v>
      </c>
      <c r="I74" s="12">
        <v>10835</v>
      </c>
      <c r="J74" s="12" t="s">
        <v>4945</v>
      </c>
      <c r="K74" s="12" t="s">
        <v>6657</v>
      </c>
      <c r="L74" s="12" t="s">
        <v>4818</v>
      </c>
      <c r="M74" s="12" t="s">
        <v>4817</v>
      </c>
      <c r="N74" s="12" t="s">
        <v>5785</v>
      </c>
      <c r="O74" s="12" t="s">
        <v>4877</v>
      </c>
      <c r="P74" s="12" t="s">
        <v>4823</v>
      </c>
      <c r="Q74" s="12" t="s">
        <v>6650</v>
      </c>
      <c r="R74" s="12">
        <v>44.595878999999996</v>
      </c>
      <c r="S74" s="12">
        <v>22.010567999999999</v>
      </c>
      <c r="T74" s="12" t="s">
        <v>11</v>
      </c>
      <c r="U74" s="12" t="s">
        <v>1351</v>
      </c>
      <c r="V74" s="12" t="s">
        <v>5762</v>
      </c>
      <c r="W74" s="12" t="s">
        <v>7160</v>
      </c>
      <c r="X74" s="12">
        <v>2.9769999999999999</v>
      </c>
      <c r="Y74" s="12">
        <v>838984</v>
      </c>
      <c r="Z74" s="12" t="s">
        <v>17</v>
      </c>
      <c r="AA74" s="12" t="s">
        <v>17</v>
      </c>
      <c r="AB74" s="12" t="s">
        <v>4944</v>
      </c>
      <c r="AC74" s="12" t="s">
        <v>21</v>
      </c>
      <c r="AD74" s="12">
        <v>0.13200000000000001</v>
      </c>
      <c r="AE74" s="12">
        <v>0.98599999999999999</v>
      </c>
      <c r="AF74" s="12" t="s">
        <v>436</v>
      </c>
    </row>
    <row r="75" spans="1:32" x14ac:dyDescent="0.2">
      <c r="A75" s="12" t="s">
        <v>4891</v>
      </c>
      <c r="B75" s="12" t="s">
        <v>4891</v>
      </c>
      <c r="C75" s="12" t="s">
        <v>4892</v>
      </c>
      <c r="D75" s="12" t="s">
        <v>13</v>
      </c>
      <c r="E75" s="12" t="s">
        <v>8110</v>
      </c>
      <c r="F75" s="12" t="s">
        <v>5460</v>
      </c>
      <c r="G75" s="12" t="s">
        <v>1914</v>
      </c>
      <c r="H75" s="12" t="s">
        <v>6614</v>
      </c>
      <c r="I75" s="12">
        <v>10805</v>
      </c>
      <c r="J75" s="12" t="s">
        <v>4894</v>
      </c>
      <c r="K75" s="12" t="s">
        <v>6657</v>
      </c>
      <c r="L75" s="12" t="s">
        <v>4818</v>
      </c>
      <c r="M75" s="12" t="s">
        <v>4817</v>
      </c>
      <c r="N75" s="12" t="s">
        <v>5785</v>
      </c>
      <c r="O75" s="12" t="s">
        <v>4877</v>
      </c>
      <c r="P75" s="12" t="s">
        <v>4823</v>
      </c>
      <c r="Q75" s="12" t="s">
        <v>6650</v>
      </c>
      <c r="R75" s="12">
        <v>44.595878999999996</v>
      </c>
      <c r="S75" s="12">
        <v>22.010567999999999</v>
      </c>
      <c r="T75" s="12" t="s">
        <v>11</v>
      </c>
      <c r="U75" s="12" t="s">
        <v>2782</v>
      </c>
      <c r="V75" s="12" t="s">
        <v>5762</v>
      </c>
      <c r="W75" s="12" t="s">
        <v>7160</v>
      </c>
      <c r="X75" s="12">
        <v>2.6749999999999998</v>
      </c>
      <c r="Y75" s="12">
        <v>826331</v>
      </c>
      <c r="Z75" s="12" t="s">
        <v>17</v>
      </c>
      <c r="AA75" s="12" t="s">
        <v>17</v>
      </c>
      <c r="AB75" s="12" t="s">
        <v>4893</v>
      </c>
      <c r="AC75" s="12" t="s">
        <v>21</v>
      </c>
      <c r="AD75" s="12">
        <v>0.129</v>
      </c>
      <c r="AE75" s="12">
        <v>0.98599999999999999</v>
      </c>
      <c r="AF75" s="12" t="s">
        <v>111</v>
      </c>
    </row>
    <row r="76" spans="1:32" x14ac:dyDescent="0.2">
      <c r="A76" s="12" t="s">
        <v>4886</v>
      </c>
      <c r="B76" s="12" t="s">
        <v>4886</v>
      </c>
      <c r="C76" s="12" t="s">
        <v>4887</v>
      </c>
      <c r="D76" s="12" t="s">
        <v>13</v>
      </c>
      <c r="E76" s="12" t="s">
        <v>8110</v>
      </c>
      <c r="F76" s="12" t="s">
        <v>5460</v>
      </c>
      <c r="G76" s="12" t="s">
        <v>1914</v>
      </c>
      <c r="H76" s="12" t="s">
        <v>6614</v>
      </c>
      <c r="I76" s="12">
        <v>10785</v>
      </c>
      <c r="J76" s="12" t="s">
        <v>4889</v>
      </c>
      <c r="K76" s="12" t="s">
        <v>6657</v>
      </c>
      <c r="L76" s="12" t="s">
        <v>4818</v>
      </c>
      <c r="M76" s="12" t="s">
        <v>4817</v>
      </c>
      <c r="N76" s="12" t="s">
        <v>5785</v>
      </c>
      <c r="O76" s="12" t="s">
        <v>4877</v>
      </c>
      <c r="P76" s="12" t="s">
        <v>4823</v>
      </c>
      <c r="Q76" s="12" t="s">
        <v>6650</v>
      </c>
      <c r="R76" s="16">
        <v>44.595878999999996</v>
      </c>
      <c r="S76" s="16">
        <v>22.010567999999999</v>
      </c>
      <c r="T76" s="12" t="s">
        <v>25</v>
      </c>
      <c r="U76" s="12" t="s">
        <v>4890</v>
      </c>
      <c r="V76" s="12" t="s">
        <v>6639</v>
      </c>
      <c r="W76" s="12" t="s">
        <v>6639</v>
      </c>
      <c r="X76" s="12">
        <v>2.931</v>
      </c>
      <c r="Y76" s="12">
        <v>809448</v>
      </c>
      <c r="Z76" s="12" t="s">
        <v>6639</v>
      </c>
      <c r="AA76" s="12" t="s">
        <v>6639</v>
      </c>
      <c r="AB76" s="12" t="s">
        <v>4888</v>
      </c>
      <c r="AC76" s="12" t="s">
        <v>21</v>
      </c>
      <c r="AD76" s="12">
        <v>0.15</v>
      </c>
      <c r="AE76" s="12">
        <v>0.98899999999999999</v>
      </c>
      <c r="AF76" s="12" t="s">
        <v>45</v>
      </c>
    </row>
    <row r="77" spans="1:32" x14ac:dyDescent="0.2">
      <c r="A77" s="12" t="s">
        <v>4882</v>
      </c>
      <c r="B77" s="12" t="s">
        <v>4882</v>
      </c>
      <c r="C77" s="12" t="s">
        <v>4883</v>
      </c>
      <c r="D77" s="12" t="s">
        <v>13</v>
      </c>
      <c r="E77" s="12" t="s">
        <v>8110</v>
      </c>
      <c r="F77" s="12" t="s">
        <v>5460</v>
      </c>
      <c r="G77" s="12" t="s">
        <v>1914</v>
      </c>
      <c r="H77" s="12" t="s">
        <v>6614</v>
      </c>
      <c r="I77" s="12">
        <v>10530</v>
      </c>
      <c r="J77" s="12" t="s">
        <v>4885</v>
      </c>
      <c r="K77" s="12" t="s">
        <v>6657</v>
      </c>
      <c r="L77" s="12" t="s">
        <v>4818</v>
      </c>
      <c r="M77" s="12" t="s">
        <v>4817</v>
      </c>
      <c r="N77" s="12" t="s">
        <v>5785</v>
      </c>
      <c r="O77" s="12" t="s">
        <v>4877</v>
      </c>
      <c r="P77" s="12" t="s">
        <v>4823</v>
      </c>
      <c r="Q77" s="12" t="s">
        <v>6650</v>
      </c>
      <c r="R77" s="12">
        <v>44.595878999999996</v>
      </c>
      <c r="S77" s="12">
        <v>22.010567999999999</v>
      </c>
      <c r="T77" s="12" t="s">
        <v>25</v>
      </c>
      <c r="U77" s="12" t="s">
        <v>538</v>
      </c>
      <c r="V77" s="12" t="s">
        <v>6639</v>
      </c>
      <c r="W77" s="12" t="s">
        <v>6639</v>
      </c>
      <c r="X77" s="12">
        <v>2.8140000000000001</v>
      </c>
      <c r="Y77" s="12">
        <v>836819</v>
      </c>
      <c r="Z77" s="12" t="s">
        <v>6639</v>
      </c>
      <c r="AA77" s="12" t="s">
        <v>6639</v>
      </c>
      <c r="AB77" s="12" t="s">
        <v>4884</v>
      </c>
      <c r="AC77" s="12" t="s">
        <v>21</v>
      </c>
      <c r="AD77" s="12">
        <v>0.13700000000000001</v>
      </c>
      <c r="AE77" s="12">
        <v>0.99199999999999999</v>
      </c>
      <c r="AF77" s="12" t="s">
        <v>45</v>
      </c>
    </row>
    <row r="78" spans="1:32" x14ac:dyDescent="0.2">
      <c r="A78" s="12" t="s">
        <v>4878</v>
      </c>
      <c r="B78" s="12" t="s">
        <v>4878</v>
      </c>
      <c r="C78" s="12" t="s">
        <v>4879</v>
      </c>
      <c r="D78" s="12" t="s">
        <v>13</v>
      </c>
      <c r="E78" s="12" t="s">
        <v>8110</v>
      </c>
      <c r="F78" s="12" t="s">
        <v>5460</v>
      </c>
      <c r="G78" s="12" t="s">
        <v>1914</v>
      </c>
      <c r="H78" s="12" t="s">
        <v>6614</v>
      </c>
      <c r="I78" s="12">
        <v>10333</v>
      </c>
      <c r="J78" s="12" t="s">
        <v>4881</v>
      </c>
      <c r="K78" s="12" t="s">
        <v>6657</v>
      </c>
      <c r="L78" s="12" t="s">
        <v>4818</v>
      </c>
      <c r="M78" s="12" t="s">
        <v>4817</v>
      </c>
      <c r="N78" s="12" t="s">
        <v>5785</v>
      </c>
      <c r="O78" s="12" t="s">
        <v>4877</v>
      </c>
      <c r="P78" s="12" t="s">
        <v>4823</v>
      </c>
      <c r="Q78" s="12" t="s">
        <v>6650</v>
      </c>
      <c r="R78" s="12">
        <v>44.595878999999996</v>
      </c>
      <c r="S78" s="12">
        <v>22.010567999999999</v>
      </c>
      <c r="T78" s="12" t="s">
        <v>25</v>
      </c>
      <c r="U78" s="12" t="s">
        <v>2786</v>
      </c>
      <c r="V78" s="12" t="s">
        <v>6639</v>
      </c>
      <c r="W78" s="12" t="s">
        <v>6639</v>
      </c>
      <c r="X78" s="12">
        <v>2.7080000000000002</v>
      </c>
      <c r="Y78" s="12">
        <v>809534</v>
      </c>
      <c r="Z78" s="12" t="s">
        <v>6639</v>
      </c>
      <c r="AA78" s="12" t="s">
        <v>6639</v>
      </c>
      <c r="AB78" s="12" t="s">
        <v>4880</v>
      </c>
      <c r="AC78" s="12" t="s">
        <v>21</v>
      </c>
      <c r="AD78" s="12">
        <v>0.158</v>
      </c>
      <c r="AE78" s="12">
        <v>0.98699999999999999</v>
      </c>
      <c r="AF78" s="12" t="s">
        <v>45</v>
      </c>
    </row>
    <row r="79" spans="1:32" x14ac:dyDescent="0.2">
      <c r="A79" s="12" t="s">
        <v>4938</v>
      </c>
      <c r="B79" s="12" t="s">
        <v>4938</v>
      </c>
      <c r="C79" s="12" t="s">
        <v>4939</v>
      </c>
      <c r="D79" s="12" t="s">
        <v>13</v>
      </c>
      <c r="E79" s="12" t="s">
        <v>8110</v>
      </c>
      <c r="F79" s="12" t="s">
        <v>5460</v>
      </c>
      <c r="G79" s="12" t="s">
        <v>1914</v>
      </c>
      <c r="H79" s="12" t="s">
        <v>6614</v>
      </c>
      <c r="I79" s="12">
        <v>10008</v>
      </c>
      <c r="J79" s="12" t="s">
        <v>4941</v>
      </c>
      <c r="K79" s="12" t="s">
        <v>6657</v>
      </c>
      <c r="L79" s="12" t="s">
        <v>4818</v>
      </c>
      <c r="M79" s="12" t="s">
        <v>4817</v>
      </c>
      <c r="N79" s="12" t="s">
        <v>5785</v>
      </c>
      <c r="O79" s="12" t="s">
        <v>4877</v>
      </c>
      <c r="P79" s="12" t="s">
        <v>4823</v>
      </c>
      <c r="Q79" s="12" t="s">
        <v>6650</v>
      </c>
      <c r="R79" s="12">
        <v>44.595878999999996</v>
      </c>
      <c r="S79" s="12">
        <v>22.010567999999999</v>
      </c>
      <c r="T79" s="12" t="s">
        <v>11</v>
      </c>
      <c r="U79" s="12" t="s">
        <v>2786</v>
      </c>
      <c r="V79" s="12" t="s">
        <v>584</v>
      </c>
      <c r="W79" s="12" t="s">
        <v>7160</v>
      </c>
      <c r="X79" s="12">
        <v>2.9220000000000002</v>
      </c>
      <c r="Y79" s="12">
        <v>840166</v>
      </c>
      <c r="Z79" s="12" t="s">
        <v>17</v>
      </c>
      <c r="AA79" s="12" t="s">
        <v>17</v>
      </c>
      <c r="AB79" s="12" t="s">
        <v>4940</v>
      </c>
      <c r="AC79" s="12" t="s">
        <v>21</v>
      </c>
      <c r="AD79" s="12">
        <v>0.124</v>
      </c>
      <c r="AE79" s="12">
        <v>0.98399999999999999</v>
      </c>
      <c r="AF79" s="12" t="s">
        <v>45</v>
      </c>
    </row>
    <row r="80" spans="1:32" x14ac:dyDescent="0.2">
      <c r="A80" s="12" t="s">
        <v>4873</v>
      </c>
      <c r="B80" s="12" t="s">
        <v>4873</v>
      </c>
      <c r="C80" s="12" t="s">
        <v>4874</v>
      </c>
      <c r="D80" s="12" t="s">
        <v>13</v>
      </c>
      <c r="E80" s="12" t="s">
        <v>8110</v>
      </c>
      <c r="F80" s="12" t="s">
        <v>5460</v>
      </c>
      <c r="G80" s="12" t="s">
        <v>1914</v>
      </c>
      <c r="H80" s="12" t="s">
        <v>6614</v>
      </c>
      <c r="I80" s="12">
        <v>9993</v>
      </c>
      <c r="J80" s="12" t="s">
        <v>4876</v>
      </c>
      <c r="K80" s="12" t="s">
        <v>6657</v>
      </c>
      <c r="L80" s="12" t="s">
        <v>4818</v>
      </c>
      <c r="M80" s="12" t="s">
        <v>4817</v>
      </c>
      <c r="N80" s="12" t="s">
        <v>5785</v>
      </c>
      <c r="O80" s="12" t="s">
        <v>4877</v>
      </c>
      <c r="P80" s="12" t="s">
        <v>4823</v>
      </c>
      <c r="Q80" s="12" t="s">
        <v>6650</v>
      </c>
      <c r="R80" s="12">
        <v>44.595878999999996</v>
      </c>
      <c r="S80" s="12">
        <v>22.010567999999999</v>
      </c>
      <c r="T80" s="12" t="s">
        <v>25</v>
      </c>
      <c r="U80" s="12" t="s">
        <v>4864</v>
      </c>
      <c r="V80" s="12" t="s">
        <v>6639</v>
      </c>
      <c r="W80" s="12" t="s">
        <v>6639</v>
      </c>
      <c r="X80" s="12">
        <v>2.6960000000000002</v>
      </c>
      <c r="Y80" s="12">
        <v>823422</v>
      </c>
      <c r="Z80" s="12" t="s">
        <v>6639</v>
      </c>
      <c r="AA80" s="12" t="s">
        <v>6639</v>
      </c>
      <c r="AB80" s="12" t="s">
        <v>4875</v>
      </c>
      <c r="AC80" s="12" t="s">
        <v>21</v>
      </c>
      <c r="AD80" s="12">
        <v>0.125</v>
      </c>
      <c r="AE80" s="12">
        <v>0.99199999999999999</v>
      </c>
      <c r="AF80" s="12" t="s">
        <v>45</v>
      </c>
    </row>
    <row r="81" spans="1:32" x14ac:dyDescent="0.2">
      <c r="A81" s="12" t="s">
        <v>4960</v>
      </c>
      <c r="B81" s="12" t="s">
        <v>4960</v>
      </c>
      <c r="C81" s="12" t="s">
        <v>4961</v>
      </c>
      <c r="D81" s="12" t="s">
        <v>13</v>
      </c>
      <c r="E81" s="12" t="s">
        <v>8110</v>
      </c>
      <c r="F81" s="12" t="s">
        <v>5458</v>
      </c>
      <c r="G81" s="12" t="s">
        <v>1914</v>
      </c>
      <c r="H81" s="12" t="s">
        <v>6614</v>
      </c>
      <c r="I81" s="12">
        <v>9800</v>
      </c>
      <c r="J81" s="12" t="s">
        <v>4963</v>
      </c>
      <c r="K81" s="12" t="s">
        <v>6657</v>
      </c>
      <c r="L81" s="12" t="s">
        <v>4818</v>
      </c>
      <c r="M81" s="12" t="s">
        <v>4817</v>
      </c>
      <c r="N81" s="12" t="s">
        <v>5785</v>
      </c>
      <c r="O81" s="12" t="s">
        <v>4877</v>
      </c>
      <c r="P81" s="12" t="s">
        <v>4823</v>
      </c>
      <c r="Q81" s="12" t="s">
        <v>6650</v>
      </c>
      <c r="R81" s="12">
        <v>44.595878999999996</v>
      </c>
      <c r="S81" s="12">
        <v>22.010567999999999</v>
      </c>
      <c r="T81" s="12" t="s">
        <v>25</v>
      </c>
      <c r="U81" s="12" t="s">
        <v>407</v>
      </c>
      <c r="V81" s="12" t="s">
        <v>6639</v>
      </c>
      <c r="W81" s="12" t="s">
        <v>6639</v>
      </c>
      <c r="X81" s="12">
        <v>1.3620000000000001</v>
      </c>
      <c r="Y81" s="12">
        <v>708929</v>
      </c>
      <c r="Z81" s="12" t="s">
        <v>6639</v>
      </c>
      <c r="AA81" s="12" t="s">
        <v>6639</v>
      </c>
      <c r="AB81" s="12" t="s">
        <v>4962</v>
      </c>
      <c r="AC81" s="12" t="s">
        <v>21</v>
      </c>
      <c r="AD81" s="12">
        <v>0.14699999999999999</v>
      </c>
      <c r="AE81" s="12">
        <v>0.99099999999999999</v>
      </c>
      <c r="AF81" s="12" t="s">
        <v>45</v>
      </c>
    </row>
    <row r="82" spans="1:32" x14ac:dyDescent="0.2">
      <c r="A82" s="12" t="s">
        <v>4964</v>
      </c>
      <c r="B82" s="12" t="s">
        <v>4964</v>
      </c>
      <c r="C82" s="12" t="s">
        <v>4965</v>
      </c>
      <c r="D82" s="12" t="s">
        <v>13</v>
      </c>
      <c r="E82" s="12" t="s">
        <v>8110</v>
      </c>
      <c r="F82" s="12" t="s">
        <v>5458</v>
      </c>
      <c r="G82" s="12" t="s">
        <v>1914</v>
      </c>
      <c r="H82" s="12" t="s">
        <v>6614</v>
      </c>
      <c r="I82" s="12">
        <v>9800</v>
      </c>
      <c r="J82" s="12" t="s">
        <v>4963</v>
      </c>
      <c r="K82" s="12" t="s">
        <v>6657</v>
      </c>
      <c r="L82" s="12" t="s">
        <v>4818</v>
      </c>
      <c r="M82" s="12" t="s">
        <v>4817</v>
      </c>
      <c r="N82" s="12" t="s">
        <v>5785</v>
      </c>
      <c r="O82" s="12" t="s">
        <v>4877</v>
      </c>
      <c r="P82" s="12" t="s">
        <v>4823</v>
      </c>
      <c r="Q82" s="12" t="s">
        <v>6650</v>
      </c>
      <c r="R82" s="12">
        <v>44.595878999999996</v>
      </c>
      <c r="S82" s="12">
        <v>22.010567999999999</v>
      </c>
      <c r="T82" s="12" t="s">
        <v>11</v>
      </c>
      <c r="U82" s="12" t="s">
        <v>4899</v>
      </c>
      <c r="V82" s="12" t="s">
        <v>5762</v>
      </c>
      <c r="W82" s="12" t="s">
        <v>7160</v>
      </c>
      <c r="X82" s="12">
        <v>3.0880000000000001</v>
      </c>
      <c r="Y82" s="12">
        <v>842513</v>
      </c>
      <c r="Z82" s="12" t="s">
        <v>17</v>
      </c>
      <c r="AA82" s="12" t="s">
        <v>17</v>
      </c>
      <c r="AB82" s="12" t="s">
        <v>4966</v>
      </c>
      <c r="AC82" s="12" t="s">
        <v>21</v>
      </c>
      <c r="AD82" s="12">
        <v>0.151</v>
      </c>
      <c r="AE82" s="12">
        <v>0.99</v>
      </c>
      <c r="AF82" s="12" t="s">
        <v>328</v>
      </c>
    </row>
    <row r="83" spans="1:32" x14ac:dyDescent="0.2">
      <c r="A83" s="12" t="s">
        <v>4967</v>
      </c>
      <c r="B83" s="12" t="s">
        <v>4967</v>
      </c>
      <c r="C83" s="12" t="s">
        <v>4968</v>
      </c>
      <c r="D83" s="12" t="s">
        <v>347</v>
      </c>
      <c r="E83" s="12" t="s">
        <v>8110</v>
      </c>
      <c r="F83" s="12" t="s">
        <v>5458</v>
      </c>
      <c r="G83" s="12" t="s">
        <v>1914</v>
      </c>
      <c r="H83" s="12" t="s">
        <v>6614</v>
      </c>
      <c r="I83" s="12">
        <v>9800</v>
      </c>
      <c r="J83" s="12" t="s">
        <v>4970</v>
      </c>
      <c r="K83" s="12" t="s">
        <v>6657</v>
      </c>
      <c r="L83" s="12" t="s">
        <v>4818</v>
      </c>
      <c r="M83" s="12" t="s">
        <v>4817</v>
      </c>
      <c r="N83" s="12" t="s">
        <v>5785</v>
      </c>
      <c r="O83" s="12" t="s">
        <v>4971</v>
      </c>
      <c r="P83" s="12" t="s">
        <v>4823</v>
      </c>
      <c r="Q83" s="12" t="s">
        <v>6650</v>
      </c>
      <c r="R83" s="12">
        <v>44.552923999999997</v>
      </c>
      <c r="S83" s="12">
        <v>22.027563000000001</v>
      </c>
      <c r="T83" s="12" t="s">
        <v>25</v>
      </c>
      <c r="U83" s="12" t="s">
        <v>4937</v>
      </c>
      <c r="V83" s="12" t="s">
        <v>6639</v>
      </c>
      <c r="W83" s="12" t="s">
        <v>6639</v>
      </c>
      <c r="X83" s="12">
        <v>2.1629999999999998</v>
      </c>
      <c r="Y83" s="12">
        <v>850240</v>
      </c>
      <c r="Z83" s="12" t="s">
        <v>6639</v>
      </c>
      <c r="AA83" s="12" t="s">
        <v>6639</v>
      </c>
      <c r="AB83" s="12" t="s">
        <v>4969</v>
      </c>
      <c r="AC83" s="12" t="s">
        <v>21</v>
      </c>
      <c r="AD83" s="12">
        <v>5.5E-2</v>
      </c>
      <c r="AE83" s="12">
        <v>1</v>
      </c>
      <c r="AF83" s="12" t="s">
        <v>45</v>
      </c>
    </row>
    <row r="84" spans="1:32" x14ac:dyDescent="0.2">
      <c r="A84" s="12" t="s">
        <v>4869</v>
      </c>
      <c r="B84" s="12" t="s">
        <v>4869</v>
      </c>
      <c r="C84" s="12" t="s">
        <v>4870</v>
      </c>
      <c r="D84" s="12" t="s">
        <v>105</v>
      </c>
      <c r="E84" s="12" t="s">
        <v>8110</v>
      </c>
      <c r="F84" s="12" t="s">
        <v>5460</v>
      </c>
      <c r="G84" s="12" t="s">
        <v>1914</v>
      </c>
      <c r="H84" s="12" t="s">
        <v>6614</v>
      </c>
      <c r="I84" s="12">
        <v>9713</v>
      </c>
      <c r="J84" s="12" t="s">
        <v>4872</v>
      </c>
      <c r="K84" s="12" t="s">
        <v>6657</v>
      </c>
      <c r="L84" s="12" t="s">
        <v>4818</v>
      </c>
      <c r="M84" s="12" t="s">
        <v>4817</v>
      </c>
      <c r="N84" s="12" t="s">
        <v>5785</v>
      </c>
      <c r="O84" s="12" t="s">
        <v>4822</v>
      </c>
      <c r="P84" s="12" t="s">
        <v>4823</v>
      </c>
      <c r="Q84" s="12" t="s">
        <v>6650</v>
      </c>
      <c r="R84" s="12">
        <v>44.533679999999997</v>
      </c>
      <c r="S84" s="12">
        <v>22.050319999999999</v>
      </c>
      <c r="T84" s="12" t="s">
        <v>25</v>
      </c>
      <c r="U84" s="12" t="s">
        <v>4691</v>
      </c>
      <c r="V84" s="12" t="s">
        <v>6639</v>
      </c>
      <c r="W84" s="12" t="s">
        <v>6639</v>
      </c>
      <c r="X84" s="12">
        <v>6.8425E-2</v>
      </c>
      <c r="Y84" s="12">
        <v>77342</v>
      </c>
      <c r="Z84" s="12" t="s">
        <v>6639</v>
      </c>
      <c r="AA84" s="12" t="s">
        <v>6639</v>
      </c>
      <c r="AB84" s="12" t="s">
        <v>4871</v>
      </c>
      <c r="AC84" s="12" t="s">
        <v>58</v>
      </c>
      <c r="AD84" s="12" t="s">
        <v>7910</v>
      </c>
      <c r="AE84" s="12" t="s">
        <v>7704</v>
      </c>
      <c r="AF84" s="12" t="s">
        <v>45</v>
      </c>
    </row>
    <row r="85" spans="1:32" x14ac:dyDescent="0.2">
      <c r="A85" s="12" t="s">
        <v>4934</v>
      </c>
      <c r="B85" s="12" t="s">
        <v>4934</v>
      </c>
      <c r="C85" s="12" t="s">
        <v>4935</v>
      </c>
      <c r="D85" s="12" t="s">
        <v>33</v>
      </c>
      <c r="E85" s="12" t="s">
        <v>8110</v>
      </c>
      <c r="F85" s="12" t="s">
        <v>5460</v>
      </c>
      <c r="G85" s="12" t="s">
        <v>1914</v>
      </c>
      <c r="H85" s="12" t="s">
        <v>6614</v>
      </c>
      <c r="I85" s="12">
        <v>9335</v>
      </c>
      <c r="J85" s="12" t="s">
        <v>8154</v>
      </c>
      <c r="K85" s="12" t="s">
        <v>6657</v>
      </c>
      <c r="L85" s="12" t="s">
        <v>4818</v>
      </c>
      <c r="M85" s="12" t="s">
        <v>4817</v>
      </c>
      <c r="N85" s="12" t="s">
        <v>5785</v>
      </c>
      <c r="O85" s="12" t="s">
        <v>4859</v>
      </c>
      <c r="P85" s="12" t="s">
        <v>3732</v>
      </c>
      <c r="Q85" s="12" t="s">
        <v>6650</v>
      </c>
      <c r="R85" s="12">
        <v>44.517000000000003</v>
      </c>
      <c r="S85" s="12">
        <v>22.722000000000001</v>
      </c>
      <c r="T85" s="12" t="s">
        <v>11</v>
      </c>
      <c r="U85" s="12" t="s">
        <v>4937</v>
      </c>
      <c r="V85" s="12" t="s">
        <v>5762</v>
      </c>
      <c r="W85" s="12" t="s">
        <v>7160</v>
      </c>
      <c r="X85" s="12">
        <v>0.32600000000000001</v>
      </c>
      <c r="Y85" s="12">
        <v>311701</v>
      </c>
      <c r="Z85" s="12" t="s">
        <v>17</v>
      </c>
      <c r="AA85" s="12" t="s">
        <v>17</v>
      </c>
      <c r="AB85" s="12" t="s">
        <v>4936</v>
      </c>
      <c r="AC85" s="12" t="s">
        <v>58</v>
      </c>
      <c r="AD85" s="12" t="s">
        <v>7915</v>
      </c>
      <c r="AE85" s="12" t="s">
        <v>7739</v>
      </c>
      <c r="AF85" s="12" t="s">
        <v>45</v>
      </c>
    </row>
    <row r="86" spans="1:32" x14ac:dyDescent="0.2">
      <c r="A86" s="12" t="s">
        <v>2830</v>
      </c>
      <c r="B86" s="12" t="s">
        <v>2830</v>
      </c>
      <c r="C86" s="12" t="s">
        <v>2831</v>
      </c>
      <c r="D86" s="12" t="s">
        <v>13</v>
      </c>
      <c r="E86" s="12" t="s">
        <v>8110</v>
      </c>
      <c r="F86" s="12" t="s">
        <v>5460</v>
      </c>
      <c r="G86" s="12" t="s">
        <v>1914</v>
      </c>
      <c r="H86" s="12" t="s">
        <v>6614</v>
      </c>
      <c r="I86" s="12">
        <v>9222</v>
      </c>
      <c r="J86" s="12" t="s">
        <v>2833</v>
      </c>
      <c r="K86" s="12" t="s">
        <v>6657</v>
      </c>
      <c r="L86" s="12" t="s">
        <v>2770</v>
      </c>
      <c r="M86" s="12" t="s">
        <v>2770</v>
      </c>
      <c r="N86" s="12" t="s">
        <v>5785</v>
      </c>
      <c r="O86" s="12" t="s">
        <v>2773</v>
      </c>
      <c r="P86" s="12" t="s">
        <v>2774</v>
      </c>
      <c r="Q86" s="12" t="s">
        <v>6650</v>
      </c>
      <c r="R86" s="12">
        <v>56.283299999999997</v>
      </c>
      <c r="S86" s="12">
        <v>25.133299999999998</v>
      </c>
      <c r="T86" s="12" t="s">
        <v>11</v>
      </c>
      <c r="U86" s="12" t="s">
        <v>2804</v>
      </c>
      <c r="V86" s="12" t="s">
        <v>5763</v>
      </c>
      <c r="W86" s="12" t="s">
        <v>7160</v>
      </c>
      <c r="X86" s="12">
        <v>2.4260000000000002</v>
      </c>
      <c r="Y86" s="12">
        <v>765342</v>
      </c>
      <c r="Z86" s="12" t="s">
        <v>17</v>
      </c>
      <c r="AA86" s="12" t="s">
        <v>17</v>
      </c>
      <c r="AB86" s="12" t="s">
        <v>2832</v>
      </c>
      <c r="AC86" s="12" t="s">
        <v>21</v>
      </c>
      <c r="AD86" s="12">
        <v>8.4000000000000005E-2</v>
      </c>
      <c r="AE86" s="12">
        <v>0.98399999999999999</v>
      </c>
      <c r="AF86" s="12" t="s">
        <v>22</v>
      </c>
    </row>
    <row r="87" spans="1:32" x14ac:dyDescent="0.2">
      <c r="A87" s="12" t="s">
        <v>4930</v>
      </c>
      <c r="B87" s="12" t="s">
        <v>4930</v>
      </c>
      <c r="C87" s="12" t="s">
        <v>4931</v>
      </c>
      <c r="D87" s="12" t="s">
        <v>105</v>
      </c>
      <c r="E87" s="12" t="s">
        <v>8110</v>
      </c>
      <c r="F87" s="12" t="s">
        <v>5460</v>
      </c>
      <c r="G87" s="12" t="s">
        <v>1914</v>
      </c>
      <c r="H87" s="12" t="s">
        <v>6614</v>
      </c>
      <c r="I87" s="12">
        <v>8940</v>
      </c>
      <c r="J87" s="12" t="s">
        <v>4933</v>
      </c>
      <c r="K87" s="12" t="s">
        <v>6657</v>
      </c>
      <c r="L87" s="12" t="s">
        <v>4818</v>
      </c>
      <c r="M87" s="12" t="s">
        <v>4817</v>
      </c>
      <c r="N87" s="12" t="s">
        <v>5785</v>
      </c>
      <c r="O87" s="12" t="s">
        <v>4925</v>
      </c>
      <c r="P87" s="12" t="s">
        <v>3732</v>
      </c>
      <c r="Q87" s="12" t="s">
        <v>6650</v>
      </c>
      <c r="R87" s="12">
        <v>44.629711</v>
      </c>
      <c r="S87" s="12">
        <v>22.612556099999999</v>
      </c>
      <c r="T87" s="12" t="s">
        <v>11</v>
      </c>
      <c r="U87" s="12" t="s">
        <v>3904</v>
      </c>
      <c r="V87" s="12" t="s">
        <v>1946</v>
      </c>
      <c r="W87" s="12" t="s">
        <v>7160</v>
      </c>
      <c r="X87" s="12">
        <v>0.32658900000000002</v>
      </c>
      <c r="Y87" s="12">
        <v>321541</v>
      </c>
      <c r="Z87" s="12" t="s">
        <v>17</v>
      </c>
      <c r="AA87" s="12" t="s">
        <v>17</v>
      </c>
      <c r="AB87" s="12" t="s">
        <v>4932</v>
      </c>
      <c r="AC87" s="12" t="s">
        <v>219</v>
      </c>
      <c r="AD87" s="12" t="s">
        <v>7810</v>
      </c>
      <c r="AE87" s="12" t="s">
        <v>7743</v>
      </c>
      <c r="AF87" s="12" t="s">
        <v>45</v>
      </c>
    </row>
    <row r="88" spans="1:32" x14ac:dyDescent="0.2">
      <c r="A88" s="12" t="s">
        <v>4926</v>
      </c>
      <c r="B88" s="12" t="s">
        <v>4926</v>
      </c>
      <c r="C88" s="12" t="s">
        <v>4927</v>
      </c>
      <c r="D88" s="12" t="s">
        <v>26</v>
      </c>
      <c r="E88" s="12" t="s">
        <v>8110</v>
      </c>
      <c r="F88" s="12" t="s">
        <v>5460</v>
      </c>
      <c r="G88" s="12" t="s">
        <v>1914</v>
      </c>
      <c r="H88" s="12" t="s">
        <v>6614</v>
      </c>
      <c r="I88" s="12">
        <v>8838</v>
      </c>
      <c r="J88" s="12" t="s">
        <v>4929</v>
      </c>
      <c r="K88" s="12" t="s">
        <v>6657</v>
      </c>
      <c r="L88" s="12" t="s">
        <v>4818</v>
      </c>
      <c r="M88" s="12" t="s">
        <v>4817</v>
      </c>
      <c r="N88" s="12" t="s">
        <v>5785</v>
      </c>
      <c r="O88" s="12" t="s">
        <v>4833</v>
      </c>
      <c r="P88" s="12" t="s">
        <v>4823</v>
      </c>
      <c r="Q88" s="12" t="s">
        <v>6650</v>
      </c>
      <c r="R88" s="16">
        <v>44.640262</v>
      </c>
      <c r="S88" s="16">
        <v>22.303329999999999</v>
      </c>
      <c r="T88" s="12" t="s">
        <v>11</v>
      </c>
      <c r="U88" s="12" t="s">
        <v>538</v>
      </c>
      <c r="V88" s="12" t="s">
        <v>1926</v>
      </c>
      <c r="W88" s="12" t="s">
        <v>7160</v>
      </c>
      <c r="X88" s="12">
        <v>0.54300000000000004</v>
      </c>
      <c r="Y88" s="12">
        <v>469437</v>
      </c>
      <c r="Z88" s="12" t="s">
        <v>17</v>
      </c>
      <c r="AA88" s="12" t="s">
        <v>17</v>
      </c>
      <c r="AB88" s="12" t="s">
        <v>4928</v>
      </c>
      <c r="AC88" s="12" t="s">
        <v>21</v>
      </c>
      <c r="AD88" s="12">
        <v>9.9000000000000005E-2</v>
      </c>
      <c r="AE88" s="12">
        <v>1</v>
      </c>
      <c r="AF88" s="12" t="s">
        <v>45</v>
      </c>
    </row>
    <row r="89" spans="1:32" x14ac:dyDescent="0.2">
      <c r="A89" s="12" t="s">
        <v>4920</v>
      </c>
      <c r="B89" s="12" t="s">
        <v>4921</v>
      </c>
      <c r="C89" s="12" t="s">
        <v>4922</v>
      </c>
      <c r="D89" s="12" t="s">
        <v>105</v>
      </c>
      <c r="E89" s="12" t="s">
        <v>8110</v>
      </c>
      <c r="F89" s="12" t="s">
        <v>5460</v>
      </c>
      <c r="G89" s="12" t="s">
        <v>1914</v>
      </c>
      <c r="H89" s="12" t="s">
        <v>6614</v>
      </c>
      <c r="I89" s="12">
        <v>8765</v>
      </c>
      <c r="J89" s="12" t="s">
        <v>4924</v>
      </c>
      <c r="K89" s="12" t="s">
        <v>6657</v>
      </c>
      <c r="L89" s="12" t="s">
        <v>4818</v>
      </c>
      <c r="M89" s="12" t="s">
        <v>4817</v>
      </c>
      <c r="N89" s="12" t="s">
        <v>5785</v>
      </c>
      <c r="O89" s="12" t="s">
        <v>4925</v>
      </c>
      <c r="P89" s="12" t="s">
        <v>3732</v>
      </c>
      <c r="Q89" s="12" t="s">
        <v>6650</v>
      </c>
      <c r="R89" s="12">
        <v>44.629711</v>
      </c>
      <c r="S89" s="12">
        <v>22.612556099999999</v>
      </c>
      <c r="T89" s="12" t="s">
        <v>11</v>
      </c>
      <c r="U89" s="12" t="s">
        <v>2959</v>
      </c>
      <c r="V89" s="12" t="s">
        <v>392</v>
      </c>
      <c r="W89" s="12" t="s">
        <v>7160</v>
      </c>
      <c r="X89" s="12">
        <v>5.1999999999999998E-2</v>
      </c>
      <c r="Y89" s="12">
        <v>59405</v>
      </c>
      <c r="Z89" s="12" t="s">
        <v>17</v>
      </c>
      <c r="AA89" s="12" t="s">
        <v>17</v>
      </c>
      <c r="AB89" s="12" t="s">
        <v>4923</v>
      </c>
      <c r="AC89" s="12" t="s">
        <v>21</v>
      </c>
      <c r="AD89" s="12">
        <v>0.115</v>
      </c>
      <c r="AE89" s="12">
        <v>0.999</v>
      </c>
      <c r="AF89" s="12" t="s">
        <v>45</v>
      </c>
    </row>
    <row r="90" spans="1:32" x14ac:dyDescent="0.2">
      <c r="A90" s="12" t="s">
        <v>4865</v>
      </c>
      <c r="B90" s="12" t="s">
        <v>4865</v>
      </c>
      <c r="C90" s="12" t="s">
        <v>4866</v>
      </c>
      <c r="D90" s="12" t="s">
        <v>13</v>
      </c>
      <c r="E90" s="12" t="s">
        <v>8110</v>
      </c>
      <c r="F90" s="12" t="s">
        <v>5460</v>
      </c>
      <c r="G90" s="12" t="s">
        <v>1914</v>
      </c>
      <c r="H90" s="12" t="s">
        <v>6614</v>
      </c>
      <c r="I90" s="12">
        <v>8763</v>
      </c>
      <c r="J90" s="12" t="s">
        <v>4868</v>
      </c>
      <c r="K90" s="12" t="s">
        <v>6657</v>
      </c>
      <c r="L90" s="12" t="s">
        <v>4818</v>
      </c>
      <c r="M90" s="12" t="s">
        <v>4817</v>
      </c>
      <c r="N90" s="12" t="s">
        <v>5785</v>
      </c>
      <c r="O90" s="12" t="s">
        <v>4833</v>
      </c>
      <c r="P90" s="12" t="s">
        <v>4823</v>
      </c>
      <c r="Q90" s="12" t="s">
        <v>6650</v>
      </c>
      <c r="R90" s="12">
        <v>44.640262</v>
      </c>
      <c r="S90" s="12">
        <v>22.303329999999999</v>
      </c>
      <c r="T90" s="12" t="s">
        <v>11</v>
      </c>
      <c r="U90" s="12" t="s">
        <v>1311</v>
      </c>
      <c r="V90" s="12" t="s">
        <v>5766</v>
      </c>
      <c r="W90" s="12" t="s">
        <v>7160</v>
      </c>
      <c r="X90" s="12">
        <v>2.577</v>
      </c>
      <c r="Y90" s="12">
        <v>804977</v>
      </c>
      <c r="Z90" s="12" t="s">
        <v>17</v>
      </c>
      <c r="AA90" s="12" t="s">
        <v>17</v>
      </c>
      <c r="AB90" s="12" t="s">
        <v>4867</v>
      </c>
      <c r="AC90" s="12" t="s">
        <v>21</v>
      </c>
      <c r="AD90" s="12">
        <v>0.13600000000000001</v>
      </c>
      <c r="AE90" s="12">
        <v>0.97</v>
      </c>
      <c r="AF90" s="12" t="s">
        <v>45</v>
      </c>
    </row>
    <row r="91" spans="1:32" x14ac:dyDescent="0.2">
      <c r="A91" s="12" t="s">
        <v>4860</v>
      </c>
      <c r="B91" s="12" t="s">
        <v>4860</v>
      </c>
      <c r="C91" s="12" t="s">
        <v>4861</v>
      </c>
      <c r="D91" s="12" t="s">
        <v>26</v>
      </c>
      <c r="E91" s="12" t="s">
        <v>8110</v>
      </c>
      <c r="F91" s="12" t="s">
        <v>5460</v>
      </c>
      <c r="G91" s="12" t="s">
        <v>1914</v>
      </c>
      <c r="H91" s="12" t="s">
        <v>6614</v>
      </c>
      <c r="I91" s="12">
        <v>8740</v>
      </c>
      <c r="J91" s="12" t="s">
        <v>4863</v>
      </c>
      <c r="K91" s="12" t="s">
        <v>6657</v>
      </c>
      <c r="L91" s="12" t="s">
        <v>4818</v>
      </c>
      <c r="M91" s="12" t="s">
        <v>4817</v>
      </c>
      <c r="N91" s="12" t="s">
        <v>5785</v>
      </c>
      <c r="O91" s="12" t="s">
        <v>4822</v>
      </c>
      <c r="P91" s="12" t="s">
        <v>4823</v>
      </c>
      <c r="Q91" s="12" t="s">
        <v>6650</v>
      </c>
      <c r="R91" s="16">
        <v>44.533679999999997</v>
      </c>
      <c r="S91" s="16">
        <v>22.050319999999999</v>
      </c>
      <c r="T91" s="12" t="s">
        <v>11</v>
      </c>
      <c r="U91" s="12" t="s">
        <v>4864</v>
      </c>
      <c r="V91" s="12" t="s">
        <v>1946</v>
      </c>
      <c r="W91" s="12" t="s">
        <v>7160</v>
      </c>
      <c r="X91" s="12">
        <v>0.85895699999999997</v>
      </c>
      <c r="Y91" s="12">
        <v>619637</v>
      </c>
      <c r="Z91" s="12" t="s">
        <v>17</v>
      </c>
      <c r="AA91" s="12" t="s">
        <v>17</v>
      </c>
      <c r="AB91" s="12" t="s">
        <v>4862</v>
      </c>
      <c r="AC91" s="12" t="s">
        <v>58</v>
      </c>
      <c r="AD91" s="12" t="s">
        <v>7897</v>
      </c>
      <c r="AE91" s="12" t="s">
        <v>8063</v>
      </c>
      <c r="AF91" s="12" t="s">
        <v>111</v>
      </c>
    </row>
    <row r="92" spans="1:32" x14ac:dyDescent="0.2">
      <c r="A92" s="12" t="s">
        <v>4855</v>
      </c>
      <c r="B92" s="12" t="s">
        <v>4855</v>
      </c>
      <c r="C92" s="12" t="s">
        <v>4856</v>
      </c>
      <c r="D92" s="12" t="s">
        <v>13</v>
      </c>
      <c r="E92" s="12" t="s">
        <v>8110</v>
      </c>
      <c r="F92" s="12" t="s">
        <v>5460</v>
      </c>
      <c r="G92" s="12" t="s">
        <v>1914</v>
      </c>
      <c r="H92" s="12" t="s">
        <v>6614</v>
      </c>
      <c r="I92" s="12">
        <v>8697</v>
      </c>
      <c r="J92" s="12" t="s">
        <v>4858</v>
      </c>
      <c r="K92" s="12" t="s">
        <v>6657</v>
      </c>
      <c r="L92" s="12" t="s">
        <v>4818</v>
      </c>
      <c r="M92" s="12" t="s">
        <v>4817</v>
      </c>
      <c r="N92" s="12" t="s">
        <v>5785</v>
      </c>
      <c r="O92" s="12" t="s">
        <v>4859</v>
      </c>
      <c r="P92" s="12" t="s">
        <v>3732</v>
      </c>
      <c r="Q92" s="12" t="s">
        <v>6650</v>
      </c>
      <c r="R92" s="12">
        <v>44.517000000000003</v>
      </c>
      <c r="S92" s="12">
        <v>22.722000000000001</v>
      </c>
      <c r="T92" s="12" t="s">
        <v>25</v>
      </c>
      <c r="U92" s="12" t="s">
        <v>2959</v>
      </c>
      <c r="V92" s="12" t="s">
        <v>6639</v>
      </c>
      <c r="W92" s="12" t="s">
        <v>6639</v>
      </c>
      <c r="X92" s="12">
        <v>2.1887240000000001</v>
      </c>
      <c r="Y92" s="12">
        <v>930179</v>
      </c>
      <c r="Z92" s="12" t="s">
        <v>6639</v>
      </c>
      <c r="AA92" s="12" t="s">
        <v>6639</v>
      </c>
      <c r="AB92" s="12" t="s">
        <v>4857</v>
      </c>
      <c r="AC92" s="12" t="s">
        <v>219</v>
      </c>
      <c r="AD92" s="12" t="s">
        <v>7809</v>
      </c>
      <c r="AE92" s="12" t="s">
        <v>7777</v>
      </c>
      <c r="AF92" s="12" t="s">
        <v>45</v>
      </c>
    </row>
    <row r="93" spans="1:32" x14ac:dyDescent="0.2">
      <c r="A93" s="12" t="s">
        <v>4956</v>
      </c>
      <c r="B93" s="12" t="s">
        <v>4956</v>
      </c>
      <c r="C93" s="12" t="s">
        <v>4957</v>
      </c>
      <c r="D93" s="12" t="s">
        <v>26</v>
      </c>
      <c r="E93" s="12" t="s">
        <v>8110</v>
      </c>
      <c r="F93" s="12" t="s">
        <v>5458</v>
      </c>
      <c r="G93" s="12" t="s">
        <v>1914</v>
      </c>
      <c r="H93" s="12" t="s">
        <v>6614</v>
      </c>
      <c r="I93" s="12">
        <v>8600</v>
      </c>
      <c r="J93" s="12" t="s">
        <v>4959</v>
      </c>
      <c r="K93" s="12" t="s">
        <v>6657</v>
      </c>
      <c r="L93" s="12" t="s">
        <v>4818</v>
      </c>
      <c r="M93" s="12" t="s">
        <v>4817</v>
      </c>
      <c r="N93" s="12" t="s">
        <v>5785</v>
      </c>
      <c r="O93" s="12" t="s">
        <v>4925</v>
      </c>
      <c r="P93" s="12" t="s">
        <v>3732</v>
      </c>
      <c r="Q93" s="12" t="s">
        <v>6650</v>
      </c>
      <c r="R93" s="12">
        <v>44.629711</v>
      </c>
      <c r="S93" s="12">
        <v>22.612556099999999</v>
      </c>
      <c r="T93" s="12" t="s">
        <v>11</v>
      </c>
      <c r="U93" s="12" t="s">
        <v>4908</v>
      </c>
      <c r="V93" s="12" t="s">
        <v>5762</v>
      </c>
      <c r="W93" s="12" t="s">
        <v>7160</v>
      </c>
      <c r="X93" s="12">
        <v>1.141</v>
      </c>
      <c r="Y93" s="12">
        <v>716414</v>
      </c>
      <c r="Z93" s="12" t="s">
        <v>17</v>
      </c>
      <c r="AA93" s="12" t="s">
        <v>17</v>
      </c>
      <c r="AB93" s="12" t="s">
        <v>4958</v>
      </c>
      <c r="AC93" s="12" t="s">
        <v>21</v>
      </c>
      <c r="AD93" s="12">
        <v>0.13</v>
      </c>
      <c r="AE93" s="12">
        <v>1</v>
      </c>
      <c r="AF93" s="12" t="s">
        <v>45</v>
      </c>
    </row>
    <row r="94" spans="1:32" x14ac:dyDescent="0.2">
      <c r="A94" s="12" t="s">
        <v>4916</v>
      </c>
      <c r="B94" s="12" t="s">
        <v>4916</v>
      </c>
      <c r="C94" s="12" t="s">
        <v>4917</v>
      </c>
      <c r="D94" s="12" t="s">
        <v>13</v>
      </c>
      <c r="E94" s="12" t="s">
        <v>8110</v>
      </c>
      <c r="F94" s="12" t="s">
        <v>5460</v>
      </c>
      <c r="G94" s="12" t="s">
        <v>1914</v>
      </c>
      <c r="H94" s="12" t="s">
        <v>6614</v>
      </c>
      <c r="I94" s="12">
        <v>8506</v>
      </c>
      <c r="J94" s="12" t="s">
        <v>4919</v>
      </c>
      <c r="K94" s="12" t="s">
        <v>6657</v>
      </c>
      <c r="L94" s="12" t="s">
        <v>4818</v>
      </c>
      <c r="M94" s="12" t="s">
        <v>4817</v>
      </c>
      <c r="N94" s="12" t="s">
        <v>5785</v>
      </c>
      <c r="O94" s="12" t="s">
        <v>4822</v>
      </c>
      <c r="P94" s="12" t="s">
        <v>4823</v>
      </c>
      <c r="Q94" s="12" t="s">
        <v>6650</v>
      </c>
      <c r="R94" s="12">
        <v>44.533679999999997</v>
      </c>
      <c r="S94" s="12">
        <v>22.050319999999999</v>
      </c>
      <c r="T94" s="12" t="s">
        <v>25</v>
      </c>
      <c r="U94" s="12" t="s">
        <v>2811</v>
      </c>
      <c r="V94" s="12" t="s">
        <v>6639</v>
      </c>
      <c r="W94" s="12" t="s">
        <v>6639</v>
      </c>
      <c r="X94" s="12">
        <v>3.6160000000000001</v>
      </c>
      <c r="Y94" s="12">
        <v>801500</v>
      </c>
      <c r="Z94" s="12" t="s">
        <v>6639</v>
      </c>
      <c r="AA94" s="12" t="s">
        <v>6639</v>
      </c>
      <c r="AB94" s="12" t="s">
        <v>4918</v>
      </c>
      <c r="AC94" s="12" t="s">
        <v>21</v>
      </c>
      <c r="AD94" s="12">
        <v>9.1999999999999998E-2</v>
      </c>
      <c r="AE94" s="12">
        <v>0.99399999999999999</v>
      </c>
      <c r="AF94" s="12" t="s">
        <v>45</v>
      </c>
    </row>
    <row r="95" spans="1:32" x14ac:dyDescent="0.2">
      <c r="A95" s="12" t="s">
        <v>4851</v>
      </c>
      <c r="B95" s="12" t="s">
        <v>4851</v>
      </c>
      <c r="C95" s="12" t="s">
        <v>4852</v>
      </c>
      <c r="D95" s="12" t="s">
        <v>13</v>
      </c>
      <c r="E95" s="12" t="s">
        <v>8110</v>
      </c>
      <c r="F95" s="12" t="s">
        <v>5460</v>
      </c>
      <c r="G95" s="12" t="s">
        <v>1914</v>
      </c>
      <c r="H95" s="12" t="s">
        <v>6614</v>
      </c>
      <c r="I95" s="12">
        <v>8505</v>
      </c>
      <c r="J95" s="12" t="s">
        <v>4854</v>
      </c>
      <c r="K95" s="12" t="s">
        <v>6657</v>
      </c>
      <c r="L95" s="12" t="s">
        <v>4818</v>
      </c>
      <c r="M95" s="12" t="s">
        <v>4817</v>
      </c>
      <c r="N95" s="12" t="s">
        <v>5785</v>
      </c>
      <c r="O95" s="12" t="s">
        <v>4822</v>
      </c>
      <c r="P95" s="12" t="s">
        <v>4823</v>
      </c>
      <c r="Q95" s="12" t="s">
        <v>6650</v>
      </c>
      <c r="R95" s="12">
        <v>44.533679999999997</v>
      </c>
      <c r="S95" s="12">
        <v>22.050319999999999</v>
      </c>
      <c r="T95" s="12" t="s">
        <v>25</v>
      </c>
      <c r="U95" s="12" t="s">
        <v>1950</v>
      </c>
      <c r="V95" s="12" t="s">
        <v>6639</v>
      </c>
      <c r="W95" s="12" t="s">
        <v>6639</v>
      </c>
      <c r="X95" s="12">
        <v>4.63</v>
      </c>
      <c r="Y95" s="12">
        <v>817983</v>
      </c>
      <c r="Z95" s="12" t="s">
        <v>6639</v>
      </c>
      <c r="AA95" s="12" t="s">
        <v>6639</v>
      </c>
      <c r="AB95" s="12" t="s">
        <v>4853</v>
      </c>
      <c r="AC95" s="12" t="s">
        <v>21</v>
      </c>
      <c r="AD95" s="12">
        <v>0.109</v>
      </c>
      <c r="AE95" s="12">
        <v>0.99099999999999999</v>
      </c>
      <c r="AF95" s="12" t="s">
        <v>45</v>
      </c>
    </row>
    <row r="96" spans="1:32" x14ac:dyDescent="0.2">
      <c r="A96" s="12" t="s">
        <v>2808</v>
      </c>
      <c r="B96" s="12" t="s">
        <v>2808</v>
      </c>
      <c r="C96" s="12" t="s">
        <v>7590</v>
      </c>
      <c r="D96" s="12" t="s">
        <v>13</v>
      </c>
      <c r="E96" s="12" t="s">
        <v>8110</v>
      </c>
      <c r="F96" s="12" t="s">
        <v>5460</v>
      </c>
      <c r="G96" s="12" t="s">
        <v>1914</v>
      </c>
      <c r="H96" s="12" t="s">
        <v>6614</v>
      </c>
      <c r="I96" s="12">
        <v>8489</v>
      </c>
      <c r="J96" s="12" t="s">
        <v>2810</v>
      </c>
      <c r="K96" s="12" t="s">
        <v>6657</v>
      </c>
      <c r="L96" s="12" t="s">
        <v>2770</v>
      </c>
      <c r="M96" s="12" t="s">
        <v>2770</v>
      </c>
      <c r="N96" s="12" t="s">
        <v>5785</v>
      </c>
      <c r="O96" s="12" t="s">
        <v>2773</v>
      </c>
      <c r="P96" s="12" t="s">
        <v>2774</v>
      </c>
      <c r="Q96" s="12" t="s">
        <v>6650</v>
      </c>
      <c r="R96" s="12">
        <v>56.283299999999997</v>
      </c>
      <c r="S96" s="12">
        <v>25.133299999999998</v>
      </c>
      <c r="T96" s="12" t="s">
        <v>11</v>
      </c>
      <c r="U96" s="12" t="s">
        <v>2811</v>
      </c>
      <c r="V96" s="12" t="s">
        <v>69</v>
      </c>
      <c r="W96" s="12" t="s">
        <v>7160</v>
      </c>
      <c r="X96" s="12">
        <v>4.42</v>
      </c>
      <c r="Y96" s="12">
        <v>777349</v>
      </c>
      <c r="Z96" s="12" t="s">
        <v>17</v>
      </c>
      <c r="AA96" s="12" t="s">
        <v>17</v>
      </c>
      <c r="AB96" s="12" t="s">
        <v>2809</v>
      </c>
      <c r="AC96" s="12" t="s">
        <v>21</v>
      </c>
      <c r="AD96" s="12">
        <v>8.1000000000000003E-2</v>
      </c>
      <c r="AE96" s="12">
        <v>0.99299999999999999</v>
      </c>
      <c r="AF96" s="12" t="s">
        <v>45</v>
      </c>
    </row>
    <row r="97" spans="1:32" x14ac:dyDescent="0.2">
      <c r="A97" s="12" t="s">
        <v>4846</v>
      </c>
      <c r="B97" s="12" t="s">
        <v>4846</v>
      </c>
      <c r="C97" s="12" t="s">
        <v>4847</v>
      </c>
      <c r="D97" s="12" t="s">
        <v>13</v>
      </c>
      <c r="E97" s="12" t="s">
        <v>8110</v>
      </c>
      <c r="F97" s="12" t="s">
        <v>5460</v>
      </c>
      <c r="G97" s="12" t="s">
        <v>1914</v>
      </c>
      <c r="H97" s="12" t="s">
        <v>6614</v>
      </c>
      <c r="I97" s="12">
        <v>8458</v>
      </c>
      <c r="J97" s="12" t="s">
        <v>4849</v>
      </c>
      <c r="K97" s="12" t="s">
        <v>6657</v>
      </c>
      <c r="L97" s="12" t="s">
        <v>4818</v>
      </c>
      <c r="M97" s="12" t="s">
        <v>4817</v>
      </c>
      <c r="N97" s="12" t="s">
        <v>5785</v>
      </c>
      <c r="O97" s="12" t="s">
        <v>4822</v>
      </c>
      <c r="P97" s="12" t="s">
        <v>4823</v>
      </c>
      <c r="Q97" s="12" t="s">
        <v>6650</v>
      </c>
      <c r="R97" s="12">
        <v>44.533679999999997</v>
      </c>
      <c r="S97" s="12">
        <v>22.050319999999999</v>
      </c>
      <c r="T97" s="12" t="s">
        <v>25</v>
      </c>
      <c r="U97" s="12" t="s">
        <v>4850</v>
      </c>
      <c r="V97" s="12" t="s">
        <v>6639</v>
      </c>
      <c r="W97" s="12" t="s">
        <v>6639</v>
      </c>
      <c r="X97" s="12">
        <v>4.8579999999999997</v>
      </c>
      <c r="Y97" s="12">
        <v>815491</v>
      </c>
      <c r="Z97" s="12" t="s">
        <v>6639</v>
      </c>
      <c r="AA97" s="12" t="s">
        <v>6639</v>
      </c>
      <c r="AB97" s="12" t="s">
        <v>4848</v>
      </c>
      <c r="AC97" s="12" t="s">
        <v>21</v>
      </c>
      <c r="AD97" s="12">
        <v>0.105</v>
      </c>
      <c r="AE97" s="12">
        <v>0.98599999999999999</v>
      </c>
      <c r="AF97" s="12" t="s">
        <v>45</v>
      </c>
    </row>
    <row r="98" spans="1:32" x14ac:dyDescent="0.2">
      <c r="A98" s="12" t="s">
        <v>4842</v>
      </c>
      <c r="B98" s="12" t="s">
        <v>4842</v>
      </c>
      <c r="C98" s="12" t="s">
        <v>4843</v>
      </c>
      <c r="D98" s="12" t="s">
        <v>13</v>
      </c>
      <c r="E98" s="12" t="s">
        <v>8110</v>
      </c>
      <c r="F98" s="12" t="s">
        <v>5460</v>
      </c>
      <c r="G98" s="12" t="s">
        <v>1914</v>
      </c>
      <c r="H98" s="12" t="s">
        <v>6614</v>
      </c>
      <c r="I98" s="12">
        <v>8455</v>
      </c>
      <c r="J98" s="12" t="s">
        <v>4845</v>
      </c>
      <c r="K98" s="12" t="s">
        <v>6657</v>
      </c>
      <c r="L98" s="12" t="s">
        <v>4818</v>
      </c>
      <c r="M98" s="12" t="s">
        <v>4817</v>
      </c>
      <c r="N98" s="12" t="s">
        <v>5785</v>
      </c>
      <c r="O98" s="12" t="s">
        <v>4822</v>
      </c>
      <c r="P98" s="12" t="s">
        <v>4823</v>
      </c>
      <c r="Q98" s="12" t="s">
        <v>6650</v>
      </c>
      <c r="R98" s="12">
        <v>44.533679999999997</v>
      </c>
      <c r="S98" s="12">
        <v>22.050319999999999</v>
      </c>
      <c r="T98" s="12" t="s">
        <v>25</v>
      </c>
      <c r="U98" s="12" t="s">
        <v>2786</v>
      </c>
      <c r="V98" s="12" t="s">
        <v>6639</v>
      </c>
      <c r="W98" s="12" t="s">
        <v>6639</v>
      </c>
      <c r="X98" s="12">
        <v>3.3679999999999999</v>
      </c>
      <c r="Y98" s="12">
        <v>802136</v>
      </c>
      <c r="Z98" s="12" t="s">
        <v>6639</v>
      </c>
      <c r="AA98" s="12" t="s">
        <v>6639</v>
      </c>
      <c r="AB98" s="12" t="s">
        <v>4844</v>
      </c>
      <c r="AC98" s="12" t="s">
        <v>21</v>
      </c>
      <c r="AD98" s="12">
        <v>0.111</v>
      </c>
      <c r="AE98" s="12">
        <v>0.997</v>
      </c>
      <c r="AF98" s="12" t="s">
        <v>45</v>
      </c>
    </row>
    <row r="99" spans="1:32" x14ac:dyDescent="0.2">
      <c r="A99" s="12" t="s">
        <v>4950</v>
      </c>
      <c r="B99" s="12" t="s">
        <v>4950</v>
      </c>
      <c r="C99" s="12" t="s">
        <v>4951</v>
      </c>
      <c r="D99" s="12" t="s">
        <v>26</v>
      </c>
      <c r="E99" s="12" t="s">
        <v>8110</v>
      </c>
      <c r="F99" s="12" t="s">
        <v>5458</v>
      </c>
      <c r="G99" s="12" t="s">
        <v>1914</v>
      </c>
      <c r="H99" s="12" t="s">
        <v>6614</v>
      </c>
      <c r="I99" s="12">
        <v>8450</v>
      </c>
      <c r="J99" s="12" t="s">
        <v>4949</v>
      </c>
      <c r="K99" s="12" t="s">
        <v>6657</v>
      </c>
      <c r="L99" s="12" t="s">
        <v>4818</v>
      </c>
      <c r="M99" s="12" t="s">
        <v>4817</v>
      </c>
      <c r="N99" s="12" t="s">
        <v>5785</v>
      </c>
      <c r="O99" s="12" t="s">
        <v>4822</v>
      </c>
      <c r="P99" s="12" t="s">
        <v>4823</v>
      </c>
      <c r="Q99" s="12" t="s">
        <v>6650</v>
      </c>
      <c r="R99" s="12">
        <v>44.533679999999997</v>
      </c>
      <c r="S99" s="12">
        <v>22.050319999999999</v>
      </c>
      <c r="T99" s="12" t="s">
        <v>25</v>
      </c>
      <c r="U99" s="12" t="s">
        <v>2782</v>
      </c>
      <c r="V99" s="12" t="s">
        <v>6639</v>
      </c>
      <c r="W99" s="12" t="s">
        <v>6639</v>
      </c>
      <c r="X99" s="12">
        <v>0.36699999999999999</v>
      </c>
      <c r="Y99" s="12">
        <v>335500</v>
      </c>
      <c r="Z99" s="12" t="s">
        <v>6639</v>
      </c>
      <c r="AA99" s="12" t="s">
        <v>6639</v>
      </c>
      <c r="AB99" s="12" t="s">
        <v>4952</v>
      </c>
      <c r="AC99" s="12" t="s">
        <v>21</v>
      </c>
      <c r="AD99" s="12">
        <v>6.9000000000000006E-2</v>
      </c>
      <c r="AE99" s="12">
        <v>1</v>
      </c>
      <c r="AF99" s="12" t="s">
        <v>45</v>
      </c>
    </row>
    <row r="100" spans="1:32" x14ac:dyDescent="0.2">
      <c r="A100" s="12" t="s">
        <v>4953</v>
      </c>
      <c r="B100" s="12" t="s">
        <v>4953</v>
      </c>
      <c r="C100" s="12" t="s">
        <v>4954</v>
      </c>
      <c r="D100" s="12" t="s">
        <v>26</v>
      </c>
      <c r="E100" s="12" t="s">
        <v>8110</v>
      </c>
      <c r="F100" s="12" t="s">
        <v>5458</v>
      </c>
      <c r="G100" s="12" t="s">
        <v>1914</v>
      </c>
      <c r="H100" s="12" t="s">
        <v>6614</v>
      </c>
      <c r="I100" s="12">
        <v>8450</v>
      </c>
      <c r="J100" s="12" t="s">
        <v>4949</v>
      </c>
      <c r="K100" s="12" t="s">
        <v>6657</v>
      </c>
      <c r="L100" s="12" t="s">
        <v>4818</v>
      </c>
      <c r="M100" s="12" t="s">
        <v>4817</v>
      </c>
      <c r="N100" s="12" t="s">
        <v>5785</v>
      </c>
      <c r="O100" s="12" t="s">
        <v>4822</v>
      </c>
      <c r="P100" s="12" t="s">
        <v>4823</v>
      </c>
      <c r="Q100" s="12" t="s">
        <v>6650</v>
      </c>
      <c r="R100" s="12">
        <v>44.533679999999997</v>
      </c>
      <c r="S100" s="12">
        <v>22.050319999999999</v>
      </c>
      <c r="T100" s="12" t="s">
        <v>11</v>
      </c>
      <c r="U100" s="12" t="s">
        <v>4899</v>
      </c>
      <c r="V100" s="12" t="s">
        <v>5762</v>
      </c>
      <c r="W100" s="12" t="s">
        <v>7160</v>
      </c>
      <c r="X100" s="12">
        <v>0.70099999999999996</v>
      </c>
      <c r="Y100" s="12">
        <v>446446</v>
      </c>
      <c r="Z100" s="12" t="s">
        <v>17</v>
      </c>
      <c r="AA100" s="12" t="s">
        <v>17</v>
      </c>
      <c r="AB100" s="12" t="s">
        <v>4955</v>
      </c>
      <c r="AC100" s="12" t="s">
        <v>21</v>
      </c>
      <c r="AD100" s="12">
        <v>0.104</v>
      </c>
      <c r="AE100" s="12">
        <v>0.99099999999999999</v>
      </c>
      <c r="AF100" s="12" t="s">
        <v>45</v>
      </c>
    </row>
    <row r="101" spans="1:32" x14ac:dyDescent="0.2">
      <c r="A101" s="12" t="s">
        <v>4946</v>
      </c>
      <c r="B101" s="12" t="s">
        <v>4946</v>
      </c>
      <c r="C101" s="12" t="s">
        <v>4947</v>
      </c>
      <c r="D101" s="12" t="s">
        <v>26</v>
      </c>
      <c r="E101" s="12" t="s">
        <v>8110</v>
      </c>
      <c r="F101" s="12" t="s">
        <v>5458</v>
      </c>
      <c r="G101" s="12" t="s">
        <v>1914</v>
      </c>
      <c r="H101" s="12" t="s">
        <v>6614</v>
      </c>
      <c r="I101" s="12">
        <v>8450</v>
      </c>
      <c r="J101" s="12" t="s">
        <v>4949</v>
      </c>
      <c r="K101" s="12" t="s">
        <v>6657</v>
      </c>
      <c r="L101" s="12" t="s">
        <v>4818</v>
      </c>
      <c r="M101" s="12" t="s">
        <v>4817</v>
      </c>
      <c r="N101" s="12" t="s">
        <v>5785</v>
      </c>
      <c r="O101" s="12" t="s">
        <v>4822</v>
      </c>
      <c r="P101" s="12" t="s">
        <v>4823</v>
      </c>
      <c r="Q101" s="12" t="s">
        <v>6650</v>
      </c>
      <c r="R101" s="12">
        <v>44.533679999999997</v>
      </c>
      <c r="S101" s="12">
        <v>22.050319999999999</v>
      </c>
      <c r="T101" s="12" t="s">
        <v>25</v>
      </c>
      <c r="U101" s="12" t="s">
        <v>2811</v>
      </c>
      <c r="V101" s="12" t="s">
        <v>6639</v>
      </c>
      <c r="W101" s="12" t="s">
        <v>6639</v>
      </c>
      <c r="X101" s="12">
        <v>0.66900000000000004</v>
      </c>
      <c r="Y101" s="12">
        <v>507099</v>
      </c>
      <c r="Z101" s="12" t="s">
        <v>6639</v>
      </c>
      <c r="AA101" s="12" t="s">
        <v>6639</v>
      </c>
      <c r="AB101" s="12" t="s">
        <v>4948</v>
      </c>
      <c r="AC101" s="12" t="s">
        <v>21</v>
      </c>
      <c r="AD101" s="12">
        <v>9.0999999999999998E-2</v>
      </c>
      <c r="AE101" s="12">
        <v>0.95399999999999996</v>
      </c>
      <c r="AF101" s="12" t="s">
        <v>45</v>
      </c>
    </row>
    <row r="102" spans="1:32" x14ac:dyDescent="0.2">
      <c r="A102" s="12" t="s">
        <v>4838</v>
      </c>
      <c r="B102" s="12" t="s">
        <v>4838</v>
      </c>
      <c r="C102" s="12" t="s">
        <v>4839</v>
      </c>
      <c r="D102" s="12" t="s">
        <v>13</v>
      </c>
      <c r="E102" s="12" t="s">
        <v>8110</v>
      </c>
      <c r="F102" s="12" t="s">
        <v>5460</v>
      </c>
      <c r="G102" s="12" t="s">
        <v>1914</v>
      </c>
      <c r="H102" s="12" t="s">
        <v>6614</v>
      </c>
      <c r="I102" s="12">
        <v>8363</v>
      </c>
      <c r="J102" s="12" t="s">
        <v>4841</v>
      </c>
      <c r="K102" s="12" t="s">
        <v>6657</v>
      </c>
      <c r="L102" s="12" t="s">
        <v>4818</v>
      </c>
      <c r="M102" s="12" t="s">
        <v>4817</v>
      </c>
      <c r="N102" s="12" t="s">
        <v>5785</v>
      </c>
      <c r="O102" s="12" t="s">
        <v>4822</v>
      </c>
      <c r="P102" s="12" t="s">
        <v>4823</v>
      </c>
      <c r="Q102" s="12" t="s">
        <v>6650</v>
      </c>
      <c r="R102" s="12">
        <v>44.533679999999997</v>
      </c>
      <c r="S102" s="12">
        <v>22.050319999999999</v>
      </c>
      <c r="T102" s="12" t="s">
        <v>11</v>
      </c>
      <c r="U102" s="12" t="s">
        <v>4828</v>
      </c>
      <c r="V102" s="12" t="s">
        <v>1932</v>
      </c>
      <c r="W102" s="12" t="s">
        <v>7160</v>
      </c>
      <c r="X102" s="12">
        <v>3.2210000000000001</v>
      </c>
      <c r="Y102" s="12">
        <v>841755</v>
      </c>
      <c r="Z102" s="12" t="s">
        <v>17</v>
      </c>
      <c r="AA102" s="12" t="s">
        <v>17</v>
      </c>
      <c r="AB102" s="12" t="s">
        <v>4840</v>
      </c>
      <c r="AC102" s="12" t="s">
        <v>21</v>
      </c>
      <c r="AD102" s="12">
        <v>0.11700000000000001</v>
      </c>
      <c r="AE102" s="12">
        <v>0.98899999999999999</v>
      </c>
      <c r="AF102" s="12" t="s">
        <v>45</v>
      </c>
    </row>
    <row r="103" spans="1:32" x14ac:dyDescent="0.2">
      <c r="A103" s="12" t="s">
        <v>4913</v>
      </c>
      <c r="B103" s="12" t="s">
        <v>4913</v>
      </c>
      <c r="C103" s="12" t="s">
        <v>4914</v>
      </c>
      <c r="D103" s="12" t="s">
        <v>26</v>
      </c>
      <c r="E103" s="12" t="s">
        <v>8110</v>
      </c>
      <c r="F103" s="12" t="s">
        <v>5458</v>
      </c>
      <c r="G103" s="12" t="s">
        <v>1914</v>
      </c>
      <c r="H103" s="12" t="s">
        <v>6614</v>
      </c>
      <c r="I103" s="12">
        <v>8325</v>
      </c>
      <c r="J103" s="12" t="s">
        <v>5459</v>
      </c>
      <c r="K103" s="12" t="s">
        <v>6657</v>
      </c>
      <c r="L103" s="12" t="s">
        <v>4818</v>
      </c>
      <c r="M103" s="12" t="s">
        <v>4817</v>
      </c>
      <c r="N103" s="12" t="s">
        <v>5785</v>
      </c>
      <c r="O103" s="12" t="s">
        <v>4822</v>
      </c>
      <c r="P103" s="12" t="s">
        <v>4823</v>
      </c>
      <c r="Q103" s="12" t="s">
        <v>6650</v>
      </c>
      <c r="R103" s="12">
        <v>44.533679999999997</v>
      </c>
      <c r="S103" s="12">
        <v>22.050319999999999</v>
      </c>
      <c r="T103" s="12" t="s">
        <v>11</v>
      </c>
      <c r="U103" s="12" t="s">
        <v>4908</v>
      </c>
      <c r="V103" s="12" t="s">
        <v>589</v>
      </c>
      <c r="W103" s="12" t="s">
        <v>7160</v>
      </c>
      <c r="X103" s="12">
        <v>0.249</v>
      </c>
      <c r="Y103" s="12">
        <v>231969</v>
      </c>
      <c r="Z103" s="12" t="s">
        <v>17</v>
      </c>
      <c r="AA103" s="12" t="s">
        <v>17</v>
      </c>
      <c r="AB103" s="12" t="s">
        <v>4915</v>
      </c>
      <c r="AC103" s="12" t="s">
        <v>21</v>
      </c>
      <c r="AD103" s="12">
        <v>7.1999999999999995E-2</v>
      </c>
      <c r="AE103" s="12">
        <v>0.999</v>
      </c>
      <c r="AF103" s="12" t="s">
        <v>45</v>
      </c>
    </row>
    <row r="104" spans="1:32" x14ac:dyDescent="0.2">
      <c r="A104" s="12" t="s">
        <v>2826</v>
      </c>
      <c r="B104" s="12" t="s">
        <v>2826</v>
      </c>
      <c r="C104" s="12" t="s">
        <v>2827</v>
      </c>
      <c r="D104" s="12" t="s">
        <v>13</v>
      </c>
      <c r="E104" s="12" t="s">
        <v>8110</v>
      </c>
      <c r="F104" s="12" t="s">
        <v>5460</v>
      </c>
      <c r="G104" s="12" t="s">
        <v>1914</v>
      </c>
      <c r="H104" s="12" t="s">
        <v>6614</v>
      </c>
      <c r="I104" s="12">
        <v>8308</v>
      </c>
      <c r="J104" s="12" t="s">
        <v>2829</v>
      </c>
      <c r="K104" s="12" t="s">
        <v>6657</v>
      </c>
      <c r="L104" s="12" t="s">
        <v>2770</v>
      </c>
      <c r="M104" s="12" t="s">
        <v>2770</v>
      </c>
      <c r="N104" s="12" t="s">
        <v>5785</v>
      </c>
      <c r="O104" s="12" t="s">
        <v>2773</v>
      </c>
      <c r="P104" s="12" t="s">
        <v>2774</v>
      </c>
      <c r="Q104" s="12" t="s">
        <v>6650</v>
      </c>
      <c r="R104" s="12">
        <v>56.283299999999997</v>
      </c>
      <c r="S104" s="12">
        <v>25.133299999999998</v>
      </c>
      <c r="T104" s="12" t="s">
        <v>25</v>
      </c>
      <c r="U104" s="12" t="s">
        <v>2782</v>
      </c>
      <c r="V104" s="12" t="s">
        <v>6639</v>
      </c>
      <c r="W104" s="12" t="s">
        <v>6639</v>
      </c>
      <c r="X104" s="12">
        <v>3.5129999999999999</v>
      </c>
      <c r="Y104" s="12">
        <v>785920</v>
      </c>
      <c r="Z104" s="12" t="s">
        <v>6639</v>
      </c>
      <c r="AA104" s="12" t="s">
        <v>6639</v>
      </c>
      <c r="AB104" s="12" t="s">
        <v>2828</v>
      </c>
      <c r="AC104" s="12" t="s">
        <v>21</v>
      </c>
      <c r="AD104" s="12">
        <v>0.121</v>
      </c>
      <c r="AE104" s="12">
        <v>0.98499999999999999</v>
      </c>
      <c r="AF104" s="12" t="s">
        <v>45</v>
      </c>
    </row>
    <row r="105" spans="1:32" x14ac:dyDescent="0.2">
      <c r="A105" s="12" t="s">
        <v>4909</v>
      </c>
      <c r="B105" s="12" t="s">
        <v>4909</v>
      </c>
      <c r="C105" s="12" t="s">
        <v>4910</v>
      </c>
      <c r="D105" s="12" t="s">
        <v>26</v>
      </c>
      <c r="E105" s="12" t="s">
        <v>8110</v>
      </c>
      <c r="F105" s="12" t="s">
        <v>5460</v>
      </c>
      <c r="G105" s="12" t="s">
        <v>1914</v>
      </c>
      <c r="H105" s="12" t="s">
        <v>6614</v>
      </c>
      <c r="I105" s="12">
        <v>8156</v>
      </c>
      <c r="J105" s="12" t="s">
        <v>4912</v>
      </c>
      <c r="K105" s="12" t="s">
        <v>6657</v>
      </c>
      <c r="L105" s="12" t="s">
        <v>4818</v>
      </c>
      <c r="M105" s="12" t="s">
        <v>4817</v>
      </c>
      <c r="N105" s="12" t="s">
        <v>5785</v>
      </c>
      <c r="O105" s="12" t="s">
        <v>4833</v>
      </c>
      <c r="P105" s="12" t="s">
        <v>4823</v>
      </c>
      <c r="Q105" s="12" t="s">
        <v>6650</v>
      </c>
      <c r="R105" s="12">
        <v>44.640262</v>
      </c>
      <c r="S105" s="12">
        <v>22.303329999999999</v>
      </c>
      <c r="T105" s="12" t="s">
        <v>11</v>
      </c>
      <c r="U105" s="12" t="s">
        <v>4908</v>
      </c>
      <c r="V105" s="12" t="s">
        <v>1937</v>
      </c>
      <c r="W105" s="12" t="s">
        <v>7160</v>
      </c>
      <c r="X105" s="12">
        <v>1.68</v>
      </c>
      <c r="Y105" s="12">
        <v>823880</v>
      </c>
      <c r="Z105" s="12" t="s">
        <v>17</v>
      </c>
      <c r="AA105" s="12" t="s">
        <v>17</v>
      </c>
      <c r="AB105" s="12" t="s">
        <v>4911</v>
      </c>
      <c r="AC105" s="12" t="s">
        <v>21</v>
      </c>
      <c r="AD105" s="12">
        <v>6.5000000000000002E-2</v>
      </c>
      <c r="AE105" s="12">
        <v>0.999</v>
      </c>
      <c r="AF105" s="12" t="s">
        <v>111</v>
      </c>
    </row>
    <row r="106" spans="1:32" x14ac:dyDescent="0.2">
      <c r="A106" s="12" t="s">
        <v>4904</v>
      </c>
      <c r="B106" s="12" t="s">
        <v>4904</v>
      </c>
      <c r="C106" s="12" t="s">
        <v>4905</v>
      </c>
      <c r="D106" s="12" t="s">
        <v>13</v>
      </c>
      <c r="E106" s="12" t="s">
        <v>8110</v>
      </c>
      <c r="F106" s="12" t="s">
        <v>5460</v>
      </c>
      <c r="G106" s="12" t="s">
        <v>1914</v>
      </c>
      <c r="H106" s="12" t="s">
        <v>6614</v>
      </c>
      <c r="I106" s="12">
        <v>8123</v>
      </c>
      <c r="J106" s="12" t="s">
        <v>4907</v>
      </c>
      <c r="K106" s="12" t="s">
        <v>6657</v>
      </c>
      <c r="L106" s="12" t="s">
        <v>4818</v>
      </c>
      <c r="M106" s="12" t="s">
        <v>4817</v>
      </c>
      <c r="N106" s="12" t="s">
        <v>5785</v>
      </c>
      <c r="O106" s="12" t="s">
        <v>4833</v>
      </c>
      <c r="P106" s="12" t="s">
        <v>4823</v>
      </c>
      <c r="Q106" s="12" t="s">
        <v>6650</v>
      </c>
      <c r="R106" s="12">
        <v>44.640262</v>
      </c>
      <c r="S106" s="12">
        <v>22.303329999999999</v>
      </c>
      <c r="T106" s="12" t="s">
        <v>11</v>
      </c>
      <c r="U106" s="12" t="s">
        <v>4908</v>
      </c>
      <c r="V106" s="12" t="s">
        <v>1932</v>
      </c>
      <c r="W106" s="12" t="s">
        <v>7160</v>
      </c>
      <c r="X106" s="12">
        <v>2.94</v>
      </c>
      <c r="Y106" s="12">
        <v>824939</v>
      </c>
      <c r="Z106" s="12" t="s">
        <v>17</v>
      </c>
      <c r="AA106" s="12" t="s">
        <v>17</v>
      </c>
      <c r="AB106" s="12" t="s">
        <v>4906</v>
      </c>
      <c r="AC106" s="12" t="s">
        <v>21</v>
      </c>
      <c r="AD106" s="12">
        <v>9.7000000000000003E-2</v>
      </c>
      <c r="AE106" s="12">
        <v>0.99</v>
      </c>
      <c r="AF106" s="12" t="s">
        <v>22</v>
      </c>
    </row>
    <row r="107" spans="1:32" x14ac:dyDescent="0.2">
      <c r="A107" s="12" t="s">
        <v>4834</v>
      </c>
      <c r="B107" s="12" t="s">
        <v>4834</v>
      </c>
      <c r="C107" s="12" t="s">
        <v>4835</v>
      </c>
      <c r="D107" s="12" t="s">
        <v>13</v>
      </c>
      <c r="E107" s="12" t="s">
        <v>8110</v>
      </c>
      <c r="F107" s="12" t="s">
        <v>5460</v>
      </c>
      <c r="G107" s="12" t="s">
        <v>1914</v>
      </c>
      <c r="H107" s="12" t="s">
        <v>6614</v>
      </c>
      <c r="I107" s="12">
        <v>8115</v>
      </c>
      <c r="J107" s="12" t="s">
        <v>4837</v>
      </c>
      <c r="K107" s="12" t="s">
        <v>6657</v>
      </c>
      <c r="L107" s="12" t="s">
        <v>4818</v>
      </c>
      <c r="M107" s="12" t="s">
        <v>4817</v>
      </c>
      <c r="N107" s="12" t="s">
        <v>5785</v>
      </c>
      <c r="O107" s="12" t="s">
        <v>4833</v>
      </c>
      <c r="P107" s="12" t="s">
        <v>4823</v>
      </c>
      <c r="Q107" s="12" t="s">
        <v>6650</v>
      </c>
      <c r="R107" s="12">
        <v>44.640262</v>
      </c>
      <c r="S107" s="12">
        <v>22.303329999999999</v>
      </c>
      <c r="T107" s="12" t="s">
        <v>11</v>
      </c>
      <c r="U107" s="12" t="s">
        <v>1311</v>
      </c>
      <c r="V107" s="12" t="s">
        <v>1926</v>
      </c>
      <c r="W107" s="12" t="s">
        <v>7160</v>
      </c>
      <c r="X107" s="12">
        <v>2.9020000000000001</v>
      </c>
      <c r="Y107" s="12">
        <v>834938</v>
      </c>
      <c r="Z107" s="12" t="s">
        <v>17</v>
      </c>
      <c r="AA107" s="12" t="s">
        <v>17</v>
      </c>
      <c r="AB107" s="12" t="s">
        <v>4836</v>
      </c>
      <c r="AC107" s="12" t="s">
        <v>21</v>
      </c>
      <c r="AD107" s="12">
        <v>7.6999999999999999E-2</v>
      </c>
      <c r="AE107" s="12">
        <v>0.997</v>
      </c>
      <c r="AF107" s="12" t="s">
        <v>82</v>
      </c>
    </row>
    <row r="108" spans="1:32" x14ac:dyDescent="0.2">
      <c r="A108" s="12" t="s">
        <v>4829</v>
      </c>
      <c r="B108" s="12" t="s">
        <v>4829</v>
      </c>
      <c r="C108" s="12" t="s">
        <v>4830</v>
      </c>
      <c r="D108" s="12" t="s">
        <v>13</v>
      </c>
      <c r="E108" s="12" t="s">
        <v>8110</v>
      </c>
      <c r="F108" s="12" t="s">
        <v>5460</v>
      </c>
      <c r="G108" s="12" t="s">
        <v>1914</v>
      </c>
      <c r="H108" s="12" t="s">
        <v>6614</v>
      </c>
      <c r="I108" s="12">
        <v>8058</v>
      </c>
      <c r="J108" s="12" t="s">
        <v>4832</v>
      </c>
      <c r="K108" s="12" t="s">
        <v>6657</v>
      </c>
      <c r="L108" s="12" t="s">
        <v>4818</v>
      </c>
      <c r="M108" s="12" t="s">
        <v>4817</v>
      </c>
      <c r="N108" s="12" t="s">
        <v>5785</v>
      </c>
      <c r="O108" s="12" t="s">
        <v>4833</v>
      </c>
      <c r="P108" s="12" t="s">
        <v>4823</v>
      </c>
      <c r="Q108" s="12" t="s">
        <v>6650</v>
      </c>
      <c r="R108" s="12">
        <v>44.640262</v>
      </c>
      <c r="S108" s="12">
        <v>22.303329999999999</v>
      </c>
      <c r="T108" s="12" t="s">
        <v>25</v>
      </c>
      <c r="U108" s="12" t="s">
        <v>2782</v>
      </c>
      <c r="V108" s="12" t="s">
        <v>6639</v>
      </c>
      <c r="W108" s="12" t="s">
        <v>6639</v>
      </c>
      <c r="X108" s="12">
        <v>2.6960000000000002</v>
      </c>
      <c r="Y108" s="12">
        <v>789618</v>
      </c>
      <c r="Z108" s="12" t="s">
        <v>6639</v>
      </c>
      <c r="AA108" s="12" t="s">
        <v>6639</v>
      </c>
      <c r="AB108" s="12" t="s">
        <v>4831</v>
      </c>
      <c r="AC108" s="12" t="s">
        <v>21</v>
      </c>
      <c r="AD108" s="12">
        <v>0.13300000000000001</v>
      </c>
      <c r="AE108" s="12">
        <v>0.96599999999999997</v>
      </c>
      <c r="AF108" s="12" t="s">
        <v>45</v>
      </c>
    </row>
    <row r="109" spans="1:32" x14ac:dyDescent="0.2">
      <c r="A109" s="12" t="s">
        <v>4900</v>
      </c>
      <c r="B109" s="12" t="s">
        <v>4900</v>
      </c>
      <c r="C109" s="12" t="s">
        <v>4901</v>
      </c>
      <c r="D109" s="12" t="s">
        <v>13</v>
      </c>
      <c r="E109" s="12" t="s">
        <v>8110</v>
      </c>
      <c r="F109" s="12" t="s">
        <v>5460</v>
      </c>
      <c r="G109" s="12" t="s">
        <v>1914</v>
      </c>
      <c r="H109" s="12" t="s">
        <v>6614</v>
      </c>
      <c r="I109" s="12">
        <v>8001</v>
      </c>
      <c r="J109" s="12" t="s">
        <v>4903</v>
      </c>
      <c r="K109" s="12" t="s">
        <v>6657</v>
      </c>
      <c r="L109" s="12" t="s">
        <v>4818</v>
      </c>
      <c r="M109" s="12" t="s">
        <v>4817</v>
      </c>
      <c r="N109" s="12" t="s">
        <v>5785</v>
      </c>
      <c r="O109" s="12" t="s">
        <v>4877</v>
      </c>
      <c r="P109" s="12" t="s">
        <v>4823</v>
      </c>
      <c r="Q109" s="12" t="s">
        <v>6650</v>
      </c>
      <c r="R109" s="12">
        <v>44.595878999999996</v>
      </c>
      <c r="S109" s="12">
        <v>22.010567999999999</v>
      </c>
      <c r="T109" s="12" t="s">
        <v>25</v>
      </c>
      <c r="U109" s="12" t="s">
        <v>1950</v>
      </c>
      <c r="V109" s="12" t="s">
        <v>6639</v>
      </c>
      <c r="W109" s="12" t="s">
        <v>6639</v>
      </c>
      <c r="X109" s="12">
        <v>2.6440000000000001</v>
      </c>
      <c r="Y109" s="12">
        <v>824280</v>
      </c>
      <c r="Z109" s="12" t="s">
        <v>6639</v>
      </c>
      <c r="AA109" s="12" t="s">
        <v>6639</v>
      </c>
      <c r="AB109" s="12" t="s">
        <v>4902</v>
      </c>
      <c r="AC109" s="12" t="s">
        <v>21</v>
      </c>
      <c r="AD109" s="12">
        <v>0.13200000000000001</v>
      </c>
      <c r="AE109" s="12">
        <v>0.99</v>
      </c>
      <c r="AF109" s="12" t="s">
        <v>45</v>
      </c>
    </row>
    <row r="110" spans="1:32" x14ac:dyDescent="0.2">
      <c r="A110" s="12" t="s">
        <v>2805</v>
      </c>
      <c r="B110" s="12" t="s">
        <v>2805</v>
      </c>
      <c r="C110" s="12" t="s">
        <v>7594</v>
      </c>
      <c r="D110" s="12" t="s">
        <v>13</v>
      </c>
      <c r="E110" s="12" t="s">
        <v>8110</v>
      </c>
      <c r="F110" s="12" t="s">
        <v>5460</v>
      </c>
      <c r="G110" s="12" t="s">
        <v>1914</v>
      </c>
      <c r="H110" s="12" t="s">
        <v>6614</v>
      </c>
      <c r="I110" s="12">
        <v>7976</v>
      </c>
      <c r="J110" s="12" t="s">
        <v>2807</v>
      </c>
      <c r="K110" s="12" t="s">
        <v>6657</v>
      </c>
      <c r="L110" s="12" t="s">
        <v>2770</v>
      </c>
      <c r="M110" s="12" t="s">
        <v>2770</v>
      </c>
      <c r="N110" s="12" t="s">
        <v>5785</v>
      </c>
      <c r="O110" s="12" t="s">
        <v>2773</v>
      </c>
      <c r="P110" s="12" t="s">
        <v>2774</v>
      </c>
      <c r="Q110" s="12" t="s">
        <v>6650</v>
      </c>
      <c r="R110" s="12">
        <v>56.283299999999997</v>
      </c>
      <c r="S110" s="12">
        <v>25.133299999999998</v>
      </c>
      <c r="T110" s="12" t="s">
        <v>11</v>
      </c>
      <c r="U110" s="12" t="s">
        <v>2786</v>
      </c>
      <c r="V110" s="12" t="s">
        <v>1937</v>
      </c>
      <c r="W110" s="12" t="s">
        <v>7160</v>
      </c>
      <c r="X110" s="12">
        <v>4.3789999999999996</v>
      </c>
      <c r="Y110" s="12">
        <v>826812</v>
      </c>
      <c r="Z110" s="12" t="s">
        <v>17</v>
      </c>
      <c r="AA110" s="12" t="s">
        <v>17</v>
      </c>
      <c r="AB110" s="12" t="s">
        <v>2806</v>
      </c>
      <c r="AC110" s="12" t="s">
        <v>21</v>
      </c>
      <c r="AD110" s="12">
        <v>0.104</v>
      </c>
      <c r="AE110" s="12">
        <v>0.99199999999999999</v>
      </c>
      <c r="AF110" s="12" t="s">
        <v>82</v>
      </c>
    </row>
    <row r="111" spans="1:32" x14ac:dyDescent="0.2">
      <c r="A111" s="12" t="s">
        <v>2801</v>
      </c>
      <c r="B111" s="12" t="s">
        <v>2801</v>
      </c>
      <c r="C111" s="12" t="s">
        <v>7585</v>
      </c>
      <c r="D111" s="12" t="s">
        <v>13</v>
      </c>
      <c r="E111" s="12" t="s">
        <v>8110</v>
      </c>
      <c r="F111" s="12" t="s">
        <v>5460</v>
      </c>
      <c r="G111" s="12" t="s">
        <v>1914</v>
      </c>
      <c r="H111" s="12" t="s">
        <v>6614</v>
      </c>
      <c r="I111" s="12">
        <v>7948</v>
      </c>
      <c r="J111" s="12" t="s">
        <v>2803</v>
      </c>
      <c r="K111" s="12" t="s">
        <v>6657</v>
      </c>
      <c r="L111" s="12" t="s">
        <v>2770</v>
      </c>
      <c r="M111" s="12" t="s">
        <v>2770</v>
      </c>
      <c r="N111" s="12" t="s">
        <v>5785</v>
      </c>
      <c r="O111" s="12" t="s">
        <v>2773</v>
      </c>
      <c r="P111" s="12" t="s">
        <v>2774</v>
      </c>
      <c r="Q111" s="12" t="s">
        <v>6650</v>
      </c>
      <c r="R111" s="12">
        <v>56.283299999999997</v>
      </c>
      <c r="S111" s="12">
        <v>25.133299999999998</v>
      </c>
      <c r="T111" s="12" t="s">
        <v>11</v>
      </c>
      <c r="U111" s="12" t="s">
        <v>2804</v>
      </c>
      <c r="V111" s="12" t="s">
        <v>5763</v>
      </c>
      <c r="W111" s="12" t="s">
        <v>7160</v>
      </c>
      <c r="X111" s="12">
        <v>3.7570000000000001</v>
      </c>
      <c r="Y111" s="12">
        <v>746654</v>
      </c>
      <c r="Z111" s="12" t="s">
        <v>17</v>
      </c>
      <c r="AA111" s="12" t="s">
        <v>17</v>
      </c>
      <c r="AB111" s="12" t="s">
        <v>2802</v>
      </c>
      <c r="AC111" s="12" t="s">
        <v>21</v>
      </c>
      <c r="AD111" s="12">
        <v>6.6000000000000003E-2</v>
      </c>
      <c r="AE111" s="12">
        <v>0.99299999999999999</v>
      </c>
      <c r="AF111" s="12" t="s">
        <v>22</v>
      </c>
    </row>
    <row r="112" spans="1:32" x14ac:dyDescent="0.2">
      <c r="A112" s="12" t="s">
        <v>4895</v>
      </c>
      <c r="B112" s="12" t="s">
        <v>4895</v>
      </c>
      <c r="C112" s="12" t="s">
        <v>4896</v>
      </c>
      <c r="D112" s="12" t="s">
        <v>13</v>
      </c>
      <c r="E112" s="12" t="s">
        <v>8110</v>
      </c>
      <c r="F112" s="12" t="s">
        <v>5460</v>
      </c>
      <c r="G112" s="12" t="s">
        <v>1914</v>
      </c>
      <c r="H112" s="12" t="s">
        <v>6614</v>
      </c>
      <c r="I112" s="12">
        <v>7872</v>
      </c>
      <c r="J112" s="12" t="s">
        <v>4898</v>
      </c>
      <c r="K112" s="12" t="s">
        <v>6657</v>
      </c>
      <c r="L112" s="12" t="s">
        <v>4818</v>
      </c>
      <c r="M112" s="12" t="s">
        <v>4817</v>
      </c>
      <c r="N112" s="12" t="s">
        <v>5785</v>
      </c>
      <c r="O112" s="12" t="s">
        <v>4822</v>
      </c>
      <c r="P112" s="12" t="s">
        <v>4823</v>
      </c>
      <c r="Q112" s="12" t="s">
        <v>6650</v>
      </c>
      <c r="R112" s="12">
        <v>44.533679999999997</v>
      </c>
      <c r="S112" s="12">
        <v>22.050319999999999</v>
      </c>
      <c r="T112" s="12" t="s">
        <v>25</v>
      </c>
      <c r="U112" s="12" t="s">
        <v>4899</v>
      </c>
      <c r="V112" s="12" t="s">
        <v>6639</v>
      </c>
      <c r="W112" s="12" t="s">
        <v>6639</v>
      </c>
      <c r="X112" s="12">
        <v>4.2359999999999998</v>
      </c>
      <c r="Y112" s="12">
        <v>803852</v>
      </c>
      <c r="Z112" s="12" t="s">
        <v>6639</v>
      </c>
      <c r="AA112" s="12" t="s">
        <v>6639</v>
      </c>
      <c r="AB112" s="12" t="s">
        <v>4897</v>
      </c>
      <c r="AC112" s="12" t="s">
        <v>21</v>
      </c>
      <c r="AD112" s="12">
        <v>0.107</v>
      </c>
      <c r="AE112" s="12">
        <v>0.98599999999999999</v>
      </c>
      <c r="AF112" s="12" t="s">
        <v>45</v>
      </c>
    </row>
    <row r="113" spans="1:32" x14ac:dyDescent="0.2">
      <c r="A113" s="12" t="s">
        <v>4824</v>
      </c>
      <c r="B113" s="12" t="s">
        <v>4824</v>
      </c>
      <c r="C113" s="12" t="s">
        <v>4825</v>
      </c>
      <c r="D113" s="12" t="s">
        <v>13</v>
      </c>
      <c r="E113" s="12" t="s">
        <v>8110</v>
      </c>
      <c r="F113" s="12" t="s">
        <v>5460</v>
      </c>
      <c r="G113" s="12" t="s">
        <v>1914</v>
      </c>
      <c r="H113" s="12" t="s">
        <v>6614</v>
      </c>
      <c r="I113" s="12">
        <v>7813</v>
      </c>
      <c r="J113" s="12" t="s">
        <v>4827</v>
      </c>
      <c r="K113" s="12" t="s">
        <v>6657</v>
      </c>
      <c r="L113" s="12" t="s">
        <v>4818</v>
      </c>
      <c r="M113" s="12" t="s">
        <v>4817</v>
      </c>
      <c r="N113" s="12" t="s">
        <v>5785</v>
      </c>
      <c r="O113" s="12" t="s">
        <v>4822</v>
      </c>
      <c r="P113" s="12" t="s">
        <v>4823</v>
      </c>
      <c r="Q113" s="12" t="s">
        <v>6650</v>
      </c>
      <c r="R113" s="16">
        <v>44.533679999999997</v>
      </c>
      <c r="S113" s="16">
        <v>22.050319999999999</v>
      </c>
      <c r="T113" s="12" t="s">
        <v>11</v>
      </c>
      <c r="U113" s="12" t="s">
        <v>4828</v>
      </c>
      <c r="V113" s="12" t="s">
        <v>1932</v>
      </c>
      <c r="W113" s="12" t="s">
        <v>7160</v>
      </c>
      <c r="X113" s="12">
        <v>3.9409999999999998</v>
      </c>
      <c r="Y113" s="12">
        <v>827165</v>
      </c>
      <c r="Z113" s="12" t="s">
        <v>17</v>
      </c>
      <c r="AA113" s="12" t="s">
        <v>17</v>
      </c>
      <c r="AB113" s="12" t="s">
        <v>4826</v>
      </c>
      <c r="AC113" s="12" t="s">
        <v>21</v>
      </c>
      <c r="AD113" s="12">
        <v>8.5999999999999993E-2</v>
      </c>
      <c r="AE113" s="12">
        <v>0.997</v>
      </c>
      <c r="AF113" s="12" t="s">
        <v>59</v>
      </c>
    </row>
    <row r="114" spans="1:32" x14ac:dyDescent="0.2">
      <c r="A114" s="12" t="s">
        <v>4816</v>
      </c>
      <c r="B114" s="12" t="s">
        <v>4816</v>
      </c>
      <c r="C114" s="12" t="s">
        <v>4819</v>
      </c>
      <c r="D114" s="12" t="s">
        <v>13</v>
      </c>
      <c r="E114" s="12" t="s">
        <v>8110</v>
      </c>
      <c r="F114" s="12" t="s">
        <v>5460</v>
      </c>
      <c r="G114" s="12" t="s">
        <v>1914</v>
      </c>
      <c r="H114" s="12" t="s">
        <v>6614</v>
      </c>
      <c r="I114" s="12">
        <v>7803</v>
      </c>
      <c r="J114" s="12" t="s">
        <v>4821</v>
      </c>
      <c r="K114" s="12" t="s">
        <v>6657</v>
      </c>
      <c r="L114" s="12" t="s">
        <v>4818</v>
      </c>
      <c r="M114" s="12" t="s">
        <v>4817</v>
      </c>
      <c r="N114" s="12" t="s">
        <v>5785</v>
      </c>
      <c r="O114" s="12" t="s">
        <v>4822</v>
      </c>
      <c r="P114" s="12" t="s">
        <v>4823</v>
      </c>
      <c r="Q114" s="12" t="s">
        <v>6650</v>
      </c>
      <c r="R114" s="12">
        <v>44.533679999999997</v>
      </c>
      <c r="S114" s="12">
        <v>22.050319999999999</v>
      </c>
      <c r="T114" s="12" t="s">
        <v>11</v>
      </c>
      <c r="U114" s="12" t="s">
        <v>407</v>
      </c>
      <c r="V114" s="12" t="s">
        <v>5765</v>
      </c>
      <c r="W114" s="12" t="s">
        <v>7160</v>
      </c>
      <c r="X114" s="12">
        <v>4.6079999999999997</v>
      </c>
      <c r="Y114" s="12">
        <v>816301</v>
      </c>
      <c r="Z114" s="12" t="s">
        <v>17</v>
      </c>
      <c r="AA114" s="12" t="s">
        <v>17</v>
      </c>
      <c r="AB114" s="12" t="s">
        <v>4820</v>
      </c>
      <c r="AC114" s="12" t="s">
        <v>21</v>
      </c>
      <c r="AD114" s="12">
        <v>6.8000000000000005E-2</v>
      </c>
      <c r="AE114" s="12">
        <v>0.995</v>
      </c>
      <c r="AF114" s="12" t="s">
        <v>45</v>
      </c>
    </row>
    <row r="115" spans="1:32" x14ac:dyDescent="0.2">
      <c r="A115" s="12" t="s">
        <v>2822</v>
      </c>
      <c r="B115" s="12" t="s">
        <v>2822</v>
      </c>
      <c r="C115" s="12" t="s">
        <v>2823</v>
      </c>
      <c r="D115" s="12" t="s">
        <v>13</v>
      </c>
      <c r="E115" s="12" t="s">
        <v>8110</v>
      </c>
      <c r="F115" s="12" t="s">
        <v>5460</v>
      </c>
      <c r="G115" s="12" t="s">
        <v>1914</v>
      </c>
      <c r="H115" s="12" t="s">
        <v>6614</v>
      </c>
      <c r="I115" s="12">
        <v>7689</v>
      </c>
      <c r="J115" s="12" t="s">
        <v>2825</v>
      </c>
      <c r="K115" s="12" t="s">
        <v>6657</v>
      </c>
      <c r="L115" s="12" t="s">
        <v>2770</v>
      </c>
      <c r="M115" s="12" t="s">
        <v>2770</v>
      </c>
      <c r="N115" s="12" t="s">
        <v>5785</v>
      </c>
      <c r="O115" s="12" t="s">
        <v>2773</v>
      </c>
      <c r="P115" s="12" t="s">
        <v>2774</v>
      </c>
      <c r="Q115" s="12" t="s">
        <v>6650</v>
      </c>
      <c r="R115" s="12">
        <v>56.283299999999997</v>
      </c>
      <c r="S115" s="12">
        <v>25.133299999999998</v>
      </c>
      <c r="T115" s="12" t="s">
        <v>11</v>
      </c>
      <c r="U115" s="12" t="s">
        <v>2792</v>
      </c>
      <c r="V115" s="12" t="s">
        <v>495</v>
      </c>
      <c r="W115" s="12" t="s">
        <v>7160</v>
      </c>
      <c r="X115" s="12">
        <v>0.54200000000000004</v>
      </c>
      <c r="Y115" s="12">
        <v>379869</v>
      </c>
      <c r="Z115" s="12" t="s">
        <v>17</v>
      </c>
      <c r="AA115" s="12" t="s">
        <v>17</v>
      </c>
      <c r="AB115" s="12" t="s">
        <v>2824</v>
      </c>
      <c r="AC115" s="12" t="s">
        <v>21</v>
      </c>
      <c r="AD115" s="12">
        <v>6.7000000000000004E-2</v>
      </c>
      <c r="AE115" s="12">
        <v>0.99199999999999999</v>
      </c>
      <c r="AF115" s="12" t="s">
        <v>45</v>
      </c>
    </row>
    <row r="116" spans="1:32" x14ac:dyDescent="0.2">
      <c r="A116" s="12" t="s">
        <v>2797</v>
      </c>
      <c r="B116" s="12" t="s">
        <v>2797</v>
      </c>
      <c r="C116" s="12" t="s">
        <v>7591</v>
      </c>
      <c r="D116" s="12" t="s">
        <v>13</v>
      </c>
      <c r="E116" s="12" t="s">
        <v>8110</v>
      </c>
      <c r="F116" s="12" t="s">
        <v>5460</v>
      </c>
      <c r="G116" s="12" t="s">
        <v>1914</v>
      </c>
      <c r="H116" s="12" t="s">
        <v>6614</v>
      </c>
      <c r="I116" s="12">
        <v>7671</v>
      </c>
      <c r="J116" s="12" t="s">
        <v>2799</v>
      </c>
      <c r="K116" s="12" t="s">
        <v>6657</v>
      </c>
      <c r="L116" s="12" t="s">
        <v>2770</v>
      </c>
      <c r="M116" s="12" t="s">
        <v>2770</v>
      </c>
      <c r="N116" s="12" t="s">
        <v>5785</v>
      </c>
      <c r="O116" s="12" t="s">
        <v>2773</v>
      </c>
      <c r="P116" s="12" t="s">
        <v>2774</v>
      </c>
      <c r="Q116" s="12" t="s">
        <v>6650</v>
      </c>
      <c r="R116" s="12">
        <v>56.283299999999997</v>
      </c>
      <c r="S116" s="12">
        <v>25.133299999999998</v>
      </c>
      <c r="T116" s="12" t="s">
        <v>11</v>
      </c>
      <c r="U116" s="12" t="s">
        <v>2800</v>
      </c>
      <c r="V116" s="12" t="s">
        <v>5764</v>
      </c>
      <c r="W116" s="12" t="s">
        <v>7160</v>
      </c>
      <c r="X116" s="12">
        <v>3.9009999999999998</v>
      </c>
      <c r="Y116" s="12">
        <v>708525</v>
      </c>
      <c r="Z116" s="12" t="s">
        <v>17</v>
      </c>
      <c r="AA116" s="12" t="s">
        <v>17</v>
      </c>
      <c r="AB116" s="12" t="s">
        <v>2798</v>
      </c>
      <c r="AC116" s="12" t="s">
        <v>21</v>
      </c>
      <c r="AD116" s="12" t="s">
        <v>17</v>
      </c>
      <c r="AE116" s="12">
        <v>0.997</v>
      </c>
      <c r="AF116" s="12" t="s">
        <v>45</v>
      </c>
    </row>
    <row r="117" spans="1:32" x14ac:dyDescent="0.2">
      <c r="A117" s="12" t="s">
        <v>2793</v>
      </c>
      <c r="B117" s="12" t="s">
        <v>2793</v>
      </c>
      <c r="C117" s="12" t="s">
        <v>2794</v>
      </c>
      <c r="D117" s="12" t="s">
        <v>13</v>
      </c>
      <c r="E117" s="12" t="s">
        <v>8110</v>
      </c>
      <c r="F117" s="12" t="s">
        <v>5460</v>
      </c>
      <c r="G117" s="12" t="s">
        <v>1914</v>
      </c>
      <c r="H117" s="12" t="s">
        <v>6614</v>
      </c>
      <c r="I117" s="12">
        <v>7648</v>
      </c>
      <c r="J117" s="12" t="s">
        <v>2796</v>
      </c>
      <c r="K117" s="12" t="s">
        <v>6657</v>
      </c>
      <c r="L117" s="12" t="s">
        <v>2770</v>
      </c>
      <c r="M117" s="12" t="s">
        <v>2770</v>
      </c>
      <c r="N117" s="12" t="s">
        <v>5785</v>
      </c>
      <c r="O117" s="12" t="s">
        <v>2773</v>
      </c>
      <c r="P117" s="12" t="s">
        <v>2774</v>
      </c>
      <c r="Q117" s="12" t="s">
        <v>6650</v>
      </c>
      <c r="R117" s="12">
        <v>56.283299999999997</v>
      </c>
      <c r="S117" s="12">
        <v>25.133299999999998</v>
      </c>
      <c r="T117" s="12" t="s">
        <v>11</v>
      </c>
      <c r="U117" s="12" t="s">
        <v>1950</v>
      </c>
      <c r="V117" s="12" t="s">
        <v>5763</v>
      </c>
      <c r="W117" s="12" t="s">
        <v>7160</v>
      </c>
      <c r="X117" s="12">
        <v>3.7810000000000001</v>
      </c>
      <c r="Y117" s="12">
        <v>758805</v>
      </c>
      <c r="Z117" s="12" t="s">
        <v>17</v>
      </c>
      <c r="AA117" s="12" t="s">
        <v>17</v>
      </c>
      <c r="AB117" s="12" t="s">
        <v>2795</v>
      </c>
      <c r="AC117" s="12" t="s">
        <v>21</v>
      </c>
      <c r="AD117" s="12">
        <v>5.8000000000000003E-2</v>
      </c>
      <c r="AE117" s="12">
        <v>0.99399999999999999</v>
      </c>
      <c r="AF117" s="12" t="s">
        <v>45</v>
      </c>
    </row>
    <row r="118" spans="1:32" x14ac:dyDescent="0.2">
      <c r="A118" s="12" t="s">
        <v>2788</v>
      </c>
      <c r="B118" s="12" t="s">
        <v>2788</v>
      </c>
      <c r="C118" s="12" t="s">
        <v>2789</v>
      </c>
      <c r="D118" s="12" t="s">
        <v>13</v>
      </c>
      <c r="E118" s="12" t="s">
        <v>8110</v>
      </c>
      <c r="F118" s="12" t="s">
        <v>5460</v>
      </c>
      <c r="G118" s="12" t="s">
        <v>1914</v>
      </c>
      <c r="H118" s="12" t="s">
        <v>6614</v>
      </c>
      <c r="I118" s="12">
        <v>7637</v>
      </c>
      <c r="J118" s="12" t="s">
        <v>2791</v>
      </c>
      <c r="K118" s="12" t="s">
        <v>6657</v>
      </c>
      <c r="L118" s="12" t="s">
        <v>2770</v>
      </c>
      <c r="M118" s="12" t="s">
        <v>2770</v>
      </c>
      <c r="N118" s="12" t="s">
        <v>5785</v>
      </c>
      <c r="O118" s="12" t="s">
        <v>2773</v>
      </c>
      <c r="P118" s="12" t="s">
        <v>2774</v>
      </c>
      <c r="Q118" s="12" t="s">
        <v>6650</v>
      </c>
      <c r="R118" s="12">
        <v>56.283299999999997</v>
      </c>
      <c r="S118" s="12">
        <v>25.133299999999998</v>
      </c>
      <c r="T118" s="12" t="s">
        <v>25</v>
      </c>
      <c r="U118" s="12" t="s">
        <v>2792</v>
      </c>
      <c r="V118" s="12" t="s">
        <v>6639</v>
      </c>
      <c r="W118" s="12" t="s">
        <v>6639</v>
      </c>
      <c r="X118" s="12">
        <v>4.22</v>
      </c>
      <c r="Y118" s="12">
        <v>784978</v>
      </c>
      <c r="Z118" s="12" t="s">
        <v>6639</v>
      </c>
      <c r="AA118" s="12" t="s">
        <v>6639</v>
      </c>
      <c r="AB118" s="12" t="s">
        <v>2790</v>
      </c>
      <c r="AC118" s="12" t="s">
        <v>21</v>
      </c>
      <c r="AD118" s="12">
        <v>0.09</v>
      </c>
      <c r="AE118" s="12">
        <v>0.98699999999999999</v>
      </c>
      <c r="AF118" s="12" t="s">
        <v>45</v>
      </c>
    </row>
    <row r="119" spans="1:32" x14ac:dyDescent="0.2">
      <c r="A119" s="12" t="s">
        <v>2783</v>
      </c>
      <c r="B119" s="12" t="s">
        <v>2783</v>
      </c>
      <c r="C119" s="12" t="s">
        <v>7586</v>
      </c>
      <c r="D119" s="12" t="s">
        <v>13</v>
      </c>
      <c r="E119" s="12" t="s">
        <v>8110</v>
      </c>
      <c r="F119" s="12" t="s">
        <v>5460</v>
      </c>
      <c r="G119" s="12" t="s">
        <v>1914</v>
      </c>
      <c r="H119" s="12" t="s">
        <v>6614</v>
      </c>
      <c r="I119" s="12">
        <v>7446</v>
      </c>
      <c r="J119" s="12" t="s">
        <v>2785</v>
      </c>
      <c r="K119" s="12" t="s">
        <v>6657</v>
      </c>
      <c r="L119" s="12" t="s">
        <v>2770</v>
      </c>
      <c r="M119" s="12" t="s">
        <v>2770</v>
      </c>
      <c r="N119" s="12" t="s">
        <v>5785</v>
      </c>
      <c r="O119" s="12" t="s">
        <v>2773</v>
      </c>
      <c r="P119" s="12" t="s">
        <v>2774</v>
      </c>
      <c r="Q119" s="12" t="s">
        <v>6650</v>
      </c>
      <c r="R119" s="12">
        <v>56.283299999999997</v>
      </c>
      <c r="S119" s="12">
        <v>25.133299999999998</v>
      </c>
      <c r="T119" s="12" t="s">
        <v>11</v>
      </c>
      <c r="U119" s="12" t="s">
        <v>2786</v>
      </c>
      <c r="V119" s="12" t="s">
        <v>5763</v>
      </c>
      <c r="W119" s="12" t="s">
        <v>7160</v>
      </c>
      <c r="X119" s="12">
        <v>3.4830000000000001</v>
      </c>
      <c r="Y119" s="12">
        <v>745524</v>
      </c>
      <c r="Z119" s="12" t="s">
        <v>17</v>
      </c>
      <c r="AA119" s="12" t="s">
        <v>17</v>
      </c>
      <c r="AB119" s="12" t="s">
        <v>2784</v>
      </c>
      <c r="AC119" s="12" t="s">
        <v>21</v>
      </c>
      <c r="AD119" s="12">
        <v>8.6999999999999994E-2</v>
      </c>
      <c r="AE119" s="12">
        <v>0.998</v>
      </c>
      <c r="AF119" s="12" t="s">
        <v>22</v>
      </c>
    </row>
    <row r="120" spans="1:32" x14ac:dyDescent="0.2">
      <c r="A120" s="12" t="s">
        <v>2779</v>
      </c>
      <c r="B120" s="12" t="s">
        <v>2779</v>
      </c>
      <c r="C120" s="12" t="s">
        <v>7593</v>
      </c>
      <c r="D120" s="12" t="s">
        <v>13</v>
      </c>
      <c r="E120" s="12" t="s">
        <v>8110</v>
      </c>
      <c r="F120" s="12" t="s">
        <v>5460</v>
      </c>
      <c r="G120" s="12" t="s">
        <v>1914</v>
      </c>
      <c r="H120" s="12" t="s">
        <v>6614</v>
      </c>
      <c r="I120" s="12">
        <v>7379</v>
      </c>
      <c r="J120" s="12" t="s">
        <v>2781</v>
      </c>
      <c r="K120" s="12" t="s">
        <v>6657</v>
      </c>
      <c r="L120" s="12" t="s">
        <v>2770</v>
      </c>
      <c r="M120" s="12" t="s">
        <v>2770</v>
      </c>
      <c r="N120" s="12" t="s">
        <v>5785</v>
      </c>
      <c r="O120" s="12" t="s">
        <v>2773</v>
      </c>
      <c r="P120" s="12" t="s">
        <v>2774</v>
      </c>
      <c r="Q120" s="12" t="s">
        <v>6650</v>
      </c>
      <c r="R120" s="12">
        <v>56.283299999999997</v>
      </c>
      <c r="S120" s="12">
        <v>25.133299999999998</v>
      </c>
      <c r="T120" s="12" t="s">
        <v>11</v>
      </c>
      <c r="U120" s="12" t="s">
        <v>2782</v>
      </c>
      <c r="V120" s="12" t="s">
        <v>5764</v>
      </c>
      <c r="W120" s="12" t="s">
        <v>7160</v>
      </c>
      <c r="X120" s="12">
        <v>1.028</v>
      </c>
      <c r="Y120" s="12">
        <v>513811</v>
      </c>
      <c r="Z120" s="12" t="s">
        <v>17</v>
      </c>
      <c r="AA120" s="12" t="s">
        <v>17</v>
      </c>
      <c r="AB120" s="12" t="s">
        <v>2780</v>
      </c>
      <c r="AC120" s="12" t="s">
        <v>21</v>
      </c>
      <c r="AD120" s="12">
        <v>8.1000000000000003E-2</v>
      </c>
      <c r="AE120" s="12">
        <v>0.99099999999999999</v>
      </c>
      <c r="AF120" s="12" t="s">
        <v>45</v>
      </c>
    </row>
    <row r="121" spans="1:32" x14ac:dyDescent="0.2">
      <c r="A121" s="12" t="s">
        <v>2776</v>
      </c>
      <c r="B121" s="12" t="s">
        <v>2776</v>
      </c>
      <c r="C121" s="12" t="s">
        <v>7592</v>
      </c>
      <c r="D121" s="12" t="s">
        <v>13</v>
      </c>
      <c r="E121" s="12" t="s">
        <v>8110</v>
      </c>
      <c r="F121" s="12" t="s">
        <v>5460</v>
      </c>
      <c r="G121" s="12" t="s">
        <v>1914</v>
      </c>
      <c r="H121" s="12" t="s">
        <v>6614</v>
      </c>
      <c r="I121" s="12">
        <v>7377</v>
      </c>
      <c r="J121" s="12" t="s">
        <v>2778</v>
      </c>
      <c r="K121" s="12" t="s">
        <v>6657</v>
      </c>
      <c r="L121" s="12" t="s">
        <v>2770</v>
      </c>
      <c r="M121" s="12" t="s">
        <v>2770</v>
      </c>
      <c r="N121" s="12" t="s">
        <v>5785</v>
      </c>
      <c r="O121" s="12" t="s">
        <v>2773</v>
      </c>
      <c r="P121" s="12" t="s">
        <v>2774</v>
      </c>
      <c r="Q121" s="12" t="s">
        <v>6650</v>
      </c>
      <c r="R121" s="12">
        <v>56.283299999999997</v>
      </c>
      <c r="S121" s="12">
        <v>25.133299999999998</v>
      </c>
      <c r="T121" s="12" t="s">
        <v>25</v>
      </c>
      <c r="U121" s="12" t="s">
        <v>1531</v>
      </c>
      <c r="V121" s="12" t="s">
        <v>6639</v>
      </c>
      <c r="W121" s="12" t="s">
        <v>6639</v>
      </c>
      <c r="X121" s="12">
        <v>4.1740000000000004</v>
      </c>
      <c r="Y121" s="12">
        <v>744989</v>
      </c>
      <c r="Z121" s="12" t="s">
        <v>6639</v>
      </c>
      <c r="AA121" s="12" t="s">
        <v>6639</v>
      </c>
      <c r="AB121" s="12" t="s">
        <v>2777</v>
      </c>
      <c r="AC121" s="12" t="s">
        <v>21</v>
      </c>
      <c r="AD121" s="12">
        <v>7.9000000000000001E-2</v>
      </c>
      <c r="AE121" s="12">
        <v>0.999</v>
      </c>
      <c r="AF121" s="12" t="s">
        <v>45</v>
      </c>
    </row>
    <row r="122" spans="1:32" x14ac:dyDescent="0.2">
      <c r="A122" s="12" t="s">
        <v>2769</v>
      </c>
      <c r="B122" s="12" t="s">
        <v>2769</v>
      </c>
      <c r="C122" s="12" t="s">
        <v>7587</v>
      </c>
      <c r="D122" s="12" t="s">
        <v>13</v>
      </c>
      <c r="E122" s="12" t="s">
        <v>8110</v>
      </c>
      <c r="F122" s="12" t="s">
        <v>5460</v>
      </c>
      <c r="G122" s="12" t="s">
        <v>1914</v>
      </c>
      <c r="H122" s="12" t="s">
        <v>6614</v>
      </c>
      <c r="I122" s="12">
        <v>7291</v>
      </c>
      <c r="J122" s="12" t="s">
        <v>2772</v>
      </c>
      <c r="K122" s="12" t="s">
        <v>6657</v>
      </c>
      <c r="L122" s="12" t="s">
        <v>2770</v>
      </c>
      <c r="M122" s="12" t="s">
        <v>2770</v>
      </c>
      <c r="N122" s="12" t="s">
        <v>5785</v>
      </c>
      <c r="O122" s="12" t="s">
        <v>2773</v>
      </c>
      <c r="P122" s="12" t="s">
        <v>2774</v>
      </c>
      <c r="Q122" s="12" t="s">
        <v>6650</v>
      </c>
      <c r="R122" s="12">
        <v>56.283299999999997</v>
      </c>
      <c r="S122" s="12">
        <v>25.133299999999998</v>
      </c>
      <c r="T122" s="12" t="s">
        <v>11</v>
      </c>
      <c r="U122" s="12" t="s">
        <v>2775</v>
      </c>
      <c r="V122" s="12" t="s">
        <v>584</v>
      </c>
      <c r="W122" s="12" t="s">
        <v>7160</v>
      </c>
      <c r="X122" s="12">
        <v>3.8149999999999999</v>
      </c>
      <c r="Y122" s="12">
        <v>757881</v>
      </c>
      <c r="Z122" s="12" t="s">
        <v>17</v>
      </c>
      <c r="AA122" s="12" t="s">
        <v>17</v>
      </c>
      <c r="AB122" s="12" t="s">
        <v>2771</v>
      </c>
      <c r="AC122" s="12" t="s">
        <v>21</v>
      </c>
      <c r="AD122" s="12">
        <v>9.2999999999999999E-2</v>
      </c>
      <c r="AE122" s="12">
        <v>0.995</v>
      </c>
      <c r="AF122" s="12" t="s">
        <v>45</v>
      </c>
    </row>
    <row r="123" spans="1:32" x14ac:dyDescent="0.2">
      <c r="A123" s="12" t="s">
        <v>2815</v>
      </c>
      <c r="B123" s="12" t="s">
        <v>2815</v>
      </c>
      <c r="C123" s="12" t="s">
        <v>7588</v>
      </c>
      <c r="D123" s="12" t="s">
        <v>13</v>
      </c>
      <c r="E123" s="12" t="s">
        <v>8110</v>
      </c>
      <c r="F123" s="12" t="s">
        <v>5460</v>
      </c>
      <c r="G123" s="12" t="s">
        <v>1914</v>
      </c>
      <c r="H123" s="12" t="s">
        <v>6614</v>
      </c>
      <c r="I123" s="12">
        <v>7080</v>
      </c>
      <c r="J123" s="12" t="s">
        <v>2817</v>
      </c>
      <c r="K123" s="12" t="s">
        <v>6657</v>
      </c>
      <c r="L123" s="12" t="s">
        <v>2770</v>
      </c>
      <c r="M123" s="12" t="s">
        <v>2770</v>
      </c>
      <c r="N123" s="12" t="s">
        <v>5785</v>
      </c>
      <c r="O123" s="12" t="s">
        <v>2773</v>
      </c>
      <c r="P123" s="12" t="s">
        <v>2774</v>
      </c>
      <c r="Q123" s="12" t="s">
        <v>6650</v>
      </c>
      <c r="R123" s="12">
        <v>56.283299999999997</v>
      </c>
      <c r="S123" s="12">
        <v>25.133299999999998</v>
      </c>
      <c r="T123" s="12" t="s">
        <v>11</v>
      </c>
      <c r="U123" s="12" t="s">
        <v>1321</v>
      </c>
      <c r="V123" s="12" t="s">
        <v>584</v>
      </c>
      <c r="W123" s="12" t="s">
        <v>7160</v>
      </c>
      <c r="X123" s="12">
        <v>3.22</v>
      </c>
      <c r="Y123" s="12">
        <v>735842</v>
      </c>
      <c r="Z123" s="12" t="s">
        <v>17</v>
      </c>
      <c r="AA123" s="12" t="s">
        <v>17</v>
      </c>
      <c r="AB123" s="12" t="s">
        <v>2816</v>
      </c>
      <c r="AC123" s="12" t="s">
        <v>21</v>
      </c>
      <c r="AD123" s="12">
        <v>0.124</v>
      </c>
      <c r="AE123" s="12">
        <v>0.98399999999999999</v>
      </c>
      <c r="AF123" s="12" t="s">
        <v>22</v>
      </c>
    </row>
    <row r="124" spans="1:32" x14ac:dyDescent="0.2">
      <c r="A124" s="12" t="s">
        <v>2818</v>
      </c>
      <c r="B124" s="12" t="s">
        <v>2818</v>
      </c>
      <c r="C124" s="12" t="s">
        <v>2819</v>
      </c>
      <c r="D124" s="12" t="s">
        <v>13</v>
      </c>
      <c r="E124" s="12" t="s">
        <v>8110</v>
      </c>
      <c r="F124" s="12" t="s">
        <v>5460</v>
      </c>
      <c r="G124" s="12" t="s">
        <v>1914</v>
      </c>
      <c r="H124" s="12" t="s">
        <v>6614</v>
      </c>
      <c r="I124" s="12">
        <v>7027</v>
      </c>
      <c r="J124" s="12" t="s">
        <v>2821</v>
      </c>
      <c r="K124" s="12" t="s">
        <v>6657</v>
      </c>
      <c r="L124" s="12" t="s">
        <v>2770</v>
      </c>
      <c r="M124" s="12" t="s">
        <v>2770</v>
      </c>
      <c r="N124" s="12" t="s">
        <v>5785</v>
      </c>
      <c r="O124" s="12" t="s">
        <v>2773</v>
      </c>
      <c r="P124" s="12" t="s">
        <v>2774</v>
      </c>
      <c r="Q124" s="12" t="s">
        <v>6650</v>
      </c>
      <c r="R124" s="12">
        <v>56.283299999999997</v>
      </c>
      <c r="S124" s="12">
        <v>25.133299999999998</v>
      </c>
      <c r="T124" s="12" t="s">
        <v>11</v>
      </c>
      <c r="U124" s="12" t="s">
        <v>2786</v>
      </c>
      <c r="V124" s="12" t="s">
        <v>5763</v>
      </c>
      <c r="W124" s="12" t="s">
        <v>7160</v>
      </c>
      <c r="X124" s="12">
        <v>2.8809999999999998</v>
      </c>
      <c r="Y124" s="12">
        <v>717447</v>
      </c>
      <c r="Z124" s="12" t="s">
        <v>17</v>
      </c>
      <c r="AA124" s="12" t="s">
        <v>17</v>
      </c>
      <c r="AB124" s="12" t="s">
        <v>2820</v>
      </c>
      <c r="AC124" s="12" t="s">
        <v>21</v>
      </c>
      <c r="AD124" s="12">
        <v>5.8999999999999997E-2</v>
      </c>
      <c r="AE124" s="12">
        <v>0.99399999999999999</v>
      </c>
      <c r="AF124" s="12" t="s">
        <v>45</v>
      </c>
    </row>
    <row r="125" spans="1:32" x14ac:dyDescent="0.2">
      <c r="A125" s="12" t="s">
        <v>2812</v>
      </c>
      <c r="B125" s="12" t="s">
        <v>2812</v>
      </c>
      <c r="C125" s="12" t="s">
        <v>7589</v>
      </c>
      <c r="D125" s="12" t="s">
        <v>13</v>
      </c>
      <c r="E125" s="12" t="s">
        <v>8110</v>
      </c>
      <c r="F125" s="12" t="s">
        <v>5460</v>
      </c>
      <c r="G125" s="12" t="s">
        <v>1914</v>
      </c>
      <c r="H125" s="12" t="s">
        <v>6614</v>
      </c>
      <c r="I125" s="12">
        <v>6725</v>
      </c>
      <c r="J125" s="12" t="s">
        <v>2814</v>
      </c>
      <c r="K125" s="12" t="s">
        <v>6657</v>
      </c>
      <c r="L125" s="12" t="s">
        <v>2770</v>
      </c>
      <c r="M125" s="12" t="s">
        <v>2770</v>
      </c>
      <c r="N125" s="12" t="s">
        <v>5785</v>
      </c>
      <c r="O125" s="12" t="s">
        <v>2773</v>
      </c>
      <c r="P125" s="12" t="s">
        <v>2774</v>
      </c>
      <c r="Q125" s="12" t="s">
        <v>6650</v>
      </c>
      <c r="R125" s="16">
        <v>56.283299999999997</v>
      </c>
      <c r="S125" s="16">
        <v>25.133299999999998</v>
      </c>
      <c r="T125" s="12" t="s">
        <v>11</v>
      </c>
      <c r="U125" s="12" t="s">
        <v>2782</v>
      </c>
      <c r="V125" s="12" t="s">
        <v>1937</v>
      </c>
      <c r="W125" s="12" t="s">
        <v>7160</v>
      </c>
      <c r="X125" s="12">
        <v>3.5209999999999999</v>
      </c>
      <c r="Y125" s="12">
        <v>747334</v>
      </c>
      <c r="Z125" s="12" t="s">
        <v>17</v>
      </c>
      <c r="AA125" s="12" t="s">
        <v>17</v>
      </c>
      <c r="AB125" s="12" t="s">
        <v>2813</v>
      </c>
      <c r="AC125" s="12" t="s">
        <v>21</v>
      </c>
      <c r="AD125" s="12" t="s">
        <v>17</v>
      </c>
      <c r="AE125" s="12">
        <v>0.995</v>
      </c>
      <c r="AF125" s="12" t="s">
        <v>82</v>
      </c>
    </row>
    <row r="126" spans="1:32" x14ac:dyDescent="0.2">
      <c r="A126" s="12" t="s">
        <v>1431</v>
      </c>
      <c r="B126" s="12" t="s">
        <v>1431</v>
      </c>
      <c r="C126" s="12" t="s">
        <v>7597</v>
      </c>
      <c r="D126" s="12" t="s">
        <v>13</v>
      </c>
      <c r="E126" s="12" t="s">
        <v>8110</v>
      </c>
      <c r="F126" s="12" t="s">
        <v>5458</v>
      </c>
      <c r="G126" s="12" t="s">
        <v>5453</v>
      </c>
      <c r="H126" s="12" t="s">
        <v>7596</v>
      </c>
      <c r="I126" s="12">
        <f>3600+1950</f>
        <v>5550</v>
      </c>
      <c r="J126" s="12" t="s">
        <v>7656</v>
      </c>
      <c r="K126" s="12" t="s">
        <v>6652</v>
      </c>
      <c r="L126" s="12" t="s">
        <v>7402</v>
      </c>
      <c r="M126" s="12" t="s">
        <v>7402</v>
      </c>
      <c r="N126" s="12" t="s">
        <v>5785</v>
      </c>
      <c r="O126" s="12" t="s">
        <v>7624</v>
      </c>
      <c r="P126" s="12" t="s">
        <v>1428</v>
      </c>
      <c r="Q126" s="12" t="s">
        <v>6650</v>
      </c>
      <c r="R126" s="12">
        <v>50.552828499999997</v>
      </c>
      <c r="S126" s="12">
        <v>13.786885699999999</v>
      </c>
      <c r="T126" s="12" t="s">
        <v>11</v>
      </c>
      <c r="U126" s="12" t="s">
        <v>213</v>
      </c>
      <c r="V126" s="12" t="s">
        <v>306</v>
      </c>
      <c r="W126" s="12" t="s">
        <v>7415</v>
      </c>
      <c r="X126" s="12">
        <v>3.4881730000000002</v>
      </c>
      <c r="Y126" s="12">
        <v>873182</v>
      </c>
      <c r="Z126" s="12">
        <v>4.9230000000000003E-3</v>
      </c>
      <c r="AA126" s="12">
        <v>4.4941953400224399</v>
      </c>
      <c r="AB126" s="12" t="s">
        <v>1432</v>
      </c>
      <c r="AC126" s="12" t="s">
        <v>21</v>
      </c>
      <c r="AD126" s="12">
        <v>9.8000000000000004E-2</v>
      </c>
      <c r="AE126" s="12">
        <v>0.99</v>
      </c>
      <c r="AF126" s="12" t="s">
        <v>82</v>
      </c>
    </row>
    <row r="127" spans="1:32" x14ac:dyDescent="0.2">
      <c r="A127" s="12" t="s">
        <v>1452</v>
      </c>
      <c r="B127" s="12" t="s">
        <v>1453</v>
      </c>
      <c r="C127" s="12" t="s">
        <v>1453</v>
      </c>
      <c r="D127" s="12" t="s">
        <v>143</v>
      </c>
      <c r="E127" s="12" t="s">
        <v>7678</v>
      </c>
      <c r="F127" s="12" t="s">
        <v>5460</v>
      </c>
      <c r="G127" s="12" t="s">
        <v>1438</v>
      </c>
      <c r="H127" s="12" t="s">
        <v>6614</v>
      </c>
      <c r="I127" s="12">
        <v>4638</v>
      </c>
      <c r="J127" s="12" t="s">
        <v>1454</v>
      </c>
      <c r="K127" s="12" t="s">
        <v>6652</v>
      </c>
      <c r="L127" s="12" t="s">
        <v>1440</v>
      </c>
      <c r="M127" s="12" t="s">
        <v>1440</v>
      </c>
      <c r="N127" s="12" t="s">
        <v>5785</v>
      </c>
      <c r="O127" s="12" t="s">
        <v>1455</v>
      </c>
      <c r="P127" s="12" t="s">
        <v>1442</v>
      </c>
      <c r="Q127" s="12" t="s">
        <v>6650</v>
      </c>
      <c r="R127" s="12">
        <v>59.06</v>
      </c>
      <c r="S127" s="12">
        <v>25.213000000000001</v>
      </c>
      <c r="T127" s="12" t="s">
        <v>11</v>
      </c>
      <c r="U127" s="12" t="s">
        <v>1456</v>
      </c>
      <c r="V127" s="12" t="s">
        <v>606</v>
      </c>
      <c r="W127" s="12" t="s">
        <v>7160</v>
      </c>
      <c r="X127" s="12">
        <v>0.61195999999999995</v>
      </c>
      <c r="Y127" s="12">
        <v>540176</v>
      </c>
      <c r="Z127" s="12" t="s">
        <v>17</v>
      </c>
      <c r="AA127" s="12" t="s">
        <v>17</v>
      </c>
      <c r="AB127" s="12" t="s">
        <v>17</v>
      </c>
      <c r="AC127" s="12" t="s">
        <v>144</v>
      </c>
      <c r="AD127" s="12" t="s">
        <v>17</v>
      </c>
      <c r="AE127" s="12" t="s">
        <v>17</v>
      </c>
      <c r="AF127" s="12" t="s">
        <v>1451</v>
      </c>
    </row>
    <row r="128" spans="1:32" x14ac:dyDescent="0.2">
      <c r="A128" s="12" t="s">
        <v>1457</v>
      </c>
      <c r="B128" s="12" t="s">
        <v>1458</v>
      </c>
      <c r="C128" s="12" t="s">
        <v>1458</v>
      </c>
      <c r="D128" s="12" t="s">
        <v>143</v>
      </c>
      <c r="E128" s="12" t="s">
        <v>7678</v>
      </c>
      <c r="F128" s="12" t="s">
        <v>5460</v>
      </c>
      <c r="G128" s="12" t="s">
        <v>1438</v>
      </c>
      <c r="H128" s="12" t="s">
        <v>6614</v>
      </c>
      <c r="I128" s="12">
        <v>4638</v>
      </c>
      <c r="J128" s="12" t="s">
        <v>1454</v>
      </c>
      <c r="K128" s="12" t="s">
        <v>6652</v>
      </c>
      <c r="L128" s="12" t="s">
        <v>1440</v>
      </c>
      <c r="M128" s="12" t="s">
        <v>1440</v>
      </c>
      <c r="N128" s="12" t="s">
        <v>5785</v>
      </c>
      <c r="O128" s="12" t="s">
        <v>1455</v>
      </c>
      <c r="P128" s="12" t="s">
        <v>1442</v>
      </c>
      <c r="Q128" s="12" t="s">
        <v>6650</v>
      </c>
      <c r="R128" s="12">
        <v>59.06</v>
      </c>
      <c r="S128" s="12">
        <v>25.213000000000001</v>
      </c>
      <c r="T128" s="12" t="s">
        <v>11</v>
      </c>
      <c r="U128" s="12" t="s">
        <v>1351</v>
      </c>
      <c r="V128" s="12" t="s">
        <v>1459</v>
      </c>
      <c r="W128" s="12" t="s">
        <v>7160</v>
      </c>
      <c r="X128" s="12">
        <v>0.84837200000000001</v>
      </c>
      <c r="Y128" s="12">
        <v>634794</v>
      </c>
      <c r="Z128" s="12" t="s">
        <v>17</v>
      </c>
      <c r="AA128" s="12" t="s">
        <v>17</v>
      </c>
      <c r="AB128" s="12" t="s">
        <v>17</v>
      </c>
      <c r="AC128" s="12" t="s">
        <v>144</v>
      </c>
      <c r="AD128" s="12" t="s">
        <v>17</v>
      </c>
      <c r="AE128" s="12" t="s">
        <v>17</v>
      </c>
      <c r="AF128" s="12" t="s">
        <v>45</v>
      </c>
    </row>
    <row r="129" spans="1:32" x14ac:dyDescent="0.2">
      <c r="A129" s="12" t="s">
        <v>5282</v>
      </c>
      <c r="B129" s="12" t="s">
        <v>5282</v>
      </c>
      <c r="C129" s="12" t="s">
        <v>7598</v>
      </c>
      <c r="D129" s="12" t="s">
        <v>13</v>
      </c>
      <c r="E129" s="12" t="s">
        <v>8110</v>
      </c>
      <c r="F129" s="12" t="s">
        <v>5458</v>
      </c>
      <c r="G129" s="12" t="s">
        <v>5453</v>
      </c>
      <c r="H129" s="12" t="s">
        <v>7596</v>
      </c>
      <c r="I129" s="12">
        <v>4575</v>
      </c>
      <c r="J129" s="12" t="s">
        <v>1433</v>
      </c>
      <c r="K129" s="12" t="s">
        <v>6652</v>
      </c>
      <c r="L129" s="12" t="s">
        <v>5060</v>
      </c>
      <c r="M129" s="12" t="s">
        <v>5177</v>
      </c>
      <c r="N129" s="12" t="s">
        <v>5785</v>
      </c>
      <c r="O129" s="12" t="s">
        <v>7624</v>
      </c>
      <c r="P129" s="12" t="s">
        <v>1428</v>
      </c>
      <c r="Q129" s="12" t="s">
        <v>6650</v>
      </c>
      <c r="R129" s="12">
        <v>50.552828499999997</v>
      </c>
      <c r="S129" s="12">
        <v>13.786885699999999</v>
      </c>
      <c r="T129" s="12" t="s">
        <v>25</v>
      </c>
      <c r="U129" s="12" t="s">
        <v>5285</v>
      </c>
      <c r="V129" s="12" t="s">
        <v>6639</v>
      </c>
      <c r="W129" s="12" t="s">
        <v>6639</v>
      </c>
      <c r="X129" s="12">
        <v>3.7183259999999998</v>
      </c>
      <c r="Y129" s="12">
        <v>818786</v>
      </c>
      <c r="Z129" s="12" t="s">
        <v>6639</v>
      </c>
      <c r="AA129" s="12" t="s">
        <v>6639</v>
      </c>
      <c r="AB129" s="12" t="s">
        <v>5284</v>
      </c>
      <c r="AC129" s="12" t="s">
        <v>21</v>
      </c>
      <c r="AD129" s="12">
        <v>6.8000000000000005E-2</v>
      </c>
      <c r="AE129" s="12">
        <v>0.99399999999999999</v>
      </c>
      <c r="AF129" s="12" t="s">
        <v>45</v>
      </c>
    </row>
    <row r="130" spans="1:32" x14ac:dyDescent="0.2">
      <c r="A130" s="12" t="s">
        <v>5286</v>
      </c>
      <c r="B130" s="12" t="s">
        <v>5286</v>
      </c>
      <c r="C130" s="12" t="s">
        <v>7617</v>
      </c>
      <c r="D130" s="12" t="s">
        <v>13</v>
      </c>
      <c r="E130" s="12" t="s">
        <v>8110</v>
      </c>
      <c r="F130" s="12" t="s">
        <v>5458</v>
      </c>
      <c r="G130" s="12" t="s">
        <v>5453</v>
      </c>
      <c r="H130" s="12" t="s">
        <v>7596</v>
      </c>
      <c r="I130" s="12">
        <v>4575</v>
      </c>
      <c r="J130" s="12" t="s">
        <v>1433</v>
      </c>
      <c r="K130" s="12" t="s">
        <v>6652</v>
      </c>
      <c r="L130" s="12" t="s">
        <v>5060</v>
      </c>
      <c r="M130" s="12" t="s">
        <v>5177</v>
      </c>
      <c r="N130" s="12" t="s">
        <v>5785</v>
      </c>
      <c r="O130" s="60" t="s">
        <v>7658</v>
      </c>
      <c r="P130" s="12" t="s">
        <v>1428</v>
      </c>
      <c r="Q130" s="12" t="s">
        <v>6650</v>
      </c>
      <c r="R130" s="12">
        <v>50.532078200000001</v>
      </c>
      <c r="S130" s="12">
        <v>14.070677999999999</v>
      </c>
      <c r="T130" s="12" t="s">
        <v>11</v>
      </c>
      <c r="U130" s="12" t="s">
        <v>422</v>
      </c>
      <c r="V130" s="12" t="s">
        <v>584</v>
      </c>
      <c r="W130" s="12" t="s">
        <v>7160</v>
      </c>
      <c r="X130" s="12">
        <v>3.1612740000000001</v>
      </c>
      <c r="Y130" s="12">
        <v>850315</v>
      </c>
      <c r="Z130" s="12">
        <v>6.2680000000000001E-3</v>
      </c>
      <c r="AA130" s="12">
        <v>4.9499164484428455</v>
      </c>
      <c r="AB130" s="12" t="s">
        <v>5287</v>
      </c>
      <c r="AC130" s="12" t="s">
        <v>21</v>
      </c>
      <c r="AD130" s="12">
        <v>7.6999999999999999E-2</v>
      </c>
      <c r="AE130" s="12">
        <v>0.99099999999999999</v>
      </c>
      <c r="AF130" s="12" t="s">
        <v>436</v>
      </c>
    </row>
    <row r="131" spans="1:32" x14ac:dyDescent="0.2">
      <c r="A131" s="12" t="s">
        <v>1445</v>
      </c>
      <c r="B131" s="12" t="s">
        <v>1447</v>
      </c>
      <c r="C131" s="12" t="s">
        <v>1447</v>
      </c>
      <c r="D131" s="12" t="s">
        <v>143</v>
      </c>
      <c r="E131" s="12" t="s">
        <v>7678</v>
      </c>
      <c r="F131" s="12" t="s">
        <v>5460</v>
      </c>
      <c r="G131" s="12" t="s">
        <v>1446</v>
      </c>
      <c r="H131" s="12" t="s">
        <v>6614</v>
      </c>
      <c r="I131" s="12">
        <v>4413</v>
      </c>
      <c r="J131" s="12" t="s">
        <v>1448</v>
      </c>
      <c r="K131" s="12" t="s">
        <v>6652</v>
      </c>
      <c r="L131" s="12" t="s">
        <v>1440</v>
      </c>
      <c r="M131" s="12" t="s">
        <v>1440</v>
      </c>
      <c r="N131" s="12" t="s">
        <v>5785</v>
      </c>
      <c r="O131" s="12" t="s">
        <v>1449</v>
      </c>
      <c r="P131" s="12" t="s">
        <v>1442</v>
      </c>
      <c r="Q131" s="12" t="s">
        <v>6650</v>
      </c>
      <c r="R131" s="12">
        <v>59.408000000000001</v>
      </c>
      <c r="S131" s="12">
        <v>27.026</v>
      </c>
      <c r="T131" s="12" t="s">
        <v>25</v>
      </c>
      <c r="U131" s="12" t="s">
        <v>1450</v>
      </c>
      <c r="V131" s="12" t="s">
        <v>6639</v>
      </c>
      <c r="W131" s="12" t="s">
        <v>6639</v>
      </c>
      <c r="X131" s="12">
        <v>0.79900000000000004</v>
      </c>
      <c r="Y131" s="12">
        <v>626916</v>
      </c>
      <c r="Z131" s="12" t="s">
        <v>6639</v>
      </c>
      <c r="AA131" s="12" t="s">
        <v>6639</v>
      </c>
      <c r="AB131" s="12" t="s">
        <v>17</v>
      </c>
      <c r="AC131" s="12" t="s">
        <v>144</v>
      </c>
      <c r="AD131" s="12" t="s">
        <v>17</v>
      </c>
      <c r="AE131" s="12" t="s">
        <v>17</v>
      </c>
      <c r="AF131" s="12" t="s">
        <v>1451</v>
      </c>
    </row>
    <row r="132" spans="1:32" x14ac:dyDescent="0.2">
      <c r="A132" s="12" t="s">
        <v>1437</v>
      </c>
      <c r="B132" s="12" t="s">
        <v>1439</v>
      </c>
      <c r="C132" s="12" t="s">
        <v>1439</v>
      </c>
      <c r="D132" s="12" t="s">
        <v>143</v>
      </c>
      <c r="E132" s="12" t="s">
        <v>7678</v>
      </c>
      <c r="F132" s="12" t="s">
        <v>5460</v>
      </c>
      <c r="G132" s="12" t="s">
        <v>1438</v>
      </c>
      <c r="H132" s="12" t="s">
        <v>6614</v>
      </c>
      <c r="I132" s="12">
        <v>4410</v>
      </c>
      <c r="J132" s="12" t="s">
        <v>8156</v>
      </c>
      <c r="K132" s="12" t="s">
        <v>6652</v>
      </c>
      <c r="L132" s="12" t="s">
        <v>1440</v>
      </c>
      <c r="M132" s="12" t="s">
        <v>1440</v>
      </c>
      <c r="N132" s="12" t="s">
        <v>5785</v>
      </c>
      <c r="O132" s="12" t="s">
        <v>1441</v>
      </c>
      <c r="P132" s="12" t="s">
        <v>1442</v>
      </c>
      <c r="Q132" s="12" t="s">
        <v>6650</v>
      </c>
      <c r="R132" s="12">
        <v>58.326000000000001</v>
      </c>
      <c r="S132" s="12">
        <v>26.152000000000001</v>
      </c>
      <c r="T132" s="12" t="s">
        <v>11</v>
      </c>
      <c r="U132" s="12" t="s">
        <v>1443</v>
      </c>
      <c r="V132" s="12" t="s">
        <v>1444</v>
      </c>
      <c r="W132" s="12" t="s">
        <v>7160</v>
      </c>
      <c r="X132" s="12">
        <v>1.6999740000000001</v>
      </c>
      <c r="Y132" s="12">
        <v>882294</v>
      </c>
      <c r="Z132" s="12" t="s">
        <v>17</v>
      </c>
      <c r="AA132" s="12" t="s">
        <v>17</v>
      </c>
      <c r="AB132" s="12" t="s">
        <v>17</v>
      </c>
      <c r="AC132" s="12" t="s">
        <v>144</v>
      </c>
      <c r="AD132" s="12" t="s">
        <v>17</v>
      </c>
      <c r="AE132" s="12" t="s">
        <v>17</v>
      </c>
      <c r="AF132" s="12" t="s">
        <v>45</v>
      </c>
    </row>
    <row r="133" spans="1:32" x14ac:dyDescent="0.2">
      <c r="A133" s="12" t="s">
        <v>1460</v>
      </c>
      <c r="B133" s="12" t="s">
        <v>1461</v>
      </c>
      <c r="C133" s="12" t="s">
        <v>1461</v>
      </c>
      <c r="D133" s="12" t="s">
        <v>143</v>
      </c>
      <c r="E133" s="12" t="s">
        <v>7678</v>
      </c>
      <c r="F133" s="12" t="s">
        <v>5458</v>
      </c>
      <c r="G133" s="12" t="s">
        <v>1438</v>
      </c>
      <c r="H133" s="12" t="s">
        <v>6614</v>
      </c>
      <c r="I133" s="12">
        <v>4400</v>
      </c>
      <c r="J133" s="12" t="s">
        <v>1462</v>
      </c>
      <c r="K133" s="12" t="s">
        <v>6652</v>
      </c>
      <c r="L133" s="12" t="s">
        <v>1440</v>
      </c>
      <c r="M133" s="12" t="s">
        <v>1440</v>
      </c>
      <c r="N133" s="12" t="s">
        <v>5785</v>
      </c>
      <c r="O133" s="12" t="s">
        <v>1441</v>
      </c>
      <c r="P133" s="12" t="s">
        <v>1442</v>
      </c>
      <c r="Q133" s="12" t="s">
        <v>6650</v>
      </c>
      <c r="R133" s="16">
        <v>58.326000000000001</v>
      </c>
      <c r="S133" s="16">
        <v>26.152000000000001</v>
      </c>
      <c r="T133" s="12" t="s">
        <v>11</v>
      </c>
      <c r="U133" s="12" t="s">
        <v>1463</v>
      </c>
      <c r="V133" s="12" t="s">
        <v>606</v>
      </c>
      <c r="W133" s="12" t="s">
        <v>7160</v>
      </c>
      <c r="X133" s="12">
        <v>0.50693200000000005</v>
      </c>
      <c r="Y133" s="12">
        <v>470945</v>
      </c>
      <c r="Z133" s="12" t="s">
        <v>17</v>
      </c>
      <c r="AA133" s="12" t="s">
        <v>17</v>
      </c>
      <c r="AB133" s="12" t="s">
        <v>17</v>
      </c>
      <c r="AC133" s="12" t="s">
        <v>144</v>
      </c>
      <c r="AD133" s="12" t="s">
        <v>17</v>
      </c>
      <c r="AE133" s="12" t="s">
        <v>17</v>
      </c>
      <c r="AF133" s="12" t="s">
        <v>45</v>
      </c>
    </row>
    <row r="134" spans="1:32" x14ac:dyDescent="0.2">
      <c r="A134" s="12" t="s">
        <v>5183</v>
      </c>
      <c r="B134" s="12" t="s">
        <v>5183</v>
      </c>
      <c r="C134" s="12" t="s">
        <v>7623</v>
      </c>
      <c r="D134" s="12" t="s">
        <v>13</v>
      </c>
      <c r="E134" s="12" t="s">
        <v>8110</v>
      </c>
      <c r="F134" s="12" t="s">
        <v>5185</v>
      </c>
      <c r="G134" s="12" t="s">
        <v>5453</v>
      </c>
      <c r="H134" s="12" t="s">
        <v>7596</v>
      </c>
      <c r="I134" s="12">
        <v>4400</v>
      </c>
      <c r="J134" s="12" t="s">
        <v>5185</v>
      </c>
      <c r="K134" s="12" t="s">
        <v>6652</v>
      </c>
      <c r="L134" s="12" t="s">
        <v>5060</v>
      </c>
      <c r="M134" s="12" t="s">
        <v>5177</v>
      </c>
      <c r="N134" s="12" t="s">
        <v>5785</v>
      </c>
      <c r="O134" s="12" t="s">
        <v>7622</v>
      </c>
      <c r="P134" s="12" t="s">
        <v>1428</v>
      </c>
      <c r="Q134" s="12" t="s">
        <v>6650</v>
      </c>
      <c r="R134" s="12">
        <v>50.5447396</v>
      </c>
      <c r="S134" s="12">
        <v>13.8351164</v>
      </c>
      <c r="T134" s="12" t="s">
        <v>11</v>
      </c>
      <c r="U134" s="12" t="s">
        <v>1032</v>
      </c>
      <c r="V134" s="12" t="s">
        <v>1459</v>
      </c>
      <c r="W134" s="12" t="s">
        <v>7415</v>
      </c>
      <c r="X134" s="12">
        <v>1.863154</v>
      </c>
      <c r="Y134" s="12">
        <v>789641</v>
      </c>
      <c r="Z134" s="12">
        <v>6.646E-3</v>
      </c>
      <c r="AA134" s="12">
        <v>3.5856449035393543</v>
      </c>
      <c r="AB134" s="12" t="s">
        <v>5184</v>
      </c>
      <c r="AC134" s="12" t="s">
        <v>21</v>
      </c>
      <c r="AD134" s="12">
        <v>0.11899999999999999</v>
      </c>
      <c r="AE134" s="12">
        <v>0.99</v>
      </c>
      <c r="AF134" s="12" t="s">
        <v>22</v>
      </c>
    </row>
    <row r="135" spans="1:32" x14ac:dyDescent="0.2">
      <c r="A135" s="12" t="s">
        <v>5180</v>
      </c>
      <c r="B135" s="12" t="s">
        <v>5180</v>
      </c>
      <c r="C135" s="12" t="s">
        <v>7621</v>
      </c>
      <c r="D135" s="12" t="s">
        <v>13</v>
      </c>
      <c r="E135" s="12" t="s">
        <v>8110</v>
      </c>
      <c r="F135" s="12" t="s">
        <v>5182</v>
      </c>
      <c r="G135" s="12" t="s">
        <v>5453</v>
      </c>
      <c r="H135" s="12" t="s">
        <v>7596</v>
      </c>
      <c r="I135" s="12">
        <v>4330</v>
      </c>
      <c r="J135" s="12" t="s">
        <v>5182</v>
      </c>
      <c r="K135" s="12" t="s">
        <v>6652</v>
      </c>
      <c r="L135" s="12" t="s">
        <v>5060</v>
      </c>
      <c r="M135" s="12" t="s">
        <v>5177</v>
      </c>
      <c r="N135" s="12" t="s">
        <v>5785</v>
      </c>
      <c r="O135" s="12" t="s">
        <v>7620</v>
      </c>
      <c r="P135" s="12" t="s">
        <v>1428</v>
      </c>
      <c r="Q135" s="12" t="s">
        <v>6650</v>
      </c>
      <c r="R135" s="12">
        <v>50.539074399999997</v>
      </c>
      <c r="S135" s="12">
        <v>13.828829199999999</v>
      </c>
      <c r="T135" s="12" t="s">
        <v>11</v>
      </c>
      <c r="U135" s="12" t="s">
        <v>1215</v>
      </c>
      <c r="V135" s="12" t="s">
        <v>1375</v>
      </c>
      <c r="W135" s="12" t="s">
        <v>7415</v>
      </c>
      <c r="X135" s="12">
        <v>1.96227</v>
      </c>
      <c r="Y135" s="12">
        <v>811518</v>
      </c>
      <c r="Z135" s="12">
        <v>5.8739999999999999E-3</v>
      </c>
      <c r="AA135" s="12">
        <v>3.4482556194121412</v>
      </c>
      <c r="AB135" s="12" t="s">
        <v>5181</v>
      </c>
      <c r="AC135" s="12" t="s">
        <v>21</v>
      </c>
      <c r="AD135" s="12">
        <v>0.13500000000000001</v>
      </c>
      <c r="AE135" s="12">
        <v>1</v>
      </c>
      <c r="AF135" s="12" t="s">
        <v>436</v>
      </c>
    </row>
    <row r="136" spans="1:32" x14ac:dyDescent="0.2">
      <c r="A136" s="12" t="s">
        <v>5176</v>
      </c>
      <c r="B136" s="12" t="s">
        <v>5176</v>
      </c>
      <c r="C136" s="12" t="s">
        <v>7619</v>
      </c>
      <c r="D136" s="12" t="s">
        <v>13</v>
      </c>
      <c r="E136" s="12" t="s">
        <v>8110</v>
      </c>
      <c r="F136" s="12" t="s">
        <v>5179</v>
      </c>
      <c r="G136" s="12" t="s">
        <v>5453</v>
      </c>
      <c r="H136" s="12" t="s">
        <v>7596</v>
      </c>
      <c r="I136" s="12">
        <v>4283</v>
      </c>
      <c r="J136" s="12" t="s">
        <v>5179</v>
      </c>
      <c r="K136" s="12" t="s">
        <v>6652</v>
      </c>
      <c r="L136" s="12" t="s">
        <v>5060</v>
      </c>
      <c r="M136" s="12" t="s">
        <v>5177</v>
      </c>
      <c r="N136" s="12" t="s">
        <v>5785</v>
      </c>
      <c r="O136" s="12" t="s">
        <v>7618</v>
      </c>
      <c r="P136" s="12" t="s">
        <v>1428</v>
      </c>
      <c r="Q136" s="12" t="s">
        <v>6650</v>
      </c>
      <c r="R136" s="12">
        <v>50.544119999999999</v>
      </c>
      <c r="S136" s="12">
        <v>13.834065000000001</v>
      </c>
      <c r="T136" s="12" t="s">
        <v>11</v>
      </c>
      <c r="U136" s="12" t="s">
        <v>2852</v>
      </c>
      <c r="V136" s="12" t="s">
        <v>1459</v>
      </c>
      <c r="W136" s="12" t="s">
        <v>7415</v>
      </c>
      <c r="X136" s="12">
        <v>4.1209150000000001</v>
      </c>
      <c r="Y136" s="12">
        <v>869434</v>
      </c>
      <c r="Z136" s="12">
        <v>5.5500000000000002E-3</v>
      </c>
      <c r="AA136" s="12">
        <v>4.8664189907836164</v>
      </c>
      <c r="AB136" s="12" t="s">
        <v>5178</v>
      </c>
      <c r="AC136" s="12" t="s">
        <v>21</v>
      </c>
      <c r="AD136" s="12">
        <v>0.10199999999999999</v>
      </c>
      <c r="AE136" s="12">
        <v>1</v>
      </c>
      <c r="AF136" s="12" t="s">
        <v>436</v>
      </c>
    </row>
    <row r="137" spans="1:32" x14ac:dyDescent="0.2">
      <c r="A137" s="12" t="s">
        <v>1464</v>
      </c>
      <c r="B137" s="12" t="s">
        <v>1464</v>
      </c>
      <c r="C137" s="12" t="s">
        <v>1466</v>
      </c>
      <c r="D137" s="12" t="s">
        <v>143</v>
      </c>
      <c r="E137" s="12" t="s">
        <v>8110</v>
      </c>
      <c r="F137" s="12" t="s">
        <v>5458</v>
      </c>
      <c r="G137" s="12" t="s">
        <v>273</v>
      </c>
      <c r="H137" s="12" t="s">
        <v>6614</v>
      </c>
      <c r="I137" s="12">
        <v>4225</v>
      </c>
      <c r="J137" s="12" t="s">
        <v>1468</v>
      </c>
      <c r="K137" s="12" t="s">
        <v>6652</v>
      </c>
      <c r="L137" s="12" t="s">
        <v>1465</v>
      </c>
      <c r="M137" s="12" t="s">
        <v>1465</v>
      </c>
      <c r="N137" s="12" t="s">
        <v>5785</v>
      </c>
      <c r="O137" s="12" t="s">
        <v>1469</v>
      </c>
      <c r="P137" s="12" t="s">
        <v>1470</v>
      </c>
      <c r="Q137" s="12" t="s">
        <v>6650</v>
      </c>
      <c r="R137" s="16">
        <v>51.42</v>
      </c>
      <c r="S137" s="16">
        <v>11.68</v>
      </c>
      <c r="T137" s="12" t="s">
        <v>11</v>
      </c>
      <c r="U137" s="12" t="s">
        <v>1471</v>
      </c>
      <c r="V137" s="12" t="s">
        <v>1282</v>
      </c>
      <c r="W137" s="12" t="s">
        <v>7160</v>
      </c>
      <c r="X137" s="12">
        <v>0.29799999999999999</v>
      </c>
      <c r="Y137" s="12">
        <v>285866</v>
      </c>
      <c r="Z137" s="12" t="s">
        <v>17</v>
      </c>
      <c r="AA137" s="12" t="s">
        <v>17</v>
      </c>
      <c r="AB137" s="12" t="s">
        <v>1467</v>
      </c>
      <c r="AC137" s="12" t="s">
        <v>21</v>
      </c>
      <c r="AD137" s="12" t="s">
        <v>17</v>
      </c>
      <c r="AE137" s="12">
        <v>0.999</v>
      </c>
      <c r="AF137" s="12" t="s">
        <v>45</v>
      </c>
    </row>
    <row r="138" spans="1:32" x14ac:dyDescent="0.2">
      <c r="A138" s="12" t="s">
        <v>5313</v>
      </c>
      <c r="B138" s="12" t="s">
        <v>5313</v>
      </c>
      <c r="C138" s="12" t="s">
        <v>5314</v>
      </c>
      <c r="D138" s="12" t="s">
        <v>13</v>
      </c>
      <c r="E138" s="12" t="s">
        <v>8110</v>
      </c>
      <c r="F138" s="12" t="s">
        <v>5458</v>
      </c>
      <c r="G138" s="12" t="s">
        <v>1423</v>
      </c>
      <c r="H138" s="12" t="s">
        <v>6614</v>
      </c>
      <c r="I138" s="12">
        <v>4200</v>
      </c>
      <c r="J138" s="12" t="s">
        <v>2071</v>
      </c>
      <c r="K138" s="12" t="s">
        <v>6652</v>
      </c>
      <c r="L138" s="12" t="s">
        <v>5060</v>
      </c>
      <c r="M138" s="12" t="s">
        <v>5283</v>
      </c>
      <c r="N138" s="12" t="s">
        <v>5785</v>
      </c>
      <c r="O138" s="12" t="s">
        <v>1427</v>
      </c>
      <c r="P138" s="12" t="s">
        <v>1428</v>
      </c>
      <c r="Q138" s="12" t="s">
        <v>6650</v>
      </c>
      <c r="R138" s="16">
        <v>50.19</v>
      </c>
      <c r="S138" s="16">
        <v>14.157999999999999</v>
      </c>
      <c r="T138" s="12" t="s">
        <v>11</v>
      </c>
      <c r="U138" s="12" t="s">
        <v>5316</v>
      </c>
      <c r="V138" s="12" t="s">
        <v>1282</v>
      </c>
      <c r="W138" s="12" t="s">
        <v>7160</v>
      </c>
      <c r="X138" s="12">
        <v>1.095572</v>
      </c>
      <c r="Y138" s="12">
        <v>636343</v>
      </c>
      <c r="Z138" s="12" t="s">
        <v>17</v>
      </c>
      <c r="AA138" s="12" t="s">
        <v>17</v>
      </c>
      <c r="AB138" s="12" t="s">
        <v>5315</v>
      </c>
      <c r="AC138" s="12" t="s">
        <v>21</v>
      </c>
      <c r="AD138" s="12">
        <v>0.10100000000000001</v>
      </c>
      <c r="AE138" s="12">
        <v>0.99</v>
      </c>
      <c r="AF138" s="12" t="s">
        <v>45</v>
      </c>
    </row>
    <row r="139" spans="1:32" x14ac:dyDescent="0.2">
      <c r="A139" s="12" t="s">
        <v>5317</v>
      </c>
      <c r="B139" s="12" t="s">
        <v>5317</v>
      </c>
      <c r="C139" s="12" t="s">
        <v>5318</v>
      </c>
      <c r="D139" s="12" t="s">
        <v>13</v>
      </c>
      <c r="E139" s="12" t="s">
        <v>8110</v>
      </c>
      <c r="F139" s="12" t="s">
        <v>5458</v>
      </c>
      <c r="G139" s="12" t="s">
        <v>1423</v>
      </c>
      <c r="H139" s="12" t="s">
        <v>6614</v>
      </c>
      <c r="I139" s="12">
        <v>4200</v>
      </c>
      <c r="J139" s="12" t="s">
        <v>2071</v>
      </c>
      <c r="K139" s="12" t="s">
        <v>6652</v>
      </c>
      <c r="L139" s="12" t="s">
        <v>5060</v>
      </c>
      <c r="M139" s="12" t="s">
        <v>5283</v>
      </c>
      <c r="N139" s="12" t="s">
        <v>5785</v>
      </c>
      <c r="O139" s="12" t="s">
        <v>1427</v>
      </c>
      <c r="P139" s="12" t="s">
        <v>1428</v>
      </c>
      <c r="Q139" s="12" t="s">
        <v>6650</v>
      </c>
      <c r="R139" s="12">
        <v>50.19</v>
      </c>
      <c r="S139" s="12">
        <v>14.157999999999999</v>
      </c>
      <c r="T139" s="12" t="s">
        <v>11</v>
      </c>
      <c r="U139" s="12" t="s">
        <v>5320</v>
      </c>
      <c r="V139" s="12" t="s">
        <v>1375</v>
      </c>
      <c r="W139" s="12" t="s">
        <v>7160</v>
      </c>
      <c r="X139" s="12">
        <v>3.3627579999999999</v>
      </c>
      <c r="Y139" s="12">
        <v>780479</v>
      </c>
      <c r="Z139" s="12" t="s">
        <v>17</v>
      </c>
      <c r="AA139" s="12" t="s">
        <v>17</v>
      </c>
      <c r="AB139" s="12" t="s">
        <v>5319</v>
      </c>
      <c r="AC139" s="12" t="s">
        <v>21</v>
      </c>
      <c r="AD139" s="12">
        <v>6.2E-2</v>
      </c>
      <c r="AE139" s="12">
        <v>0.997</v>
      </c>
      <c r="AF139" s="12" t="s">
        <v>436</v>
      </c>
    </row>
    <row r="140" spans="1:32" x14ac:dyDescent="0.2">
      <c r="A140" s="12" t="s">
        <v>1434</v>
      </c>
      <c r="B140" s="12" t="s">
        <v>1434</v>
      </c>
      <c r="C140" s="12" t="s">
        <v>7599</v>
      </c>
      <c r="D140" s="12" t="s">
        <v>13</v>
      </c>
      <c r="E140" s="12" t="s">
        <v>8110</v>
      </c>
      <c r="F140" s="12" t="s">
        <v>5458</v>
      </c>
      <c r="G140" s="12" t="s">
        <v>5453</v>
      </c>
      <c r="H140" s="12" t="s">
        <v>7596</v>
      </c>
      <c r="I140" s="12">
        <v>3450</v>
      </c>
      <c r="J140" s="12" t="s">
        <v>7657</v>
      </c>
      <c r="K140" s="12" t="s">
        <v>6652</v>
      </c>
      <c r="L140" s="12" t="s">
        <v>7401</v>
      </c>
      <c r="M140" s="12" t="s">
        <v>7401</v>
      </c>
      <c r="N140" s="12" t="s">
        <v>5785</v>
      </c>
      <c r="O140" s="12" t="s">
        <v>7625</v>
      </c>
      <c r="P140" s="12" t="s">
        <v>1428</v>
      </c>
      <c r="Q140" s="12" t="s">
        <v>6650</v>
      </c>
      <c r="R140" s="12">
        <v>50.558970500000001</v>
      </c>
      <c r="S140" s="12">
        <v>13.802021</v>
      </c>
      <c r="T140" s="12" t="s">
        <v>11</v>
      </c>
      <c r="U140" s="12" t="s">
        <v>1436</v>
      </c>
      <c r="V140" s="12" t="s">
        <v>7412</v>
      </c>
      <c r="W140" s="12" t="s">
        <v>7160</v>
      </c>
      <c r="X140" s="12">
        <v>5.4700519999999999</v>
      </c>
      <c r="Y140" s="12">
        <v>857331</v>
      </c>
      <c r="Z140" s="12">
        <v>5.3920000000000001E-3</v>
      </c>
      <c r="AA140" s="12">
        <v>5.66710389129923</v>
      </c>
      <c r="AB140" s="12" t="s">
        <v>1435</v>
      </c>
      <c r="AC140" s="12" t="s">
        <v>21</v>
      </c>
      <c r="AD140" s="12">
        <v>0.108</v>
      </c>
      <c r="AE140" s="12">
        <v>0.99099999999999999</v>
      </c>
      <c r="AF140" s="12" t="s">
        <v>82</v>
      </c>
    </row>
    <row r="141" spans="1:32" x14ac:dyDescent="0.2">
      <c r="A141" s="12" t="s">
        <v>2935</v>
      </c>
      <c r="B141" s="12" t="s">
        <v>2935</v>
      </c>
      <c r="C141" s="12" t="s">
        <v>2937</v>
      </c>
      <c r="D141" s="12" t="s">
        <v>143</v>
      </c>
      <c r="E141" s="12" t="s">
        <v>8110</v>
      </c>
      <c r="F141" s="12" t="s">
        <v>5460</v>
      </c>
      <c r="G141" s="12" t="s">
        <v>2936</v>
      </c>
      <c r="H141" s="12" t="s">
        <v>6614</v>
      </c>
      <c r="I141" s="12">
        <v>7140</v>
      </c>
      <c r="J141" s="12" t="s">
        <v>2939</v>
      </c>
      <c r="K141" s="12" t="s">
        <v>1573</v>
      </c>
      <c r="L141" s="12" t="s">
        <v>2835</v>
      </c>
      <c r="M141" s="12" t="s">
        <v>2835</v>
      </c>
      <c r="N141" s="12" t="s">
        <v>5785</v>
      </c>
      <c r="O141" s="12" t="s">
        <v>2888</v>
      </c>
      <c r="P141" s="12" t="s">
        <v>1470</v>
      </c>
      <c r="Q141" s="12" t="s">
        <v>6650</v>
      </c>
      <c r="R141" s="12">
        <v>48.78</v>
      </c>
      <c r="S141" s="12">
        <v>9.18</v>
      </c>
      <c r="T141" s="12" t="s">
        <v>25</v>
      </c>
      <c r="U141" s="12" t="s">
        <v>594</v>
      </c>
      <c r="V141" s="12" t="s">
        <v>6639</v>
      </c>
      <c r="W141" s="12" t="s">
        <v>6639</v>
      </c>
      <c r="X141" s="12">
        <v>9.6509999999999998</v>
      </c>
      <c r="Y141" s="12">
        <v>910144</v>
      </c>
      <c r="Z141" s="12" t="s">
        <v>6639</v>
      </c>
      <c r="AA141" s="12" t="s">
        <v>6639</v>
      </c>
      <c r="AB141" s="12" t="s">
        <v>2938</v>
      </c>
      <c r="AC141" s="12" t="s">
        <v>21</v>
      </c>
      <c r="AD141" s="12" t="s">
        <v>7685</v>
      </c>
      <c r="AE141" s="12" t="s">
        <v>7685</v>
      </c>
      <c r="AF141" s="12" t="s">
        <v>45</v>
      </c>
    </row>
    <row r="142" spans="1:32" x14ac:dyDescent="0.2">
      <c r="A142" s="12" t="s">
        <v>2955</v>
      </c>
      <c r="B142" s="12" t="s">
        <v>2955</v>
      </c>
      <c r="C142" s="12" t="s">
        <v>2956</v>
      </c>
      <c r="D142" s="12" t="s">
        <v>143</v>
      </c>
      <c r="E142" s="12" t="s">
        <v>8110</v>
      </c>
      <c r="F142" s="12" t="s">
        <v>5460</v>
      </c>
      <c r="G142" s="12" t="s">
        <v>526</v>
      </c>
      <c r="H142" s="12" t="s">
        <v>6614</v>
      </c>
      <c r="I142" s="12">
        <v>7126</v>
      </c>
      <c r="J142" s="12" t="s">
        <v>2958</v>
      </c>
      <c r="K142" s="12" t="s">
        <v>1573</v>
      </c>
      <c r="L142" s="12" t="s">
        <v>2835</v>
      </c>
      <c r="M142" s="12" t="s">
        <v>2835</v>
      </c>
      <c r="N142" s="12" t="s">
        <v>5785</v>
      </c>
      <c r="O142" s="12" t="s">
        <v>2906</v>
      </c>
      <c r="P142" s="12" t="s">
        <v>1470</v>
      </c>
      <c r="Q142" s="12" t="s">
        <v>6650</v>
      </c>
      <c r="R142" s="12">
        <v>51.895833330000002</v>
      </c>
      <c r="S142" s="12">
        <v>11.04666667</v>
      </c>
      <c r="T142" s="12" t="s">
        <v>25</v>
      </c>
      <c r="U142" s="12" t="s">
        <v>2959</v>
      </c>
      <c r="V142" s="12" t="s">
        <v>6639</v>
      </c>
      <c r="W142" s="12" t="s">
        <v>6639</v>
      </c>
      <c r="X142" s="12">
        <v>0.25900000000000001</v>
      </c>
      <c r="Y142" s="12">
        <v>246281</v>
      </c>
      <c r="Z142" s="12" t="s">
        <v>6639</v>
      </c>
      <c r="AA142" s="12" t="s">
        <v>6639</v>
      </c>
      <c r="AB142" s="12" t="s">
        <v>2957</v>
      </c>
      <c r="AC142" s="12" t="s">
        <v>58</v>
      </c>
      <c r="AD142" s="12" t="s">
        <v>7943</v>
      </c>
      <c r="AE142" s="12" t="s">
        <v>7712</v>
      </c>
      <c r="AF142" s="12" t="s">
        <v>45</v>
      </c>
    </row>
    <row r="143" spans="1:32" x14ac:dyDescent="0.2">
      <c r="A143" s="12" t="s">
        <v>2966</v>
      </c>
      <c r="B143" s="12" t="s">
        <v>2966</v>
      </c>
      <c r="C143" s="12" t="s">
        <v>2967</v>
      </c>
      <c r="D143" s="12" t="s">
        <v>143</v>
      </c>
      <c r="E143" s="12" t="s">
        <v>8110</v>
      </c>
      <c r="F143" s="12" t="s">
        <v>5458</v>
      </c>
      <c r="G143" s="12" t="s">
        <v>526</v>
      </c>
      <c r="H143" s="12" t="s">
        <v>6614</v>
      </c>
      <c r="I143" s="12">
        <v>7125</v>
      </c>
      <c r="J143" s="12" t="s">
        <v>2887</v>
      </c>
      <c r="K143" s="12" t="s">
        <v>1573</v>
      </c>
      <c r="L143" s="12" t="s">
        <v>2835</v>
      </c>
      <c r="M143" s="12" t="s">
        <v>2835</v>
      </c>
      <c r="N143" s="12" t="s">
        <v>5785</v>
      </c>
      <c r="O143" s="12" t="s">
        <v>2906</v>
      </c>
      <c r="P143" s="12" t="s">
        <v>1470</v>
      </c>
      <c r="Q143" s="12" t="s">
        <v>6650</v>
      </c>
      <c r="R143" s="12">
        <v>51.895833330000002</v>
      </c>
      <c r="S143" s="12">
        <v>11.04666667</v>
      </c>
      <c r="T143" s="12" t="s">
        <v>25</v>
      </c>
      <c r="U143" s="12" t="s">
        <v>213</v>
      </c>
      <c r="V143" s="12" t="s">
        <v>6639</v>
      </c>
      <c r="W143" s="12" t="s">
        <v>6639</v>
      </c>
      <c r="X143" s="12">
        <v>1.7999999999999999E-2</v>
      </c>
      <c r="Y143" s="12">
        <v>20626</v>
      </c>
      <c r="Z143" s="12" t="s">
        <v>6639</v>
      </c>
      <c r="AA143" s="12" t="s">
        <v>6639</v>
      </c>
      <c r="AB143" s="12" t="s">
        <v>2968</v>
      </c>
      <c r="AC143" s="12" t="s">
        <v>21</v>
      </c>
      <c r="AD143" s="12">
        <v>7.5999999999999998E-2</v>
      </c>
      <c r="AE143" s="12">
        <v>1</v>
      </c>
      <c r="AF143" s="12" t="s">
        <v>45</v>
      </c>
    </row>
    <row r="144" spans="1:32" x14ac:dyDescent="0.2">
      <c r="A144" s="12" t="s">
        <v>2963</v>
      </c>
      <c r="B144" s="12" t="s">
        <v>2963</v>
      </c>
      <c r="C144" s="12" t="s">
        <v>2964</v>
      </c>
      <c r="D144" s="12" t="s">
        <v>143</v>
      </c>
      <c r="E144" s="12" t="s">
        <v>8110</v>
      </c>
      <c r="F144" s="12" t="s">
        <v>5458</v>
      </c>
      <c r="G144" s="12" t="s">
        <v>526</v>
      </c>
      <c r="H144" s="12" t="s">
        <v>6614</v>
      </c>
      <c r="I144" s="12">
        <v>7125</v>
      </c>
      <c r="J144" s="12" t="s">
        <v>2887</v>
      </c>
      <c r="K144" s="12" t="s">
        <v>1573</v>
      </c>
      <c r="L144" s="12" t="s">
        <v>2835</v>
      </c>
      <c r="M144" s="12" t="s">
        <v>2835</v>
      </c>
      <c r="N144" s="12" t="s">
        <v>5785</v>
      </c>
      <c r="O144" s="12" t="s">
        <v>2906</v>
      </c>
      <c r="P144" s="12" t="s">
        <v>1470</v>
      </c>
      <c r="Q144" s="12" t="s">
        <v>6650</v>
      </c>
      <c r="R144" s="12">
        <v>51.895833330000002</v>
      </c>
      <c r="S144" s="12">
        <v>11.04666667</v>
      </c>
      <c r="T144" s="12" t="s">
        <v>11</v>
      </c>
      <c r="U144" s="12" t="s">
        <v>213</v>
      </c>
      <c r="V144" s="12" t="s">
        <v>280</v>
      </c>
      <c r="W144" s="12" t="s">
        <v>7160</v>
      </c>
      <c r="X144" s="12">
        <v>3.1E-2</v>
      </c>
      <c r="Y144" s="12">
        <v>35761</v>
      </c>
      <c r="Z144" s="12" t="s">
        <v>17</v>
      </c>
      <c r="AA144" s="12" t="s">
        <v>17</v>
      </c>
      <c r="AB144" s="12" t="s">
        <v>2965</v>
      </c>
      <c r="AC144" s="12" t="s">
        <v>58</v>
      </c>
      <c r="AD144" s="12" t="s">
        <v>7934</v>
      </c>
      <c r="AE144" s="12" t="s">
        <v>7690</v>
      </c>
      <c r="AF144" s="12" t="s">
        <v>45</v>
      </c>
    </row>
    <row r="145" spans="1:32" x14ac:dyDescent="0.2">
      <c r="A145" s="12" t="s">
        <v>2960</v>
      </c>
      <c r="B145" s="12" t="s">
        <v>2960</v>
      </c>
      <c r="C145" s="12" t="s">
        <v>2961</v>
      </c>
      <c r="D145" s="12" t="s">
        <v>143</v>
      </c>
      <c r="E145" s="12" t="s">
        <v>8110</v>
      </c>
      <c r="F145" s="12" t="s">
        <v>5458</v>
      </c>
      <c r="G145" s="12" t="s">
        <v>526</v>
      </c>
      <c r="H145" s="12" t="s">
        <v>6614</v>
      </c>
      <c r="I145" s="12">
        <v>7125</v>
      </c>
      <c r="J145" s="12" t="s">
        <v>2887</v>
      </c>
      <c r="K145" s="12" t="s">
        <v>1573</v>
      </c>
      <c r="L145" s="12" t="s">
        <v>2835</v>
      </c>
      <c r="M145" s="12" t="s">
        <v>2835</v>
      </c>
      <c r="N145" s="12" t="s">
        <v>5785</v>
      </c>
      <c r="O145" s="12" t="s">
        <v>2906</v>
      </c>
      <c r="P145" s="12" t="s">
        <v>1470</v>
      </c>
      <c r="Q145" s="12" t="s">
        <v>6650</v>
      </c>
      <c r="R145" s="12">
        <v>51.895833330000002</v>
      </c>
      <c r="S145" s="12">
        <v>11.04666667</v>
      </c>
      <c r="T145" s="12" t="s">
        <v>25</v>
      </c>
      <c r="U145" s="12" t="s">
        <v>827</v>
      </c>
      <c r="V145" s="12" t="s">
        <v>6639</v>
      </c>
      <c r="W145" s="12" t="s">
        <v>6639</v>
      </c>
      <c r="X145" s="12">
        <v>0.05</v>
      </c>
      <c r="Y145" s="12">
        <v>55588</v>
      </c>
      <c r="Z145" s="12" t="s">
        <v>6639</v>
      </c>
      <c r="AA145" s="12" t="s">
        <v>6639</v>
      </c>
      <c r="AB145" s="12" t="s">
        <v>2962</v>
      </c>
      <c r="AC145" s="12" t="s">
        <v>58</v>
      </c>
      <c r="AD145" s="12" t="s">
        <v>7939</v>
      </c>
      <c r="AE145" s="12" t="s">
        <v>7690</v>
      </c>
      <c r="AF145" s="12" t="s">
        <v>45</v>
      </c>
    </row>
    <row r="146" spans="1:32" x14ac:dyDescent="0.2">
      <c r="A146" s="12" t="s">
        <v>2896</v>
      </c>
      <c r="B146" s="12" t="s">
        <v>2896</v>
      </c>
      <c r="C146" s="12" t="s">
        <v>2897</v>
      </c>
      <c r="D146" s="12" t="s">
        <v>143</v>
      </c>
      <c r="E146" s="12" t="s">
        <v>8110</v>
      </c>
      <c r="F146" s="12" t="s">
        <v>5458</v>
      </c>
      <c r="G146" s="12" t="s">
        <v>273</v>
      </c>
      <c r="H146" s="12" t="s">
        <v>6614</v>
      </c>
      <c r="I146" s="12">
        <v>7125</v>
      </c>
      <c r="J146" s="12" t="s">
        <v>2887</v>
      </c>
      <c r="K146" s="12" t="s">
        <v>1573</v>
      </c>
      <c r="L146" s="12" t="s">
        <v>2835</v>
      </c>
      <c r="M146" s="12" t="s">
        <v>2835</v>
      </c>
      <c r="N146" s="12" t="s">
        <v>5785</v>
      </c>
      <c r="O146" s="12" t="s">
        <v>2883</v>
      </c>
      <c r="P146" s="12" t="s">
        <v>1470</v>
      </c>
      <c r="Q146" s="12" t="s">
        <v>6650</v>
      </c>
      <c r="R146" s="12">
        <v>51.283055560000001</v>
      </c>
      <c r="S146" s="12">
        <v>11.65</v>
      </c>
      <c r="T146" s="12" t="s">
        <v>11</v>
      </c>
      <c r="U146" s="12" t="s">
        <v>2899</v>
      </c>
      <c r="V146" s="12" t="s">
        <v>2900</v>
      </c>
      <c r="W146" s="12" t="s">
        <v>7160</v>
      </c>
      <c r="X146" s="12">
        <v>8.6999999999999994E-2</v>
      </c>
      <c r="Y146" s="12">
        <v>94125</v>
      </c>
      <c r="Z146" s="12" t="s">
        <v>17</v>
      </c>
      <c r="AA146" s="12" t="s">
        <v>17</v>
      </c>
      <c r="AB146" s="12" t="s">
        <v>2898</v>
      </c>
      <c r="AC146" s="12" t="s">
        <v>21</v>
      </c>
      <c r="AD146" s="12" t="s">
        <v>17</v>
      </c>
      <c r="AE146" s="12">
        <v>1</v>
      </c>
      <c r="AF146" s="12" t="s">
        <v>45</v>
      </c>
    </row>
    <row r="147" spans="1:32" x14ac:dyDescent="0.2">
      <c r="A147" s="12" t="s">
        <v>2969</v>
      </c>
      <c r="B147" s="12" t="s">
        <v>2969</v>
      </c>
      <c r="C147" s="12" t="s">
        <v>2970</v>
      </c>
      <c r="D147" s="12" t="s">
        <v>100</v>
      </c>
      <c r="E147" s="12" t="s">
        <v>8110</v>
      </c>
      <c r="F147" s="12" t="s">
        <v>5458</v>
      </c>
      <c r="G147" s="12" t="s">
        <v>526</v>
      </c>
      <c r="H147" s="12" t="s">
        <v>6614</v>
      </c>
      <c r="I147" s="12">
        <v>7125</v>
      </c>
      <c r="J147" s="12" t="s">
        <v>2887</v>
      </c>
      <c r="K147" s="12" t="s">
        <v>1573</v>
      </c>
      <c r="L147" s="12" t="s">
        <v>2835</v>
      </c>
      <c r="M147" s="12" t="s">
        <v>2835</v>
      </c>
      <c r="N147" s="12" t="s">
        <v>5785</v>
      </c>
      <c r="O147" s="12" t="s">
        <v>2906</v>
      </c>
      <c r="P147" s="12" t="s">
        <v>1470</v>
      </c>
      <c r="Q147" s="12" t="s">
        <v>6650</v>
      </c>
      <c r="R147" s="12">
        <v>51.895833330000002</v>
      </c>
      <c r="S147" s="12">
        <v>11.04666667</v>
      </c>
      <c r="T147" s="12" t="s">
        <v>11</v>
      </c>
      <c r="U147" s="12" t="s">
        <v>2944</v>
      </c>
      <c r="V147" s="12" t="s">
        <v>280</v>
      </c>
      <c r="W147" s="12" t="s">
        <v>7160</v>
      </c>
      <c r="X147" s="12">
        <v>0.13300000000000001</v>
      </c>
      <c r="Y147" s="12">
        <v>141883</v>
      </c>
      <c r="Z147" s="12" t="s">
        <v>17</v>
      </c>
      <c r="AA147" s="12" t="s">
        <v>17</v>
      </c>
      <c r="AB147" s="12" t="s">
        <v>2971</v>
      </c>
      <c r="AC147" s="12" t="s">
        <v>58</v>
      </c>
      <c r="AD147" s="12" t="s">
        <v>7947</v>
      </c>
      <c r="AE147" s="12" t="s">
        <v>7714</v>
      </c>
      <c r="AF147" s="12" t="s">
        <v>45</v>
      </c>
    </row>
    <row r="148" spans="1:32" x14ac:dyDescent="0.2">
      <c r="A148" s="12" t="s">
        <v>2976</v>
      </c>
      <c r="B148" s="12" t="s">
        <v>2976</v>
      </c>
      <c r="C148" s="12" t="s">
        <v>2977</v>
      </c>
      <c r="D148" s="12" t="s">
        <v>143</v>
      </c>
      <c r="E148" s="12" t="s">
        <v>8110</v>
      </c>
      <c r="F148" s="12" t="s">
        <v>5458</v>
      </c>
      <c r="G148" s="12" t="s">
        <v>526</v>
      </c>
      <c r="H148" s="12" t="s">
        <v>6614</v>
      </c>
      <c r="I148" s="12">
        <v>7125</v>
      </c>
      <c r="J148" s="12" t="s">
        <v>2887</v>
      </c>
      <c r="K148" s="12" t="s">
        <v>1573</v>
      </c>
      <c r="L148" s="12" t="s">
        <v>2835</v>
      </c>
      <c r="M148" s="12" t="s">
        <v>2835</v>
      </c>
      <c r="N148" s="12" t="s">
        <v>5785</v>
      </c>
      <c r="O148" s="12" t="s">
        <v>2906</v>
      </c>
      <c r="P148" s="12" t="s">
        <v>1470</v>
      </c>
      <c r="Q148" s="12" t="s">
        <v>6650</v>
      </c>
      <c r="R148" s="12">
        <v>51.895833330000002</v>
      </c>
      <c r="S148" s="12">
        <v>11.04666667</v>
      </c>
      <c r="T148" s="12" t="s">
        <v>25</v>
      </c>
      <c r="U148" s="12" t="s">
        <v>257</v>
      </c>
      <c r="V148" s="12" t="s">
        <v>6639</v>
      </c>
      <c r="W148" s="12" t="s">
        <v>6639</v>
      </c>
      <c r="X148" s="12">
        <v>0.29699999999999999</v>
      </c>
      <c r="Y148" s="12">
        <v>285045</v>
      </c>
      <c r="Z148" s="12" t="s">
        <v>6639</v>
      </c>
      <c r="AA148" s="12" t="s">
        <v>6639</v>
      </c>
      <c r="AB148" s="12" t="s">
        <v>2978</v>
      </c>
      <c r="AC148" s="12" t="s">
        <v>58</v>
      </c>
      <c r="AD148" s="12" t="s">
        <v>7936</v>
      </c>
      <c r="AE148" s="12" t="s">
        <v>7737</v>
      </c>
      <c r="AF148" s="12" t="s">
        <v>45</v>
      </c>
    </row>
    <row r="149" spans="1:32" x14ac:dyDescent="0.2">
      <c r="A149" s="12" t="s">
        <v>2983</v>
      </c>
      <c r="B149" s="12" t="s">
        <v>2983</v>
      </c>
      <c r="C149" s="12" t="s">
        <v>2984</v>
      </c>
      <c r="D149" s="12" t="s">
        <v>100</v>
      </c>
      <c r="E149" s="12" t="s">
        <v>8110</v>
      </c>
      <c r="F149" s="12" t="s">
        <v>5458</v>
      </c>
      <c r="G149" s="12" t="s">
        <v>526</v>
      </c>
      <c r="H149" s="12" t="s">
        <v>6614</v>
      </c>
      <c r="I149" s="12">
        <v>7125</v>
      </c>
      <c r="J149" s="12" t="s">
        <v>2986</v>
      </c>
      <c r="K149" s="12" t="s">
        <v>1573</v>
      </c>
      <c r="L149" s="12" t="s">
        <v>2835</v>
      </c>
      <c r="M149" s="12" t="s">
        <v>2835</v>
      </c>
      <c r="N149" s="12" t="s">
        <v>5785</v>
      </c>
      <c r="O149" s="12" t="s">
        <v>2906</v>
      </c>
      <c r="P149" s="12" t="s">
        <v>1470</v>
      </c>
      <c r="Q149" s="12" t="s">
        <v>6650</v>
      </c>
      <c r="R149" s="12">
        <v>51.895833330000002</v>
      </c>
      <c r="S149" s="12">
        <v>11.04666667</v>
      </c>
      <c r="T149" s="12" t="s">
        <v>25</v>
      </c>
      <c r="U149" s="12" t="s">
        <v>213</v>
      </c>
      <c r="V149" s="12" t="s">
        <v>6639</v>
      </c>
      <c r="W149" s="12" t="s">
        <v>6639</v>
      </c>
      <c r="X149" s="12">
        <v>0.32200000000000001</v>
      </c>
      <c r="Y149" s="12">
        <v>299173</v>
      </c>
      <c r="Z149" s="12" t="s">
        <v>6639</v>
      </c>
      <c r="AA149" s="12" t="s">
        <v>6639</v>
      </c>
      <c r="AB149" s="12" t="s">
        <v>2985</v>
      </c>
      <c r="AC149" s="12" t="s">
        <v>58</v>
      </c>
      <c r="AD149" s="12" t="s">
        <v>7937</v>
      </c>
      <c r="AE149" s="12" t="s">
        <v>7712</v>
      </c>
      <c r="AF149" s="12" t="s">
        <v>45</v>
      </c>
    </row>
    <row r="150" spans="1:32" x14ac:dyDescent="0.2">
      <c r="A150" s="12" t="s">
        <v>2884</v>
      </c>
      <c r="B150" s="12" t="s">
        <v>2884</v>
      </c>
      <c r="C150" s="12" t="s">
        <v>2885</v>
      </c>
      <c r="D150" s="12" t="s">
        <v>33</v>
      </c>
      <c r="E150" s="12" t="s">
        <v>8110</v>
      </c>
      <c r="F150" s="12" t="s">
        <v>5458</v>
      </c>
      <c r="G150" s="12" t="s">
        <v>1517</v>
      </c>
      <c r="H150" s="12" t="s">
        <v>6614</v>
      </c>
      <c r="I150" s="12">
        <v>7125</v>
      </c>
      <c r="J150" s="12" t="s">
        <v>2887</v>
      </c>
      <c r="K150" s="12" t="s">
        <v>1573</v>
      </c>
      <c r="L150" s="12" t="s">
        <v>2835</v>
      </c>
      <c r="M150" s="12" t="s">
        <v>2835</v>
      </c>
      <c r="N150" s="12" t="s">
        <v>5785</v>
      </c>
      <c r="O150" s="12" t="s">
        <v>2888</v>
      </c>
      <c r="P150" s="12" t="s">
        <v>1470</v>
      </c>
      <c r="Q150" s="12" t="s">
        <v>6650</v>
      </c>
      <c r="R150" s="12">
        <v>48.78</v>
      </c>
      <c r="S150" s="12">
        <v>9.18</v>
      </c>
      <c r="T150" s="12" t="s">
        <v>25</v>
      </c>
      <c r="U150" s="12" t="s">
        <v>2889</v>
      </c>
      <c r="V150" s="12" t="s">
        <v>6639</v>
      </c>
      <c r="W150" s="12" t="s">
        <v>6639</v>
      </c>
      <c r="X150" s="12">
        <v>0.441</v>
      </c>
      <c r="Y150" s="12">
        <v>368546</v>
      </c>
      <c r="Z150" s="12" t="s">
        <v>6639</v>
      </c>
      <c r="AA150" s="12" t="s">
        <v>6639</v>
      </c>
      <c r="AB150" s="12" t="s">
        <v>2886</v>
      </c>
      <c r="AC150" s="12" t="s">
        <v>21</v>
      </c>
      <c r="AD150" s="12" t="s">
        <v>17</v>
      </c>
      <c r="AE150" s="12" t="s">
        <v>17</v>
      </c>
      <c r="AF150" s="12" t="s">
        <v>45</v>
      </c>
    </row>
    <row r="151" spans="1:32" x14ac:dyDescent="0.2">
      <c r="A151" s="12" t="s">
        <v>2979</v>
      </c>
      <c r="B151" s="12" t="s">
        <v>2979</v>
      </c>
      <c r="C151" s="12" t="s">
        <v>2980</v>
      </c>
      <c r="D151" s="12" t="s">
        <v>143</v>
      </c>
      <c r="E151" s="12" t="s">
        <v>8110</v>
      </c>
      <c r="F151" s="12" t="s">
        <v>5458</v>
      </c>
      <c r="G151" s="12" t="s">
        <v>526</v>
      </c>
      <c r="H151" s="12" t="s">
        <v>6614</v>
      </c>
      <c r="I151" s="12">
        <v>7125</v>
      </c>
      <c r="J151" s="12" t="s">
        <v>2887</v>
      </c>
      <c r="K151" s="12" t="s">
        <v>1573</v>
      </c>
      <c r="L151" s="12" t="s">
        <v>2835</v>
      </c>
      <c r="M151" s="12" t="s">
        <v>2835</v>
      </c>
      <c r="N151" s="12" t="s">
        <v>5785</v>
      </c>
      <c r="O151" s="12" t="s">
        <v>2906</v>
      </c>
      <c r="P151" s="12" t="s">
        <v>1470</v>
      </c>
      <c r="Q151" s="12" t="s">
        <v>6650</v>
      </c>
      <c r="R151" s="12">
        <v>51.895833330000002</v>
      </c>
      <c r="S151" s="12">
        <v>11.04666667</v>
      </c>
      <c r="T151" s="12" t="s">
        <v>25</v>
      </c>
      <c r="U151" s="12" t="s">
        <v>2982</v>
      </c>
      <c r="V151" s="12" t="s">
        <v>6639</v>
      </c>
      <c r="W151" s="12" t="s">
        <v>6639</v>
      </c>
      <c r="X151" s="12">
        <v>0.626</v>
      </c>
      <c r="Y151" s="12">
        <v>468627</v>
      </c>
      <c r="Z151" s="12" t="s">
        <v>6639</v>
      </c>
      <c r="AA151" s="12" t="s">
        <v>6639</v>
      </c>
      <c r="AB151" s="12" t="s">
        <v>2981</v>
      </c>
      <c r="AC151" s="12" t="s">
        <v>58</v>
      </c>
      <c r="AD151" s="12" t="s">
        <v>7940</v>
      </c>
      <c r="AE151" s="12" t="s">
        <v>7752</v>
      </c>
      <c r="AF151" s="12" t="s">
        <v>45</v>
      </c>
    </row>
    <row r="152" spans="1:32" x14ac:dyDescent="0.2">
      <c r="A152" s="12" t="s">
        <v>2972</v>
      </c>
      <c r="B152" s="12" t="s">
        <v>2972</v>
      </c>
      <c r="C152" s="12" t="s">
        <v>2973</v>
      </c>
      <c r="D152" s="12" t="s">
        <v>143</v>
      </c>
      <c r="E152" s="12" t="s">
        <v>8110</v>
      </c>
      <c r="F152" s="12" t="s">
        <v>5458</v>
      </c>
      <c r="G152" s="12" t="s">
        <v>526</v>
      </c>
      <c r="H152" s="12" t="s">
        <v>6614</v>
      </c>
      <c r="I152" s="12">
        <v>7125</v>
      </c>
      <c r="J152" s="12" t="s">
        <v>2887</v>
      </c>
      <c r="K152" s="12" t="s">
        <v>1573</v>
      </c>
      <c r="L152" s="12" t="s">
        <v>2835</v>
      </c>
      <c r="M152" s="12" t="s">
        <v>2835</v>
      </c>
      <c r="N152" s="12" t="s">
        <v>5785</v>
      </c>
      <c r="O152" s="12" t="s">
        <v>2906</v>
      </c>
      <c r="P152" s="12" t="s">
        <v>1470</v>
      </c>
      <c r="Q152" s="12" t="s">
        <v>6650</v>
      </c>
      <c r="R152" s="12">
        <v>51.895833330000002</v>
      </c>
      <c r="S152" s="12">
        <v>11.04666667</v>
      </c>
      <c r="T152" s="12" t="s">
        <v>25</v>
      </c>
      <c r="U152" s="12" t="s">
        <v>2975</v>
      </c>
      <c r="V152" s="12" t="s">
        <v>6639</v>
      </c>
      <c r="W152" s="12" t="s">
        <v>6639</v>
      </c>
      <c r="X152" s="12">
        <v>0.72499999999999998</v>
      </c>
      <c r="Y152" s="12">
        <v>532623</v>
      </c>
      <c r="Z152" s="12" t="s">
        <v>6639</v>
      </c>
      <c r="AA152" s="12" t="s">
        <v>6639</v>
      </c>
      <c r="AB152" s="12" t="s">
        <v>2974</v>
      </c>
      <c r="AC152" s="12" t="s">
        <v>58</v>
      </c>
      <c r="AD152" s="12" t="s">
        <v>7932</v>
      </c>
      <c r="AE152" s="12" t="s">
        <v>7758</v>
      </c>
      <c r="AF152" s="12" t="s">
        <v>45</v>
      </c>
    </row>
    <row r="153" spans="1:32" x14ac:dyDescent="0.2">
      <c r="A153" s="12" t="s">
        <v>2932</v>
      </c>
      <c r="B153" s="12" t="s">
        <v>2932</v>
      </c>
      <c r="C153" s="12" t="s">
        <v>2933</v>
      </c>
      <c r="D153" s="12" t="s">
        <v>143</v>
      </c>
      <c r="E153" s="12" t="s">
        <v>8110</v>
      </c>
      <c r="F153" s="12" t="s">
        <v>5458</v>
      </c>
      <c r="G153" s="12" t="s">
        <v>2902</v>
      </c>
      <c r="H153" s="12" t="s">
        <v>6614</v>
      </c>
      <c r="I153" s="12">
        <v>7125</v>
      </c>
      <c r="J153" s="12" t="s">
        <v>2887</v>
      </c>
      <c r="K153" s="12" t="s">
        <v>1573</v>
      </c>
      <c r="L153" s="12" t="s">
        <v>2835</v>
      </c>
      <c r="M153" s="12" t="s">
        <v>2835</v>
      </c>
      <c r="N153" s="12" t="s">
        <v>5785</v>
      </c>
      <c r="O153" s="12" t="s">
        <v>2906</v>
      </c>
      <c r="P153" s="12" t="s">
        <v>1470</v>
      </c>
      <c r="Q153" s="12" t="s">
        <v>6650</v>
      </c>
      <c r="R153" s="12">
        <v>51.895833330000002</v>
      </c>
      <c r="S153" s="12">
        <v>11.04666667</v>
      </c>
      <c r="T153" s="12" t="s">
        <v>25</v>
      </c>
      <c r="U153" s="12" t="s">
        <v>218</v>
      </c>
      <c r="V153" s="12" t="s">
        <v>6639</v>
      </c>
      <c r="W153" s="12" t="s">
        <v>6639</v>
      </c>
      <c r="X153" s="12">
        <v>1.089</v>
      </c>
      <c r="Y153" s="12">
        <v>616873</v>
      </c>
      <c r="Z153" s="12" t="s">
        <v>6639</v>
      </c>
      <c r="AA153" s="12" t="s">
        <v>6639</v>
      </c>
      <c r="AB153" s="12" t="s">
        <v>2934</v>
      </c>
      <c r="AC153" s="12" t="s">
        <v>58</v>
      </c>
      <c r="AD153" s="12" t="s">
        <v>7944</v>
      </c>
      <c r="AE153" s="12" t="s">
        <v>7761</v>
      </c>
      <c r="AF153" s="12" t="s">
        <v>45</v>
      </c>
    </row>
    <row r="154" spans="1:32" x14ac:dyDescent="0.2">
      <c r="A154" s="12" t="s">
        <v>2890</v>
      </c>
      <c r="B154" s="12" t="s">
        <v>2890</v>
      </c>
      <c r="C154" s="12" t="s">
        <v>2891</v>
      </c>
      <c r="D154" s="12" t="s">
        <v>26</v>
      </c>
      <c r="E154" s="12" t="s">
        <v>8110</v>
      </c>
      <c r="F154" s="12" t="s">
        <v>5458</v>
      </c>
      <c r="G154" s="12" t="s">
        <v>1517</v>
      </c>
      <c r="H154" s="12" t="s">
        <v>6614</v>
      </c>
      <c r="I154" s="12">
        <v>7125</v>
      </c>
      <c r="J154" s="12" t="s">
        <v>2887</v>
      </c>
      <c r="K154" s="12" t="s">
        <v>1573</v>
      </c>
      <c r="L154" s="12" t="s">
        <v>2835</v>
      </c>
      <c r="M154" s="12" t="s">
        <v>2835</v>
      </c>
      <c r="N154" s="12" t="s">
        <v>5785</v>
      </c>
      <c r="O154" s="12" t="s">
        <v>2888</v>
      </c>
      <c r="P154" s="12" t="s">
        <v>1470</v>
      </c>
      <c r="Q154" s="12" t="s">
        <v>6650</v>
      </c>
      <c r="R154" s="12">
        <v>48.78</v>
      </c>
      <c r="S154" s="12">
        <v>9.18</v>
      </c>
      <c r="T154" s="12" t="s">
        <v>25</v>
      </c>
      <c r="U154" s="12" t="s">
        <v>213</v>
      </c>
      <c r="V154" s="12" t="s">
        <v>6639</v>
      </c>
      <c r="W154" s="12" t="s">
        <v>6639</v>
      </c>
      <c r="X154" s="12">
        <v>2.6549999999999998</v>
      </c>
      <c r="Y154" s="12">
        <v>836923</v>
      </c>
      <c r="Z154" s="12" t="s">
        <v>6639</v>
      </c>
      <c r="AA154" s="12" t="s">
        <v>6639</v>
      </c>
      <c r="AB154" s="12" t="s">
        <v>2892</v>
      </c>
      <c r="AC154" s="12" t="s">
        <v>21</v>
      </c>
      <c r="AD154" s="12" t="s">
        <v>17</v>
      </c>
      <c r="AE154" s="12" t="s">
        <v>17</v>
      </c>
      <c r="AF154" s="12" t="s">
        <v>45</v>
      </c>
    </row>
    <row r="155" spans="1:32" x14ac:dyDescent="0.2">
      <c r="A155" s="12" t="s">
        <v>2893</v>
      </c>
      <c r="B155" s="12" t="s">
        <v>2893</v>
      </c>
      <c r="C155" s="12" t="s">
        <v>2894</v>
      </c>
      <c r="D155" s="12" t="s">
        <v>26</v>
      </c>
      <c r="E155" s="12" t="s">
        <v>8110</v>
      </c>
      <c r="F155" s="12" t="s">
        <v>5458</v>
      </c>
      <c r="G155" s="12" t="s">
        <v>1517</v>
      </c>
      <c r="H155" s="12" t="s">
        <v>6614</v>
      </c>
      <c r="I155" s="12">
        <v>7125</v>
      </c>
      <c r="J155" s="12" t="s">
        <v>2887</v>
      </c>
      <c r="K155" s="12" t="s">
        <v>1573</v>
      </c>
      <c r="L155" s="12" t="s">
        <v>2835</v>
      </c>
      <c r="M155" s="12" t="s">
        <v>2835</v>
      </c>
      <c r="N155" s="12" t="s">
        <v>5785</v>
      </c>
      <c r="O155" s="12" t="s">
        <v>2888</v>
      </c>
      <c r="P155" s="12" t="s">
        <v>1470</v>
      </c>
      <c r="Q155" s="12" t="s">
        <v>6650</v>
      </c>
      <c r="R155" s="12">
        <v>48.78</v>
      </c>
      <c r="S155" s="12">
        <v>9.18</v>
      </c>
      <c r="T155" s="12" t="s">
        <v>25</v>
      </c>
      <c r="U155" s="12" t="s">
        <v>213</v>
      </c>
      <c r="V155" s="12" t="s">
        <v>6639</v>
      </c>
      <c r="W155" s="12" t="s">
        <v>6639</v>
      </c>
      <c r="X155" s="12">
        <v>3.625</v>
      </c>
      <c r="Y155" s="12">
        <v>893563</v>
      </c>
      <c r="Z155" s="12" t="s">
        <v>6639</v>
      </c>
      <c r="AA155" s="12" t="s">
        <v>6639</v>
      </c>
      <c r="AB155" s="12" t="s">
        <v>2895</v>
      </c>
      <c r="AC155" s="12" t="s">
        <v>21</v>
      </c>
      <c r="AD155" s="12" t="s">
        <v>17</v>
      </c>
      <c r="AE155" s="12" t="s">
        <v>17</v>
      </c>
      <c r="AF155" s="12" t="s">
        <v>45</v>
      </c>
    </row>
    <row r="156" spans="1:32" x14ac:dyDescent="0.2">
      <c r="A156" s="12" t="s">
        <v>2866</v>
      </c>
      <c r="B156" s="12" t="s">
        <v>2866</v>
      </c>
      <c r="C156" s="12" t="s">
        <v>2867</v>
      </c>
      <c r="D156" s="12" t="s">
        <v>13</v>
      </c>
      <c r="E156" s="12" t="s">
        <v>8110</v>
      </c>
      <c r="F156" s="12" t="s">
        <v>5458</v>
      </c>
      <c r="G156" s="12" t="s">
        <v>1914</v>
      </c>
      <c r="H156" s="12" t="s">
        <v>6614</v>
      </c>
      <c r="I156" s="12">
        <v>7088</v>
      </c>
      <c r="J156" s="12" t="s">
        <v>2869</v>
      </c>
      <c r="K156" s="12" t="s">
        <v>1573</v>
      </c>
      <c r="L156" s="12" t="s">
        <v>2835</v>
      </c>
      <c r="M156" s="12" t="s">
        <v>2835</v>
      </c>
      <c r="N156" s="12" t="s">
        <v>5785</v>
      </c>
      <c r="O156" s="12" t="s">
        <v>2839</v>
      </c>
      <c r="P156" s="12" t="s">
        <v>2840</v>
      </c>
      <c r="Q156" s="12" t="s">
        <v>6650</v>
      </c>
      <c r="R156" s="12">
        <v>48.663196999999997</v>
      </c>
      <c r="S156" s="12">
        <v>16.589687000000001</v>
      </c>
      <c r="T156" s="12" t="s">
        <v>11</v>
      </c>
      <c r="U156" s="12" t="s">
        <v>2870</v>
      </c>
      <c r="V156" s="12" t="s">
        <v>2871</v>
      </c>
      <c r="W156" s="12" t="s">
        <v>7160</v>
      </c>
      <c r="X156" s="12">
        <v>0.36299999999999999</v>
      </c>
      <c r="Y156" s="12">
        <v>329072</v>
      </c>
      <c r="Z156" s="12" t="s">
        <v>17</v>
      </c>
      <c r="AA156" s="12" t="s">
        <v>17</v>
      </c>
      <c r="AB156" s="12" t="s">
        <v>2868</v>
      </c>
      <c r="AC156" s="12" t="s">
        <v>21</v>
      </c>
      <c r="AD156" s="12">
        <v>0.124</v>
      </c>
      <c r="AE156" s="12">
        <v>0.99099999999999999</v>
      </c>
      <c r="AF156" s="12" t="s">
        <v>45</v>
      </c>
    </row>
    <row r="157" spans="1:32" x14ac:dyDescent="0.2">
      <c r="A157" s="12" t="s">
        <v>2879</v>
      </c>
      <c r="B157" s="12" t="s">
        <v>2879</v>
      </c>
      <c r="C157" s="12" t="s">
        <v>2880</v>
      </c>
      <c r="D157" s="12" t="s">
        <v>143</v>
      </c>
      <c r="E157" s="12" t="s">
        <v>8110</v>
      </c>
      <c r="F157" s="12" t="s">
        <v>5460</v>
      </c>
      <c r="G157" s="12" t="s">
        <v>1517</v>
      </c>
      <c r="H157" s="12" t="s">
        <v>6614</v>
      </c>
      <c r="I157" s="12">
        <v>7079</v>
      </c>
      <c r="J157" s="12" t="s">
        <v>2882</v>
      </c>
      <c r="K157" s="12" t="s">
        <v>1573</v>
      </c>
      <c r="L157" s="12" t="s">
        <v>2835</v>
      </c>
      <c r="M157" s="12" t="s">
        <v>2835</v>
      </c>
      <c r="N157" s="12" t="s">
        <v>5785</v>
      </c>
      <c r="O157" s="12" t="s">
        <v>2883</v>
      </c>
      <c r="P157" s="12" t="s">
        <v>1470</v>
      </c>
      <c r="Q157" s="12" t="s">
        <v>6650</v>
      </c>
      <c r="R157" s="12">
        <v>51.283055560000001</v>
      </c>
      <c r="S157" s="12">
        <v>11.65</v>
      </c>
      <c r="T157" s="12" t="s">
        <v>11</v>
      </c>
      <c r="U157" s="12" t="s">
        <v>5761</v>
      </c>
      <c r="V157" s="12" t="s">
        <v>854</v>
      </c>
      <c r="W157" s="12" t="s">
        <v>7160</v>
      </c>
      <c r="X157" s="12">
        <v>9.7000000000000003E-2</v>
      </c>
      <c r="Y157" s="12">
        <v>104752</v>
      </c>
      <c r="Z157" s="12" t="s">
        <v>17</v>
      </c>
      <c r="AA157" s="12" t="s">
        <v>17</v>
      </c>
      <c r="AB157" s="12" t="s">
        <v>2881</v>
      </c>
      <c r="AC157" s="12" t="s">
        <v>21</v>
      </c>
      <c r="AD157" s="12" t="s">
        <v>17</v>
      </c>
      <c r="AE157" s="12">
        <v>0.98199999999999998</v>
      </c>
      <c r="AF157" s="12" t="s">
        <v>45</v>
      </c>
    </row>
    <row r="158" spans="1:32" x14ac:dyDescent="0.2">
      <c r="A158" s="12" t="s">
        <v>2872</v>
      </c>
      <c r="B158" s="12" t="s">
        <v>2872</v>
      </c>
      <c r="C158" s="12" t="s">
        <v>2873</v>
      </c>
      <c r="D158" s="12" t="s">
        <v>13</v>
      </c>
      <c r="E158" s="12" t="s">
        <v>8110</v>
      </c>
      <c r="F158" s="12" t="s">
        <v>5460</v>
      </c>
      <c r="G158" s="12" t="s">
        <v>1517</v>
      </c>
      <c r="H158" s="12" t="s">
        <v>6614</v>
      </c>
      <c r="I158" s="12">
        <v>7072</v>
      </c>
      <c r="J158" s="12" t="s">
        <v>2875</v>
      </c>
      <c r="K158" s="12" t="s">
        <v>1573</v>
      </c>
      <c r="L158" s="12" t="s">
        <v>2835</v>
      </c>
      <c r="M158" s="12" t="s">
        <v>2835</v>
      </c>
      <c r="N158" s="12" t="s">
        <v>5785</v>
      </c>
      <c r="O158" s="12" t="s">
        <v>2876</v>
      </c>
      <c r="P158" s="12" t="s">
        <v>1470</v>
      </c>
      <c r="Q158" s="12" t="s">
        <v>6650</v>
      </c>
      <c r="R158" s="12">
        <v>51.66</v>
      </c>
      <c r="S158" s="12">
        <v>11.53</v>
      </c>
      <c r="T158" s="12" t="s">
        <v>25</v>
      </c>
      <c r="U158" s="12" t="s">
        <v>2877</v>
      </c>
      <c r="V158" s="12" t="s">
        <v>6639</v>
      </c>
      <c r="W158" s="12" t="s">
        <v>6639</v>
      </c>
      <c r="X158" s="12">
        <v>18.61</v>
      </c>
      <c r="Y158" s="12">
        <v>978534</v>
      </c>
      <c r="Z158" s="12" t="s">
        <v>6639</v>
      </c>
      <c r="AA158" s="12" t="s">
        <v>6639</v>
      </c>
      <c r="AB158" s="12" t="s">
        <v>2874</v>
      </c>
      <c r="AC158" s="12" t="s">
        <v>2878</v>
      </c>
      <c r="AD158" s="12" t="s">
        <v>7782</v>
      </c>
      <c r="AE158" s="12" t="s">
        <v>8053</v>
      </c>
      <c r="AF158" s="12" t="s">
        <v>45</v>
      </c>
    </row>
    <row r="159" spans="1:32" x14ac:dyDescent="0.2">
      <c r="A159" s="12" t="s">
        <v>2928</v>
      </c>
      <c r="B159" s="12" t="s">
        <v>2928</v>
      </c>
      <c r="C159" s="12" t="s">
        <v>2929</v>
      </c>
      <c r="D159" s="12" t="s">
        <v>100</v>
      </c>
      <c r="E159" s="12" t="s">
        <v>8110</v>
      </c>
      <c r="F159" s="12" t="s">
        <v>5460</v>
      </c>
      <c r="G159" s="12" t="s">
        <v>2902</v>
      </c>
      <c r="H159" s="12" t="s">
        <v>6614</v>
      </c>
      <c r="I159" s="12">
        <v>7070</v>
      </c>
      <c r="J159" s="12" t="s">
        <v>2931</v>
      </c>
      <c r="K159" s="12" t="s">
        <v>1573</v>
      </c>
      <c r="L159" s="12" t="s">
        <v>2835</v>
      </c>
      <c r="M159" s="12" t="s">
        <v>2835</v>
      </c>
      <c r="N159" s="12" t="s">
        <v>5785</v>
      </c>
      <c r="O159" s="12" t="s">
        <v>2906</v>
      </c>
      <c r="P159" s="12" t="s">
        <v>1470</v>
      </c>
      <c r="Q159" s="12" t="s">
        <v>6650</v>
      </c>
      <c r="R159" s="12">
        <v>51.895833330000002</v>
      </c>
      <c r="S159" s="12">
        <v>11.04666667</v>
      </c>
      <c r="T159" s="12" t="s">
        <v>25</v>
      </c>
      <c r="U159" s="12" t="s">
        <v>344</v>
      </c>
      <c r="V159" s="12" t="s">
        <v>6639</v>
      </c>
      <c r="W159" s="12" t="s">
        <v>6639</v>
      </c>
      <c r="X159" s="12">
        <v>0.47</v>
      </c>
      <c r="Y159" s="12">
        <v>392874</v>
      </c>
      <c r="Z159" s="12" t="s">
        <v>6639</v>
      </c>
      <c r="AA159" s="12" t="s">
        <v>6639</v>
      </c>
      <c r="AB159" s="12" t="s">
        <v>2930</v>
      </c>
      <c r="AC159" s="12" t="s">
        <v>58</v>
      </c>
      <c r="AD159" s="12" t="s">
        <v>7942</v>
      </c>
      <c r="AE159" s="12" t="s">
        <v>7708</v>
      </c>
      <c r="AF159" s="12" t="s">
        <v>45</v>
      </c>
    </row>
    <row r="160" spans="1:32" x14ac:dyDescent="0.2">
      <c r="A160" s="12" t="s">
        <v>2924</v>
      </c>
      <c r="B160" s="12" t="s">
        <v>2924</v>
      </c>
      <c r="C160" s="12" t="s">
        <v>2925</v>
      </c>
      <c r="D160" s="12" t="s">
        <v>143</v>
      </c>
      <c r="E160" s="12" t="s">
        <v>8110</v>
      </c>
      <c r="F160" s="12" t="s">
        <v>5460</v>
      </c>
      <c r="G160" s="12" t="s">
        <v>2902</v>
      </c>
      <c r="H160" s="12" t="s">
        <v>6614</v>
      </c>
      <c r="I160" s="12">
        <v>7061</v>
      </c>
      <c r="J160" s="12" t="s">
        <v>2927</v>
      </c>
      <c r="K160" s="12" t="s">
        <v>1573</v>
      </c>
      <c r="L160" s="12" t="s">
        <v>2835</v>
      </c>
      <c r="M160" s="12" t="s">
        <v>2835</v>
      </c>
      <c r="N160" s="12" t="s">
        <v>5785</v>
      </c>
      <c r="O160" s="12" t="s">
        <v>2906</v>
      </c>
      <c r="P160" s="12" t="s">
        <v>1470</v>
      </c>
      <c r="Q160" s="12" t="s">
        <v>6650</v>
      </c>
      <c r="R160" s="12">
        <v>51.895833330000002</v>
      </c>
      <c r="S160" s="12">
        <v>11.04666667</v>
      </c>
      <c r="T160" s="12" t="s">
        <v>11</v>
      </c>
      <c r="U160" s="12" t="s">
        <v>213</v>
      </c>
      <c r="V160" s="12" t="s">
        <v>280</v>
      </c>
      <c r="W160" s="12" t="s">
        <v>7160</v>
      </c>
      <c r="X160" s="12">
        <v>0.40600000000000003</v>
      </c>
      <c r="Y160" s="12">
        <v>367760</v>
      </c>
      <c r="Z160" s="12" t="s">
        <v>17</v>
      </c>
      <c r="AA160" s="12" t="s">
        <v>17</v>
      </c>
      <c r="AB160" s="12" t="s">
        <v>2926</v>
      </c>
      <c r="AC160" s="12" t="s">
        <v>21</v>
      </c>
      <c r="AD160" s="12" t="s">
        <v>7685</v>
      </c>
      <c r="AE160" s="12" t="s">
        <v>8058</v>
      </c>
      <c r="AF160" s="12" t="s">
        <v>8085</v>
      </c>
    </row>
    <row r="161" spans="1:32" x14ac:dyDescent="0.2">
      <c r="A161" s="12" t="s">
        <v>2842</v>
      </c>
      <c r="B161" s="12" t="s">
        <v>2842</v>
      </c>
      <c r="C161" s="12" t="s">
        <v>2843</v>
      </c>
      <c r="D161" s="12" t="s">
        <v>13</v>
      </c>
      <c r="E161" s="12" t="s">
        <v>8110</v>
      </c>
      <c r="F161" s="12" t="s">
        <v>2845</v>
      </c>
      <c r="G161" s="12" t="s">
        <v>1914</v>
      </c>
      <c r="H161" s="12" t="s">
        <v>6614</v>
      </c>
      <c r="I161" s="12">
        <v>7056</v>
      </c>
      <c r="J161" s="12" t="s">
        <v>2845</v>
      </c>
      <c r="K161" s="12" t="s">
        <v>1573</v>
      </c>
      <c r="L161" s="12" t="s">
        <v>2835</v>
      </c>
      <c r="M161" s="12" t="s">
        <v>2835</v>
      </c>
      <c r="N161" s="12" t="s">
        <v>5785</v>
      </c>
      <c r="O161" s="12" t="s">
        <v>2846</v>
      </c>
      <c r="P161" s="12" t="s">
        <v>2840</v>
      </c>
      <c r="Q161" s="12" t="s">
        <v>6650</v>
      </c>
      <c r="R161" s="12">
        <v>48.579751999999999</v>
      </c>
      <c r="S161" s="12">
        <v>16.46931</v>
      </c>
      <c r="T161" s="12" t="s">
        <v>11</v>
      </c>
      <c r="U161" s="12" t="s">
        <v>2847</v>
      </c>
      <c r="V161" s="12" t="s">
        <v>374</v>
      </c>
      <c r="W161" s="12" t="s">
        <v>7160</v>
      </c>
      <c r="X161" s="12">
        <v>3.51</v>
      </c>
      <c r="Y161" s="12">
        <v>868481</v>
      </c>
      <c r="Z161" s="12" t="s">
        <v>17</v>
      </c>
      <c r="AA161" s="12" t="s">
        <v>17</v>
      </c>
      <c r="AB161" s="12" t="s">
        <v>2844</v>
      </c>
      <c r="AC161" s="12" t="s">
        <v>21</v>
      </c>
      <c r="AD161" s="12">
        <v>8.8999999999999996E-2</v>
      </c>
      <c r="AE161" s="12">
        <v>0.996</v>
      </c>
      <c r="AF161" s="12" t="s">
        <v>22</v>
      </c>
    </row>
    <row r="162" spans="1:32" x14ac:dyDescent="0.2">
      <c r="A162" s="12" t="s">
        <v>2950</v>
      </c>
      <c r="B162" s="12" t="s">
        <v>2950</v>
      </c>
      <c r="C162" s="12" t="s">
        <v>2951</v>
      </c>
      <c r="D162" s="12" t="s">
        <v>143</v>
      </c>
      <c r="E162" s="12" t="s">
        <v>8110</v>
      </c>
      <c r="F162" s="12" t="s">
        <v>5460</v>
      </c>
      <c r="G162" s="12" t="s">
        <v>526</v>
      </c>
      <c r="H162" s="12" t="s">
        <v>6614</v>
      </c>
      <c r="I162" s="12">
        <v>7056</v>
      </c>
      <c r="J162" s="12" t="s">
        <v>2953</v>
      </c>
      <c r="K162" s="12" t="s">
        <v>1573</v>
      </c>
      <c r="L162" s="12" t="s">
        <v>2835</v>
      </c>
      <c r="M162" s="12" t="s">
        <v>2835</v>
      </c>
      <c r="N162" s="12" t="s">
        <v>5785</v>
      </c>
      <c r="O162" s="12" t="s">
        <v>2906</v>
      </c>
      <c r="P162" s="12" t="s">
        <v>1470</v>
      </c>
      <c r="Q162" s="12" t="s">
        <v>6650</v>
      </c>
      <c r="R162" s="12">
        <v>51.895833330000002</v>
      </c>
      <c r="S162" s="12">
        <v>11.04666667</v>
      </c>
      <c r="T162" s="12" t="s">
        <v>11</v>
      </c>
      <c r="U162" s="12" t="s">
        <v>2954</v>
      </c>
      <c r="V162" s="12" t="s">
        <v>280</v>
      </c>
      <c r="W162" s="12" t="s">
        <v>7160</v>
      </c>
      <c r="X162" s="12">
        <v>0.20899999999999999</v>
      </c>
      <c r="Y162" s="12">
        <v>206907</v>
      </c>
      <c r="Z162" s="12" t="s">
        <v>17</v>
      </c>
      <c r="AA162" s="12" t="s">
        <v>17</v>
      </c>
      <c r="AB162" s="12" t="s">
        <v>2952</v>
      </c>
      <c r="AC162" s="12" t="s">
        <v>58</v>
      </c>
      <c r="AD162" s="12" t="s">
        <v>7941</v>
      </c>
      <c r="AE162" s="12" t="s">
        <v>7690</v>
      </c>
      <c r="AF162" s="12" t="s">
        <v>45</v>
      </c>
    </row>
    <row r="163" spans="1:32" x14ac:dyDescent="0.2">
      <c r="A163" s="12" t="s">
        <v>2920</v>
      </c>
      <c r="B163" s="12" t="s">
        <v>2920</v>
      </c>
      <c r="C163" s="12" t="s">
        <v>2921</v>
      </c>
      <c r="D163" s="12" t="s">
        <v>143</v>
      </c>
      <c r="E163" s="12" t="s">
        <v>8110</v>
      </c>
      <c r="F163" s="12" t="s">
        <v>5460</v>
      </c>
      <c r="G163" s="12" t="s">
        <v>2902</v>
      </c>
      <c r="H163" s="12" t="s">
        <v>6614</v>
      </c>
      <c r="I163" s="12">
        <v>7056</v>
      </c>
      <c r="J163" s="12" t="s">
        <v>2923</v>
      </c>
      <c r="K163" s="12" t="s">
        <v>1573</v>
      </c>
      <c r="L163" s="12" t="s">
        <v>2835</v>
      </c>
      <c r="M163" s="12" t="s">
        <v>2835</v>
      </c>
      <c r="N163" s="12" t="s">
        <v>5785</v>
      </c>
      <c r="O163" s="12" t="s">
        <v>2906</v>
      </c>
      <c r="P163" s="12" t="s">
        <v>1470</v>
      </c>
      <c r="Q163" s="12" t="s">
        <v>6650</v>
      </c>
      <c r="R163" s="12">
        <v>51.895833330000002</v>
      </c>
      <c r="S163" s="12">
        <v>11.04666667</v>
      </c>
      <c r="T163" s="12" t="s">
        <v>11</v>
      </c>
      <c r="U163" s="12" t="s">
        <v>583</v>
      </c>
      <c r="V163" s="12" t="s">
        <v>183</v>
      </c>
      <c r="W163" s="12" t="s">
        <v>7160</v>
      </c>
      <c r="X163" s="12">
        <v>0.57899999999999996</v>
      </c>
      <c r="Y163" s="12">
        <v>489640</v>
      </c>
      <c r="Z163" s="12" t="s">
        <v>17</v>
      </c>
      <c r="AA163" s="12" t="s">
        <v>17</v>
      </c>
      <c r="AB163" s="12" t="s">
        <v>2922</v>
      </c>
      <c r="AC163" s="12" t="s">
        <v>58</v>
      </c>
      <c r="AD163" s="12" t="s">
        <v>7945</v>
      </c>
      <c r="AE163" s="12" t="s">
        <v>7712</v>
      </c>
      <c r="AF163" s="12" t="s">
        <v>45</v>
      </c>
    </row>
    <row r="164" spans="1:32" x14ac:dyDescent="0.2">
      <c r="A164" s="12" t="s">
        <v>2946</v>
      </c>
      <c r="B164" s="12" t="s">
        <v>2946</v>
      </c>
      <c r="C164" s="12" t="s">
        <v>2947</v>
      </c>
      <c r="D164" s="12" t="s">
        <v>143</v>
      </c>
      <c r="E164" s="12" t="s">
        <v>8110</v>
      </c>
      <c r="F164" s="12" t="s">
        <v>5460</v>
      </c>
      <c r="G164" s="12" t="s">
        <v>526</v>
      </c>
      <c r="H164" s="12" t="s">
        <v>6614</v>
      </c>
      <c r="I164" s="12">
        <v>7052</v>
      </c>
      <c r="J164" s="12" t="s">
        <v>2949</v>
      </c>
      <c r="K164" s="12" t="s">
        <v>1573</v>
      </c>
      <c r="L164" s="12" t="s">
        <v>2835</v>
      </c>
      <c r="M164" s="12" t="s">
        <v>2835</v>
      </c>
      <c r="N164" s="12" t="s">
        <v>5785</v>
      </c>
      <c r="O164" s="12" t="s">
        <v>2906</v>
      </c>
      <c r="P164" s="12" t="s">
        <v>1470</v>
      </c>
      <c r="Q164" s="12" t="s">
        <v>6650</v>
      </c>
      <c r="R164" s="12">
        <v>51.895833330000002</v>
      </c>
      <c r="S164" s="12">
        <v>11.04666667</v>
      </c>
      <c r="T164" s="12" t="s">
        <v>25</v>
      </c>
      <c r="U164" s="12" t="s">
        <v>344</v>
      </c>
      <c r="V164" s="12" t="s">
        <v>6639</v>
      </c>
      <c r="W164" s="12" t="s">
        <v>6639</v>
      </c>
      <c r="X164" s="12">
        <v>0.113</v>
      </c>
      <c r="Y164" s="12">
        <v>121860</v>
      </c>
      <c r="Z164" s="12" t="s">
        <v>6639</v>
      </c>
      <c r="AA164" s="12" t="s">
        <v>6639</v>
      </c>
      <c r="AB164" s="12" t="s">
        <v>2948</v>
      </c>
      <c r="AC164" s="12" t="s">
        <v>58</v>
      </c>
      <c r="AD164" s="12" t="s">
        <v>7938</v>
      </c>
      <c r="AE164" s="12" t="s">
        <v>7700</v>
      </c>
      <c r="AF164" s="12" t="s">
        <v>45</v>
      </c>
    </row>
    <row r="165" spans="1:32" x14ac:dyDescent="0.2">
      <c r="A165" s="12" t="s">
        <v>2916</v>
      </c>
      <c r="B165" s="12" t="s">
        <v>2916</v>
      </c>
      <c r="C165" s="12" t="s">
        <v>2917</v>
      </c>
      <c r="D165" s="12" t="s">
        <v>143</v>
      </c>
      <c r="E165" s="12" t="s">
        <v>8110</v>
      </c>
      <c r="F165" s="12" t="s">
        <v>5460</v>
      </c>
      <c r="G165" s="12" t="s">
        <v>2902</v>
      </c>
      <c r="H165" s="12" t="s">
        <v>6614</v>
      </c>
      <c r="I165" s="12">
        <v>7051</v>
      </c>
      <c r="J165" s="12" t="s">
        <v>2919</v>
      </c>
      <c r="K165" s="12" t="s">
        <v>1573</v>
      </c>
      <c r="L165" s="12" t="s">
        <v>2835</v>
      </c>
      <c r="M165" s="12" t="s">
        <v>2835</v>
      </c>
      <c r="N165" s="12" t="s">
        <v>5785</v>
      </c>
      <c r="O165" s="12" t="s">
        <v>2906</v>
      </c>
      <c r="P165" s="12" t="s">
        <v>1470</v>
      </c>
      <c r="Q165" s="12" t="s">
        <v>6650</v>
      </c>
      <c r="R165" s="12">
        <v>51.895833330000002</v>
      </c>
      <c r="S165" s="12">
        <v>11.04666667</v>
      </c>
      <c r="T165" s="12" t="s">
        <v>25</v>
      </c>
      <c r="U165" s="12" t="s">
        <v>5745</v>
      </c>
      <c r="V165" s="12" t="s">
        <v>6639</v>
      </c>
      <c r="W165" s="12" t="s">
        <v>6639</v>
      </c>
      <c r="X165" s="12">
        <v>2.7440000000000002</v>
      </c>
      <c r="Y165" s="12">
        <v>950914</v>
      </c>
      <c r="Z165" s="12" t="s">
        <v>6639</v>
      </c>
      <c r="AA165" s="12" t="s">
        <v>6639</v>
      </c>
      <c r="AB165" s="12" t="s">
        <v>2918</v>
      </c>
      <c r="AC165" s="12" t="s">
        <v>58</v>
      </c>
      <c r="AD165" s="12" t="s">
        <v>7931</v>
      </c>
      <c r="AE165" s="12" t="s">
        <v>7781</v>
      </c>
      <c r="AF165" s="12" t="s">
        <v>45</v>
      </c>
    </row>
    <row r="166" spans="1:32" x14ac:dyDescent="0.2">
      <c r="A166" s="12" t="s">
        <v>2911</v>
      </c>
      <c r="B166" s="12" t="s">
        <v>2911</v>
      </c>
      <c r="C166" s="12" t="s">
        <v>2912</v>
      </c>
      <c r="D166" s="12" t="s">
        <v>143</v>
      </c>
      <c r="E166" s="12" t="s">
        <v>8110</v>
      </c>
      <c r="F166" s="12" t="s">
        <v>5460</v>
      </c>
      <c r="G166" s="12" t="s">
        <v>2902</v>
      </c>
      <c r="H166" s="12" t="s">
        <v>6614</v>
      </c>
      <c r="I166" s="12">
        <v>7037</v>
      </c>
      <c r="J166" s="12" t="s">
        <v>2914</v>
      </c>
      <c r="K166" s="12" t="s">
        <v>1573</v>
      </c>
      <c r="L166" s="12" t="s">
        <v>2835</v>
      </c>
      <c r="M166" s="12" t="s">
        <v>2835</v>
      </c>
      <c r="N166" s="12" t="s">
        <v>5785</v>
      </c>
      <c r="O166" s="12" t="s">
        <v>2906</v>
      </c>
      <c r="P166" s="12" t="s">
        <v>1470</v>
      </c>
      <c r="Q166" s="12" t="s">
        <v>6650</v>
      </c>
      <c r="R166" s="12">
        <v>51.895833330000002</v>
      </c>
      <c r="S166" s="12">
        <v>11.04666667</v>
      </c>
      <c r="T166" s="12" t="s">
        <v>11</v>
      </c>
      <c r="U166" s="12" t="s">
        <v>2915</v>
      </c>
      <c r="V166" s="12" t="s">
        <v>183</v>
      </c>
      <c r="W166" s="12" t="s">
        <v>7160</v>
      </c>
      <c r="X166" s="12">
        <v>0.871</v>
      </c>
      <c r="Y166" s="12">
        <v>648193</v>
      </c>
      <c r="Z166" s="12" t="s">
        <v>17</v>
      </c>
      <c r="AA166" s="12" t="s">
        <v>17</v>
      </c>
      <c r="AB166" s="12" t="s">
        <v>2913</v>
      </c>
      <c r="AC166" s="12" t="s">
        <v>340</v>
      </c>
      <c r="AD166" s="12" t="s">
        <v>7946</v>
      </c>
      <c r="AE166" s="12" t="s">
        <v>7763</v>
      </c>
      <c r="AF166" s="12" t="s">
        <v>45</v>
      </c>
    </row>
    <row r="167" spans="1:32" x14ac:dyDescent="0.2">
      <c r="A167" s="12" t="s">
        <v>2834</v>
      </c>
      <c r="B167" s="12" t="s">
        <v>2834</v>
      </c>
      <c r="C167" s="12" t="s">
        <v>2836</v>
      </c>
      <c r="D167" s="12" t="s">
        <v>13</v>
      </c>
      <c r="E167" s="12" t="s">
        <v>8110</v>
      </c>
      <c r="F167" s="12" t="s">
        <v>2838</v>
      </c>
      <c r="G167" s="12" t="s">
        <v>1914</v>
      </c>
      <c r="H167" s="12" t="s">
        <v>6614</v>
      </c>
      <c r="I167" s="12">
        <v>7017</v>
      </c>
      <c r="J167" s="12" t="s">
        <v>2838</v>
      </c>
      <c r="K167" s="12" t="s">
        <v>1573</v>
      </c>
      <c r="L167" s="12" t="s">
        <v>2835</v>
      </c>
      <c r="M167" s="12" t="s">
        <v>2835</v>
      </c>
      <c r="N167" s="12" t="s">
        <v>5785</v>
      </c>
      <c r="O167" s="12" t="s">
        <v>2839</v>
      </c>
      <c r="P167" s="12" t="s">
        <v>2840</v>
      </c>
      <c r="Q167" s="12" t="s">
        <v>6650</v>
      </c>
      <c r="R167" s="12">
        <v>48.663196999999997</v>
      </c>
      <c r="S167" s="12">
        <v>16.589687000000001</v>
      </c>
      <c r="T167" s="12" t="s">
        <v>25</v>
      </c>
      <c r="U167" s="12" t="s">
        <v>2841</v>
      </c>
      <c r="V167" s="12" t="s">
        <v>6639</v>
      </c>
      <c r="W167" s="12" t="s">
        <v>6639</v>
      </c>
      <c r="X167" s="12">
        <v>3.3639999999999999</v>
      </c>
      <c r="Y167" s="12">
        <v>843684</v>
      </c>
      <c r="Z167" s="12" t="s">
        <v>6639</v>
      </c>
      <c r="AA167" s="12" t="s">
        <v>6639</v>
      </c>
      <c r="AB167" s="12" t="s">
        <v>2837</v>
      </c>
      <c r="AC167" s="12" t="s">
        <v>21</v>
      </c>
      <c r="AD167" s="12">
        <v>0.11700000000000001</v>
      </c>
      <c r="AE167" s="12">
        <v>0.99399999999999999</v>
      </c>
      <c r="AF167" s="12" t="s">
        <v>45</v>
      </c>
    </row>
    <row r="168" spans="1:32" x14ac:dyDescent="0.2">
      <c r="A168" s="12" t="s">
        <v>2940</v>
      </c>
      <c r="B168" s="12" t="s">
        <v>2940</v>
      </c>
      <c r="C168" s="12" t="s">
        <v>2941</v>
      </c>
      <c r="D168" s="12" t="s">
        <v>143</v>
      </c>
      <c r="E168" s="12" t="s">
        <v>8110</v>
      </c>
      <c r="F168" s="12" t="s">
        <v>5460</v>
      </c>
      <c r="G168" s="12" t="s">
        <v>526</v>
      </c>
      <c r="H168" s="12" t="s">
        <v>6614</v>
      </c>
      <c r="I168" s="12">
        <v>6978</v>
      </c>
      <c r="J168" s="12" t="s">
        <v>2943</v>
      </c>
      <c r="K168" s="12" t="s">
        <v>1573</v>
      </c>
      <c r="L168" s="12" t="s">
        <v>2835</v>
      </c>
      <c r="M168" s="12" t="s">
        <v>2835</v>
      </c>
      <c r="N168" s="12" t="s">
        <v>5785</v>
      </c>
      <c r="O168" s="12" t="s">
        <v>2906</v>
      </c>
      <c r="P168" s="12" t="s">
        <v>1470</v>
      </c>
      <c r="Q168" s="12" t="s">
        <v>6650</v>
      </c>
      <c r="R168" s="12">
        <v>51.895833330000002</v>
      </c>
      <c r="S168" s="12">
        <v>11.04666667</v>
      </c>
      <c r="T168" s="12" t="s">
        <v>11</v>
      </c>
      <c r="U168" s="12" t="s">
        <v>2944</v>
      </c>
      <c r="V168" s="12" t="s">
        <v>2945</v>
      </c>
      <c r="W168" s="12" t="s">
        <v>7160</v>
      </c>
      <c r="X168" s="12">
        <v>1.7000000000000001E-2</v>
      </c>
      <c r="Y168" s="12">
        <v>19344</v>
      </c>
      <c r="Z168" s="12" t="s">
        <v>17</v>
      </c>
      <c r="AA168" s="12" t="s">
        <v>17</v>
      </c>
      <c r="AB168" s="12" t="s">
        <v>2942</v>
      </c>
      <c r="AC168" s="12" t="s">
        <v>21</v>
      </c>
      <c r="AD168" s="12">
        <v>9.6000000000000002E-2</v>
      </c>
      <c r="AE168" s="12">
        <v>1</v>
      </c>
      <c r="AF168" s="12" t="s">
        <v>45</v>
      </c>
    </row>
    <row r="169" spans="1:32" x14ac:dyDescent="0.2">
      <c r="A169" s="12" t="s">
        <v>2907</v>
      </c>
      <c r="B169" s="12" t="s">
        <v>2907</v>
      </c>
      <c r="C169" s="12" t="s">
        <v>2908</v>
      </c>
      <c r="D169" s="12" t="s">
        <v>143</v>
      </c>
      <c r="E169" s="12" t="s">
        <v>8110</v>
      </c>
      <c r="F169" s="12" t="s">
        <v>5460</v>
      </c>
      <c r="G169" s="12" t="s">
        <v>2902</v>
      </c>
      <c r="H169" s="12" t="s">
        <v>6614</v>
      </c>
      <c r="I169" s="12">
        <v>6977</v>
      </c>
      <c r="J169" s="12" t="s">
        <v>2910</v>
      </c>
      <c r="K169" s="12" t="s">
        <v>1573</v>
      </c>
      <c r="L169" s="12" t="s">
        <v>2835</v>
      </c>
      <c r="M169" s="12" t="s">
        <v>2835</v>
      </c>
      <c r="N169" s="12" t="s">
        <v>5785</v>
      </c>
      <c r="O169" s="12" t="s">
        <v>2906</v>
      </c>
      <c r="P169" s="12" t="s">
        <v>1470</v>
      </c>
      <c r="Q169" s="12" t="s">
        <v>6650</v>
      </c>
      <c r="R169" s="12">
        <v>51.895833330000002</v>
      </c>
      <c r="S169" s="12">
        <v>11.04666667</v>
      </c>
      <c r="T169" s="12" t="s">
        <v>25</v>
      </c>
      <c r="U169" s="12" t="s">
        <v>356</v>
      </c>
      <c r="V169" s="12" t="s">
        <v>6639</v>
      </c>
      <c r="W169" s="12" t="s">
        <v>6639</v>
      </c>
      <c r="X169" s="12">
        <v>6.915</v>
      </c>
      <c r="Y169" s="12">
        <v>982315</v>
      </c>
      <c r="Z169" s="12" t="s">
        <v>6639</v>
      </c>
      <c r="AA169" s="12" t="s">
        <v>6639</v>
      </c>
      <c r="AB169" s="12" t="s">
        <v>2909</v>
      </c>
      <c r="AC169" s="12" t="s">
        <v>21</v>
      </c>
      <c r="AD169" s="12" t="s">
        <v>7816</v>
      </c>
      <c r="AE169" s="12" t="s">
        <v>7785</v>
      </c>
      <c r="AF169" s="12" t="s">
        <v>45</v>
      </c>
    </row>
    <row r="170" spans="1:32" x14ac:dyDescent="0.2">
      <c r="A170" s="12" t="s">
        <v>2901</v>
      </c>
      <c r="B170" s="12" t="s">
        <v>2901</v>
      </c>
      <c r="C170" s="12" t="s">
        <v>2903</v>
      </c>
      <c r="D170" s="12" t="s">
        <v>143</v>
      </c>
      <c r="E170" s="12" t="s">
        <v>8110</v>
      </c>
      <c r="F170" s="12" t="s">
        <v>5460</v>
      </c>
      <c r="G170" s="12" t="s">
        <v>2902</v>
      </c>
      <c r="H170" s="12" t="s">
        <v>6614</v>
      </c>
      <c r="I170" s="12">
        <v>6976</v>
      </c>
      <c r="J170" s="12" t="s">
        <v>2905</v>
      </c>
      <c r="K170" s="12" t="s">
        <v>1573</v>
      </c>
      <c r="L170" s="12" t="s">
        <v>2835</v>
      </c>
      <c r="M170" s="12" t="s">
        <v>2835</v>
      </c>
      <c r="N170" s="12" t="s">
        <v>5785</v>
      </c>
      <c r="O170" s="12" t="s">
        <v>2906</v>
      </c>
      <c r="P170" s="12" t="s">
        <v>1470</v>
      </c>
      <c r="Q170" s="12" t="s">
        <v>6650</v>
      </c>
      <c r="R170" s="12">
        <v>51.895833330000002</v>
      </c>
      <c r="S170" s="12">
        <v>11.04666667</v>
      </c>
      <c r="T170" s="12" t="s">
        <v>11</v>
      </c>
      <c r="U170" s="12" t="s">
        <v>5756</v>
      </c>
      <c r="V170" s="12" t="s">
        <v>183</v>
      </c>
      <c r="W170" s="12" t="s">
        <v>7160</v>
      </c>
      <c r="X170" s="12">
        <v>0.90800000000000003</v>
      </c>
      <c r="Y170" s="12">
        <v>629014</v>
      </c>
      <c r="Z170" s="12" t="s">
        <v>17</v>
      </c>
      <c r="AA170" s="12" t="s">
        <v>17</v>
      </c>
      <c r="AB170" s="12" t="s">
        <v>2904</v>
      </c>
      <c r="AC170" s="12" t="s">
        <v>58</v>
      </c>
      <c r="AD170" s="12" t="s">
        <v>7932</v>
      </c>
      <c r="AE170" s="12" t="s">
        <v>7758</v>
      </c>
      <c r="AF170" s="12" t="s">
        <v>45</v>
      </c>
    </row>
    <row r="171" spans="1:32" x14ac:dyDescent="0.2">
      <c r="A171" s="12" t="s">
        <v>2856</v>
      </c>
      <c r="B171" s="12" t="s">
        <v>2856</v>
      </c>
      <c r="C171" s="12" t="s">
        <v>2857</v>
      </c>
      <c r="D171" s="12" t="s">
        <v>13</v>
      </c>
      <c r="E171" s="12" t="s">
        <v>8110</v>
      </c>
      <c r="F171" s="12" t="s">
        <v>5458</v>
      </c>
      <c r="G171" s="12" t="s">
        <v>1914</v>
      </c>
      <c r="H171" s="12" t="s">
        <v>6614</v>
      </c>
      <c r="I171" s="12">
        <v>6950</v>
      </c>
      <c r="J171" s="12" t="s">
        <v>2851</v>
      </c>
      <c r="K171" s="12" t="s">
        <v>1573</v>
      </c>
      <c r="L171" s="12" t="s">
        <v>2835</v>
      </c>
      <c r="M171" s="12" t="s">
        <v>2835</v>
      </c>
      <c r="N171" s="12" t="s">
        <v>5785</v>
      </c>
      <c r="O171" s="12" t="s">
        <v>2846</v>
      </c>
      <c r="P171" s="12" t="s">
        <v>2840</v>
      </c>
      <c r="Q171" s="12" t="s">
        <v>6650</v>
      </c>
      <c r="R171" s="12">
        <v>48.579751999999999</v>
      </c>
      <c r="S171" s="12">
        <v>16.46931</v>
      </c>
      <c r="T171" s="12" t="s">
        <v>25</v>
      </c>
      <c r="U171" s="12" t="s">
        <v>213</v>
      </c>
      <c r="V171" s="12" t="s">
        <v>6639</v>
      </c>
      <c r="W171" s="12" t="s">
        <v>6639</v>
      </c>
      <c r="X171" s="12">
        <v>3.407</v>
      </c>
      <c r="Y171" s="12">
        <v>811457</v>
      </c>
      <c r="Z171" s="12" t="s">
        <v>6639</v>
      </c>
      <c r="AA171" s="12" t="s">
        <v>6639</v>
      </c>
      <c r="AB171" s="12" t="s">
        <v>2858</v>
      </c>
      <c r="AC171" s="12" t="s">
        <v>21</v>
      </c>
      <c r="AD171" s="12">
        <v>6.3E-2</v>
      </c>
      <c r="AE171" s="12">
        <v>1</v>
      </c>
      <c r="AF171" s="12" t="s">
        <v>45</v>
      </c>
    </row>
    <row r="172" spans="1:32" x14ac:dyDescent="0.2">
      <c r="A172" s="12" t="s">
        <v>2853</v>
      </c>
      <c r="B172" s="12" t="s">
        <v>2853</v>
      </c>
      <c r="C172" s="12" t="s">
        <v>2854</v>
      </c>
      <c r="D172" s="12" t="s">
        <v>13</v>
      </c>
      <c r="E172" s="12" t="s">
        <v>8110</v>
      </c>
      <c r="F172" s="12" t="s">
        <v>5458</v>
      </c>
      <c r="G172" s="12" t="s">
        <v>1914</v>
      </c>
      <c r="H172" s="12" t="s">
        <v>6614</v>
      </c>
      <c r="I172" s="12">
        <v>6950</v>
      </c>
      <c r="J172" s="12" t="s">
        <v>2851</v>
      </c>
      <c r="K172" s="12" t="s">
        <v>1573</v>
      </c>
      <c r="L172" s="12" t="s">
        <v>2835</v>
      </c>
      <c r="M172" s="12" t="s">
        <v>2835</v>
      </c>
      <c r="N172" s="12" t="s">
        <v>5785</v>
      </c>
      <c r="O172" s="12" t="s">
        <v>2846</v>
      </c>
      <c r="P172" s="12" t="s">
        <v>2840</v>
      </c>
      <c r="Q172" s="12" t="s">
        <v>6650</v>
      </c>
      <c r="R172" s="12">
        <v>48.579751999999999</v>
      </c>
      <c r="S172" s="12">
        <v>16.46931</v>
      </c>
      <c r="T172" s="12" t="s">
        <v>25</v>
      </c>
      <c r="U172" s="12" t="s">
        <v>179</v>
      </c>
      <c r="V172" s="12" t="s">
        <v>6639</v>
      </c>
      <c r="W172" s="12" t="s">
        <v>6639</v>
      </c>
      <c r="X172" s="12">
        <v>4.4569999999999999</v>
      </c>
      <c r="Y172" s="12">
        <v>831792</v>
      </c>
      <c r="Z172" s="12" t="s">
        <v>6639</v>
      </c>
      <c r="AA172" s="12" t="s">
        <v>6639</v>
      </c>
      <c r="AB172" s="12" t="s">
        <v>2855</v>
      </c>
      <c r="AC172" s="12" t="s">
        <v>21</v>
      </c>
      <c r="AD172" s="12">
        <v>7.1999999999999995E-2</v>
      </c>
      <c r="AE172" s="12">
        <v>1</v>
      </c>
      <c r="AF172" s="12" t="s">
        <v>45</v>
      </c>
    </row>
    <row r="173" spans="1:32" x14ac:dyDescent="0.2">
      <c r="A173" s="12" t="s">
        <v>2848</v>
      </c>
      <c r="B173" s="12" t="s">
        <v>2848</v>
      </c>
      <c r="C173" s="12" t="s">
        <v>2849</v>
      </c>
      <c r="D173" s="12" t="s">
        <v>13</v>
      </c>
      <c r="E173" s="12" t="s">
        <v>8110</v>
      </c>
      <c r="F173" s="12" t="s">
        <v>5458</v>
      </c>
      <c r="G173" s="12" t="s">
        <v>1914</v>
      </c>
      <c r="H173" s="12" t="s">
        <v>6614</v>
      </c>
      <c r="I173" s="12">
        <v>6950</v>
      </c>
      <c r="J173" s="12" t="s">
        <v>2851</v>
      </c>
      <c r="K173" s="12" t="s">
        <v>1573</v>
      </c>
      <c r="L173" s="12" t="s">
        <v>2835</v>
      </c>
      <c r="M173" s="12" t="s">
        <v>2835</v>
      </c>
      <c r="N173" s="12" t="s">
        <v>5785</v>
      </c>
      <c r="O173" s="12" t="s">
        <v>2846</v>
      </c>
      <c r="P173" s="12" t="s">
        <v>2840</v>
      </c>
      <c r="Q173" s="12" t="s">
        <v>6650</v>
      </c>
      <c r="R173" s="12">
        <v>48.579751999999999</v>
      </c>
      <c r="S173" s="12">
        <v>16.46931</v>
      </c>
      <c r="T173" s="12" t="s">
        <v>11</v>
      </c>
      <c r="U173" s="12" t="s">
        <v>2852</v>
      </c>
      <c r="V173" s="12" t="s">
        <v>5760</v>
      </c>
      <c r="W173" s="12" t="s">
        <v>7160</v>
      </c>
      <c r="X173" s="12">
        <v>4.7690000000000001</v>
      </c>
      <c r="Y173" s="12">
        <v>850732</v>
      </c>
      <c r="Z173" s="12" t="s">
        <v>17</v>
      </c>
      <c r="AA173" s="12" t="s">
        <v>17</v>
      </c>
      <c r="AB173" s="12" t="s">
        <v>2850</v>
      </c>
      <c r="AC173" s="12" t="s">
        <v>21</v>
      </c>
      <c r="AD173" s="12">
        <v>6.9000000000000006E-2</v>
      </c>
      <c r="AE173" s="12">
        <v>1</v>
      </c>
      <c r="AF173" s="12" t="s">
        <v>82</v>
      </c>
    </row>
    <row r="174" spans="1:32" x14ac:dyDescent="0.2">
      <c r="A174" s="12" t="s">
        <v>2863</v>
      </c>
      <c r="B174" s="12" t="s">
        <v>2863</v>
      </c>
      <c r="C174" s="12" t="s">
        <v>2864</v>
      </c>
      <c r="D174" s="12" t="s">
        <v>13</v>
      </c>
      <c r="E174" s="12" t="s">
        <v>8110</v>
      </c>
      <c r="F174" s="12" t="s">
        <v>5458</v>
      </c>
      <c r="G174" s="12" t="s">
        <v>1914</v>
      </c>
      <c r="H174" s="12" t="s">
        <v>6614</v>
      </c>
      <c r="I174" s="12">
        <v>6950</v>
      </c>
      <c r="J174" s="12" t="s">
        <v>2851</v>
      </c>
      <c r="K174" s="12" t="s">
        <v>1573</v>
      </c>
      <c r="L174" s="12" t="s">
        <v>2835</v>
      </c>
      <c r="M174" s="12" t="s">
        <v>2835</v>
      </c>
      <c r="N174" s="12" t="s">
        <v>5785</v>
      </c>
      <c r="O174" s="12" t="s">
        <v>2846</v>
      </c>
      <c r="P174" s="12" t="s">
        <v>2840</v>
      </c>
      <c r="Q174" s="12" t="s">
        <v>6650</v>
      </c>
      <c r="R174" s="12">
        <v>48.579751999999999</v>
      </c>
      <c r="S174" s="12">
        <v>16.46931</v>
      </c>
      <c r="T174" s="12" t="s">
        <v>25</v>
      </c>
      <c r="U174" s="12" t="s">
        <v>1990</v>
      </c>
      <c r="V174" s="12" t="s">
        <v>6639</v>
      </c>
      <c r="W174" s="12" t="s">
        <v>6639</v>
      </c>
      <c r="X174" s="12">
        <v>4.95</v>
      </c>
      <c r="Y174" s="12">
        <v>899049</v>
      </c>
      <c r="Z174" s="12" t="s">
        <v>6639</v>
      </c>
      <c r="AA174" s="12" t="s">
        <v>6639</v>
      </c>
      <c r="AB174" s="12" t="s">
        <v>2865</v>
      </c>
      <c r="AC174" s="12" t="s">
        <v>21</v>
      </c>
      <c r="AD174" s="12">
        <v>5.6000000000000001E-2</v>
      </c>
      <c r="AE174" s="12">
        <v>1</v>
      </c>
      <c r="AF174" s="12" t="s">
        <v>45</v>
      </c>
    </row>
    <row r="175" spans="1:32" x14ac:dyDescent="0.2">
      <c r="A175" s="12" t="s">
        <v>2859</v>
      </c>
      <c r="B175" s="12" t="s">
        <v>2859</v>
      </c>
      <c r="C175" s="12" t="s">
        <v>2860</v>
      </c>
      <c r="D175" s="12" t="s">
        <v>13</v>
      </c>
      <c r="E175" s="12" t="s">
        <v>8110</v>
      </c>
      <c r="F175" s="12" t="s">
        <v>5458</v>
      </c>
      <c r="G175" s="12" t="s">
        <v>1914</v>
      </c>
      <c r="H175" s="12" t="s">
        <v>6614</v>
      </c>
      <c r="I175" s="12">
        <v>6950</v>
      </c>
      <c r="J175" s="12" t="s">
        <v>2851</v>
      </c>
      <c r="K175" s="12" t="s">
        <v>1573</v>
      </c>
      <c r="L175" s="12" t="s">
        <v>2835</v>
      </c>
      <c r="M175" s="12" t="s">
        <v>2835</v>
      </c>
      <c r="N175" s="12" t="s">
        <v>5785</v>
      </c>
      <c r="O175" s="12" t="s">
        <v>2846</v>
      </c>
      <c r="P175" s="12" t="s">
        <v>2840</v>
      </c>
      <c r="Q175" s="12" t="s">
        <v>6650</v>
      </c>
      <c r="R175" s="12">
        <v>48.579751999999999</v>
      </c>
      <c r="S175" s="12">
        <v>16.46931</v>
      </c>
      <c r="T175" s="12" t="s">
        <v>11</v>
      </c>
      <c r="U175" s="12" t="s">
        <v>2862</v>
      </c>
      <c r="V175" s="12" t="s">
        <v>232</v>
      </c>
      <c r="W175" s="12" t="s">
        <v>7160</v>
      </c>
      <c r="X175" s="12">
        <v>4.4470000000000001</v>
      </c>
      <c r="Y175" s="12">
        <v>924723</v>
      </c>
      <c r="Z175" s="12" t="s">
        <v>17</v>
      </c>
      <c r="AA175" s="12" t="s">
        <v>17</v>
      </c>
      <c r="AB175" s="12" t="s">
        <v>2861</v>
      </c>
      <c r="AC175" s="12" t="s">
        <v>21</v>
      </c>
      <c r="AD175" s="12">
        <v>5.7000000000000002E-2</v>
      </c>
      <c r="AE175" s="12">
        <v>0.998</v>
      </c>
      <c r="AF175" s="12" t="s">
        <v>436</v>
      </c>
    </row>
    <row r="176" spans="1:32" x14ac:dyDescent="0.2">
      <c r="A176" s="12" t="s">
        <v>4782</v>
      </c>
      <c r="B176" s="12" t="s">
        <v>4782</v>
      </c>
      <c r="C176" s="12" t="s">
        <v>4782</v>
      </c>
      <c r="D176" s="12" t="s">
        <v>105</v>
      </c>
      <c r="E176" s="12" t="s">
        <v>8110</v>
      </c>
      <c r="F176" s="12" t="s">
        <v>5458</v>
      </c>
      <c r="G176" s="12" t="s">
        <v>394</v>
      </c>
      <c r="H176" s="12" t="s">
        <v>6614</v>
      </c>
      <c r="I176" s="12">
        <v>30010</v>
      </c>
      <c r="J176" s="12" t="s">
        <v>4784</v>
      </c>
      <c r="K176" s="12" t="s">
        <v>6649</v>
      </c>
      <c r="L176" s="12" t="s">
        <v>4782</v>
      </c>
      <c r="M176" s="12" t="s">
        <v>4782</v>
      </c>
      <c r="N176" s="12" t="s">
        <v>5785</v>
      </c>
      <c r="O176" s="12" t="s">
        <v>4785</v>
      </c>
      <c r="P176" s="12" t="s">
        <v>1428</v>
      </c>
      <c r="Q176" s="12" t="s">
        <v>6650</v>
      </c>
      <c r="R176" s="12">
        <v>48.53</v>
      </c>
      <c r="S176" s="12">
        <v>16.39</v>
      </c>
      <c r="T176" s="12" t="s">
        <v>11</v>
      </c>
      <c r="U176" s="12" t="s">
        <v>4786</v>
      </c>
      <c r="V176" s="12" t="s">
        <v>374</v>
      </c>
      <c r="W176" s="12" t="s">
        <v>7160</v>
      </c>
      <c r="X176" s="12">
        <v>0.999</v>
      </c>
      <c r="Y176" s="12">
        <v>745560</v>
      </c>
      <c r="Z176" s="12" t="s">
        <v>17</v>
      </c>
      <c r="AA176" s="12" t="s">
        <v>17</v>
      </c>
      <c r="AB176" s="12" t="s">
        <v>4783</v>
      </c>
      <c r="AC176" s="12" t="s">
        <v>21</v>
      </c>
      <c r="AD176" s="12" t="s">
        <v>17</v>
      </c>
      <c r="AE176" s="12" t="s">
        <v>17</v>
      </c>
      <c r="AF176" s="12" t="s">
        <v>45</v>
      </c>
    </row>
    <row r="177" spans="1:32" x14ac:dyDescent="0.2">
      <c r="A177" s="12" t="s">
        <v>4787</v>
      </c>
      <c r="B177" s="12" t="s">
        <v>4787</v>
      </c>
      <c r="C177" s="12" t="s">
        <v>4787</v>
      </c>
      <c r="D177" s="12" t="s">
        <v>105</v>
      </c>
      <c r="E177" s="12" t="s">
        <v>8110</v>
      </c>
      <c r="F177" s="12" t="s">
        <v>5460</v>
      </c>
      <c r="G177" s="12" t="s">
        <v>394</v>
      </c>
      <c r="H177" s="12" t="s">
        <v>6614</v>
      </c>
      <c r="I177" s="12">
        <v>13980</v>
      </c>
      <c r="J177" s="12" t="s">
        <v>4789</v>
      </c>
      <c r="K177" s="12" t="s">
        <v>6649</v>
      </c>
      <c r="L177" s="12" t="s">
        <v>4787</v>
      </c>
      <c r="M177" s="12" t="s">
        <v>4787</v>
      </c>
      <c r="N177" s="12" t="s">
        <v>5785</v>
      </c>
      <c r="O177" s="12" t="s">
        <v>4787</v>
      </c>
      <c r="P177" s="12" t="s">
        <v>4790</v>
      </c>
      <c r="Q177" s="12" t="s">
        <v>6650</v>
      </c>
      <c r="R177" s="12">
        <v>46.15</v>
      </c>
      <c r="S177" s="12">
        <v>12.21</v>
      </c>
      <c r="T177" s="12" t="s">
        <v>11</v>
      </c>
      <c r="U177" s="12" t="s">
        <v>1311</v>
      </c>
      <c r="V177" s="12" t="s">
        <v>435</v>
      </c>
      <c r="W177" s="12" t="s">
        <v>7160</v>
      </c>
      <c r="X177" s="12">
        <v>3.137</v>
      </c>
      <c r="Y177" s="12">
        <v>902419</v>
      </c>
      <c r="Z177" s="12" t="s">
        <v>17</v>
      </c>
      <c r="AA177" s="12" t="s">
        <v>17</v>
      </c>
      <c r="AB177" s="12" t="s">
        <v>4788</v>
      </c>
      <c r="AC177" s="12" t="s">
        <v>144</v>
      </c>
      <c r="AD177" s="12" t="s">
        <v>17</v>
      </c>
      <c r="AE177" s="12" t="s">
        <v>17</v>
      </c>
      <c r="AF177" s="12" t="s">
        <v>45</v>
      </c>
    </row>
    <row r="178" spans="1:32" x14ac:dyDescent="0.2">
      <c r="A178" s="12" t="s">
        <v>1222</v>
      </c>
      <c r="B178" s="12" t="s">
        <v>1222</v>
      </c>
      <c r="C178" s="12" t="s">
        <v>7572</v>
      </c>
      <c r="D178" s="12" t="s">
        <v>143</v>
      </c>
      <c r="E178" s="12" t="s">
        <v>8108</v>
      </c>
      <c r="F178" s="12" t="s">
        <v>1223</v>
      </c>
      <c r="G178" s="12" t="s">
        <v>5453</v>
      </c>
      <c r="H178" s="12" t="s">
        <v>7423</v>
      </c>
      <c r="I178" s="12">
        <v>5169</v>
      </c>
      <c r="J178" s="12" t="s">
        <v>1223</v>
      </c>
      <c r="K178" s="12" t="s">
        <v>6654</v>
      </c>
      <c r="L178" s="12" t="s">
        <v>1199</v>
      </c>
      <c r="M178" s="12" t="s">
        <v>1198</v>
      </c>
      <c r="N178" s="12" t="s">
        <v>5785</v>
      </c>
      <c r="O178" s="12" t="s">
        <v>7449</v>
      </c>
      <c r="P178" s="12" t="s">
        <v>1152</v>
      </c>
      <c r="Q178" s="12" t="s">
        <v>6653</v>
      </c>
      <c r="R178" s="12">
        <v>49.49</v>
      </c>
      <c r="S178" s="12">
        <v>58.51</v>
      </c>
      <c r="T178" s="12" t="s">
        <v>25</v>
      </c>
      <c r="U178" s="12" t="s">
        <v>1209</v>
      </c>
      <c r="V178" s="12" t="s">
        <v>6639</v>
      </c>
      <c r="W178" s="12" t="s">
        <v>6639</v>
      </c>
      <c r="X178" s="12">
        <v>1.116814</v>
      </c>
      <c r="Y178" s="12">
        <v>656063</v>
      </c>
      <c r="Z178" s="12" t="s">
        <v>6639</v>
      </c>
      <c r="AA178" s="12" t="s">
        <v>6639</v>
      </c>
      <c r="AB178" s="12" t="s">
        <v>1221</v>
      </c>
      <c r="AC178" s="12" t="s">
        <v>21</v>
      </c>
      <c r="AD178" s="12">
        <v>7.5999999999999998E-2</v>
      </c>
      <c r="AE178" s="12">
        <v>0.98499999999999999</v>
      </c>
      <c r="AF178" s="12" t="s">
        <v>45</v>
      </c>
    </row>
    <row r="179" spans="1:32" x14ac:dyDescent="0.2">
      <c r="A179" s="12" t="s">
        <v>32</v>
      </c>
      <c r="B179" s="12" t="s">
        <v>32</v>
      </c>
      <c r="C179" s="12" t="s">
        <v>7451</v>
      </c>
      <c r="D179" s="12" t="s">
        <v>33</v>
      </c>
      <c r="E179" s="12" t="s">
        <v>8110</v>
      </c>
      <c r="F179" s="12" t="s">
        <v>35</v>
      </c>
      <c r="G179" s="12" t="s">
        <v>5453</v>
      </c>
      <c r="H179" s="12" t="s">
        <v>7595</v>
      </c>
      <c r="I179" s="12">
        <v>5081</v>
      </c>
      <c r="J179" s="12" t="s">
        <v>35</v>
      </c>
      <c r="K179" s="12" t="s">
        <v>6654</v>
      </c>
      <c r="L179" s="12" t="s">
        <v>12</v>
      </c>
      <c r="M179" s="12" t="s">
        <v>12</v>
      </c>
      <c r="N179" s="12" t="s">
        <v>5785</v>
      </c>
      <c r="O179" s="12" t="s">
        <v>29</v>
      </c>
      <c r="P179" s="12" t="s">
        <v>18</v>
      </c>
      <c r="Q179" s="12" t="s">
        <v>6653</v>
      </c>
      <c r="R179" s="12">
        <v>50.758112799999999</v>
      </c>
      <c r="S179" s="12">
        <v>85.560249720000002</v>
      </c>
      <c r="T179" s="12" t="s">
        <v>11</v>
      </c>
      <c r="U179" s="12" t="s">
        <v>36</v>
      </c>
      <c r="V179" s="12" t="s">
        <v>37</v>
      </c>
      <c r="W179" s="12" t="s">
        <v>7415</v>
      </c>
      <c r="X179" s="12">
        <v>0.21199999999999999</v>
      </c>
      <c r="Y179" s="12">
        <v>224619</v>
      </c>
      <c r="Z179" s="12" t="s">
        <v>8052</v>
      </c>
      <c r="AA179" s="12" t="s">
        <v>8052</v>
      </c>
      <c r="AB179" s="12" t="s">
        <v>34</v>
      </c>
      <c r="AC179" s="12" t="s">
        <v>21</v>
      </c>
      <c r="AD179" s="12">
        <v>1.9E-2</v>
      </c>
      <c r="AE179" s="12">
        <v>0.99199999999999999</v>
      </c>
      <c r="AF179" s="12" t="s">
        <v>7800</v>
      </c>
    </row>
    <row r="180" spans="1:32" x14ac:dyDescent="0.2">
      <c r="A180" s="12" t="s">
        <v>5014</v>
      </c>
      <c r="B180" s="12" t="s">
        <v>5014</v>
      </c>
      <c r="C180" s="12" t="s">
        <v>5015</v>
      </c>
      <c r="D180" s="12" t="s">
        <v>105</v>
      </c>
      <c r="E180" s="12" t="s">
        <v>8110</v>
      </c>
      <c r="F180" s="12" t="s">
        <v>5460</v>
      </c>
      <c r="G180" s="12" t="s">
        <v>1517</v>
      </c>
      <c r="H180" s="12" t="s">
        <v>6614</v>
      </c>
      <c r="I180" s="12">
        <v>5079</v>
      </c>
      <c r="J180" s="12" t="s">
        <v>5017</v>
      </c>
      <c r="K180" s="12" t="s">
        <v>6654</v>
      </c>
      <c r="L180" s="12" t="s">
        <v>4974</v>
      </c>
      <c r="M180" s="12" t="s">
        <v>4973</v>
      </c>
      <c r="N180" s="12" t="s">
        <v>5785</v>
      </c>
      <c r="O180" s="12" t="s">
        <v>5018</v>
      </c>
      <c r="P180" s="12" t="s">
        <v>18</v>
      </c>
      <c r="Q180" s="12" t="s">
        <v>6653</v>
      </c>
      <c r="R180" s="12">
        <v>53.38</v>
      </c>
      <c r="S180" s="12">
        <v>50.39</v>
      </c>
      <c r="T180" s="12" t="s">
        <v>11</v>
      </c>
      <c r="U180" s="12" t="s">
        <v>124</v>
      </c>
      <c r="V180" s="12" t="s">
        <v>37</v>
      </c>
      <c r="W180" s="12" t="s">
        <v>7160</v>
      </c>
      <c r="X180" s="12">
        <v>0.84299999999999997</v>
      </c>
      <c r="Y180" s="12">
        <v>603212</v>
      </c>
      <c r="Z180" s="12" t="s">
        <v>17</v>
      </c>
      <c r="AA180" s="12" t="s">
        <v>17</v>
      </c>
      <c r="AB180" s="12" t="s">
        <v>5016</v>
      </c>
      <c r="AC180" s="12" t="s">
        <v>21</v>
      </c>
      <c r="AD180" s="12" t="s">
        <v>17</v>
      </c>
      <c r="AE180" s="12">
        <v>0.997</v>
      </c>
      <c r="AF180" s="12" t="s">
        <v>45</v>
      </c>
    </row>
    <row r="181" spans="1:32" x14ac:dyDescent="0.2">
      <c r="A181" s="12" t="s">
        <v>89</v>
      </c>
      <c r="B181" s="12" t="s">
        <v>89</v>
      </c>
      <c r="C181" s="12" t="s">
        <v>90</v>
      </c>
      <c r="D181" s="12" t="s">
        <v>26</v>
      </c>
      <c r="E181" s="12" t="s">
        <v>8110</v>
      </c>
      <c r="F181" s="12" t="s">
        <v>92</v>
      </c>
      <c r="G181" s="12" t="s">
        <v>5453</v>
      </c>
      <c r="H181" s="12" t="s">
        <v>6981</v>
      </c>
      <c r="I181" s="12">
        <v>5077</v>
      </c>
      <c r="J181" s="12" t="s">
        <v>92</v>
      </c>
      <c r="K181" s="12" t="s">
        <v>6654</v>
      </c>
      <c r="L181" s="12" t="s">
        <v>12</v>
      </c>
      <c r="M181" s="12" t="s">
        <v>12</v>
      </c>
      <c r="N181" s="12" t="s">
        <v>5785</v>
      </c>
      <c r="O181" s="12" t="s">
        <v>93</v>
      </c>
      <c r="P181" s="12" t="s">
        <v>18</v>
      </c>
      <c r="Q181" s="12" t="s">
        <v>6653</v>
      </c>
      <c r="R181" s="12">
        <v>51.513008333333332</v>
      </c>
      <c r="S181" s="12">
        <v>84.835338888888884</v>
      </c>
      <c r="T181" s="12" t="s">
        <v>25</v>
      </c>
      <c r="U181" s="12" t="s">
        <v>94</v>
      </c>
      <c r="V181" s="12" t="s">
        <v>6639</v>
      </c>
      <c r="W181" s="12" t="s">
        <v>6639</v>
      </c>
      <c r="X181" s="12">
        <v>4.7910000000000004</v>
      </c>
      <c r="Y181" s="12">
        <v>864090</v>
      </c>
      <c r="Z181" s="12" t="s">
        <v>6639</v>
      </c>
      <c r="AA181" s="12" t="s">
        <v>6639</v>
      </c>
      <c r="AB181" s="12" t="s">
        <v>91</v>
      </c>
      <c r="AC181" s="12" t="s">
        <v>21</v>
      </c>
      <c r="AD181" s="12">
        <v>1.2999999999999999E-2</v>
      </c>
      <c r="AE181" s="12">
        <v>0.99099999999999999</v>
      </c>
      <c r="AF181" s="12" t="s">
        <v>31</v>
      </c>
    </row>
    <row r="182" spans="1:32" x14ac:dyDescent="0.2">
      <c r="A182" s="12" t="s">
        <v>4239</v>
      </c>
      <c r="B182" s="12" t="s">
        <v>4239</v>
      </c>
      <c r="C182" s="12" t="s">
        <v>4240</v>
      </c>
      <c r="D182" s="12" t="s">
        <v>13</v>
      </c>
      <c r="E182" s="12" t="s">
        <v>8110</v>
      </c>
      <c r="F182" s="12" t="s">
        <v>5458</v>
      </c>
      <c r="G182" s="12" t="s">
        <v>5453</v>
      </c>
      <c r="H182" s="12" t="s">
        <v>6626</v>
      </c>
      <c r="I182" s="3">
        <v>5076</v>
      </c>
      <c r="J182" s="3" t="s">
        <v>8165</v>
      </c>
      <c r="K182" s="12" t="s">
        <v>6654</v>
      </c>
      <c r="L182" s="12" t="s">
        <v>4974</v>
      </c>
      <c r="M182" s="12" t="s">
        <v>4973</v>
      </c>
      <c r="N182" s="12" t="s">
        <v>5785</v>
      </c>
      <c r="O182" s="12" t="s">
        <v>4243</v>
      </c>
      <c r="P182" s="12" t="s">
        <v>18</v>
      </c>
      <c r="Q182" s="12" t="s">
        <v>6653</v>
      </c>
      <c r="R182" s="12">
        <v>52.912777779999999</v>
      </c>
      <c r="S182" s="12">
        <v>50.990555559999997</v>
      </c>
      <c r="T182" s="12" t="s">
        <v>25</v>
      </c>
      <c r="U182" s="12" t="s">
        <v>4244</v>
      </c>
      <c r="V182" s="12" t="s">
        <v>6639</v>
      </c>
      <c r="W182" s="12" t="s">
        <v>6639</v>
      </c>
      <c r="X182" s="12">
        <v>1.0703819999999999</v>
      </c>
      <c r="Y182" s="12">
        <v>656704</v>
      </c>
      <c r="Z182" s="12" t="s">
        <v>6639</v>
      </c>
      <c r="AA182" s="12" t="s">
        <v>6639</v>
      </c>
      <c r="AB182" s="12" t="s">
        <v>4241</v>
      </c>
      <c r="AC182" s="12" t="s">
        <v>21</v>
      </c>
      <c r="AD182" s="12">
        <v>0.13800000000000001</v>
      </c>
      <c r="AE182" s="12">
        <v>0.99199999999999999</v>
      </c>
      <c r="AF182" s="12" t="s">
        <v>45</v>
      </c>
    </row>
    <row r="183" spans="1:32" x14ac:dyDescent="0.2">
      <c r="A183" s="12" t="s">
        <v>5024</v>
      </c>
      <c r="B183" s="12" t="s">
        <v>5024</v>
      </c>
      <c r="C183" s="12" t="s">
        <v>5025</v>
      </c>
      <c r="D183" s="12" t="s">
        <v>105</v>
      </c>
      <c r="E183" s="12" t="s">
        <v>8110</v>
      </c>
      <c r="F183" s="12" t="s">
        <v>5460</v>
      </c>
      <c r="G183" s="12" t="s">
        <v>1517</v>
      </c>
      <c r="H183" s="12" t="s">
        <v>6614</v>
      </c>
      <c r="I183" s="12">
        <v>5071</v>
      </c>
      <c r="J183" s="12" t="s">
        <v>5027</v>
      </c>
      <c r="K183" s="12" t="s">
        <v>6654</v>
      </c>
      <c r="L183" s="12" t="s">
        <v>4974</v>
      </c>
      <c r="M183" s="12" t="s">
        <v>4973</v>
      </c>
      <c r="N183" s="12" t="s">
        <v>5785</v>
      </c>
      <c r="O183" s="12" t="s">
        <v>5018</v>
      </c>
      <c r="P183" s="12" t="s">
        <v>18</v>
      </c>
      <c r="Q183" s="12" t="s">
        <v>6653</v>
      </c>
      <c r="R183" s="12">
        <v>53.38</v>
      </c>
      <c r="S183" s="12">
        <v>50.39</v>
      </c>
      <c r="T183" s="12" t="s">
        <v>11</v>
      </c>
      <c r="U183" s="12" t="s">
        <v>57</v>
      </c>
      <c r="V183" s="12" t="s">
        <v>2787</v>
      </c>
      <c r="W183" s="12" t="s">
        <v>7160</v>
      </c>
      <c r="X183" s="12">
        <v>0.26</v>
      </c>
      <c r="Y183" s="12">
        <v>268426</v>
      </c>
      <c r="Z183" s="12" t="s">
        <v>17</v>
      </c>
      <c r="AA183" s="12" t="s">
        <v>17</v>
      </c>
      <c r="AB183" s="12" t="s">
        <v>5026</v>
      </c>
      <c r="AC183" s="12" t="s">
        <v>21</v>
      </c>
      <c r="AD183" s="12" t="s">
        <v>17</v>
      </c>
      <c r="AE183" s="12">
        <v>1</v>
      </c>
      <c r="AF183" s="12" t="s">
        <v>45</v>
      </c>
    </row>
    <row r="184" spans="1:32" x14ac:dyDescent="0.2">
      <c r="A184" s="12" t="s">
        <v>1225</v>
      </c>
      <c r="B184" s="12" t="s">
        <v>1225</v>
      </c>
      <c r="C184" s="12" t="s">
        <v>7576</v>
      </c>
      <c r="D184" s="12" t="s">
        <v>13</v>
      </c>
      <c r="E184" s="12" t="s">
        <v>8108</v>
      </c>
      <c r="F184" s="12" t="s">
        <v>5455</v>
      </c>
      <c r="G184" s="12" t="s">
        <v>5453</v>
      </c>
      <c r="H184" s="12" t="s">
        <v>7639</v>
      </c>
      <c r="I184" s="12">
        <v>5068</v>
      </c>
      <c r="J184" s="12" t="s">
        <v>5455</v>
      </c>
      <c r="K184" s="12" t="s">
        <v>6654</v>
      </c>
      <c r="L184" s="12" t="s">
        <v>7424</v>
      </c>
      <c r="M184" s="12" t="s">
        <v>7424</v>
      </c>
      <c r="N184" s="12" t="s">
        <v>5785</v>
      </c>
      <c r="O184" s="12" t="s">
        <v>1214</v>
      </c>
      <c r="P184" s="12" t="s">
        <v>1152</v>
      </c>
      <c r="Q184" s="12" t="s">
        <v>6653</v>
      </c>
      <c r="R184" s="12">
        <v>50.46</v>
      </c>
      <c r="S184" s="12">
        <v>49.2</v>
      </c>
      <c r="T184" s="12" t="s">
        <v>25</v>
      </c>
      <c r="U184" s="12" t="s">
        <v>1226</v>
      </c>
      <c r="V184" s="12" t="s">
        <v>6639</v>
      </c>
      <c r="W184" s="12" t="s">
        <v>6639</v>
      </c>
      <c r="X184" s="12">
        <v>4.8554510000000004</v>
      </c>
      <c r="Y184" s="12">
        <v>800284</v>
      </c>
      <c r="Z184" s="12" t="s">
        <v>6639</v>
      </c>
      <c r="AA184" s="12" t="s">
        <v>6639</v>
      </c>
      <c r="AB184" s="12" t="s">
        <v>1224</v>
      </c>
      <c r="AC184" s="12" t="s">
        <v>21</v>
      </c>
      <c r="AD184" s="12">
        <v>7.6000000000000012E-2</v>
      </c>
      <c r="AE184" s="12">
        <v>0.996</v>
      </c>
      <c r="AF184" s="12" t="s">
        <v>45</v>
      </c>
    </row>
    <row r="185" spans="1:32" x14ac:dyDescent="0.2">
      <c r="A185" s="12" t="s">
        <v>38</v>
      </c>
      <c r="B185" s="12" t="s">
        <v>38</v>
      </c>
      <c r="C185" s="12" t="s">
        <v>39</v>
      </c>
      <c r="D185" s="12" t="s">
        <v>40</v>
      </c>
      <c r="E185" s="12" t="s">
        <v>8110</v>
      </c>
      <c r="F185" s="12" t="s">
        <v>5464</v>
      </c>
      <c r="G185" s="12" t="s">
        <v>5453</v>
      </c>
      <c r="H185" s="12" t="s">
        <v>6619</v>
      </c>
      <c r="I185" s="12">
        <v>5066</v>
      </c>
      <c r="J185" s="12" t="s">
        <v>42</v>
      </c>
      <c r="K185" s="12" t="s">
        <v>6654</v>
      </c>
      <c r="L185" s="12" t="s">
        <v>12</v>
      </c>
      <c r="M185" s="12" t="s">
        <v>12</v>
      </c>
      <c r="N185" s="12" t="s">
        <v>5785</v>
      </c>
      <c r="O185" s="12" t="s">
        <v>43</v>
      </c>
      <c r="P185" s="12" t="s">
        <v>18</v>
      </c>
      <c r="Q185" s="12" t="s">
        <v>6653</v>
      </c>
      <c r="R185" s="12">
        <v>50.554238890000001</v>
      </c>
      <c r="S185" s="12">
        <v>86.590136110000003</v>
      </c>
      <c r="T185" s="12" t="s">
        <v>25</v>
      </c>
      <c r="U185" s="12" t="s">
        <v>44</v>
      </c>
      <c r="V185" s="12" t="s">
        <v>6639</v>
      </c>
      <c r="W185" s="12" t="s">
        <v>6639</v>
      </c>
      <c r="X185" s="12">
        <v>0.30399999999999999</v>
      </c>
      <c r="Y185" s="12">
        <v>291825</v>
      </c>
      <c r="Z185" s="12" t="s">
        <v>6639</v>
      </c>
      <c r="AA185" s="12" t="s">
        <v>6639</v>
      </c>
      <c r="AB185" s="12" t="s">
        <v>41</v>
      </c>
      <c r="AC185" s="12" t="s">
        <v>21</v>
      </c>
      <c r="AD185" s="12">
        <v>0.05</v>
      </c>
      <c r="AE185" s="12">
        <v>0.99299999999999999</v>
      </c>
      <c r="AF185" s="12" t="s">
        <v>45</v>
      </c>
    </row>
    <row r="186" spans="1:32" x14ac:dyDescent="0.2">
      <c r="A186" s="12" t="s">
        <v>5009</v>
      </c>
      <c r="B186" s="12" t="s">
        <v>5009</v>
      </c>
      <c r="C186" s="12" t="s">
        <v>5010</v>
      </c>
      <c r="D186" s="12" t="s">
        <v>105</v>
      </c>
      <c r="E186" s="12" t="s">
        <v>8110</v>
      </c>
      <c r="F186" s="12" t="s">
        <v>5460</v>
      </c>
      <c r="G186" s="12" t="s">
        <v>1517</v>
      </c>
      <c r="H186" s="12" t="s">
        <v>6614</v>
      </c>
      <c r="I186" s="12">
        <v>5059</v>
      </c>
      <c r="J186" s="12" t="s">
        <v>5012</v>
      </c>
      <c r="K186" s="12" t="s">
        <v>6654</v>
      </c>
      <c r="L186" s="12" t="s">
        <v>4974</v>
      </c>
      <c r="M186" s="12" t="s">
        <v>4973</v>
      </c>
      <c r="N186" s="12" t="s">
        <v>5785</v>
      </c>
      <c r="O186" s="12" t="s">
        <v>5013</v>
      </c>
      <c r="P186" s="12" t="s">
        <v>18</v>
      </c>
      <c r="Q186" s="12" t="s">
        <v>6653</v>
      </c>
      <c r="R186" s="12">
        <v>53.31</v>
      </c>
      <c r="S186" s="12">
        <v>51.15</v>
      </c>
      <c r="T186" s="12" t="s">
        <v>11</v>
      </c>
      <c r="U186" s="12" t="s">
        <v>51</v>
      </c>
      <c r="V186" s="12" t="s">
        <v>2787</v>
      </c>
      <c r="W186" s="12" t="s">
        <v>7160</v>
      </c>
      <c r="X186" s="12">
        <v>0.65300000000000002</v>
      </c>
      <c r="Y186" s="12">
        <v>539947</v>
      </c>
      <c r="Z186" s="12" t="s">
        <v>17</v>
      </c>
      <c r="AA186" s="12" t="s">
        <v>17</v>
      </c>
      <c r="AB186" s="12" t="s">
        <v>5011</v>
      </c>
      <c r="AC186" s="12" t="s">
        <v>21</v>
      </c>
      <c r="AD186" s="12" t="s">
        <v>17</v>
      </c>
      <c r="AE186" s="12">
        <v>0.998</v>
      </c>
      <c r="AF186" s="12" t="s">
        <v>375</v>
      </c>
    </row>
    <row r="187" spans="1:32" x14ac:dyDescent="0.2">
      <c r="A187" s="12" t="s">
        <v>10</v>
      </c>
      <c r="B187" s="12" t="s">
        <v>10</v>
      </c>
      <c r="C187" s="12" t="s">
        <v>7613</v>
      </c>
      <c r="D187" s="12" t="s">
        <v>13</v>
      </c>
      <c r="E187" s="12" t="s">
        <v>8110</v>
      </c>
      <c r="F187" s="12" t="s">
        <v>5466</v>
      </c>
      <c r="G187" s="12" t="s">
        <v>5453</v>
      </c>
      <c r="H187" s="12" t="s">
        <v>7595</v>
      </c>
      <c r="I187" s="12">
        <v>5040</v>
      </c>
      <c r="J187" s="12" t="s">
        <v>15</v>
      </c>
      <c r="K187" s="12" t="s">
        <v>6654</v>
      </c>
      <c r="L187" s="12" t="s">
        <v>12</v>
      </c>
      <c r="M187" s="12" t="s">
        <v>12</v>
      </c>
      <c r="N187" s="12" t="s">
        <v>5785</v>
      </c>
      <c r="O187" s="12" t="s">
        <v>16</v>
      </c>
      <c r="P187" s="12" t="s">
        <v>18</v>
      </c>
      <c r="Q187" s="12" t="s">
        <v>6653</v>
      </c>
      <c r="R187" s="12">
        <v>50.756486260000003</v>
      </c>
      <c r="S187" s="12">
        <v>85.560878840000001</v>
      </c>
      <c r="T187" s="12" t="s">
        <v>11</v>
      </c>
      <c r="U187" s="12" t="s">
        <v>19</v>
      </c>
      <c r="V187" s="12" t="s">
        <v>7413</v>
      </c>
      <c r="W187" s="12" t="s">
        <v>7160</v>
      </c>
      <c r="X187" s="12">
        <v>2.702</v>
      </c>
      <c r="Y187" s="12">
        <v>818967</v>
      </c>
      <c r="Z187" s="12">
        <v>4.4970000000000001E-3</v>
      </c>
      <c r="AA187" s="12">
        <v>3.2439872260338456</v>
      </c>
      <c r="AB187" s="12" t="s">
        <v>14</v>
      </c>
      <c r="AC187" s="12" t="s">
        <v>21</v>
      </c>
      <c r="AD187" s="12">
        <v>9.7000000000000003E-2</v>
      </c>
      <c r="AE187" s="12">
        <v>0.99399999999999999</v>
      </c>
      <c r="AF187" s="12" t="s">
        <v>59</v>
      </c>
    </row>
    <row r="188" spans="1:32" x14ac:dyDescent="0.2">
      <c r="A188" s="12" t="s">
        <v>46</v>
      </c>
      <c r="B188" s="12" t="s">
        <v>46</v>
      </c>
      <c r="C188" s="12" t="s">
        <v>47</v>
      </c>
      <c r="D188" s="12" t="s">
        <v>33</v>
      </c>
      <c r="E188" s="12" t="s">
        <v>8110</v>
      </c>
      <c r="F188" s="12" t="s">
        <v>5462</v>
      </c>
      <c r="G188" s="12" t="s">
        <v>5453</v>
      </c>
      <c r="H188" s="12" t="s">
        <v>6981</v>
      </c>
      <c r="I188" s="12">
        <v>4968</v>
      </c>
      <c r="J188" s="12" t="s">
        <v>49</v>
      </c>
      <c r="K188" s="12" t="s">
        <v>6654</v>
      </c>
      <c r="L188" s="12" t="s">
        <v>12</v>
      </c>
      <c r="M188" s="12" t="s">
        <v>12</v>
      </c>
      <c r="N188" s="12" t="s">
        <v>5785</v>
      </c>
      <c r="O188" s="12" t="s">
        <v>50</v>
      </c>
      <c r="P188" s="12" t="s">
        <v>18</v>
      </c>
      <c r="Q188" s="12" t="s">
        <v>6653</v>
      </c>
      <c r="R188" s="12">
        <v>51.497636111111113</v>
      </c>
      <c r="S188" s="12">
        <v>85.97078888888889</v>
      </c>
      <c r="T188" s="12" t="s">
        <v>11</v>
      </c>
      <c r="U188" s="12" t="s">
        <v>51</v>
      </c>
      <c r="V188" s="12" t="s">
        <v>37</v>
      </c>
      <c r="W188" s="12" t="s">
        <v>7415</v>
      </c>
      <c r="X188" s="12">
        <v>0.63500000000000001</v>
      </c>
      <c r="Y188" s="12">
        <v>509531</v>
      </c>
      <c r="Z188" s="12">
        <v>1.6249999999999999E-3</v>
      </c>
      <c r="AA188" s="12">
        <v>0.6330442885575589</v>
      </c>
      <c r="AB188" s="12" t="s">
        <v>48</v>
      </c>
      <c r="AC188" s="12" t="s">
        <v>21</v>
      </c>
      <c r="AD188" s="12">
        <v>3.3000000000000002E-2</v>
      </c>
      <c r="AE188" s="12">
        <v>0.998</v>
      </c>
      <c r="AF188" s="12" t="s">
        <v>45</v>
      </c>
    </row>
    <row r="189" spans="1:32" x14ac:dyDescent="0.2">
      <c r="A189" s="12" t="s">
        <v>1207</v>
      </c>
      <c r="B189" s="12" t="s">
        <v>1207</v>
      </c>
      <c r="C189" s="12" t="s">
        <v>7573</v>
      </c>
      <c r="D189" s="12" t="s">
        <v>13</v>
      </c>
      <c r="E189" s="12" t="s">
        <v>8108</v>
      </c>
      <c r="F189" s="12" t="s">
        <v>1208</v>
      </c>
      <c r="G189" s="12" t="s">
        <v>5453</v>
      </c>
      <c r="H189" s="12" t="s">
        <v>7423</v>
      </c>
      <c r="I189" s="12">
        <v>4953</v>
      </c>
      <c r="J189" s="12" t="s">
        <v>1208</v>
      </c>
      <c r="K189" s="12" t="s">
        <v>6654</v>
      </c>
      <c r="L189" s="12" t="s">
        <v>1199</v>
      </c>
      <c r="M189" s="12" t="s">
        <v>1198</v>
      </c>
      <c r="N189" s="12" t="s">
        <v>5785</v>
      </c>
      <c r="O189" s="12" t="s">
        <v>7449</v>
      </c>
      <c r="P189" s="12" t="s">
        <v>1152</v>
      </c>
      <c r="Q189" s="12" t="s">
        <v>6653</v>
      </c>
      <c r="R189" s="12">
        <v>49.49</v>
      </c>
      <c r="S189" s="12">
        <v>58.51</v>
      </c>
      <c r="T189" s="12" t="s">
        <v>25</v>
      </c>
      <c r="U189" s="12" t="s">
        <v>1209</v>
      </c>
      <c r="V189" s="12" t="s">
        <v>6639</v>
      </c>
      <c r="W189" s="12" t="s">
        <v>6639</v>
      </c>
      <c r="X189" s="12">
        <v>1.998885</v>
      </c>
      <c r="Y189" s="12">
        <v>697923</v>
      </c>
      <c r="Z189" s="12" t="s">
        <v>6639</v>
      </c>
      <c r="AA189" s="12" t="s">
        <v>6639</v>
      </c>
      <c r="AB189" s="12" t="s">
        <v>1206</v>
      </c>
      <c r="AC189" s="12" t="s">
        <v>21</v>
      </c>
      <c r="AD189" s="12">
        <v>0.17099999999999999</v>
      </c>
      <c r="AE189" s="12">
        <v>0.99099999999999999</v>
      </c>
      <c r="AF189" s="12" t="s">
        <v>45</v>
      </c>
    </row>
    <row r="190" spans="1:32" x14ac:dyDescent="0.2">
      <c r="A190" s="12" t="s">
        <v>5019</v>
      </c>
      <c r="B190" s="12" t="s">
        <v>5019</v>
      </c>
      <c r="C190" s="12" t="s">
        <v>5020</v>
      </c>
      <c r="D190" s="12" t="s">
        <v>105</v>
      </c>
      <c r="E190" s="12" t="s">
        <v>8110</v>
      </c>
      <c r="F190" s="12" t="s">
        <v>5460</v>
      </c>
      <c r="G190" s="12" t="s">
        <v>1517</v>
      </c>
      <c r="H190" s="12" t="s">
        <v>6614</v>
      </c>
      <c r="I190" s="12">
        <v>4952</v>
      </c>
      <c r="J190" s="12" t="s">
        <v>5022</v>
      </c>
      <c r="K190" s="12" t="s">
        <v>6654</v>
      </c>
      <c r="L190" s="12" t="s">
        <v>4974</v>
      </c>
      <c r="M190" s="12" t="s">
        <v>4973</v>
      </c>
      <c r="N190" s="12" t="s">
        <v>5785</v>
      </c>
      <c r="O190" s="12" t="s">
        <v>5018</v>
      </c>
      <c r="P190" s="12" t="s">
        <v>18</v>
      </c>
      <c r="Q190" s="12" t="s">
        <v>6653</v>
      </c>
      <c r="R190" s="12">
        <v>53.38</v>
      </c>
      <c r="S190" s="12">
        <v>50.39</v>
      </c>
      <c r="T190" s="12" t="s">
        <v>25</v>
      </c>
      <c r="U190" s="12" t="s">
        <v>5023</v>
      </c>
      <c r="V190" s="12" t="s">
        <v>6639</v>
      </c>
      <c r="W190" s="12" t="s">
        <v>6639</v>
      </c>
      <c r="X190" s="12">
        <v>0.625</v>
      </c>
      <c r="Y190" s="12">
        <v>523435</v>
      </c>
      <c r="Z190" s="12" t="s">
        <v>6639</v>
      </c>
      <c r="AA190" s="12" t="s">
        <v>6639</v>
      </c>
      <c r="AB190" s="12" t="s">
        <v>5021</v>
      </c>
      <c r="AC190" s="12" t="s">
        <v>58</v>
      </c>
      <c r="AD190" s="12" t="s">
        <v>7891</v>
      </c>
      <c r="AE190" s="12" t="s">
        <v>7757</v>
      </c>
      <c r="AF190" s="12" t="s">
        <v>45</v>
      </c>
    </row>
    <row r="191" spans="1:32" x14ac:dyDescent="0.2">
      <c r="A191" s="12" t="s">
        <v>5028</v>
      </c>
      <c r="B191" s="12" t="s">
        <v>5028</v>
      </c>
      <c r="C191" s="12" t="s">
        <v>5029</v>
      </c>
      <c r="D191" s="12" t="s">
        <v>105</v>
      </c>
      <c r="E191" s="12" t="s">
        <v>8110</v>
      </c>
      <c r="F191" s="12" t="s">
        <v>5458</v>
      </c>
      <c r="G191" s="12" t="s">
        <v>1517</v>
      </c>
      <c r="H191" s="12" t="s">
        <v>6614</v>
      </c>
      <c r="I191" s="12">
        <v>4950</v>
      </c>
      <c r="J191" s="12" t="s">
        <v>5031</v>
      </c>
      <c r="K191" s="12" t="s">
        <v>6654</v>
      </c>
      <c r="L191" s="12" t="s">
        <v>4974</v>
      </c>
      <c r="M191" s="12" t="s">
        <v>4973</v>
      </c>
      <c r="N191" s="12" t="s">
        <v>5785</v>
      </c>
      <c r="O191" s="12" t="s">
        <v>5032</v>
      </c>
      <c r="P191" s="12" t="s">
        <v>18</v>
      </c>
      <c r="Q191" s="12" t="s">
        <v>6653</v>
      </c>
      <c r="R191" s="12">
        <v>51.27</v>
      </c>
      <c r="S191" s="12">
        <v>58.18</v>
      </c>
      <c r="T191" s="12" t="s">
        <v>11</v>
      </c>
      <c r="U191" s="12" t="s">
        <v>5033</v>
      </c>
      <c r="V191" s="12" t="s">
        <v>37</v>
      </c>
      <c r="W191" s="12" t="s">
        <v>7160</v>
      </c>
      <c r="X191" s="12">
        <v>1.0429999999999999</v>
      </c>
      <c r="Y191" s="12">
        <v>695086</v>
      </c>
      <c r="Z191" s="12" t="s">
        <v>17</v>
      </c>
      <c r="AA191" s="12" t="s">
        <v>17</v>
      </c>
      <c r="AB191" s="12" t="s">
        <v>5030</v>
      </c>
      <c r="AC191" s="12" t="s">
        <v>21</v>
      </c>
      <c r="AD191" s="12">
        <v>5.5E-2</v>
      </c>
      <c r="AE191" s="12">
        <v>0.97499999999999998</v>
      </c>
      <c r="AF191" s="12" t="s">
        <v>45</v>
      </c>
    </row>
    <row r="192" spans="1:32" x14ac:dyDescent="0.2">
      <c r="A192" s="12" t="s">
        <v>5034</v>
      </c>
      <c r="B192" s="12" t="s">
        <v>5034</v>
      </c>
      <c r="C192" s="12" t="s">
        <v>5035</v>
      </c>
      <c r="D192" s="12" t="s">
        <v>105</v>
      </c>
      <c r="E192" s="12" t="s">
        <v>8110</v>
      </c>
      <c r="F192" s="12" t="s">
        <v>5458</v>
      </c>
      <c r="G192" s="12" t="s">
        <v>1517</v>
      </c>
      <c r="H192" s="12" t="s">
        <v>6614</v>
      </c>
      <c r="I192" s="12">
        <v>4950</v>
      </c>
      <c r="J192" s="12" t="s">
        <v>5031</v>
      </c>
      <c r="K192" s="12" t="s">
        <v>6654</v>
      </c>
      <c r="L192" s="12" t="s">
        <v>4974</v>
      </c>
      <c r="M192" s="12" t="s">
        <v>4973</v>
      </c>
      <c r="N192" s="12" t="s">
        <v>5785</v>
      </c>
      <c r="O192" s="12" t="s">
        <v>5018</v>
      </c>
      <c r="P192" s="12" t="s">
        <v>18</v>
      </c>
      <c r="Q192" s="12" t="s">
        <v>6653</v>
      </c>
      <c r="R192" s="12">
        <v>53.38</v>
      </c>
      <c r="S192" s="12">
        <v>50.39</v>
      </c>
      <c r="T192" s="12" t="s">
        <v>11</v>
      </c>
      <c r="U192" s="12" t="s">
        <v>5037</v>
      </c>
      <c r="V192" s="12" t="s">
        <v>103</v>
      </c>
      <c r="W192" s="12" t="s">
        <v>7160</v>
      </c>
      <c r="X192" s="12">
        <v>5.3170000000000002</v>
      </c>
      <c r="Y192" s="12">
        <v>995838</v>
      </c>
      <c r="Z192" s="12" t="s">
        <v>17</v>
      </c>
      <c r="AA192" s="12" t="s">
        <v>17</v>
      </c>
      <c r="AB192" s="12" t="s">
        <v>5036</v>
      </c>
      <c r="AC192" s="12" t="s">
        <v>58</v>
      </c>
      <c r="AD192" s="12" t="s">
        <v>7685</v>
      </c>
      <c r="AE192" s="12" t="s">
        <v>7787</v>
      </c>
      <c r="AF192" s="12" t="s">
        <v>427</v>
      </c>
    </row>
    <row r="193" spans="1:40" x14ac:dyDescent="0.2">
      <c r="A193" s="12" t="s">
        <v>86</v>
      </c>
      <c r="B193" s="12" t="s">
        <v>86</v>
      </c>
      <c r="C193" s="12" t="s">
        <v>7454</v>
      </c>
      <c r="D193" s="12" t="s">
        <v>13</v>
      </c>
      <c r="E193" s="12" t="s">
        <v>8110</v>
      </c>
      <c r="F193" s="12" t="s">
        <v>88</v>
      </c>
      <c r="G193" s="12" t="s">
        <v>5453</v>
      </c>
      <c r="H193" s="12" t="s">
        <v>7595</v>
      </c>
      <c r="I193" s="12">
        <v>4948</v>
      </c>
      <c r="J193" s="12" t="s">
        <v>88</v>
      </c>
      <c r="K193" s="12" t="s">
        <v>6654</v>
      </c>
      <c r="L193" s="12" t="s">
        <v>12</v>
      </c>
      <c r="M193" s="12" t="s">
        <v>12</v>
      </c>
      <c r="N193" s="12" t="s">
        <v>5785</v>
      </c>
      <c r="O193" s="12" t="s">
        <v>77</v>
      </c>
      <c r="P193" s="12" t="s">
        <v>18</v>
      </c>
      <c r="Q193" s="12" t="s">
        <v>6653</v>
      </c>
      <c r="R193" s="12">
        <v>50.753646269999997</v>
      </c>
      <c r="S193" s="12">
        <v>85.556669549999995</v>
      </c>
      <c r="T193" s="12" t="s">
        <v>11</v>
      </c>
      <c r="U193" s="12" t="s">
        <v>57</v>
      </c>
      <c r="V193" s="12" t="s">
        <v>37</v>
      </c>
      <c r="W193" s="12" t="s">
        <v>7415</v>
      </c>
      <c r="X193" s="12">
        <v>0.52500000000000002</v>
      </c>
      <c r="Y193" s="12">
        <v>378345</v>
      </c>
      <c r="Z193" s="12">
        <v>5.7320000000000001E-3</v>
      </c>
      <c r="AA193" s="12">
        <v>1.3113673956362488</v>
      </c>
      <c r="AB193" s="12" t="s">
        <v>87</v>
      </c>
      <c r="AC193" s="12" t="s">
        <v>21</v>
      </c>
      <c r="AD193" s="12">
        <v>5.6000000000000001E-2</v>
      </c>
      <c r="AE193" s="12">
        <v>0.998</v>
      </c>
      <c r="AF193" s="12" t="s">
        <v>45</v>
      </c>
    </row>
    <row r="194" spans="1:40" x14ac:dyDescent="0.2">
      <c r="A194" s="12" t="s">
        <v>1203</v>
      </c>
      <c r="B194" s="12" t="s">
        <v>1203</v>
      </c>
      <c r="C194" s="12" t="s">
        <v>7574</v>
      </c>
      <c r="D194" s="12" t="s">
        <v>13</v>
      </c>
      <c r="E194" s="12" t="s">
        <v>8108</v>
      </c>
      <c r="F194" s="12" t="s">
        <v>1204</v>
      </c>
      <c r="G194" s="12" t="s">
        <v>5453</v>
      </c>
      <c r="H194" s="12" t="s">
        <v>7638</v>
      </c>
      <c r="I194" s="12">
        <v>4945</v>
      </c>
      <c r="J194" s="12" t="s">
        <v>1204</v>
      </c>
      <c r="K194" s="12" t="s">
        <v>6654</v>
      </c>
      <c r="L194" s="12" t="s">
        <v>1199</v>
      </c>
      <c r="M194" s="12" t="s">
        <v>1198</v>
      </c>
      <c r="N194" s="12" t="s">
        <v>5785</v>
      </c>
      <c r="O194" s="12" t="s">
        <v>7449</v>
      </c>
      <c r="P194" s="12" t="s">
        <v>1152</v>
      </c>
      <c r="Q194" s="12" t="s">
        <v>6653</v>
      </c>
      <c r="R194" s="12">
        <v>49.49</v>
      </c>
      <c r="S194" s="12">
        <v>58.51</v>
      </c>
      <c r="T194" s="12" t="s">
        <v>25</v>
      </c>
      <c r="U194" s="12" t="s">
        <v>1205</v>
      </c>
      <c r="V194" s="12" t="s">
        <v>6639</v>
      </c>
      <c r="W194" s="12" t="s">
        <v>6639</v>
      </c>
      <c r="X194" s="12">
        <v>2.7971159999999999</v>
      </c>
      <c r="Y194" s="12">
        <v>762379</v>
      </c>
      <c r="Z194" s="12" t="s">
        <v>6639</v>
      </c>
      <c r="AA194" s="12" t="s">
        <v>6639</v>
      </c>
      <c r="AB194" s="12" t="s">
        <v>1202</v>
      </c>
      <c r="AC194" s="12" t="s">
        <v>21</v>
      </c>
      <c r="AD194" s="12">
        <v>0.14850000000000002</v>
      </c>
      <c r="AE194" s="12">
        <v>0.98899999999999999</v>
      </c>
      <c r="AF194" s="12" t="s">
        <v>45</v>
      </c>
    </row>
    <row r="195" spans="1:40" x14ac:dyDescent="0.2">
      <c r="A195" s="12" t="s">
        <v>1197</v>
      </c>
      <c r="B195" s="12" t="s">
        <v>1197</v>
      </c>
      <c r="C195" s="12" t="s">
        <v>7575</v>
      </c>
      <c r="D195" s="12" t="s">
        <v>13</v>
      </c>
      <c r="E195" s="12" t="s">
        <v>8108</v>
      </c>
      <c r="F195" s="12" t="s">
        <v>1200</v>
      </c>
      <c r="G195" s="12" t="s">
        <v>5453</v>
      </c>
      <c r="H195" s="12" t="s">
        <v>7423</v>
      </c>
      <c r="I195" s="12">
        <v>4917</v>
      </c>
      <c r="J195" s="12" t="s">
        <v>1200</v>
      </c>
      <c r="K195" s="12" t="s">
        <v>6654</v>
      </c>
      <c r="L195" s="12" t="s">
        <v>1199</v>
      </c>
      <c r="M195" s="12" t="s">
        <v>1198</v>
      </c>
      <c r="N195" s="12" t="s">
        <v>5785</v>
      </c>
      <c r="O195" s="12" t="s">
        <v>7449</v>
      </c>
      <c r="P195" s="12" t="s">
        <v>1152</v>
      </c>
      <c r="Q195" s="12" t="s">
        <v>6653</v>
      </c>
      <c r="R195" s="12">
        <v>49.49</v>
      </c>
      <c r="S195" s="12">
        <v>58.51</v>
      </c>
      <c r="T195" s="12" t="s">
        <v>11</v>
      </c>
      <c r="U195" s="12" t="s">
        <v>407</v>
      </c>
      <c r="V195" s="12" t="s">
        <v>1201</v>
      </c>
      <c r="W195" s="12" t="s">
        <v>7415</v>
      </c>
      <c r="X195" s="12">
        <v>0.87890900000000005</v>
      </c>
      <c r="Y195" s="12">
        <v>579048</v>
      </c>
      <c r="Z195" s="12">
        <v>9.7509999999999993E-3</v>
      </c>
      <c r="AA195" s="12">
        <v>2.4624782061461192</v>
      </c>
      <c r="AB195" s="12" t="s">
        <v>1196</v>
      </c>
      <c r="AC195" s="12" t="s">
        <v>21</v>
      </c>
      <c r="AD195" s="12">
        <v>0.15</v>
      </c>
      <c r="AE195" s="12">
        <v>0.97699999999999998</v>
      </c>
      <c r="AF195" s="12" t="s">
        <v>8079</v>
      </c>
    </row>
    <row r="196" spans="1:40" x14ac:dyDescent="0.2">
      <c r="A196" s="12" t="s">
        <v>83</v>
      </c>
      <c r="B196" s="12" t="s">
        <v>83</v>
      </c>
      <c r="C196" s="12" t="s">
        <v>7450</v>
      </c>
      <c r="D196" s="12" t="s">
        <v>13</v>
      </c>
      <c r="E196" s="12" t="s">
        <v>8110</v>
      </c>
      <c r="F196" s="12" t="s">
        <v>85</v>
      </c>
      <c r="G196" s="12" t="s">
        <v>5453</v>
      </c>
      <c r="H196" s="12" t="s">
        <v>7595</v>
      </c>
      <c r="I196" s="12">
        <v>4908</v>
      </c>
      <c r="J196" s="12" t="s">
        <v>85</v>
      </c>
      <c r="K196" s="12" t="s">
        <v>6654</v>
      </c>
      <c r="L196" s="12" t="s">
        <v>12</v>
      </c>
      <c r="M196" s="12" t="s">
        <v>12</v>
      </c>
      <c r="N196" s="12" t="s">
        <v>5785</v>
      </c>
      <c r="O196" s="12" t="s">
        <v>29</v>
      </c>
      <c r="P196" s="12" t="s">
        <v>18</v>
      </c>
      <c r="Q196" s="12" t="s">
        <v>6653</v>
      </c>
      <c r="R196" s="12">
        <v>50.758112799999999</v>
      </c>
      <c r="S196" s="12">
        <v>85.560249720000002</v>
      </c>
      <c r="T196" s="12" t="s">
        <v>11</v>
      </c>
      <c r="U196" s="12" t="s">
        <v>30</v>
      </c>
      <c r="V196" s="12" t="s">
        <v>7413</v>
      </c>
      <c r="W196" s="12" t="s">
        <v>7160</v>
      </c>
      <c r="X196" s="12">
        <v>3.056</v>
      </c>
      <c r="Y196" s="12">
        <v>837461</v>
      </c>
      <c r="Z196" s="12">
        <v>2.9090000000000001E-3</v>
      </c>
      <c r="AA196" s="12">
        <v>2.4537859073904591</v>
      </c>
      <c r="AB196" s="12" t="s">
        <v>84</v>
      </c>
      <c r="AC196" s="12" t="s">
        <v>21</v>
      </c>
      <c r="AD196" s="12">
        <v>0.10199999999999999</v>
      </c>
      <c r="AE196" s="12">
        <v>0.995</v>
      </c>
      <c r="AF196" s="12" t="s">
        <v>427</v>
      </c>
    </row>
    <row r="197" spans="1:40" x14ac:dyDescent="0.2">
      <c r="A197" s="12" t="s">
        <v>23</v>
      </c>
      <c r="B197" s="12" t="s">
        <v>23</v>
      </c>
      <c r="C197" s="12" t="s">
        <v>7452</v>
      </c>
      <c r="D197" s="12" t="s">
        <v>26</v>
      </c>
      <c r="E197" s="12" t="s">
        <v>8110</v>
      </c>
      <c r="F197" s="12" t="s">
        <v>28</v>
      </c>
      <c r="G197" s="12" t="s">
        <v>5453</v>
      </c>
      <c r="H197" s="12" t="s">
        <v>7595</v>
      </c>
      <c r="I197" s="12">
        <v>4907</v>
      </c>
      <c r="J197" s="12" t="s">
        <v>28</v>
      </c>
      <c r="K197" s="12" t="s">
        <v>6654</v>
      </c>
      <c r="L197" s="12" t="s">
        <v>12</v>
      </c>
      <c r="M197" s="12" t="s">
        <v>12</v>
      </c>
      <c r="N197" s="12" t="s">
        <v>5785</v>
      </c>
      <c r="O197" s="12" t="s">
        <v>29</v>
      </c>
      <c r="P197" s="12" t="s">
        <v>18</v>
      </c>
      <c r="Q197" s="12" t="s">
        <v>6653</v>
      </c>
      <c r="R197" s="12">
        <v>50.758112799999999</v>
      </c>
      <c r="S197" s="12">
        <v>85.560249720000002</v>
      </c>
      <c r="T197" s="12" t="s">
        <v>25</v>
      </c>
      <c r="U197" s="12" t="s">
        <v>30</v>
      </c>
      <c r="V197" s="12" t="s">
        <v>6639</v>
      </c>
      <c r="W197" s="12" t="s">
        <v>6639</v>
      </c>
      <c r="X197" s="12">
        <v>0.18099999999999999</v>
      </c>
      <c r="Y197" s="12">
        <v>190995</v>
      </c>
      <c r="Z197" s="12" t="s">
        <v>6639</v>
      </c>
      <c r="AA197" s="12" t="s">
        <v>6639</v>
      </c>
      <c r="AB197" s="12" t="s">
        <v>27</v>
      </c>
      <c r="AC197" s="12" t="s">
        <v>21</v>
      </c>
      <c r="AD197" s="12">
        <v>1.2999999999999999E-2</v>
      </c>
      <c r="AE197" s="12">
        <v>0.98699999999999999</v>
      </c>
      <c r="AF197" s="12" t="s">
        <v>31</v>
      </c>
    </row>
    <row r="198" spans="1:40" x14ac:dyDescent="0.2">
      <c r="A198" s="12" t="s">
        <v>78</v>
      </c>
      <c r="B198" s="12" t="s">
        <v>78</v>
      </c>
      <c r="C198" s="12" t="s">
        <v>7455</v>
      </c>
      <c r="D198" s="12" t="s">
        <v>13</v>
      </c>
      <c r="E198" s="12" t="s">
        <v>8110</v>
      </c>
      <c r="F198" s="12" t="s">
        <v>80</v>
      </c>
      <c r="G198" s="12" t="s">
        <v>5453</v>
      </c>
      <c r="H198" s="12" t="s">
        <v>7595</v>
      </c>
      <c r="I198" s="12">
        <v>4905</v>
      </c>
      <c r="J198" s="12" t="s">
        <v>80</v>
      </c>
      <c r="K198" s="12" t="s">
        <v>6654</v>
      </c>
      <c r="L198" s="12" t="s">
        <v>12</v>
      </c>
      <c r="M198" s="12" t="s">
        <v>12</v>
      </c>
      <c r="N198" s="12" t="s">
        <v>5785</v>
      </c>
      <c r="O198" s="12" t="s">
        <v>77</v>
      </c>
      <c r="P198" s="12" t="s">
        <v>18</v>
      </c>
      <c r="Q198" s="12" t="s">
        <v>6653</v>
      </c>
      <c r="R198" s="12">
        <v>50.753646269999997</v>
      </c>
      <c r="S198" s="12">
        <v>85.556669549999995</v>
      </c>
      <c r="T198" s="12" t="s">
        <v>11</v>
      </c>
      <c r="U198" s="12" t="s">
        <v>81</v>
      </c>
      <c r="V198" s="12" t="s">
        <v>37</v>
      </c>
      <c r="W198" s="12" t="s">
        <v>7160</v>
      </c>
      <c r="X198" s="12">
        <v>2.7149999999999999</v>
      </c>
      <c r="Y198" s="12">
        <v>819809</v>
      </c>
      <c r="Z198" s="12">
        <v>3.7069999999999998E-3</v>
      </c>
      <c r="AA198" s="12">
        <v>2.8173702618854719</v>
      </c>
      <c r="AB198" s="12" t="s">
        <v>79</v>
      </c>
      <c r="AC198" s="12" t="s">
        <v>21</v>
      </c>
      <c r="AD198" s="12">
        <v>0.122</v>
      </c>
      <c r="AE198" s="12">
        <v>0.99099999999999999</v>
      </c>
      <c r="AF198" s="12" t="s">
        <v>59</v>
      </c>
    </row>
    <row r="199" spans="1:40" x14ac:dyDescent="0.2">
      <c r="A199" s="12" t="s">
        <v>2380</v>
      </c>
      <c r="B199" s="12" t="s">
        <v>2381</v>
      </c>
      <c r="C199" s="12" t="s">
        <v>2383</v>
      </c>
      <c r="D199" s="12" t="s">
        <v>143</v>
      </c>
      <c r="E199" s="12" t="s">
        <v>7678</v>
      </c>
      <c r="F199" s="12" t="s">
        <v>5460</v>
      </c>
      <c r="G199" s="12" t="s">
        <v>222</v>
      </c>
      <c r="H199" s="12" t="s">
        <v>6614</v>
      </c>
      <c r="I199" s="12">
        <v>4903</v>
      </c>
      <c r="J199" s="12" t="s">
        <v>2384</v>
      </c>
      <c r="K199" s="12" t="s">
        <v>6654</v>
      </c>
      <c r="L199" s="12" t="s">
        <v>2382</v>
      </c>
      <c r="M199" s="12" t="s">
        <v>2382</v>
      </c>
      <c r="N199" s="12" t="s">
        <v>5785</v>
      </c>
      <c r="O199" s="12" t="s">
        <v>2385</v>
      </c>
      <c r="P199" s="12" t="s">
        <v>1152</v>
      </c>
      <c r="Q199" s="12" t="s">
        <v>6653</v>
      </c>
      <c r="R199" s="16">
        <v>49.134217</v>
      </c>
      <c r="S199" s="16">
        <v>75.851816999999997</v>
      </c>
      <c r="T199" s="12" t="s">
        <v>25</v>
      </c>
      <c r="U199" s="12" t="s">
        <v>1375</v>
      </c>
      <c r="V199" s="12" t="s">
        <v>6639</v>
      </c>
      <c r="W199" s="12" t="s">
        <v>6639</v>
      </c>
      <c r="X199" s="12">
        <v>25.2</v>
      </c>
      <c r="Y199" s="12">
        <v>1182098</v>
      </c>
      <c r="Z199" s="12" t="s">
        <v>6639</v>
      </c>
      <c r="AA199" s="12" t="s">
        <v>6639</v>
      </c>
      <c r="AB199" s="12" t="s">
        <v>17</v>
      </c>
      <c r="AC199" s="12" t="s">
        <v>144</v>
      </c>
      <c r="AD199" s="12" t="s">
        <v>17</v>
      </c>
      <c r="AE199" s="12" t="s">
        <v>17</v>
      </c>
      <c r="AF199" s="12" t="s">
        <v>45</v>
      </c>
    </row>
    <row r="200" spans="1:40" x14ac:dyDescent="0.2">
      <c r="A200" s="12" t="s">
        <v>74</v>
      </c>
      <c r="B200" s="12" t="s">
        <v>74</v>
      </c>
      <c r="C200" s="12" t="s">
        <v>7453</v>
      </c>
      <c r="D200" s="12" t="s">
        <v>13</v>
      </c>
      <c r="E200" s="12" t="s">
        <v>8110</v>
      </c>
      <c r="F200" s="12" t="s">
        <v>76</v>
      </c>
      <c r="G200" s="12" t="s">
        <v>5453</v>
      </c>
      <c r="H200" s="12" t="s">
        <v>7595</v>
      </c>
      <c r="I200" s="12">
        <v>4899</v>
      </c>
      <c r="J200" s="12" t="s">
        <v>76</v>
      </c>
      <c r="K200" s="12" t="s">
        <v>6654</v>
      </c>
      <c r="L200" s="12" t="s">
        <v>12</v>
      </c>
      <c r="M200" s="12" t="s">
        <v>12</v>
      </c>
      <c r="N200" s="12" t="s">
        <v>5785</v>
      </c>
      <c r="O200" s="12" t="s">
        <v>77</v>
      </c>
      <c r="P200" s="12" t="s">
        <v>18</v>
      </c>
      <c r="Q200" s="12" t="s">
        <v>6653</v>
      </c>
      <c r="R200" s="12">
        <v>50.753646269999997</v>
      </c>
      <c r="S200" s="12">
        <v>85.556669549999995</v>
      </c>
      <c r="T200" s="12" t="s">
        <v>11</v>
      </c>
      <c r="U200" s="12" t="s">
        <v>30</v>
      </c>
      <c r="V200" s="12" t="s">
        <v>37</v>
      </c>
      <c r="W200" s="12" t="s">
        <v>7160</v>
      </c>
      <c r="X200" s="12">
        <v>2.9260000000000002</v>
      </c>
      <c r="Y200" s="12">
        <v>831605</v>
      </c>
      <c r="Z200" s="12">
        <v>6.1320000000000003E-3</v>
      </c>
      <c r="AA200" s="12">
        <v>4.247019744624736</v>
      </c>
      <c r="AB200" s="12" t="s">
        <v>75</v>
      </c>
      <c r="AC200" s="12" t="s">
        <v>21</v>
      </c>
      <c r="AD200" s="12">
        <v>0.105</v>
      </c>
      <c r="AE200" s="12">
        <v>0.997</v>
      </c>
      <c r="AF200" s="12" t="s">
        <v>436</v>
      </c>
    </row>
    <row r="201" spans="1:40" x14ac:dyDescent="0.2">
      <c r="A201" s="12" t="s">
        <v>70</v>
      </c>
      <c r="B201" s="12" t="s">
        <v>70</v>
      </c>
      <c r="C201" s="12" t="s">
        <v>7459</v>
      </c>
      <c r="D201" s="12" t="s">
        <v>13</v>
      </c>
      <c r="E201" s="12" t="s">
        <v>8110</v>
      </c>
      <c r="F201" s="12" t="s">
        <v>72</v>
      </c>
      <c r="G201" s="12" t="s">
        <v>5453</v>
      </c>
      <c r="H201" s="12" t="s">
        <v>7595</v>
      </c>
      <c r="I201" s="12">
        <v>4895</v>
      </c>
      <c r="J201" s="12" t="s">
        <v>72</v>
      </c>
      <c r="K201" s="12" t="s">
        <v>6654</v>
      </c>
      <c r="L201" s="12" t="s">
        <v>12</v>
      </c>
      <c r="M201" s="12" t="s">
        <v>12</v>
      </c>
      <c r="N201" s="12" t="s">
        <v>5785</v>
      </c>
      <c r="O201" s="12" t="s">
        <v>16</v>
      </c>
      <c r="P201" s="12" t="s">
        <v>18</v>
      </c>
      <c r="Q201" s="12" t="s">
        <v>6653</v>
      </c>
      <c r="R201" s="12">
        <v>50.756486260000003</v>
      </c>
      <c r="S201" s="12">
        <v>85.560878840000001</v>
      </c>
      <c r="T201" s="12" t="s">
        <v>25</v>
      </c>
      <c r="U201" s="12" t="s">
        <v>73</v>
      </c>
      <c r="V201" s="12" t="s">
        <v>6639</v>
      </c>
      <c r="W201" s="12" t="s">
        <v>6639</v>
      </c>
      <c r="X201" s="12">
        <v>1.1160000000000001</v>
      </c>
      <c r="Y201" s="12">
        <v>657546</v>
      </c>
      <c r="Z201" s="12" t="s">
        <v>6639</v>
      </c>
      <c r="AA201" s="12" t="s">
        <v>6639</v>
      </c>
      <c r="AB201" s="12" t="s">
        <v>71</v>
      </c>
      <c r="AC201" s="12" t="s">
        <v>21</v>
      </c>
      <c r="AD201" s="12">
        <v>9.9000000000000005E-2</v>
      </c>
      <c r="AE201" s="12">
        <v>0.995</v>
      </c>
      <c r="AF201" s="12" t="s">
        <v>45</v>
      </c>
    </row>
    <row r="202" spans="1:40" x14ac:dyDescent="0.2">
      <c r="A202" s="12" t="s">
        <v>131</v>
      </c>
      <c r="B202" s="12" t="s">
        <v>131</v>
      </c>
      <c r="C202" s="12" t="s">
        <v>6731</v>
      </c>
      <c r="D202" s="12" t="s">
        <v>105</v>
      </c>
      <c r="E202" s="12" t="s">
        <v>8108</v>
      </c>
      <c r="F202" s="12" t="s">
        <v>5458</v>
      </c>
      <c r="G202" s="12" t="s">
        <v>5453</v>
      </c>
      <c r="H202" s="12" t="s">
        <v>6612</v>
      </c>
      <c r="I202" s="12">
        <v>4850</v>
      </c>
      <c r="J202" s="12" t="s">
        <v>114</v>
      </c>
      <c r="K202" s="12" t="s">
        <v>6654</v>
      </c>
      <c r="L202" s="12" t="s">
        <v>12</v>
      </c>
      <c r="M202" s="12" t="s">
        <v>12</v>
      </c>
      <c r="N202" s="12" t="s">
        <v>5785</v>
      </c>
      <c r="O202" s="12" t="s">
        <v>5790</v>
      </c>
      <c r="P202" s="12" t="s">
        <v>18</v>
      </c>
      <c r="Q202" s="12" t="s">
        <v>6653</v>
      </c>
      <c r="R202" s="16">
        <v>54.356610000000003</v>
      </c>
      <c r="S202" s="16" t="s">
        <v>5456</v>
      </c>
      <c r="T202" s="12" t="s">
        <v>25</v>
      </c>
      <c r="U202" s="12" t="s">
        <v>132</v>
      </c>
      <c r="V202" s="12" t="s">
        <v>6639</v>
      </c>
      <c r="W202" s="12" t="s">
        <v>6639</v>
      </c>
      <c r="X202" s="12">
        <v>0.36958299999999999</v>
      </c>
      <c r="Y202" s="12">
        <v>339219</v>
      </c>
      <c r="Z202" s="12" t="s">
        <v>6639</v>
      </c>
      <c r="AA202" s="12" t="s">
        <v>6639</v>
      </c>
      <c r="AB202" s="12" t="s">
        <v>130</v>
      </c>
      <c r="AC202" s="12" t="s">
        <v>21</v>
      </c>
      <c r="AD202" s="12">
        <v>0.05</v>
      </c>
      <c r="AE202" s="12">
        <v>0.96099999999999997</v>
      </c>
      <c r="AF202" s="12" t="s">
        <v>45</v>
      </c>
    </row>
    <row r="203" spans="1:40" x14ac:dyDescent="0.2">
      <c r="A203" s="12" t="s">
        <v>112</v>
      </c>
      <c r="B203" s="12" t="s">
        <v>112</v>
      </c>
      <c r="C203" s="12" t="s">
        <v>6729</v>
      </c>
      <c r="D203" s="12" t="s">
        <v>13</v>
      </c>
      <c r="E203" s="12" t="s">
        <v>8110</v>
      </c>
      <c r="F203" s="12" t="s">
        <v>5458</v>
      </c>
      <c r="G203" s="12" t="s">
        <v>5453</v>
      </c>
      <c r="H203" s="12" t="s">
        <v>6612</v>
      </c>
      <c r="I203" s="12">
        <v>4850</v>
      </c>
      <c r="J203" s="12" t="s">
        <v>114</v>
      </c>
      <c r="K203" s="12" t="s">
        <v>6654</v>
      </c>
      <c r="L203" s="12" t="s">
        <v>12</v>
      </c>
      <c r="M203" s="12" t="s">
        <v>12</v>
      </c>
      <c r="N203" s="12" t="s">
        <v>5785</v>
      </c>
      <c r="O203" s="12" t="s">
        <v>56</v>
      </c>
      <c r="P203" s="12" t="s">
        <v>18</v>
      </c>
      <c r="Q203" s="12" t="s">
        <v>6653</v>
      </c>
      <c r="R203" s="12">
        <v>54.372500000000002</v>
      </c>
      <c r="S203" s="12">
        <v>90.5642</v>
      </c>
      <c r="T203" s="12" t="s">
        <v>25</v>
      </c>
      <c r="U203" s="12" t="s">
        <v>19</v>
      </c>
      <c r="V203" s="12" t="s">
        <v>6639</v>
      </c>
      <c r="W203" s="12" t="s">
        <v>6639</v>
      </c>
      <c r="X203" s="12">
        <v>1.3097730000000001</v>
      </c>
      <c r="Y203" s="12">
        <v>708932</v>
      </c>
      <c r="Z203" s="12" t="s">
        <v>6639</v>
      </c>
      <c r="AA203" s="12" t="s">
        <v>6639</v>
      </c>
      <c r="AB203" s="12" t="s">
        <v>113</v>
      </c>
      <c r="AC203" s="12" t="s">
        <v>21</v>
      </c>
      <c r="AD203" s="12">
        <v>7.9000000000000001E-2</v>
      </c>
      <c r="AE203" s="12">
        <v>0.99399999999999999</v>
      </c>
      <c r="AF203" s="12" t="s">
        <v>45</v>
      </c>
    </row>
    <row r="204" spans="1:40" x14ac:dyDescent="0.2">
      <c r="A204" s="12" t="s">
        <v>116</v>
      </c>
      <c r="B204" s="12" t="s">
        <v>116</v>
      </c>
      <c r="C204" s="12" t="s">
        <v>117</v>
      </c>
      <c r="D204" s="12" t="s">
        <v>118</v>
      </c>
      <c r="E204" s="12" t="s">
        <v>8108</v>
      </c>
      <c r="F204" s="12" t="s">
        <v>5458</v>
      </c>
      <c r="G204" s="12" t="s">
        <v>5453</v>
      </c>
      <c r="H204" s="12" t="s">
        <v>7655</v>
      </c>
      <c r="I204" s="60">
        <v>4800</v>
      </c>
      <c r="J204" s="12" t="s">
        <v>7654</v>
      </c>
      <c r="K204" s="12" t="s">
        <v>6654</v>
      </c>
      <c r="L204" s="12" t="s">
        <v>12</v>
      </c>
      <c r="M204" s="12" t="s">
        <v>12</v>
      </c>
      <c r="N204" s="12" t="s">
        <v>5785</v>
      </c>
      <c r="O204" s="12" t="s">
        <v>119</v>
      </c>
      <c r="P204" s="12" t="s">
        <v>18</v>
      </c>
      <c r="Q204" s="12" t="s">
        <v>6653</v>
      </c>
      <c r="R204" s="12">
        <v>53.873888888888892</v>
      </c>
      <c r="S204" s="12">
        <v>91.469722222222231</v>
      </c>
      <c r="T204" s="12" t="s">
        <v>11</v>
      </c>
      <c r="U204" s="12" t="s">
        <v>120</v>
      </c>
      <c r="V204" s="12" t="s">
        <v>37</v>
      </c>
      <c r="W204" s="12" t="s">
        <v>7415</v>
      </c>
      <c r="X204" s="12">
        <v>0.88999200000000001</v>
      </c>
      <c r="Y204" s="12">
        <v>599959</v>
      </c>
      <c r="Z204" s="12">
        <v>1.3826E-2</v>
      </c>
      <c r="AA204" s="12">
        <v>3.4662131959282898</v>
      </c>
      <c r="AB204" s="12" t="s">
        <v>115</v>
      </c>
      <c r="AC204" s="12" t="s">
        <v>21</v>
      </c>
      <c r="AD204" s="12">
        <v>4.5999999999999999E-2</v>
      </c>
      <c r="AE204" s="12">
        <v>0.96899999999999997</v>
      </c>
      <c r="AF204" s="12" t="s">
        <v>8078</v>
      </c>
      <c r="AL204" s="71"/>
      <c r="AM204" s="12"/>
      <c r="AN204" s="12"/>
    </row>
    <row r="205" spans="1:40" x14ac:dyDescent="0.2">
      <c r="A205" s="12" t="s">
        <v>4972</v>
      </c>
      <c r="B205" s="12" t="s">
        <v>4972</v>
      </c>
      <c r="C205" s="12" t="s">
        <v>6740</v>
      </c>
      <c r="D205" s="12" t="s">
        <v>4975</v>
      </c>
      <c r="E205" s="12" t="s">
        <v>8110</v>
      </c>
      <c r="F205" s="12" t="s">
        <v>5463</v>
      </c>
      <c r="G205" s="12" t="s">
        <v>5461</v>
      </c>
      <c r="H205" s="12" t="s">
        <v>6626</v>
      </c>
      <c r="I205" s="12">
        <v>4792</v>
      </c>
      <c r="J205" s="12" t="s">
        <v>4977</v>
      </c>
      <c r="K205" s="12" t="s">
        <v>6654</v>
      </c>
      <c r="L205" s="12" t="s">
        <v>4974</v>
      </c>
      <c r="M205" s="12" t="s">
        <v>4973</v>
      </c>
      <c r="N205" s="12" t="s">
        <v>5785</v>
      </c>
      <c r="O205" s="12" t="s">
        <v>4978</v>
      </c>
      <c r="P205" s="12" t="s">
        <v>18</v>
      </c>
      <c r="Q205" s="12" t="s">
        <v>6653</v>
      </c>
      <c r="R205" s="12">
        <v>52.710850000000001</v>
      </c>
      <c r="S205" s="12">
        <v>49.466855555555554</v>
      </c>
      <c r="T205" s="12" t="s">
        <v>11</v>
      </c>
      <c r="U205" s="12" t="s">
        <v>5769</v>
      </c>
      <c r="V205" s="12" t="s">
        <v>37</v>
      </c>
      <c r="W205" s="12" t="s">
        <v>7160</v>
      </c>
      <c r="X205" s="12">
        <v>9.9050019999999996</v>
      </c>
      <c r="Y205" s="12">
        <v>1103245</v>
      </c>
      <c r="Z205" s="12">
        <v>1.0163999999999999E-2</v>
      </c>
      <c r="AA205" s="12">
        <v>12.318235132857328</v>
      </c>
      <c r="AB205" s="12" t="s">
        <v>4976</v>
      </c>
      <c r="AC205" s="12" t="s">
        <v>3793</v>
      </c>
      <c r="AD205" s="12" t="s">
        <v>7948</v>
      </c>
      <c r="AE205" s="12" t="s">
        <v>8070</v>
      </c>
      <c r="AF205" s="12" t="s">
        <v>317</v>
      </c>
    </row>
    <row r="206" spans="1:40" x14ac:dyDescent="0.2">
      <c r="A206" s="12" t="s">
        <v>5004</v>
      </c>
      <c r="B206" s="12" t="s">
        <v>5004</v>
      </c>
      <c r="C206" s="12" t="s">
        <v>5005</v>
      </c>
      <c r="D206" s="12" t="s">
        <v>105</v>
      </c>
      <c r="E206" s="12" t="s">
        <v>8110</v>
      </c>
      <c r="F206" s="12" t="s">
        <v>5460</v>
      </c>
      <c r="G206" s="12" t="s">
        <v>1517</v>
      </c>
      <c r="H206" s="12" t="s">
        <v>6614</v>
      </c>
      <c r="I206" s="12">
        <v>4778</v>
      </c>
      <c r="J206" s="12" t="s">
        <v>5007</v>
      </c>
      <c r="K206" s="12" t="s">
        <v>6654</v>
      </c>
      <c r="L206" s="12" t="s">
        <v>4974</v>
      </c>
      <c r="M206" s="12" t="s">
        <v>4973</v>
      </c>
      <c r="N206" s="12" t="s">
        <v>5785</v>
      </c>
      <c r="O206" s="12" t="s">
        <v>5008</v>
      </c>
      <c r="P206" s="12" t="s">
        <v>18</v>
      </c>
      <c r="Q206" s="12" t="s">
        <v>6653</v>
      </c>
      <c r="R206" s="16">
        <v>53.38</v>
      </c>
      <c r="S206" s="16">
        <v>50.38</v>
      </c>
      <c r="T206" s="12" t="s">
        <v>11</v>
      </c>
      <c r="U206" s="12" t="s">
        <v>57</v>
      </c>
      <c r="V206" s="12" t="s">
        <v>37</v>
      </c>
      <c r="W206" s="12" t="s">
        <v>7160</v>
      </c>
      <c r="X206" s="12">
        <v>0.73599999999999999</v>
      </c>
      <c r="Y206" s="12">
        <v>567478</v>
      </c>
      <c r="Z206" s="12" t="s">
        <v>17</v>
      </c>
      <c r="AA206" s="12" t="s">
        <v>17</v>
      </c>
      <c r="AB206" s="12" t="s">
        <v>5006</v>
      </c>
      <c r="AC206" s="12" t="s">
        <v>21</v>
      </c>
      <c r="AD206" s="12" t="s">
        <v>17</v>
      </c>
      <c r="AE206" s="12">
        <v>0.998</v>
      </c>
      <c r="AF206" s="12" t="s">
        <v>45</v>
      </c>
    </row>
    <row r="207" spans="1:40" x14ac:dyDescent="0.2">
      <c r="A207" s="12" t="s">
        <v>4999</v>
      </c>
      <c r="B207" s="12" t="s">
        <v>4999</v>
      </c>
      <c r="C207" s="12" t="s">
        <v>5000</v>
      </c>
      <c r="D207" s="12" t="s">
        <v>105</v>
      </c>
      <c r="E207" s="12" t="s">
        <v>8110</v>
      </c>
      <c r="F207" s="12" t="s">
        <v>5460</v>
      </c>
      <c r="G207" s="12" t="s">
        <v>1517</v>
      </c>
      <c r="H207" s="12" t="s">
        <v>6614</v>
      </c>
      <c r="I207" s="12">
        <v>4766</v>
      </c>
      <c r="J207" s="12" t="s">
        <v>5002</v>
      </c>
      <c r="K207" s="12" t="s">
        <v>6654</v>
      </c>
      <c r="L207" s="12" t="s">
        <v>4974</v>
      </c>
      <c r="M207" s="12" t="s">
        <v>4973</v>
      </c>
      <c r="N207" s="12" t="s">
        <v>5785</v>
      </c>
      <c r="O207" s="12" t="s">
        <v>5003</v>
      </c>
      <c r="P207" s="12" t="s">
        <v>18</v>
      </c>
      <c r="Q207" s="12" t="s">
        <v>6653</v>
      </c>
      <c r="R207" s="12">
        <v>52.3</v>
      </c>
      <c r="S207" s="12">
        <v>52.05</v>
      </c>
      <c r="T207" s="12" t="s">
        <v>25</v>
      </c>
      <c r="U207" s="12" t="s">
        <v>605</v>
      </c>
      <c r="V207" s="12" t="s">
        <v>6639</v>
      </c>
      <c r="W207" s="12" t="s">
        <v>6639</v>
      </c>
      <c r="X207" s="12">
        <v>9.0999999999999998E-2</v>
      </c>
      <c r="Y207" s="12">
        <v>101678</v>
      </c>
      <c r="Z207" s="12" t="s">
        <v>6639</v>
      </c>
      <c r="AA207" s="12" t="s">
        <v>6639</v>
      </c>
      <c r="AB207" s="12" t="s">
        <v>5001</v>
      </c>
      <c r="AC207" s="12" t="s">
        <v>21</v>
      </c>
      <c r="AD207" s="12" t="s">
        <v>17</v>
      </c>
      <c r="AE207" s="12">
        <v>1</v>
      </c>
      <c r="AF207" s="12" t="s">
        <v>45</v>
      </c>
    </row>
    <row r="208" spans="1:40" x14ac:dyDescent="0.2">
      <c r="A208" s="12" t="s">
        <v>99</v>
      </c>
      <c r="B208" s="12" t="s">
        <v>99</v>
      </c>
      <c r="C208" s="12" t="s">
        <v>6732</v>
      </c>
      <c r="D208" s="12" t="s">
        <v>100</v>
      </c>
      <c r="E208" s="12" t="s">
        <v>8110</v>
      </c>
      <c r="F208" s="12" t="s">
        <v>5458</v>
      </c>
      <c r="G208" s="12" t="s">
        <v>5453</v>
      </c>
      <c r="H208" s="12" t="s">
        <v>6612</v>
      </c>
      <c r="I208" s="12">
        <v>4750</v>
      </c>
      <c r="J208" s="12" t="s">
        <v>102</v>
      </c>
      <c r="K208" s="12" t="s">
        <v>6654</v>
      </c>
      <c r="L208" s="12" t="s">
        <v>12</v>
      </c>
      <c r="M208" s="12" t="s">
        <v>12</v>
      </c>
      <c r="N208" s="12" t="s">
        <v>5785</v>
      </c>
      <c r="O208" s="12" t="s">
        <v>5790</v>
      </c>
      <c r="P208" s="12" t="s">
        <v>18</v>
      </c>
      <c r="Q208" s="12" t="s">
        <v>6653</v>
      </c>
      <c r="R208" s="12">
        <v>54.356610000000003</v>
      </c>
      <c r="S208" s="12">
        <v>90.919185999999996</v>
      </c>
      <c r="T208" s="12" t="s">
        <v>11</v>
      </c>
      <c r="U208" s="12" t="s">
        <v>44</v>
      </c>
      <c r="V208" s="12" t="s">
        <v>103</v>
      </c>
      <c r="W208" s="12" t="s">
        <v>7415</v>
      </c>
      <c r="X208" s="12">
        <v>0.21390300000000001</v>
      </c>
      <c r="Y208" s="12">
        <v>220203</v>
      </c>
      <c r="Z208" s="12" t="s">
        <v>8052</v>
      </c>
      <c r="AA208" s="12" t="s">
        <v>8052</v>
      </c>
      <c r="AB208" s="12" t="s">
        <v>101</v>
      </c>
      <c r="AC208" s="12" t="s">
        <v>21</v>
      </c>
      <c r="AD208" s="12">
        <v>5.0999999999999997E-2</v>
      </c>
      <c r="AE208" s="12">
        <v>0.998</v>
      </c>
      <c r="AF208" s="12" t="s">
        <v>45</v>
      </c>
    </row>
    <row r="209" spans="1:32" x14ac:dyDescent="0.2">
      <c r="A209" s="12" t="s">
        <v>145</v>
      </c>
      <c r="B209" s="12" t="s">
        <v>146</v>
      </c>
      <c r="C209" s="12" t="s">
        <v>6736</v>
      </c>
      <c r="D209" s="12" t="s">
        <v>143</v>
      </c>
      <c r="E209" s="12" t="s">
        <v>7678</v>
      </c>
      <c r="F209" s="12" t="s">
        <v>5460</v>
      </c>
      <c r="G209" s="12" t="s">
        <v>141</v>
      </c>
      <c r="H209" s="12" t="s">
        <v>6614</v>
      </c>
      <c r="I209" s="12">
        <v>4744</v>
      </c>
      <c r="J209" s="12" t="s">
        <v>147</v>
      </c>
      <c r="K209" s="12" t="s">
        <v>6654</v>
      </c>
      <c r="L209" s="12" t="s">
        <v>7126</v>
      </c>
      <c r="M209" s="12" t="s">
        <v>7126</v>
      </c>
      <c r="N209" s="12" t="s">
        <v>24</v>
      </c>
      <c r="O209" s="12" t="s">
        <v>5790</v>
      </c>
      <c r="P209" s="12" t="s">
        <v>18</v>
      </c>
      <c r="Q209" s="12" t="s">
        <v>6653</v>
      </c>
      <c r="R209" s="12">
        <v>54.356610000000003</v>
      </c>
      <c r="S209" s="12" t="s">
        <v>5456</v>
      </c>
      <c r="T209" s="12" t="s">
        <v>25</v>
      </c>
      <c r="U209" s="12" t="s">
        <v>44</v>
      </c>
      <c r="V209" s="12" t="s">
        <v>6639</v>
      </c>
      <c r="W209" s="12" t="s">
        <v>6639</v>
      </c>
      <c r="X209" s="12">
        <v>3.7549999999999999</v>
      </c>
      <c r="Y209" s="12">
        <v>1060524</v>
      </c>
      <c r="Z209" s="12" t="s">
        <v>6639</v>
      </c>
      <c r="AA209" s="12" t="s">
        <v>6639</v>
      </c>
      <c r="AB209" s="12" t="s">
        <v>17</v>
      </c>
      <c r="AC209" s="12" t="s">
        <v>144</v>
      </c>
      <c r="AD209" s="12" t="s">
        <v>17</v>
      </c>
      <c r="AE209" s="12" t="s">
        <v>17</v>
      </c>
      <c r="AF209" s="12" t="s">
        <v>45</v>
      </c>
    </row>
    <row r="210" spans="1:32" x14ac:dyDescent="0.2">
      <c r="A210" s="12" t="s">
        <v>4985</v>
      </c>
      <c r="B210" s="12" t="s">
        <v>4985</v>
      </c>
      <c r="C210" s="12" t="s">
        <v>6813</v>
      </c>
      <c r="D210" s="12" t="s">
        <v>13</v>
      </c>
      <c r="E210" s="12" t="s">
        <v>8110</v>
      </c>
      <c r="F210" s="12" t="s">
        <v>4987</v>
      </c>
      <c r="G210" s="12" t="s">
        <v>5453</v>
      </c>
      <c r="H210" s="12" t="s">
        <v>6626</v>
      </c>
      <c r="I210" s="12">
        <v>4733</v>
      </c>
      <c r="J210" s="12" t="s">
        <v>4987</v>
      </c>
      <c r="K210" s="12" t="s">
        <v>6654</v>
      </c>
      <c r="L210" s="12" t="s">
        <v>4974</v>
      </c>
      <c r="M210" s="12" t="s">
        <v>4980</v>
      </c>
      <c r="N210" s="12" t="s">
        <v>5785</v>
      </c>
      <c r="O210" s="12" t="s">
        <v>4988</v>
      </c>
      <c r="P210" s="12" t="s">
        <v>18</v>
      </c>
      <c r="Q210" s="12" t="s">
        <v>6653</v>
      </c>
      <c r="R210" s="12">
        <v>53.166388888888889</v>
      </c>
      <c r="S210" s="12">
        <v>50.673611111111107</v>
      </c>
      <c r="T210" s="12" t="s">
        <v>11</v>
      </c>
      <c r="U210" s="12" t="s">
        <v>1215</v>
      </c>
      <c r="V210" s="12" t="s">
        <v>37</v>
      </c>
      <c r="W210" s="12" t="s">
        <v>7160</v>
      </c>
      <c r="X210" s="12">
        <v>1.682285</v>
      </c>
      <c r="Y210" s="12">
        <v>758722</v>
      </c>
      <c r="Z210" s="12">
        <v>6.8960000000000002E-3</v>
      </c>
      <c r="AA210" s="12">
        <v>3.2132077001428607</v>
      </c>
      <c r="AB210" s="12" t="s">
        <v>4986</v>
      </c>
      <c r="AC210" s="12" t="s">
        <v>21</v>
      </c>
      <c r="AD210" s="12">
        <v>0.17599999999999999</v>
      </c>
      <c r="AE210" s="12">
        <v>0.98199999999999998</v>
      </c>
      <c r="AF210" s="12" t="s">
        <v>22</v>
      </c>
    </row>
    <row r="211" spans="1:32" x14ac:dyDescent="0.2">
      <c r="A211" s="12" t="s">
        <v>122</v>
      </c>
      <c r="B211" s="12" t="s">
        <v>122</v>
      </c>
      <c r="C211" s="12" t="s">
        <v>6733</v>
      </c>
      <c r="D211" s="12" t="s">
        <v>13</v>
      </c>
      <c r="E211" s="12" t="s">
        <v>8108</v>
      </c>
      <c r="F211" s="12" t="s">
        <v>17</v>
      </c>
      <c r="G211" s="12" t="s">
        <v>6725</v>
      </c>
      <c r="H211" s="12" t="s">
        <v>6612</v>
      </c>
      <c r="I211" s="12">
        <v>4732</v>
      </c>
      <c r="J211" s="12" t="s">
        <v>123</v>
      </c>
      <c r="K211" s="12" t="s">
        <v>6654</v>
      </c>
      <c r="L211" s="12" t="s">
        <v>12</v>
      </c>
      <c r="M211" s="12" t="s">
        <v>12</v>
      </c>
      <c r="N211" s="12" t="s">
        <v>5785</v>
      </c>
      <c r="O211" s="12" t="s">
        <v>5790</v>
      </c>
      <c r="P211" s="12" t="s">
        <v>18</v>
      </c>
      <c r="Q211" s="12" t="s">
        <v>6653</v>
      </c>
      <c r="R211" s="12">
        <v>54.356610000000003</v>
      </c>
      <c r="S211" s="12" t="s">
        <v>5456</v>
      </c>
      <c r="T211" s="12" t="s">
        <v>25</v>
      </c>
      <c r="U211" s="12" t="s">
        <v>124</v>
      </c>
      <c r="V211" s="12" t="s">
        <v>6639</v>
      </c>
      <c r="W211" s="12" t="s">
        <v>6639</v>
      </c>
      <c r="X211" s="12">
        <v>3.78748</v>
      </c>
      <c r="Y211" s="12">
        <v>735620</v>
      </c>
      <c r="Z211" s="12" t="s">
        <v>6639</v>
      </c>
      <c r="AA211" s="12" t="s">
        <v>6639</v>
      </c>
      <c r="AB211" s="12" t="s">
        <v>121</v>
      </c>
      <c r="AC211" s="12" t="s">
        <v>21</v>
      </c>
      <c r="AD211" s="12">
        <v>0.09</v>
      </c>
      <c r="AE211" s="12">
        <v>0.998</v>
      </c>
      <c r="AF211" s="12" t="s">
        <v>45</v>
      </c>
    </row>
    <row r="212" spans="1:32" x14ac:dyDescent="0.2">
      <c r="A212" s="12" t="s">
        <v>140</v>
      </c>
      <c r="B212" s="12" t="s">
        <v>122</v>
      </c>
      <c r="C212" s="12" t="s">
        <v>6733</v>
      </c>
      <c r="D212" s="12" t="s">
        <v>143</v>
      </c>
      <c r="E212" s="12" t="s">
        <v>7678</v>
      </c>
      <c r="F212" s="12" t="s">
        <v>5460</v>
      </c>
      <c r="G212" s="12" t="s">
        <v>141</v>
      </c>
      <c r="H212" s="12" t="s">
        <v>6614</v>
      </c>
      <c r="I212" s="12">
        <v>4732</v>
      </c>
      <c r="J212" s="12" t="s">
        <v>123</v>
      </c>
      <c r="K212" s="12" t="s">
        <v>6654</v>
      </c>
      <c r="L212" s="12" t="s">
        <v>7616</v>
      </c>
      <c r="M212" s="12" t="s">
        <v>7616</v>
      </c>
      <c r="N212" s="12" t="s">
        <v>24</v>
      </c>
      <c r="O212" s="12" t="s">
        <v>5790</v>
      </c>
      <c r="P212" s="12" t="s">
        <v>18</v>
      </c>
      <c r="Q212" s="12" t="s">
        <v>6653</v>
      </c>
      <c r="R212" s="12">
        <v>54.356610000000003</v>
      </c>
      <c r="S212" s="12" t="s">
        <v>5456</v>
      </c>
      <c r="T212" s="12" t="s">
        <v>25</v>
      </c>
      <c r="U212" s="12" t="s">
        <v>124</v>
      </c>
      <c r="V212" s="12" t="s">
        <v>6639</v>
      </c>
      <c r="W212" s="12" t="s">
        <v>6639</v>
      </c>
      <c r="X212" s="12">
        <v>0.97399999999999998</v>
      </c>
      <c r="Y212" s="12">
        <v>678474</v>
      </c>
      <c r="Z212" s="12" t="s">
        <v>6639</v>
      </c>
      <c r="AA212" s="12" t="s">
        <v>6639</v>
      </c>
      <c r="AB212" s="12" t="s">
        <v>17</v>
      </c>
      <c r="AC212" s="12" t="s">
        <v>144</v>
      </c>
      <c r="AD212" s="12" t="s">
        <v>17</v>
      </c>
      <c r="AE212" s="12" t="s">
        <v>17</v>
      </c>
      <c r="AF212" s="12" t="s">
        <v>45</v>
      </c>
    </row>
    <row r="213" spans="1:32" x14ac:dyDescent="0.2">
      <c r="A213" s="12" t="s">
        <v>5043</v>
      </c>
      <c r="B213" s="12" t="s">
        <v>5043</v>
      </c>
      <c r="C213" s="12" t="s">
        <v>5044</v>
      </c>
      <c r="D213" s="12" t="s">
        <v>105</v>
      </c>
      <c r="E213" s="12" t="s">
        <v>8110</v>
      </c>
      <c r="F213" s="12" t="s">
        <v>5460</v>
      </c>
      <c r="G213" s="12" t="s">
        <v>273</v>
      </c>
      <c r="H213" s="12" t="s">
        <v>6614</v>
      </c>
      <c r="I213" s="12">
        <v>4727</v>
      </c>
      <c r="J213" s="12" t="s">
        <v>5046</v>
      </c>
      <c r="K213" s="12" t="s">
        <v>6654</v>
      </c>
      <c r="L213" s="12" t="s">
        <v>4974</v>
      </c>
      <c r="M213" s="12" t="s">
        <v>4980</v>
      </c>
      <c r="N213" s="12" t="s">
        <v>5785</v>
      </c>
      <c r="O213" s="12" t="s">
        <v>5018</v>
      </c>
      <c r="P213" s="12" t="s">
        <v>18</v>
      </c>
      <c r="Q213" s="12" t="s">
        <v>6653</v>
      </c>
      <c r="R213" s="12">
        <v>53.38</v>
      </c>
      <c r="S213" s="12">
        <v>50.39</v>
      </c>
      <c r="T213" s="12" t="s">
        <v>11</v>
      </c>
      <c r="U213" s="12" t="s">
        <v>5047</v>
      </c>
      <c r="V213" s="12" t="s">
        <v>37</v>
      </c>
      <c r="W213" s="12" t="s">
        <v>7160</v>
      </c>
      <c r="X213" s="12">
        <v>4.9530000000000003</v>
      </c>
      <c r="Y213" s="12">
        <v>1027134</v>
      </c>
      <c r="Z213" s="12" t="s">
        <v>17</v>
      </c>
      <c r="AA213" s="12" t="s">
        <v>17</v>
      </c>
      <c r="AB213" s="12" t="s">
        <v>5045</v>
      </c>
      <c r="AC213" s="12" t="s">
        <v>58</v>
      </c>
      <c r="AD213" s="12" t="s">
        <v>7685</v>
      </c>
      <c r="AE213" s="12" t="s">
        <v>7789</v>
      </c>
      <c r="AF213" s="12" t="s">
        <v>427</v>
      </c>
    </row>
    <row r="214" spans="1:32" x14ac:dyDescent="0.2">
      <c r="A214" s="12" t="s">
        <v>109</v>
      </c>
      <c r="B214" s="12" t="s">
        <v>109</v>
      </c>
      <c r="C214" s="12" t="s">
        <v>6775</v>
      </c>
      <c r="D214" s="12" t="s">
        <v>13</v>
      </c>
      <c r="E214" s="12" t="s">
        <v>8110</v>
      </c>
      <c r="F214" s="12" t="s">
        <v>5458</v>
      </c>
      <c r="G214" s="12" t="s">
        <v>5453</v>
      </c>
      <c r="H214" s="12" t="s">
        <v>6612</v>
      </c>
      <c r="I214" s="12">
        <v>4725</v>
      </c>
      <c r="J214" s="12" t="s">
        <v>5791</v>
      </c>
      <c r="K214" s="12" t="s">
        <v>6654</v>
      </c>
      <c r="L214" s="12" t="s">
        <v>12</v>
      </c>
      <c r="M214" s="12" t="s">
        <v>12</v>
      </c>
      <c r="N214" s="12" t="s">
        <v>5785</v>
      </c>
      <c r="O214" s="12" t="s">
        <v>5790</v>
      </c>
      <c r="P214" s="12" t="s">
        <v>18</v>
      </c>
      <c r="Q214" s="12" t="s">
        <v>6653</v>
      </c>
      <c r="R214" s="16">
        <v>54.356610000000003</v>
      </c>
      <c r="S214" s="16">
        <v>90.919185999999996</v>
      </c>
      <c r="T214" s="12" t="s">
        <v>11</v>
      </c>
      <c r="U214" s="12" t="s">
        <v>44</v>
      </c>
      <c r="V214" s="12" t="s">
        <v>37</v>
      </c>
      <c r="W214" s="12" t="s">
        <v>7160</v>
      </c>
      <c r="X214" s="12">
        <v>3.1740599999999999</v>
      </c>
      <c r="Y214" s="12">
        <v>944165</v>
      </c>
      <c r="Z214" s="12">
        <v>6.4910000000000002E-3</v>
      </c>
      <c r="AA214" s="12">
        <v>5.8306811863293841</v>
      </c>
      <c r="AB214" s="12" t="s">
        <v>110</v>
      </c>
      <c r="AC214" s="12" t="s">
        <v>58</v>
      </c>
      <c r="AD214" s="12" t="s">
        <v>7890</v>
      </c>
      <c r="AE214" s="12" t="s">
        <v>7780</v>
      </c>
      <c r="AF214" s="12" t="s">
        <v>436</v>
      </c>
    </row>
    <row r="215" spans="1:32" x14ac:dyDescent="0.2">
      <c r="A215" s="12" t="s">
        <v>4979</v>
      </c>
      <c r="B215" s="12" t="s">
        <v>4979</v>
      </c>
      <c r="C215" s="12" t="s">
        <v>4981</v>
      </c>
      <c r="D215" s="12" t="s">
        <v>143</v>
      </c>
      <c r="E215" s="12" t="s">
        <v>8110</v>
      </c>
      <c r="F215" s="12" t="s">
        <v>4983</v>
      </c>
      <c r="G215" s="12" t="s">
        <v>5453</v>
      </c>
      <c r="H215" s="12" t="s">
        <v>6626</v>
      </c>
      <c r="I215" s="12">
        <v>4721</v>
      </c>
      <c r="J215" s="12" t="s">
        <v>4983</v>
      </c>
      <c r="K215" s="12" t="s">
        <v>6654</v>
      </c>
      <c r="L215" s="12" t="s">
        <v>4974</v>
      </c>
      <c r="M215" s="12" t="s">
        <v>4980</v>
      </c>
      <c r="N215" s="12" t="s">
        <v>5785</v>
      </c>
      <c r="O215" s="12" t="s">
        <v>4191</v>
      </c>
      <c r="P215" s="12" t="s">
        <v>18</v>
      </c>
      <c r="Q215" s="12" t="s">
        <v>6653</v>
      </c>
      <c r="R215" s="16">
        <v>53.589750000000002</v>
      </c>
      <c r="S215" s="16">
        <v>50.571291670000001</v>
      </c>
      <c r="T215" s="12" t="s">
        <v>11</v>
      </c>
      <c r="U215" s="12" t="s">
        <v>4984</v>
      </c>
      <c r="V215" s="12" t="s">
        <v>37</v>
      </c>
      <c r="W215" s="12" t="s">
        <v>7160</v>
      </c>
      <c r="X215" s="12">
        <v>1.0217700000000001</v>
      </c>
      <c r="Y215" s="12">
        <v>684101</v>
      </c>
      <c r="Z215" s="12">
        <v>4.901E-3</v>
      </c>
      <c r="AA215" s="12">
        <v>2.0033756122844815</v>
      </c>
      <c r="AB215" s="12" t="s">
        <v>4982</v>
      </c>
      <c r="AC215" s="12" t="s">
        <v>21</v>
      </c>
      <c r="AD215" s="12">
        <v>3.9E-2</v>
      </c>
      <c r="AE215" s="12">
        <v>0.998</v>
      </c>
      <c r="AF215" s="12" t="s">
        <v>45</v>
      </c>
    </row>
    <row r="216" spans="1:32" x14ac:dyDescent="0.2">
      <c r="A216" s="12" t="s">
        <v>133</v>
      </c>
      <c r="B216" s="12" t="s">
        <v>133</v>
      </c>
      <c r="C216" s="12" t="s">
        <v>134</v>
      </c>
      <c r="D216" s="12" t="s">
        <v>13</v>
      </c>
      <c r="E216" s="12" t="s">
        <v>8110</v>
      </c>
      <c r="F216" s="12" t="s">
        <v>136</v>
      </c>
      <c r="G216" s="12" t="s">
        <v>5453</v>
      </c>
      <c r="H216" s="12" t="s">
        <v>6612</v>
      </c>
      <c r="I216" s="12">
        <v>4709</v>
      </c>
      <c r="J216" s="12" t="s">
        <v>136</v>
      </c>
      <c r="K216" s="12" t="s">
        <v>6654</v>
      </c>
      <c r="L216" s="12" t="s">
        <v>7125</v>
      </c>
      <c r="M216" s="12" t="s">
        <v>7125</v>
      </c>
      <c r="N216" s="12" t="s">
        <v>24</v>
      </c>
      <c r="O216" s="12" t="s">
        <v>56</v>
      </c>
      <c r="P216" s="12" t="s">
        <v>18</v>
      </c>
      <c r="Q216" s="12" t="s">
        <v>6653</v>
      </c>
      <c r="R216" s="16">
        <v>48.832683000000003</v>
      </c>
      <c r="S216" s="16">
        <v>83.909744000000003</v>
      </c>
      <c r="T216" s="12" t="s">
        <v>25</v>
      </c>
      <c r="U216" s="12" t="s">
        <v>68</v>
      </c>
      <c r="V216" s="12" t="s">
        <v>6639</v>
      </c>
      <c r="W216" s="12" t="s">
        <v>6639</v>
      </c>
      <c r="X216" s="12">
        <v>3.742</v>
      </c>
      <c r="Y216" s="12">
        <v>755085</v>
      </c>
      <c r="Z216" s="12" t="s">
        <v>6639</v>
      </c>
      <c r="AA216" s="12" t="s">
        <v>6639</v>
      </c>
      <c r="AB216" s="12" t="s">
        <v>135</v>
      </c>
      <c r="AC216" s="12" t="s">
        <v>21</v>
      </c>
      <c r="AD216" s="12">
        <v>0.11</v>
      </c>
      <c r="AE216" s="12">
        <v>0.98899999999999999</v>
      </c>
      <c r="AF216" s="12" t="s">
        <v>45</v>
      </c>
    </row>
    <row r="217" spans="1:32" x14ac:dyDescent="0.2">
      <c r="A217" s="12" t="s">
        <v>64</v>
      </c>
      <c r="B217" s="12" t="s">
        <v>64</v>
      </c>
      <c r="C217" s="12" t="s">
        <v>65</v>
      </c>
      <c r="D217" s="12" t="s">
        <v>13</v>
      </c>
      <c r="E217" s="12" t="s">
        <v>8110</v>
      </c>
      <c r="F217" s="12" t="s">
        <v>67</v>
      </c>
      <c r="G217" s="12" t="s">
        <v>5453</v>
      </c>
      <c r="H217" s="12" t="s">
        <v>6612</v>
      </c>
      <c r="I217" s="12">
        <v>4707</v>
      </c>
      <c r="J217" s="12" t="s">
        <v>67</v>
      </c>
      <c r="K217" s="12" t="s">
        <v>6654</v>
      </c>
      <c r="L217" s="12" t="s">
        <v>12</v>
      </c>
      <c r="M217" s="12" t="s">
        <v>12</v>
      </c>
      <c r="N217" s="12" t="s">
        <v>5785</v>
      </c>
      <c r="O217" s="12" t="s">
        <v>56</v>
      </c>
      <c r="P217" s="12" t="s">
        <v>18</v>
      </c>
      <c r="Q217" s="12" t="s">
        <v>6653</v>
      </c>
      <c r="R217" s="12">
        <v>48.832683000000003</v>
      </c>
      <c r="S217" s="12">
        <v>83.909744000000003</v>
      </c>
      <c r="T217" s="12" t="s">
        <v>11</v>
      </c>
      <c r="U217" s="12" t="s">
        <v>68</v>
      </c>
      <c r="V217" s="12" t="s">
        <v>69</v>
      </c>
      <c r="W217" s="12" t="s">
        <v>7415</v>
      </c>
      <c r="X217" s="12">
        <v>3.7589999999999999</v>
      </c>
      <c r="Y217" s="12">
        <v>768534</v>
      </c>
      <c r="Z217" s="12">
        <v>6.0340000000000003E-3</v>
      </c>
      <c r="AA217" s="12">
        <v>4.8437851202517423</v>
      </c>
      <c r="AB217" s="12" t="s">
        <v>66</v>
      </c>
      <c r="AC217" s="12" t="s">
        <v>21</v>
      </c>
      <c r="AD217" s="12">
        <v>9.5000000000000001E-2</v>
      </c>
      <c r="AE217" s="12">
        <v>0.96499999999999997</v>
      </c>
      <c r="AF217" s="12" t="s">
        <v>436</v>
      </c>
    </row>
    <row r="218" spans="1:32" x14ac:dyDescent="0.2">
      <c r="A218" s="12" t="s">
        <v>60</v>
      </c>
      <c r="B218" s="12" t="s">
        <v>60</v>
      </c>
      <c r="C218" s="12" t="s">
        <v>61</v>
      </c>
      <c r="D218" s="12" t="s">
        <v>13</v>
      </c>
      <c r="E218" s="12" t="s">
        <v>8110</v>
      </c>
      <c r="F218" s="12" t="s">
        <v>63</v>
      </c>
      <c r="G218" s="12" t="s">
        <v>5453</v>
      </c>
      <c r="H218" s="12" t="s">
        <v>6612</v>
      </c>
      <c r="I218" s="12">
        <v>4699</v>
      </c>
      <c r="J218" s="12" t="s">
        <v>63</v>
      </c>
      <c r="K218" s="12" t="s">
        <v>6654</v>
      </c>
      <c r="L218" s="12" t="s">
        <v>12</v>
      </c>
      <c r="M218" s="12" t="s">
        <v>12</v>
      </c>
      <c r="N218" s="12" t="s">
        <v>5785</v>
      </c>
      <c r="O218" s="12" t="s">
        <v>56</v>
      </c>
      <c r="P218" s="12" t="s">
        <v>18</v>
      </c>
      <c r="Q218" s="12" t="s">
        <v>6653</v>
      </c>
      <c r="R218" s="12">
        <v>48.832683000000003</v>
      </c>
      <c r="S218" s="12">
        <v>83.909744000000003</v>
      </c>
      <c r="T218" s="12" t="s">
        <v>25</v>
      </c>
      <c r="U218" s="12" t="s">
        <v>19</v>
      </c>
      <c r="V218" s="12" t="s">
        <v>6639</v>
      </c>
      <c r="W218" s="12" t="s">
        <v>6639</v>
      </c>
      <c r="X218" s="12">
        <v>4.8879999999999999</v>
      </c>
      <c r="Y218" s="12">
        <v>810871</v>
      </c>
      <c r="Z218" s="12" t="s">
        <v>6639</v>
      </c>
      <c r="AA218" s="12" t="s">
        <v>6639</v>
      </c>
      <c r="AB218" s="12" t="s">
        <v>62</v>
      </c>
      <c r="AC218" s="12" t="s">
        <v>21</v>
      </c>
      <c r="AD218" s="12">
        <v>9.4E-2</v>
      </c>
      <c r="AE218" s="12">
        <v>0.99299999999999999</v>
      </c>
      <c r="AF218" s="12" t="s">
        <v>45</v>
      </c>
    </row>
    <row r="219" spans="1:32" x14ac:dyDescent="0.2">
      <c r="A219" s="12" t="s">
        <v>5038</v>
      </c>
      <c r="B219" s="12" t="s">
        <v>5038</v>
      </c>
      <c r="C219" s="12" t="s">
        <v>5039</v>
      </c>
      <c r="D219" s="12" t="s">
        <v>105</v>
      </c>
      <c r="E219" s="12" t="s">
        <v>8110</v>
      </c>
      <c r="F219" s="12" t="s">
        <v>5460</v>
      </c>
      <c r="G219" s="12" t="s">
        <v>273</v>
      </c>
      <c r="H219" s="12" t="s">
        <v>6614</v>
      </c>
      <c r="I219" s="12">
        <v>4678</v>
      </c>
      <c r="J219" s="12" t="s">
        <v>5041</v>
      </c>
      <c r="K219" s="12" t="s">
        <v>6654</v>
      </c>
      <c r="L219" s="12" t="s">
        <v>4974</v>
      </c>
      <c r="M219" s="12" t="s">
        <v>4980</v>
      </c>
      <c r="N219" s="12" t="s">
        <v>5785</v>
      </c>
      <c r="O219" s="12" t="s">
        <v>4191</v>
      </c>
      <c r="P219" s="12" t="s">
        <v>18</v>
      </c>
      <c r="Q219" s="12" t="s">
        <v>6653</v>
      </c>
      <c r="R219" s="12">
        <v>53.589750000000002</v>
      </c>
      <c r="S219" s="12">
        <v>50.571291670000001</v>
      </c>
      <c r="T219" s="12" t="s">
        <v>11</v>
      </c>
      <c r="U219" s="12" t="s">
        <v>5042</v>
      </c>
      <c r="V219" s="12" t="s">
        <v>2787</v>
      </c>
      <c r="W219" s="12" t="s">
        <v>7160</v>
      </c>
      <c r="X219" s="12">
        <v>1.5133209999999999</v>
      </c>
      <c r="Y219" s="12">
        <v>822079</v>
      </c>
      <c r="Z219" s="12" t="s">
        <v>17</v>
      </c>
      <c r="AA219" s="12" t="s">
        <v>17</v>
      </c>
      <c r="AB219" s="12" t="s">
        <v>5040</v>
      </c>
      <c r="AC219" s="12" t="s">
        <v>219</v>
      </c>
      <c r="AD219" s="12" t="s">
        <v>7803</v>
      </c>
      <c r="AE219" s="12" t="s">
        <v>7765</v>
      </c>
      <c r="AF219" s="12" t="s">
        <v>375</v>
      </c>
    </row>
    <row r="220" spans="1:32" x14ac:dyDescent="0.2">
      <c r="A220" s="12" t="s">
        <v>52</v>
      </c>
      <c r="B220" s="12" t="s">
        <v>52</v>
      </c>
      <c r="C220" s="12" t="s">
        <v>53</v>
      </c>
      <c r="D220" s="12" t="s">
        <v>13</v>
      </c>
      <c r="E220" s="12" t="s">
        <v>8110</v>
      </c>
      <c r="F220" s="12" t="s">
        <v>55</v>
      </c>
      <c r="G220" s="12" t="s">
        <v>5453</v>
      </c>
      <c r="H220" s="12" t="s">
        <v>6612</v>
      </c>
      <c r="I220" s="12">
        <v>4673</v>
      </c>
      <c r="J220" s="12" t="s">
        <v>55</v>
      </c>
      <c r="K220" s="12" t="s">
        <v>6654</v>
      </c>
      <c r="L220" s="12" t="s">
        <v>12</v>
      </c>
      <c r="M220" s="12" t="s">
        <v>12</v>
      </c>
      <c r="N220" s="12" t="s">
        <v>5785</v>
      </c>
      <c r="O220" s="12" t="s">
        <v>56</v>
      </c>
      <c r="P220" s="12" t="s">
        <v>18</v>
      </c>
      <c r="Q220" s="12" t="s">
        <v>6653</v>
      </c>
      <c r="R220" s="12">
        <v>48.832683000000003</v>
      </c>
      <c r="S220" s="12">
        <v>83.909744000000003</v>
      </c>
      <c r="T220" s="12" t="s">
        <v>11</v>
      </c>
      <c r="U220" s="12" t="s">
        <v>57</v>
      </c>
      <c r="V220" s="12" t="s">
        <v>7413</v>
      </c>
      <c r="W220" s="12" t="s">
        <v>7160</v>
      </c>
      <c r="X220" s="12">
        <v>7.81</v>
      </c>
      <c r="Y220" s="12">
        <v>917159</v>
      </c>
      <c r="Z220" s="12">
        <v>4.7590000000000002E-3</v>
      </c>
      <c r="AA220" s="12">
        <v>5.9379940659987014</v>
      </c>
      <c r="AB220" s="12" t="s">
        <v>54</v>
      </c>
      <c r="AC220" s="12" t="s">
        <v>58</v>
      </c>
      <c r="AD220" s="12" t="s">
        <v>7904</v>
      </c>
      <c r="AE220" s="12" t="s">
        <v>7776</v>
      </c>
      <c r="AF220" s="12" t="s">
        <v>82</v>
      </c>
    </row>
    <row r="221" spans="1:32" x14ac:dyDescent="0.2">
      <c r="A221" s="12" t="s">
        <v>3561</v>
      </c>
      <c r="B221" s="12" t="s">
        <v>3561</v>
      </c>
      <c r="C221" s="12" t="s">
        <v>3563</v>
      </c>
      <c r="D221" s="12" t="s">
        <v>105</v>
      </c>
      <c r="E221" s="12" t="s">
        <v>8110</v>
      </c>
      <c r="F221" s="12" t="s">
        <v>5460</v>
      </c>
      <c r="G221" s="12" t="s">
        <v>273</v>
      </c>
      <c r="H221" s="12" t="s">
        <v>6614</v>
      </c>
      <c r="I221" s="12">
        <v>4658</v>
      </c>
      <c r="J221" s="12" t="s">
        <v>3565</v>
      </c>
      <c r="K221" s="12" t="s">
        <v>6654</v>
      </c>
      <c r="L221" s="12" t="s">
        <v>3562</v>
      </c>
      <c r="M221" s="12" t="s">
        <v>3562</v>
      </c>
      <c r="N221" s="12" t="s">
        <v>5785</v>
      </c>
      <c r="O221" s="12" t="s">
        <v>3566</v>
      </c>
      <c r="P221" s="12" t="s">
        <v>18</v>
      </c>
      <c r="Q221" s="12" t="s">
        <v>6653</v>
      </c>
      <c r="R221" s="12">
        <v>53.66</v>
      </c>
      <c r="S221" s="12">
        <v>50.67</v>
      </c>
      <c r="T221" s="12" t="s">
        <v>11</v>
      </c>
      <c r="U221" s="12" t="s">
        <v>2782</v>
      </c>
      <c r="V221" s="12" t="s">
        <v>739</v>
      </c>
      <c r="W221" s="12" t="s">
        <v>7160</v>
      </c>
      <c r="X221" s="12">
        <v>0.87</v>
      </c>
      <c r="Y221" s="12">
        <v>633282</v>
      </c>
      <c r="Z221" s="12" t="s">
        <v>17</v>
      </c>
      <c r="AA221" s="12" t="s">
        <v>17</v>
      </c>
      <c r="AB221" s="12" t="s">
        <v>3564</v>
      </c>
      <c r="AC221" s="12" t="s">
        <v>21</v>
      </c>
      <c r="AD221" s="12" t="s">
        <v>17</v>
      </c>
      <c r="AE221" s="12">
        <v>0.998</v>
      </c>
      <c r="AF221" s="12" t="s">
        <v>45</v>
      </c>
    </row>
    <row r="222" spans="1:32" x14ac:dyDescent="0.2">
      <c r="A222" s="12" t="s">
        <v>126</v>
      </c>
      <c r="B222" s="12" t="s">
        <v>126</v>
      </c>
      <c r="C222" s="12" t="s">
        <v>127</v>
      </c>
      <c r="D222" s="12" t="s">
        <v>13</v>
      </c>
      <c r="E222" s="12" t="s">
        <v>8108</v>
      </c>
      <c r="F222" s="12" t="s">
        <v>5458</v>
      </c>
      <c r="G222" s="12" t="s">
        <v>5453</v>
      </c>
      <c r="H222" s="12" t="s">
        <v>6684</v>
      </c>
      <c r="I222" s="12">
        <v>4650</v>
      </c>
      <c r="J222" s="12" t="s">
        <v>5803</v>
      </c>
      <c r="K222" s="12" t="s">
        <v>6654</v>
      </c>
      <c r="L222" s="12" t="s">
        <v>12</v>
      </c>
      <c r="M222" s="12" t="s">
        <v>12</v>
      </c>
      <c r="N222" s="12" t="s">
        <v>5785</v>
      </c>
      <c r="O222" s="12" t="s">
        <v>128</v>
      </c>
      <c r="P222" s="12" t="s">
        <v>18</v>
      </c>
      <c r="Q222" s="12" t="s">
        <v>6653</v>
      </c>
      <c r="R222" s="12">
        <v>51.304433333333336</v>
      </c>
      <c r="S222" s="12">
        <v>83.200500000000005</v>
      </c>
      <c r="T222" s="12" t="s">
        <v>25</v>
      </c>
      <c r="U222" s="12" t="s">
        <v>129</v>
      </c>
      <c r="V222" s="12" t="s">
        <v>6639</v>
      </c>
      <c r="W222" s="12" t="s">
        <v>6639</v>
      </c>
      <c r="X222" s="12">
        <v>2.630007</v>
      </c>
      <c r="Y222" s="12">
        <v>697749</v>
      </c>
      <c r="Z222" s="12" t="s">
        <v>6639</v>
      </c>
      <c r="AA222" s="12" t="s">
        <v>6639</v>
      </c>
      <c r="AB222" s="12" t="s">
        <v>125</v>
      </c>
      <c r="AC222" s="12" t="s">
        <v>21</v>
      </c>
      <c r="AD222" s="12">
        <v>0.13550000000000001</v>
      </c>
      <c r="AE222" s="12">
        <v>0.995</v>
      </c>
      <c r="AF222" s="12" t="s">
        <v>45</v>
      </c>
    </row>
    <row r="223" spans="1:32" x14ac:dyDescent="0.2">
      <c r="A223" s="12" t="s">
        <v>137</v>
      </c>
      <c r="B223" s="12" t="s">
        <v>137</v>
      </c>
      <c r="C223" s="12" t="s">
        <v>6734</v>
      </c>
      <c r="D223" s="12" t="s">
        <v>105</v>
      </c>
      <c r="E223" s="12" t="s">
        <v>8110</v>
      </c>
      <c r="F223" s="12" t="s">
        <v>139</v>
      </c>
      <c r="G223" s="12" t="s">
        <v>5453</v>
      </c>
      <c r="H223" s="12" t="s">
        <v>6612</v>
      </c>
      <c r="I223" s="12">
        <v>4632</v>
      </c>
      <c r="J223" s="12" t="s">
        <v>139</v>
      </c>
      <c r="K223" s="12" t="s">
        <v>6654</v>
      </c>
      <c r="L223" s="12" t="s">
        <v>7615</v>
      </c>
      <c r="M223" s="12" t="s">
        <v>7615</v>
      </c>
      <c r="N223" s="12" t="s">
        <v>24</v>
      </c>
      <c r="O223" s="12" t="s">
        <v>5790</v>
      </c>
      <c r="P223" s="12" t="s">
        <v>18</v>
      </c>
      <c r="Q223" s="12" t="s">
        <v>6653</v>
      </c>
      <c r="R223" s="12">
        <v>54.356610000000003</v>
      </c>
      <c r="S223" s="12">
        <v>90.919185999999996</v>
      </c>
      <c r="T223" s="12" t="s">
        <v>11</v>
      </c>
      <c r="U223" s="12" t="s">
        <v>124</v>
      </c>
      <c r="V223" s="12" t="s">
        <v>37</v>
      </c>
      <c r="W223" s="12" t="s">
        <v>7160</v>
      </c>
      <c r="X223" s="12">
        <v>1.2912250000000001</v>
      </c>
      <c r="Y223" s="12">
        <v>725428</v>
      </c>
      <c r="Z223" s="12">
        <v>3.934E-3</v>
      </c>
      <c r="AA223" s="12">
        <v>2.0878477601278393</v>
      </c>
      <c r="AB223" s="12" t="s">
        <v>138</v>
      </c>
      <c r="AC223" s="12" t="s">
        <v>21</v>
      </c>
      <c r="AD223" s="12">
        <v>3.2000000000000001E-2</v>
      </c>
      <c r="AE223" s="12">
        <v>0.999</v>
      </c>
      <c r="AF223" s="12" t="s">
        <v>59</v>
      </c>
    </row>
    <row r="224" spans="1:32" x14ac:dyDescent="0.2">
      <c r="A224" s="12" t="s">
        <v>5048</v>
      </c>
      <c r="B224" s="12" t="s">
        <v>5048</v>
      </c>
      <c r="C224" s="12" t="s">
        <v>5049</v>
      </c>
      <c r="D224" s="12" t="s">
        <v>105</v>
      </c>
      <c r="E224" s="12" t="s">
        <v>8110</v>
      </c>
      <c r="F224" s="12" t="s">
        <v>5460</v>
      </c>
      <c r="G224" s="12" t="s">
        <v>273</v>
      </c>
      <c r="H224" s="12" t="s">
        <v>6614</v>
      </c>
      <c r="I224" s="12">
        <v>4627</v>
      </c>
      <c r="J224" s="12" t="s">
        <v>5051</v>
      </c>
      <c r="K224" s="12" t="s">
        <v>6654</v>
      </c>
      <c r="L224" s="12" t="s">
        <v>4974</v>
      </c>
      <c r="M224" s="12" t="s">
        <v>4980</v>
      </c>
      <c r="N224" s="12" t="s">
        <v>5785</v>
      </c>
      <c r="O224" s="12" t="s">
        <v>5052</v>
      </c>
      <c r="P224" s="12" t="s">
        <v>18</v>
      </c>
      <c r="Q224" s="12" t="s">
        <v>6653</v>
      </c>
      <c r="R224" s="12">
        <v>53.31</v>
      </c>
      <c r="S224" s="12">
        <v>51.15</v>
      </c>
      <c r="T224" s="12" t="s">
        <v>11</v>
      </c>
      <c r="U224" s="12" t="s">
        <v>5053</v>
      </c>
      <c r="V224" s="12" t="s">
        <v>37</v>
      </c>
      <c r="W224" s="12" t="s">
        <v>7160</v>
      </c>
      <c r="X224" s="12">
        <v>0.34699999999999998</v>
      </c>
      <c r="Y224" s="12">
        <v>333925</v>
      </c>
      <c r="Z224" s="12" t="s">
        <v>17</v>
      </c>
      <c r="AA224" s="12" t="s">
        <v>17</v>
      </c>
      <c r="AB224" s="12" t="s">
        <v>5050</v>
      </c>
      <c r="AC224" s="12" t="s">
        <v>21</v>
      </c>
      <c r="AD224" s="12" t="s">
        <v>17</v>
      </c>
      <c r="AE224" s="12">
        <v>0.998</v>
      </c>
      <c r="AF224" s="12" t="s">
        <v>45</v>
      </c>
    </row>
    <row r="225" spans="1:41" ht="16" customHeight="1" x14ac:dyDescent="0.2">
      <c r="A225" s="12" t="s">
        <v>1487</v>
      </c>
      <c r="B225" s="12" t="s">
        <v>1487</v>
      </c>
      <c r="C225" s="12" t="s">
        <v>7017</v>
      </c>
      <c r="D225" s="12" t="s">
        <v>40</v>
      </c>
      <c r="E225" s="12" t="s">
        <v>8110</v>
      </c>
      <c r="F225" s="12" t="s">
        <v>1490</v>
      </c>
      <c r="G225" s="12" t="s">
        <v>5453</v>
      </c>
      <c r="H225" s="12" t="s">
        <v>6616</v>
      </c>
      <c r="I225" s="12">
        <v>4623</v>
      </c>
      <c r="J225" s="12" t="s">
        <v>1490</v>
      </c>
      <c r="K225" s="12" t="s">
        <v>6654</v>
      </c>
      <c r="L225" s="12" t="s">
        <v>1488</v>
      </c>
      <c r="M225" s="12" t="s">
        <v>1488</v>
      </c>
      <c r="N225" s="12" t="s">
        <v>5785</v>
      </c>
      <c r="O225" s="12" t="s">
        <v>1491</v>
      </c>
      <c r="P225" s="12" t="s">
        <v>1152</v>
      </c>
      <c r="Q225" s="12" t="s">
        <v>6653</v>
      </c>
      <c r="R225" s="16">
        <v>45.132377779999999</v>
      </c>
      <c r="S225" s="16">
        <v>79.364394439999998</v>
      </c>
      <c r="T225" s="12" t="s">
        <v>25</v>
      </c>
      <c r="U225" s="12" t="s">
        <v>399</v>
      </c>
      <c r="V225" s="12" t="s">
        <v>6639</v>
      </c>
      <c r="W225" s="12" t="s">
        <v>6639</v>
      </c>
      <c r="X225" s="12">
        <v>3.7280000000000002</v>
      </c>
      <c r="Y225" s="12">
        <v>775219</v>
      </c>
      <c r="Z225" s="12" t="s">
        <v>6639</v>
      </c>
      <c r="AA225" s="12" t="s">
        <v>6639</v>
      </c>
      <c r="AB225" s="12" t="s">
        <v>1489</v>
      </c>
      <c r="AC225" s="12" t="s">
        <v>21</v>
      </c>
      <c r="AD225" s="12">
        <v>0.109</v>
      </c>
      <c r="AE225" s="12">
        <v>0.98799999999999999</v>
      </c>
      <c r="AF225" s="12" t="s">
        <v>45</v>
      </c>
    </row>
    <row r="226" spans="1:41" x14ac:dyDescent="0.2">
      <c r="A226" s="12" t="s">
        <v>153</v>
      </c>
      <c r="B226" s="12" t="s">
        <v>153</v>
      </c>
      <c r="C226" s="12" t="s">
        <v>155</v>
      </c>
      <c r="D226" s="12" t="s">
        <v>13</v>
      </c>
      <c r="E226" s="12" t="s">
        <v>8110</v>
      </c>
      <c r="F226" s="12" t="s">
        <v>157</v>
      </c>
      <c r="G226" s="12" t="s">
        <v>5453</v>
      </c>
      <c r="H226" s="12" t="s">
        <v>6612</v>
      </c>
      <c r="I226" s="12">
        <v>4618</v>
      </c>
      <c r="J226" s="12" t="s">
        <v>157</v>
      </c>
      <c r="K226" s="12" t="s">
        <v>6654</v>
      </c>
      <c r="L226" s="12" t="s">
        <v>154</v>
      </c>
      <c r="M226" s="12" t="s">
        <v>154</v>
      </c>
      <c r="N226" s="12" t="s">
        <v>24</v>
      </c>
      <c r="O226" s="12" t="s">
        <v>56</v>
      </c>
      <c r="P226" s="12" t="s">
        <v>18</v>
      </c>
      <c r="Q226" s="12" t="s">
        <v>6653</v>
      </c>
      <c r="R226" s="12">
        <v>48.832683000000003</v>
      </c>
      <c r="S226" s="12">
        <v>83.909744000000003</v>
      </c>
      <c r="T226" s="12" t="s">
        <v>11</v>
      </c>
      <c r="U226" s="12" t="s">
        <v>98</v>
      </c>
      <c r="V226" s="12" t="s">
        <v>69</v>
      </c>
      <c r="W226" s="12" t="s">
        <v>7415</v>
      </c>
      <c r="X226" s="12">
        <v>3.9279999999999999</v>
      </c>
      <c r="Y226" s="12">
        <v>771654</v>
      </c>
      <c r="Z226" s="12">
        <v>4.2859999999999999E-3</v>
      </c>
      <c r="AA226" s="12">
        <v>3.7191979514039843</v>
      </c>
      <c r="AB226" s="12" t="s">
        <v>156</v>
      </c>
      <c r="AC226" s="12" t="s">
        <v>21</v>
      </c>
      <c r="AD226" s="12">
        <v>8.4000000000000005E-2</v>
      </c>
      <c r="AE226" s="12">
        <v>1</v>
      </c>
      <c r="AF226" s="12" t="s">
        <v>59</v>
      </c>
    </row>
    <row r="227" spans="1:41" x14ac:dyDescent="0.2">
      <c r="A227" s="12" t="s">
        <v>95</v>
      </c>
      <c r="B227" s="12" t="s">
        <v>95</v>
      </c>
      <c r="C227" s="12" t="s">
        <v>96</v>
      </c>
      <c r="D227" s="12" t="s">
        <v>13</v>
      </c>
      <c r="E227" s="12" t="s">
        <v>8110</v>
      </c>
      <c r="F227" s="12" t="s">
        <v>5458</v>
      </c>
      <c r="G227" s="12" t="s">
        <v>5453</v>
      </c>
      <c r="H227" s="12" t="s">
        <v>6612</v>
      </c>
      <c r="I227" s="12">
        <v>4600</v>
      </c>
      <c r="J227" s="12" t="s">
        <v>5789</v>
      </c>
      <c r="K227" s="12" t="s">
        <v>6654</v>
      </c>
      <c r="L227" s="12" t="s">
        <v>12</v>
      </c>
      <c r="M227" s="12" t="s">
        <v>12</v>
      </c>
      <c r="N227" s="12" t="s">
        <v>5785</v>
      </c>
      <c r="O227" s="12" t="s">
        <v>56</v>
      </c>
      <c r="P227" s="12" t="s">
        <v>18</v>
      </c>
      <c r="Q227" s="12" t="s">
        <v>6653</v>
      </c>
      <c r="R227" s="12">
        <v>48.832683000000003</v>
      </c>
      <c r="S227" s="12">
        <v>83.909744000000003</v>
      </c>
      <c r="T227" s="12" t="s">
        <v>25</v>
      </c>
      <c r="U227" s="12" t="s">
        <v>98</v>
      </c>
      <c r="V227" s="12" t="s">
        <v>6639</v>
      </c>
      <c r="W227" s="12" t="s">
        <v>6639</v>
      </c>
      <c r="X227" s="12">
        <v>2.6970000000000001</v>
      </c>
      <c r="Y227" s="12">
        <v>702290</v>
      </c>
      <c r="Z227" s="12" t="s">
        <v>6639</v>
      </c>
      <c r="AA227" s="12" t="s">
        <v>6639</v>
      </c>
      <c r="AB227" s="12" t="s">
        <v>97</v>
      </c>
      <c r="AC227" s="12" t="s">
        <v>21</v>
      </c>
      <c r="AD227" s="12">
        <v>8.5000000000000006E-2</v>
      </c>
      <c r="AE227" s="12">
        <v>0.995</v>
      </c>
      <c r="AF227" s="12" t="s">
        <v>45</v>
      </c>
    </row>
    <row r="228" spans="1:41" x14ac:dyDescent="0.2">
      <c r="A228" s="12" t="s">
        <v>3098</v>
      </c>
      <c r="B228" s="12" t="s">
        <v>3099</v>
      </c>
      <c r="C228" s="12" t="s">
        <v>3100</v>
      </c>
      <c r="D228" s="12" t="s">
        <v>100</v>
      </c>
      <c r="E228" s="12" t="s">
        <v>7678</v>
      </c>
      <c r="F228" s="12" t="s">
        <v>5460</v>
      </c>
      <c r="G228" s="12" t="s">
        <v>222</v>
      </c>
      <c r="H228" s="12" t="s">
        <v>6614</v>
      </c>
      <c r="I228" s="12">
        <v>4555</v>
      </c>
      <c r="J228" s="12" t="s">
        <v>3101</v>
      </c>
      <c r="K228" s="12" t="s">
        <v>6654</v>
      </c>
      <c r="L228" s="12" t="s">
        <v>3053</v>
      </c>
      <c r="M228" s="12" t="s">
        <v>3053</v>
      </c>
      <c r="N228" s="12" t="s">
        <v>5785</v>
      </c>
      <c r="O228" s="12" t="s">
        <v>3063</v>
      </c>
      <c r="P228" s="12" t="s">
        <v>18</v>
      </c>
      <c r="Q228" s="12" t="s">
        <v>6653</v>
      </c>
      <c r="R228" s="16">
        <v>53.708561000000003</v>
      </c>
      <c r="S228" s="16">
        <v>90.359808000000001</v>
      </c>
      <c r="T228" s="12" t="s">
        <v>11</v>
      </c>
      <c r="U228" s="12" t="s">
        <v>3102</v>
      </c>
      <c r="V228" s="12" t="s">
        <v>37</v>
      </c>
      <c r="W228" s="12" t="s">
        <v>7415</v>
      </c>
      <c r="X228" s="12">
        <v>0.5</v>
      </c>
      <c r="Y228" s="12">
        <v>404278</v>
      </c>
      <c r="Z228" s="12" t="s">
        <v>17</v>
      </c>
      <c r="AA228" s="12" t="s">
        <v>17</v>
      </c>
      <c r="AB228" s="12" t="s">
        <v>17</v>
      </c>
      <c r="AC228" s="12" t="s">
        <v>144</v>
      </c>
      <c r="AD228" s="12" t="s">
        <v>17</v>
      </c>
      <c r="AE228" s="12" t="s">
        <v>17</v>
      </c>
      <c r="AF228" s="12" t="s">
        <v>45</v>
      </c>
    </row>
    <row r="229" spans="1:41" x14ac:dyDescent="0.2">
      <c r="A229" s="12" t="s">
        <v>148</v>
      </c>
      <c r="B229" s="12" t="s">
        <v>148</v>
      </c>
      <c r="C229" s="12" t="s">
        <v>6728</v>
      </c>
      <c r="D229" s="12" t="s">
        <v>13</v>
      </c>
      <c r="E229" s="12" t="s">
        <v>8110</v>
      </c>
      <c r="F229" s="12" t="s">
        <v>151</v>
      </c>
      <c r="G229" s="12" t="s">
        <v>5453</v>
      </c>
      <c r="H229" s="12" t="s">
        <v>6612</v>
      </c>
      <c r="I229" s="12">
        <v>4495</v>
      </c>
      <c r="J229" s="12" t="s">
        <v>151</v>
      </c>
      <c r="K229" s="12" t="s">
        <v>6654</v>
      </c>
      <c r="L229" s="12" t="s">
        <v>149</v>
      </c>
      <c r="M229" s="12" t="s">
        <v>149</v>
      </c>
      <c r="N229" s="12" t="s">
        <v>24</v>
      </c>
      <c r="O229" s="12" t="s">
        <v>56</v>
      </c>
      <c r="P229" s="12" t="s">
        <v>18</v>
      </c>
      <c r="Q229" s="12" t="s">
        <v>6653</v>
      </c>
      <c r="R229" s="12">
        <v>54.356610000000003</v>
      </c>
      <c r="S229" s="12" t="s">
        <v>5456</v>
      </c>
      <c r="T229" s="12" t="s">
        <v>11</v>
      </c>
      <c r="U229" s="12" t="s">
        <v>98</v>
      </c>
      <c r="V229" s="12" t="s">
        <v>69</v>
      </c>
      <c r="W229" s="12" t="s">
        <v>7415</v>
      </c>
      <c r="X229" s="12">
        <v>3.6111740000000001</v>
      </c>
      <c r="Y229" s="12">
        <v>868211</v>
      </c>
      <c r="Z229" s="12">
        <v>6.3400000000000001E-3</v>
      </c>
      <c r="AA229" s="12">
        <v>5.2521182439037322</v>
      </c>
      <c r="AB229" s="12" t="s">
        <v>150</v>
      </c>
      <c r="AC229" s="12" t="s">
        <v>21</v>
      </c>
      <c r="AD229" s="12">
        <v>0.11</v>
      </c>
      <c r="AE229" s="12">
        <v>0.997</v>
      </c>
      <c r="AF229" s="12" t="s">
        <v>436</v>
      </c>
    </row>
    <row r="230" spans="1:41" x14ac:dyDescent="0.2">
      <c r="A230" s="12" t="s">
        <v>1390</v>
      </c>
      <c r="B230" s="12" t="s">
        <v>1391</v>
      </c>
      <c r="C230" s="12" t="s">
        <v>7578</v>
      </c>
      <c r="D230" s="12" t="s">
        <v>143</v>
      </c>
      <c r="E230" s="12" t="s">
        <v>7678</v>
      </c>
      <c r="F230" s="12" t="s">
        <v>5460</v>
      </c>
      <c r="G230" s="12" t="s">
        <v>222</v>
      </c>
      <c r="H230" s="12" t="s">
        <v>6614</v>
      </c>
      <c r="I230" s="12">
        <v>4494</v>
      </c>
      <c r="J230" s="12" t="s">
        <v>1392</v>
      </c>
      <c r="K230" s="12" t="s">
        <v>6654</v>
      </c>
      <c r="L230" s="12" t="s">
        <v>1386</v>
      </c>
      <c r="M230" s="12" t="s">
        <v>1386</v>
      </c>
      <c r="N230" s="12" t="s">
        <v>5785</v>
      </c>
      <c r="O230" s="12" t="s">
        <v>1393</v>
      </c>
      <c r="P230" s="12" t="s">
        <v>1152</v>
      </c>
      <c r="Q230" s="12" t="s">
        <v>6653</v>
      </c>
      <c r="R230" s="12">
        <v>52.629778000000002</v>
      </c>
      <c r="S230" s="12">
        <v>76.727647000000005</v>
      </c>
      <c r="T230" s="12" t="s">
        <v>25</v>
      </c>
      <c r="U230" s="12" t="s">
        <v>1394</v>
      </c>
      <c r="V230" s="12" t="s">
        <v>6639</v>
      </c>
      <c r="W230" s="12" t="s">
        <v>6639</v>
      </c>
      <c r="X230" s="12">
        <v>4.5</v>
      </c>
      <c r="Y230" s="12">
        <v>1147898</v>
      </c>
      <c r="Z230" s="12" t="s">
        <v>6639</v>
      </c>
      <c r="AA230" s="12" t="s">
        <v>6639</v>
      </c>
      <c r="AB230" s="12" t="s">
        <v>17</v>
      </c>
      <c r="AC230" s="12" t="s">
        <v>144</v>
      </c>
      <c r="AD230" s="12" t="s">
        <v>17</v>
      </c>
      <c r="AE230" s="12" t="s">
        <v>17</v>
      </c>
      <c r="AF230" s="12" t="s">
        <v>45</v>
      </c>
    </row>
    <row r="231" spans="1:41" x14ac:dyDescent="0.2">
      <c r="A231" s="12" t="s">
        <v>3093</v>
      </c>
      <c r="B231" s="12" t="s">
        <v>3094</v>
      </c>
      <c r="C231" s="12" t="s">
        <v>3095</v>
      </c>
      <c r="D231" s="12" t="s">
        <v>100</v>
      </c>
      <c r="E231" s="12" t="s">
        <v>7678</v>
      </c>
      <c r="F231" s="12" t="s">
        <v>5460</v>
      </c>
      <c r="G231" s="12" t="s">
        <v>222</v>
      </c>
      <c r="H231" s="12" t="s">
        <v>6614</v>
      </c>
      <c r="I231" s="12">
        <v>4482</v>
      </c>
      <c r="J231" s="12" t="s">
        <v>3096</v>
      </c>
      <c r="K231" s="12" t="s">
        <v>6654</v>
      </c>
      <c r="L231" s="12" t="s">
        <v>3053</v>
      </c>
      <c r="M231" s="12" t="s">
        <v>3053</v>
      </c>
      <c r="N231" s="12" t="s">
        <v>5785</v>
      </c>
      <c r="O231" s="12" t="s">
        <v>3097</v>
      </c>
      <c r="P231" s="12" t="s">
        <v>18</v>
      </c>
      <c r="Q231" s="12" t="s">
        <v>6653</v>
      </c>
      <c r="R231" s="12">
        <v>53.708561000000003</v>
      </c>
      <c r="S231" s="12">
        <v>90.359808000000001</v>
      </c>
      <c r="T231" s="12" t="s">
        <v>25</v>
      </c>
      <c r="U231" s="12" t="s">
        <v>2475</v>
      </c>
      <c r="V231" s="12" t="s">
        <v>6639</v>
      </c>
      <c r="W231" s="12" t="s">
        <v>6639</v>
      </c>
      <c r="X231" s="12">
        <v>0.3</v>
      </c>
      <c r="Y231" s="12">
        <v>232203</v>
      </c>
      <c r="Z231" s="12" t="s">
        <v>6639</v>
      </c>
      <c r="AA231" s="12" t="s">
        <v>6639</v>
      </c>
      <c r="AB231" s="12" t="s">
        <v>17</v>
      </c>
      <c r="AC231" s="12" t="s">
        <v>144</v>
      </c>
      <c r="AD231" s="12" t="s">
        <v>17</v>
      </c>
      <c r="AE231" s="12" t="s">
        <v>17</v>
      </c>
      <c r="AF231" s="12" t="s">
        <v>45</v>
      </c>
    </row>
    <row r="232" spans="1:41" x14ac:dyDescent="0.2">
      <c r="A232" s="12" t="s">
        <v>104</v>
      </c>
      <c r="B232" s="12" t="s">
        <v>104</v>
      </c>
      <c r="C232" s="12" t="s">
        <v>6735</v>
      </c>
      <c r="D232" s="12" t="s">
        <v>105</v>
      </c>
      <c r="E232" s="12" t="s">
        <v>8110</v>
      </c>
      <c r="F232" s="12" t="s">
        <v>5458</v>
      </c>
      <c r="G232" s="12" t="s">
        <v>5453</v>
      </c>
      <c r="H232" s="12" t="s">
        <v>6612</v>
      </c>
      <c r="I232" s="12">
        <v>4450</v>
      </c>
      <c r="J232" s="12" t="s">
        <v>107</v>
      </c>
      <c r="K232" s="12" t="s">
        <v>6654</v>
      </c>
      <c r="L232" s="12" t="s">
        <v>12</v>
      </c>
      <c r="M232" s="12" t="s">
        <v>12</v>
      </c>
      <c r="N232" s="12" t="s">
        <v>5785</v>
      </c>
      <c r="O232" s="12" t="s">
        <v>5790</v>
      </c>
      <c r="P232" s="12" t="s">
        <v>18</v>
      </c>
      <c r="Q232" s="12" t="s">
        <v>6653</v>
      </c>
      <c r="R232" s="12">
        <v>54.356610000000003</v>
      </c>
      <c r="S232" s="12" t="s">
        <v>5456</v>
      </c>
      <c r="T232" s="12" t="s">
        <v>25</v>
      </c>
      <c r="U232" s="12" t="s">
        <v>108</v>
      </c>
      <c r="V232" s="12" t="s">
        <v>6639</v>
      </c>
      <c r="W232" s="12" t="s">
        <v>6639</v>
      </c>
      <c r="X232" s="12">
        <v>0.91890499999999997</v>
      </c>
      <c r="Y232" s="12">
        <v>616129</v>
      </c>
      <c r="Z232" s="12" t="s">
        <v>6639</v>
      </c>
      <c r="AA232" s="12" t="s">
        <v>6639</v>
      </c>
      <c r="AB232" s="12" t="s">
        <v>106</v>
      </c>
      <c r="AC232" s="12" t="s">
        <v>21</v>
      </c>
      <c r="AD232" s="12">
        <v>3.9E-2</v>
      </c>
      <c r="AE232" s="12">
        <v>0.99399999999999999</v>
      </c>
      <c r="AF232" s="12" t="s">
        <v>45</v>
      </c>
      <c r="AG232" s="12"/>
      <c r="AH232" s="12"/>
      <c r="AI232" s="12"/>
      <c r="AJ232" s="12"/>
      <c r="AK232" s="12"/>
      <c r="AL232" s="12"/>
      <c r="AM232" s="12"/>
      <c r="AN232" s="12"/>
      <c r="AO232" s="12"/>
    </row>
    <row r="233" spans="1:41" x14ac:dyDescent="0.2">
      <c r="A233" s="12" t="s">
        <v>3088</v>
      </c>
      <c r="B233" s="12" t="s">
        <v>3089</v>
      </c>
      <c r="C233" s="12" t="s">
        <v>3090</v>
      </c>
      <c r="D233" s="12" t="s">
        <v>143</v>
      </c>
      <c r="E233" s="12" t="s">
        <v>7678</v>
      </c>
      <c r="F233" s="12" t="s">
        <v>5460</v>
      </c>
      <c r="G233" s="12" t="s">
        <v>222</v>
      </c>
      <c r="H233" s="12" t="s">
        <v>6614</v>
      </c>
      <c r="I233" s="12">
        <v>4411</v>
      </c>
      <c r="J233" s="12" t="s">
        <v>3091</v>
      </c>
      <c r="K233" s="12" t="s">
        <v>6654</v>
      </c>
      <c r="L233" s="12" t="s">
        <v>3053</v>
      </c>
      <c r="M233" s="12" t="s">
        <v>3053</v>
      </c>
      <c r="N233" s="12" t="s">
        <v>5785</v>
      </c>
      <c r="O233" s="12" t="s">
        <v>3092</v>
      </c>
      <c r="P233" s="12" t="s">
        <v>18</v>
      </c>
      <c r="Q233" s="12" t="s">
        <v>6653</v>
      </c>
      <c r="R233" s="12">
        <v>54.371766999999998</v>
      </c>
      <c r="S233" s="12">
        <v>91.506855999999999</v>
      </c>
      <c r="T233" s="12" t="s">
        <v>11</v>
      </c>
      <c r="U233" s="12" t="s">
        <v>3084</v>
      </c>
      <c r="V233" s="12" t="s">
        <v>2545</v>
      </c>
      <c r="W233" s="12" t="s">
        <v>7415</v>
      </c>
      <c r="X233" s="12">
        <v>0.8</v>
      </c>
      <c r="Y233" s="12">
        <v>547705</v>
      </c>
      <c r="Z233" s="12" t="s">
        <v>17</v>
      </c>
      <c r="AA233" s="12" t="s">
        <v>17</v>
      </c>
      <c r="AB233" s="12" t="s">
        <v>17</v>
      </c>
      <c r="AC233" s="12" t="s">
        <v>144</v>
      </c>
      <c r="AD233" s="12" t="s">
        <v>17</v>
      </c>
      <c r="AE233" s="12" t="s">
        <v>17</v>
      </c>
      <c r="AF233" s="12" t="s">
        <v>45</v>
      </c>
    </row>
    <row r="234" spans="1:41" x14ac:dyDescent="0.2">
      <c r="A234" s="12" t="s">
        <v>4995</v>
      </c>
      <c r="B234" s="12" t="s">
        <v>4995</v>
      </c>
      <c r="C234" s="12" t="s">
        <v>6911</v>
      </c>
      <c r="D234" s="12" t="s">
        <v>105</v>
      </c>
      <c r="E234" s="12" t="s">
        <v>8110</v>
      </c>
      <c r="F234" s="12" t="s">
        <v>5458</v>
      </c>
      <c r="G234" s="12" t="s">
        <v>5453</v>
      </c>
      <c r="H234" s="12" t="s">
        <v>6626</v>
      </c>
      <c r="I234" s="12">
        <v>4350</v>
      </c>
      <c r="J234" s="12" t="s">
        <v>4997</v>
      </c>
      <c r="K234" s="12" t="s">
        <v>6654</v>
      </c>
      <c r="L234" s="12" t="s">
        <v>4974</v>
      </c>
      <c r="M234" s="12" t="s">
        <v>4980</v>
      </c>
      <c r="N234" s="12" t="s">
        <v>5785</v>
      </c>
      <c r="O234" s="12" t="s">
        <v>7147</v>
      </c>
      <c r="P234" s="12" t="s">
        <v>18</v>
      </c>
      <c r="Q234" s="12" t="s">
        <v>6653</v>
      </c>
      <c r="R234" s="12">
        <v>53.38</v>
      </c>
      <c r="S234" s="12">
        <v>52.12</v>
      </c>
      <c r="T234" s="12" t="s">
        <v>25</v>
      </c>
      <c r="U234" s="12" t="s">
        <v>2581</v>
      </c>
      <c r="V234" s="12" t="s">
        <v>6639</v>
      </c>
      <c r="W234" s="12" t="s">
        <v>6639</v>
      </c>
      <c r="X234" s="12">
        <v>2.4E-2</v>
      </c>
      <c r="Y234" s="12">
        <v>27821</v>
      </c>
      <c r="Z234" s="12" t="s">
        <v>6639</v>
      </c>
      <c r="AA234" s="12" t="s">
        <v>6639</v>
      </c>
      <c r="AB234" s="12" t="s">
        <v>4996</v>
      </c>
      <c r="AC234" s="12" t="s">
        <v>21</v>
      </c>
      <c r="AD234" s="12" t="s">
        <v>17</v>
      </c>
      <c r="AE234" s="12">
        <v>0.85599999999999998</v>
      </c>
      <c r="AF234" s="12" t="s">
        <v>4998</v>
      </c>
    </row>
    <row r="235" spans="1:41" x14ac:dyDescent="0.2">
      <c r="A235" s="12" t="s">
        <v>5054</v>
      </c>
      <c r="B235" s="12" t="s">
        <v>5054</v>
      </c>
      <c r="C235" s="12" t="s">
        <v>5055</v>
      </c>
      <c r="D235" s="12" t="s">
        <v>105</v>
      </c>
      <c r="E235" s="12" t="s">
        <v>8110</v>
      </c>
      <c r="F235" s="12" t="s">
        <v>5458</v>
      </c>
      <c r="G235" s="12" t="s">
        <v>273</v>
      </c>
      <c r="H235" s="12" t="s">
        <v>6614</v>
      </c>
      <c r="I235" s="12">
        <v>4350</v>
      </c>
      <c r="J235" s="12" t="s">
        <v>4997</v>
      </c>
      <c r="K235" s="12" t="s">
        <v>6654</v>
      </c>
      <c r="L235" s="12" t="s">
        <v>4974</v>
      </c>
      <c r="M235" s="12" t="s">
        <v>4980</v>
      </c>
      <c r="N235" s="12" t="s">
        <v>5785</v>
      </c>
      <c r="O235" s="12" t="s">
        <v>5057</v>
      </c>
      <c r="P235" s="12" t="s">
        <v>18</v>
      </c>
      <c r="Q235" s="12" t="s">
        <v>6653</v>
      </c>
      <c r="R235" s="12">
        <v>49.966666670000002</v>
      </c>
      <c r="S235" s="12">
        <v>44.666666669999998</v>
      </c>
      <c r="T235" s="12" t="s">
        <v>11</v>
      </c>
      <c r="U235" s="12" t="s">
        <v>4233</v>
      </c>
      <c r="V235" s="12" t="s">
        <v>37</v>
      </c>
      <c r="W235" s="12" t="s">
        <v>7160</v>
      </c>
      <c r="X235" s="12">
        <v>1.9770000000000001</v>
      </c>
      <c r="Y235" s="12">
        <v>869065</v>
      </c>
      <c r="Z235" s="12" t="s">
        <v>17</v>
      </c>
      <c r="AA235" s="12" t="s">
        <v>17</v>
      </c>
      <c r="AB235" s="12" t="s">
        <v>5056</v>
      </c>
      <c r="AC235" s="12" t="s">
        <v>340</v>
      </c>
      <c r="AD235" s="12" t="s">
        <v>7831</v>
      </c>
      <c r="AE235" s="12" t="s">
        <v>7773</v>
      </c>
      <c r="AF235" s="12" t="s">
        <v>59</v>
      </c>
    </row>
    <row r="236" spans="1:41" x14ac:dyDescent="0.2">
      <c r="A236" s="12" t="s">
        <v>1218</v>
      </c>
      <c r="B236" s="12" t="s">
        <v>1218</v>
      </c>
      <c r="C236" s="12" t="s">
        <v>7574</v>
      </c>
      <c r="D236" s="12" t="s">
        <v>13</v>
      </c>
      <c r="E236" s="12" t="s">
        <v>8108</v>
      </c>
      <c r="F236" s="12" t="s">
        <v>1219</v>
      </c>
      <c r="G236" s="12" t="s">
        <v>5453</v>
      </c>
      <c r="H236" s="12" t="s">
        <v>7639</v>
      </c>
      <c r="I236" s="12">
        <v>4331</v>
      </c>
      <c r="J236" s="12" t="s">
        <v>1219</v>
      </c>
      <c r="K236" s="12" t="s">
        <v>6654</v>
      </c>
      <c r="L236" s="12" t="s">
        <v>1199</v>
      </c>
      <c r="M236" s="12" t="s">
        <v>1212</v>
      </c>
      <c r="N236" s="12" t="s">
        <v>5785</v>
      </c>
      <c r="O236" s="12" t="s">
        <v>1214</v>
      </c>
      <c r="P236" s="12" t="s">
        <v>1152</v>
      </c>
      <c r="Q236" s="12" t="s">
        <v>6653</v>
      </c>
      <c r="R236" s="12">
        <v>50.46</v>
      </c>
      <c r="S236" s="12">
        <v>49.2</v>
      </c>
      <c r="T236" s="12" t="s">
        <v>11</v>
      </c>
      <c r="U236" s="12" t="s">
        <v>1220</v>
      </c>
      <c r="V236" s="12" t="s">
        <v>1216</v>
      </c>
      <c r="W236" s="12" t="s">
        <v>7415</v>
      </c>
      <c r="X236" s="12">
        <v>4.7249189999999999</v>
      </c>
      <c r="Y236" s="12">
        <v>801518</v>
      </c>
      <c r="Z236" s="12">
        <v>5.4660000000000004E-3</v>
      </c>
      <c r="AA236" s="12">
        <v>5.6358115094282821</v>
      </c>
      <c r="AB236" s="12" t="s">
        <v>1217</v>
      </c>
      <c r="AC236" s="12" t="s">
        <v>21</v>
      </c>
      <c r="AD236" s="12">
        <v>9.1499999999999998E-2</v>
      </c>
      <c r="AE236" s="12">
        <v>0.998</v>
      </c>
      <c r="AF236" s="12" t="s">
        <v>82</v>
      </c>
    </row>
    <row r="237" spans="1:41" x14ac:dyDescent="0.2">
      <c r="A237" s="12" t="s">
        <v>3113</v>
      </c>
      <c r="B237" s="12" t="s">
        <v>3114</v>
      </c>
      <c r="C237" s="12" t="s">
        <v>3115</v>
      </c>
      <c r="D237" s="12" t="s">
        <v>100</v>
      </c>
      <c r="E237" s="12" t="s">
        <v>7678</v>
      </c>
      <c r="F237" s="12" t="s">
        <v>5458</v>
      </c>
      <c r="G237" s="12" t="s">
        <v>222</v>
      </c>
      <c r="H237" s="12" t="s">
        <v>6614</v>
      </c>
      <c r="I237" s="12">
        <v>4300</v>
      </c>
      <c r="J237" s="12" t="s">
        <v>3106</v>
      </c>
      <c r="K237" s="12" t="s">
        <v>6654</v>
      </c>
      <c r="L237" s="12" t="s">
        <v>3053</v>
      </c>
      <c r="M237" s="12" t="s">
        <v>3053</v>
      </c>
      <c r="N237" s="12" t="s">
        <v>5785</v>
      </c>
      <c r="O237" s="12" t="s">
        <v>3056</v>
      </c>
      <c r="P237" s="12" t="s">
        <v>18</v>
      </c>
      <c r="Q237" s="12" t="s">
        <v>6653</v>
      </c>
      <c r="R237" s="12">
        <v>53.156486000000001</v>
      </c>
      <c r="S237" s="12">
        <v>90.207811000000007</v>
      </c>
      <c r="T237" s="12" t="s">
        <v>11</v>
      </c>
      <c r="U237" s="12" t="s">
        <v>3057</v>
      </c>
      <c r="V237" s="12" t="s">
        <v>2591</v>
      </c>
      <c r="W237" s="12" t="s">
        <v>7415</v>
      </c>
      <c r="X237" s="12">
        <v>0.1</v>
      </c>
      <c r="Y237" s="12">
        <v>114394</v>
      </c>
      <c r="Z237" s="12" t="s">
        <v>17</v>
      </c>
      <c r="AA237" s="12" t="s">
        <v>17</v>
      </c>
      <c r="AB237" s="12" t="s">
        <v>17</v>
      </c>
      <c r="AC237" s="12" t="s">
        <v>144</v>
      </c>
      <c r="AD237" s="12" t="s">
        <v>17</v>
      </c>
      <c r="AE237" s="12" t="s">
        <v>17</v>
      </c>
      <c r="AF237" s="12" t="s">
        <v>45</v>
      </c>
    </row>
    <row r="238" spans="1:41" x14ac:dyDescent="0.2">
      <c r="A238" s="12" t="s">
        <v>3103</v>
      </c>
      <c r="B238" s="12" t="s">
        <v>3104</v>
      </c>
      <c r="C238" s="12" t="s">
        <v>3105</v>
      </c>
      <c r="D238" s="12" t="s">
        <v>100</v>
      </c>
      <c r="E238" s="12" t="s">
        <v>7678</v>
      </c>
      <c r="F238" s="12" t="s">
        <v>5458</v>
      </c>
      <c r="G238" s="12" t="s">
        <v>222</v>
      </c>
      <c r="H238" s="12" t="s">
        <v>6614</v>
      </c>
      <c r="I238" s="12">
        <v>4300</v>
      </c>
      <c r="J238" s="12" t="s">
        <v>3106</v>
      </c>
      <c r="K238" s="12" t="s">
        <v>6654</v>
      </c>
      <c r="L238" s="12" t="s">
        <v>3053</v>
      </c>
      <c r="M238" s="12" t="s">
        <v>3053</v>
      </c>
      <c r="N238" s="12" t="s">
        <v>5785</v>
      </c>
      <c r="O238" s="12" t="s">
        <v>3056</v>
      </c>
      <c r="P238" s="12" t="s">
        <v>18</v>
      </c>
      <c r="Q238" s="12" t="s">
        <v>6653</v>
      </c>
      <c r="R238" s="12">
        <v>53.156486000000001</v>
      </c>
      <c r="S238" s="12">
        <v>90.207811000000007</v>
      </c>
      <c r="T238" s="12" t="s">
        <v>25</v>
      </c>
      <c r="U238" s="12" t="s">
        <v>3057</v>
      </c>
      <c r="V238" s="12" t="s">
        <v>6639</v>
      </c>
      <c r="W238" s="12" t="s">
        <v>6639</v>
      </c>
      <c r="X238" s="12">
        <v>0.2</v>
      </c>
      <c r="Y238" s="12">
        <v>179045</v>
      </c>
      <c r="Z238" s="12" t="s">
        <v>6639</v>
      </c>
      <c r="AA238" s="12" t="s">
        <v>6639</v>
      </c>
      <c r="AB238" s="12" t="s">
        <v>17</v>
      </c>
      <c r="AC238" s="12" t="s">
        <v>144</v>
      </c>
      <c r="AD238" s="12" t="s">
        <v>17</v>
      </c>
      <c r="AE238" s="12" t="s">
        <v>17</v>
      </c>
      <c r="AF238" s="12" t="s">
        <v>45</v>
      </c>
    </row>
    <row r="239" spans="1:41" x14ac:dyDescent="0.2">
      <c r="A239" s="12" t="s">
        <v>3107</v>
      </c>
      <c r="B239" s="12" t="s">
        <v>3108</v>
      </c>
      <c r="C239" s="12" t="s">
        <v>3109</v>
      </c>
      <c r="D239" s="12" t="s">
        <v>143</v>
      </c>
      <c r="E239" s="12" t="s">
        <v>7678</v>
      </c>
      <c r="F239" s="12" t="s">
        <v>5458</v>
      </c>
      <c r="G239" s="12" t="s">
        <v>222</v>
      </c>
      <c r="H239" s="12" t="s">
        <v>6614</v>
      </c>
      <c r="I239" s="12">
        <v>4300</v>
      </c>
      <c r="J239" s="12" t="s">
        <v>3106</v>
      </c>
      <c r="K239" s="12" t="s">
        <v>6654</v>
      </c>
      <c r="L239" s="12" t="s">
        <v>3053</v>
      </c>
      <c r="M239" s="12" t="s">
        <v>3053</v>
      </c>
      <c r="N239" s="12" t="s">
        <v>5785</v>
      </c>
      <c r="O239" s="12" t="s">
        <v>3056</v>
      </c>
      <c r="P239" s="12" t="s">
        <v>18</v>
      </c>
      <c r="Q239" s="12" t="s">
        <v>6653</v>
      </c>
      <c r="R239" s="12">
        <v>53.156486000000001</v>
      </c>
      <c r="S239" s="12">
        <v>90.207811000000007</v>
      </c>
      <c r="T239" s="12" t="s">
        <v>25</v>
      </c>
      <c r="U239" s="12" t="s">
        <v>51</v>
      </c>
      <c r="V239" s="12" t="s">
        <v>6639</v>
      </c>
      <c r="W239" s="12" t="s">
        <v>6639</v>
      </c>
      <c r="X239" s="12">
        <v>0.3</v>
      </c>
      <c r="Y239" s="12">
        <v>256452</v>
      </c>
      <c r="Z239" s="12" t="s">
        <v>6639</v>
      </c>
      <c r="AA239" s="12" t="s">
        <v>6639</v>
      </c>
      <c r="AB239" s="12" t="s">
        <v>17</v>
      </c>
      <c r="AC239" s="12" t="s">
        <v>144</v>
      </c>
      <c r="AD239" s="12" t="s">
        <v>17</v>
      </c>
      <c r="AE239" s="12" t="s">
        <v>17</v>
      </c>
      <c r="AF239" s="12" t="s">
        <v>45</v>
      </c>
    </row>
    <row r="240" spans="1:41" x14ac:dyDescent="0.2">
      <c r="A240" s="12" t="s">
        <v>3119</v>
      </c>
      <c r="B240" s="12" t="s">
        <v>3120</v>
      </c>
      <c r="C240" s="12" t="s">
        <v>3121</v>
      </c>
      <c r="D240" s="12" t="s">
        <v>143</v>
      </c>
      <c r="E240" s="12" t="s">
        <v>7678</v>
      </c>
      <c r="F240" s="12" t="s">
        <v>5458</v>
      </c>
      <c r="G240" s="12" t="s">
        <v>222</v>
      </c>
      <c r="H240" s="12" t="s">
        <v>6614</v>
      </c>
      <c r="I240" s="12">
        <v>4300</v>
      </c>
      <c r="J240" s="12" t="s">
        <v>3106</v>
      </c>
      <c r="K240" s="12" t="s">
        <v>6654</v>
      </c>
      <c r="L240" s="12" t="s">
        <v>3053</v>
      </c>
      <c r="M240" s="12" t="s">
        <v>3053</v>
      </c>
      <c r="N240" s="12" t="s">
        <v>5785</v>
      </c>
      <c r="O240" s="12" t="s">
        <v>3063</v>
      </c>
      <c r="P240" s="12" t="s">
        <v>18</v>
      </c>
      <c r="Q240" s="12" t="s">
        <v>6653</v>
      </c>
      <c r="R240" s="16">
        <v>53.708561000000003</v>
      </c>
      <c r="S240" s="16">
        <v>90.359808000000001</v>
      </c>
      <c r="T240" s="12" t="s">
        <v>25</v>
      </c>
      <c r="U240" s="12" t="s">
        <v>2475</v>
      </c>
      <c r="V240" s="12" t="s">
        <v>6639</v>
      </c>
      <c r="W240" s="12" t="s">
        <v>6639</v>
      </c>
      <c r="X240" s="12">
        <v>0.5</v>
      </c>
      <c r="Y240" s="12">
        <v>381509</v>
      </c>
      <c r="Z240" s="12" t="s">
        <v>6639</v>
      </c>
      <c r="AA240" s="12" t="s">
        <v>6639</v>
      </c>
      <c r="AB240" s="12" t="s">
        <v>17</v>
      </c>
      <c r="AC240" s="12" t="s">
        <v>144</v>
      </c>
      <c r="AD240" s="12" t="s">
        <v>17</v>
      </c>
      <c r="AE240" s="12" t="s">
        <v>17</v>
      </c>
      <c r="AF240" s="12" t="s">
        <v>45</v>
      </c>
    </row>
    <row r="241" spans="1:32" x14ac:dyDescent="0.2">
      <c r="A241" s="12" t="s">
        <v>3125</v>
      </c>
      <c r="B241" s="12" t="s">
        <v>3126</v>
      </c>
      <c r="C241" s="12" t="s">
        <v>3127</v>
      </c>
      <c r="D241" s="12" t="s">
        <v>143</v>
      </c>
      <c r="E241" s="12" t="s">
        <v>7678</v>
      </c>
      <c r="F241" s="12" t="s">
        <v>5458</v>
      </c>
      <c r="G241" s="12" t="s">
        <v>222</v>
      </c>
      <c r="H241" s="12" t="s">
        <v>6614</v>
      </c>
      <c r="I241" s="12">
        <v>4300</v>
      </c>
      <c r="J241" s="12" t="s">
        <v>3106</v>
      </c>
      <c r="K241" s="12" t="s">
        <v>6654</v>
      </c>
      <c r="L241" s="12" t="s">
        <v>3053</v>
      </c>
      <c r="M241" s="12" t="s">
        <v>3053</v>
      </c>
      <c r="N241" s="12" t="s">
        <v>5785</v>
      </c>
      <c r="O241" s="12" t="s">
        <v>3092</v>
      </c>
      <c r="P241" s="12" t="s">
        <v>18</v>
      </c>
      <c r="Q241" s="12" t="s">
        <v>6653</v>
      </c>
      <c r="R241" s="12">
        <v>54.371766999999998</v>
      </c>
      <c r="S241" s="12">
        <v>91.506855999999999</v>
      </c>
      <c r="T241" s="12" t="s">
        <v>11</v>
      </c>
      <c r="U241" s="12" t="s">
        <v>3084</v>
      </c>
      <c r="V241" s="12" t="s">
        <v>2545</v>
      </c>
      <c r="W241" s="12" t="s">
        <v>7415</v>
      </c>
      <c r="X241" s="12">
        <v>0.6</v>
      </c>
      <c r="Y241" s="12">
        <v>472735</v>
      </c>
      <c r="Z241" s="12" t="s">
        <v>17</v>
      </c>
      <c r="AA241" s="12" t="s">
        <v>17</v>
      </c>
      <c r="AB241" s="12" t="s">
        <v>17</v>
      </c>
      <c r="AC241" s="12" t="s">
        <v>144</v>
      </c>
      <c r="AD241" s="12" t="s">
        <v>17</v>
      </c>
      <c r="AE241" s="12" t="s">
        <v>17</v>
      </c>
      <c r="AF241" s="12" t="s">
        <v>45</v>
      </c>
    </row>
    <row r="242" spans="1:32" x14ac:dyDescent="0.2">
      <c r="A242" s="12" t="s">
        <v>3110</v>
      </c>
      <c r="B242" s="12" t="s">
        <v>3111</v>
      </c>
      <c r="C242" s="12" t="s">
        <v>3112</v>
      </c>
      <c r="D242" s="12" t="s">
        <v>143</v>
      </c>
      <c r="E242" s="12" t="s">
        <v>7678</v>
      </c>
      <c r="F242" s="12" t="s">
        <v>5458</v>
      </c>
      <c r="G242" s="12" t="s">
        <v>222</v>
      </c>
      <c r="H242" s="12" t="s">
        <v>6614</v>
      </c>
      <c r="I242" s="12">
        <v>4300</v>
      </c>
      <c r="J242" s="12" t="s">
        <v>3106</v>
      </c>
      <c r="K242" s="12" t="s">
        <v>6654</v>
      </c>
      <c r="L242" s="12" t="s">
        <v>3053</v>
      </c>
      <c r="M242" s="12" t="s">
        <v>3053</v>
      </c>
      <c r="N242" s="12" t="s">
        <v>5785</v>
      </c>
      <c r="O242" s="12" t="s">
        <v>3056</v>
      </c>
      <c r="P242" s="12" t="s">
        <v>18</v>
      </c>
      <c r="Q242" s="12" t="s">
        <v>6653</v>
      </c>
      <c r="R242" s="12">
        <v>53.156486000000001</v>
      </c>
      <c r="S242" s="12">
        <v>90.207811000000007</v>
      </c>
      <c r="T242" s="12" t="s">
        <v>11</v>
      </c>
      <c r="U242" s="12" t="s">
        <v>51</v>
      </c>
      <c r="V242" s="12" t="s">
        <v>69</v>
      </c>
      <c r="W242" s="12" t="s">
        <v>7415</v>
      </c>
      <c r="X242" s="12">
        <v>1.2</v>
      </c>
      <c r="Y242" s="12">
        <v>649913</v>
      </c>
      <c r="Z242" s="12" t="s">
        <v>17</v>
      </c>
      <c r="AA242" s="12" t="s">
        <v>17</v>
      </c>
      <c r="AB242" s="12" t="s">
        <v>17</v>
      </c>
      <c r="AC242" s="12" t="s">
        <v>144</v>
      </c>
      <c r="AD242" s="12" t="s">
        <v>17</v>
      </c>
      <c r="AE242" s="12" t="s">
        <v>17</v>
      </c>
      <c r="AF242" s="12" t="s">
        <v>45</v>
      </c>
    </row>
    <row r="243" spans="1:32" x14ac:dyDescent="0.2">
      <c r="A243" s="12" t="s">
        <v>3122</v>
      </c>
      <c r="B243" s="12" t="s">
        <v>3123</v>
      </c>
      <c r="C243" s="12" t="s">
        <v>3124</v>
      </c>
      <c r="D243" s="12" t="s">
        <v>100</v>
      </c>
      <c r="E243" s="12" t="s">
        <v>7678</v>
      </c>
      <c r="F243" s="12" t="s">
        <v>5458</v>
      </c>
      <c r="G243" s="12" t="s">
        <v>222</v>
      </c>
      <c r="H243" s="12" t="s">
        <v>6614</v>
      </c>
      <c r="I243" s="12">
        <v>4300</v>
      </c>
      <c r="J243" s="12" t="s">
        <v>3106</v>
      </c>
      <c r="K243" s="12" t="s">
        <v>6654</v>
      </c>
      <c r="L243" s="12" t="s">
        <v>3053</v>
      </c>
      <c r="M243" s="12" t="s">
        <v>3053</v>
      </c>
      <c r="N243" s="12" t="s">
        <v>5785</v>
      </c>
      <c r="O243" s="12" t="s">
        <v>3063</v>
      </c>
      <c r="P243" s="12" t="s">
        <v>18</v>
      </c>
      <c r="Q243" s="12" t="s">
        <v>6653</v>
      </c>
      <c r="R243" s="12">
        <v>53.708561000000003</v>
      </c>
      <c r="S243" s="12">
        <v>90.359808000000001</v>
      </c>
      <c r="T243" s="12" t="s">
        <v>25</v>
      </c>
      <c r="U243" s="12" t="s">
        <v>3084</v>
      </c>
      <c r="V243" s="12" t="s">
        <v>6639</v>
      </c>
      <c r="W243" s="12" t="s">
        <v>6639</v>
      </c>
      <c r="X243" s="12">
        <v>1.3</v>
      </c>
      <c r="Y243" s="12">
        <v>737228</v>
      </c>
      <c r="Z243" s="12" t="s">
        <v>6639</v>
      </c>
      <c r="AA243" s="12" t="s">
        <v>6639</v>
      </c>
      <c r="AB243" s="12" t="s">
        <v>17</v>
      </c>
      <c r="AC243" s="12" t="s">
        <v>144</v>
      </c>
      <c r="AD243" s="12" t="s">
        <v>17</v>
      </c>
      <c r="AE243" s="12" t="s">
        <v>17</v>
      </c>
      <c r="AF243" s="12" t="s">
        <v>45</v>
      </c>
    </row>
    <row r="244" spans="1:32" x14ac:dyDescent="0.2">
      <c r="A244" s="12" t="s">
        <v>3116</v>
      </c>
      <c r="B244" s="12" t="s">
        <v>3117</v>
      </c>
      <c r="C244" s="12" t="s">
        <v>3118</v>
      </c>
      <c r="D244" s="12" t="s">
        <v>100</v>
      </c>
      <c r="E244" s="12" t="s">
        <v>7678</v>
      </c>
      <c r="F244" s="12" t="s">
        <v>5458</v>
      </c>
      <c r="G244" s="12" t="s">
        <v>222</v>
      </c>
      <c r="H244" s="12" t="s">
        <v>6614</v>
      </c>
      <c r="I244" s="12">
        <v>4300</v>
      </c>
      <c r="J244" s="12" t="s">
        <v>3106</v>
      </c>
      <c r="K244" s="12" t="s">
        <v>6654</v>
      </c>
      <c r="L244" s="12" t="s">
        <v>3053</v>
      </c>
      <c r="M244" s="12" t="s">
        <v>3053</v>
      </c>
      <c r="N244" s="12" t="s">
        <v>5785</v>
      </c>
      <c r="O244" s="12" t="s">
        <v>3063</v>
      </c>
      <c r="P244" s="12" t="s">
        <v>18</v>
      </c>
      <c r="Q244" s="12" t="s">
        <v>6653</v>
      </c>
      <c r="R244" s="12">
        <v>53.708561000000003</v>
      </c>
      <c r="S244" s="12">
        <v>90.359808000000001</v>
      </c>
      <c r="T244" s="12" t="s">
        <v>25</v>
      </c>
      <c r="U244" s="12" t="s">
        <v>2493</v>
      </c>
      <c r="V244" s="12" t="s">
        <v>6639</v>
      </c>
      <c r="W244" s="12" t="s">
        <v>6639</v>
      </c>
      <c r="X244" s="12">
        <v>1.5</v>
      </c>
      <c r="Y244" s="12">
        <v>783545</v>
      </c>
      <c r="Z244" s="12" t="s">
        <v>6639</v>
      </c>
      <c r="AA244" s="12" t="s">
        <v>6639</v>
      </c>
      <c r="AB244" s="12" t="s">
        <v>17</v>
      </c>
      <c r="AC244" s="12" t="s">
        <v>144</v>
      </c>
      <c r="AD244" s="12" t="s">
        <v>17</v>
      </c>
      <c r="AE244" s="12" t="s">
        <v>17</v>
      </c>
      <c r="AF244" s="12" t="s">
        <v>45</v>
      </c>
    </row>
    <row r="245" spans="1:32" x14ac:dyDescent="0.2">
      <c r="A245" s="12" t="s">
        <v>4989</v>
      </c>
      <c r="B245" s="12" t="s">
        <v>4989</v>
      </c>
      <c r="C245" s="12" t="s">
        <v>4990</v>
      </c>
      <c r="D245" s="12" t="s">
        <v>143</v>
      </c>
      <c r="E245" s="12" t="s">
        <v>8110</v>
      </c>
      <c r="F245" s="12" t="s">
        <v>5458</v>
      </c>
      <c r="G245" s="12" t="s">
        <v>5453</v>
      </c>
      <c r="H245" s="12" t="s">
        <v>6626</v>
      </c>
      <c r="I245" s="12">
        <v>4300</v>
      </c>
      <c r="J245" s="12" t="s">
        <v>4992</v>
      </c>
      <c r="K245" s="12" t="s">
        <v>6654</v>
      </c>
      <c r="L245" s="12" t="s">
        <v>4974</v>
      </c>
      <c r="M245" s="12" t="s">
        <v>4980</v>
      </c>
      <c r="N245" s="12" t="s">
        <v>5785</v>
      </c>
      <c r="O245" s="12" t="s">
        <v>4993</v>
      </c>
      <c r="P245" s="12" t="s">
        <v>18</v>
      </c>
      <c r="Q245" s="12" t="s">
        <v>6653</v>
      </c>
      <c r="R245" s="12">
        <v>49.966666670000002</v>
      </c>
      <c r="S245" s="12">
        <v>44.666666669999998</v>
      </c>
      <c r="T245" s="12" t="s">
        <v>11</v>
      </c>
      <c r="U245" s="12" t="s">
        <v>4994</v>
      </c>
      <c r="V245" s="12" t="s">
        <v>37</v>
      </c>
      <c r="W245" s="12" t="s">
        <v>7160</v>
      </c>
      <c r="X245" s="12">
        <v>0.77633399999999997</v>
      </c>
      <c r="Y245" s="12">
        <v>596425</v>
      </c>
      <c r="Z245" s="12">
        <v>4.7210000000000004E-3</v>
      </c>
      <c r="AA245" s="12">
        <v>1.4590847418863331</v>
      </c>
      <c r="AB245" s="12" t="s">
        <v>4991</v>
      </c>
      <c r="AC245" s="12" t="s">
        <v>21</v>
      </c>
      <c r="AD245" s="12">
        <v>4.2999999999999997E-2</v>
      </c>
      <c r="AE245" s="12">
        <v>0.999</v>
      </c>
      <c r="AF245" s="12" t="s">
        <v>45</v>
      </c>
    </row>
    <row r="246" spans="1:32" x14ac:dyDescent="0.2">
      <c r="A246" s="12" t="s">
        <v>3085</v>
      </c>
      <c r="B246" s="12" t="s">
        <v>3086</v>
      </c>
      <c r="C246" s="12" t="s">
        <v>6979</v>
      </c>
      <c r="D246" s="12" t="s">
        <v>143</v>
      </c>
      <c r="E246" s="12" t="s">
        <v>7678</v>
      </c>
      <c r="F246" s="12" t="s">
        <v>5460</v>
      </c>
      <c r="G246" s="12" t="s">
        <v>222</v>
      </c>
      <c r="H246" s="12" t="s">
        <v>6614</v>
      </c>
      <c r="I246" s="12">
        <v>4283</v>
      </c>
      <c r="J246" s="12" t="s">
        <v>3087</v>
      </c>
      <c r="K246" s="12" t="s">
        <v>6654</v>
      </c>
      <c r="L246" s="12" t="s">
        <v>3053</v>
      </c>
      <c r="M246" s="12" t="s">
        <v>3053</v>
      </c>
      <c r="N246" s="12" t="s">
        <v>5785</v>
      </c>
      <c r="O246" s="12" t="s">
        <v>3071</v>
      </c>
      <c r="P246" s="12" t="s">
        <v>18</v>
      </c>
      <c r="Q246" s="12" t="s">
        <v>6653</v>
      </c>
      <c r="R246" s="12">
        <v>53.547806000000001</v>
      </c>
      <c r="S246" s="12">
        <v>91.025649999999999</v>
      </c>
      <c r="T246" s="12" t="s">
        <v>11</v>
      </c>
      <c r="U246" s="12" t="s">
        <v>2475</v>
      </c>
      <c r="V246" s="12" t="s">
        <v>2545</v>
      </c>
      <c r="W246" s="12" t="s">
        <v>7415</v>
      </c>
      <c r="X246" s="12">
        <v>4.5999999999999996</v>
      </c>
      <c r="Y246" s="12">
        <v>1121362</v>
      </c>
      <c r="Z246" s="12" t="s">
        <v>17</v>
      </c>
      <c r="AA246" s="12" t="s">
        <v>17</v>
      </c>
      <c r="AB246" s="12" t="s">
        <v>17</v>
      </c>
      <c r="AC246" s="12" t="s">
        <v>144</v>
      </c>
      <c r="AD246" s="12" t="s">
        <v>17</v>
      </c>
      <c r="AE246" s="12" t="s">
        <v>17</v>
      </c>
      <c r="AF246" s="12" t="s">
        <v>45</v>
      </c>
    </row>
    <row r="247" spans="1:32" x14ac:dyDescent="0.2">
      <c r="A247" s="12" t="s">
        <v>3080</v>
      </c>
      <c r="B247" s="12" t="s">
        <v>3081</v>
      </c>
      <c r="C247" s="12" t="s">
        <v>3082</v>
      </c>
      <c r="D247" s="12" t="s">
        <v>13</v>
      </c>
      <c r="E247" s="12" t="s">
        <v>7678</v>
      </c>
      <c r="F247" s="12" t="s">
        <v>5460</v>
      </c>
      <c r="G247" s="12" t="s">
        <v>222</v>
      </c>
      <c r="H247" s="12" t="s">
        <v>6614</v>
      </c>
      <c r="I247" s="12">
        <v>4253</v>
      </c>
      <c r="J247" s="12" t="s">
        <v>3083</v>
      </c>
      <c r="K247" s="12" t="s">
        <v>6654</v>
      </c>
      <c r="L247" s="12" t="s">
        <v>3053</v>
      </c>
      <c r="M247" s="12" t="s">
        <v>3053</v>
      </c>
      <c r="N247" s="12" t="s">
        <v>5785</v>
      </c>
      <c r="O247" s="12" t="s">
        <v>3063</v>
      </c>
      <c r="P247" s="12" t="s">
        <v>18</v>
      </c>
      <c r="Q247" s="12" t="s">
        <v>6653</v>
      </c>
      <c r="R247" s="12">
        <v>53.708561000000003</v>
      </c>
      <c r="S247" s="12">
        <v>90.359808000000001</v>
      </c>
      <c r="T247" s="12" t="s">
        <v>25</v>
      </c>
      <c r="U247" s="12" t="s">
        <v>3084</v>
      </c>
      <c r="V247" s="12" t="s">
        <v>6639</v>
      </c>
      <c r="W247" s="12" t="s">
        <v>6639</v>
      </c>
      <c r="X247" s="12">
        <v>0.5</v>
      </c>
      <c r="Y247" s="12">
        <v>398996</v>
      </c>
      <c r="Z247" s="12" t="s">
        <v>6639</v>
      </c>
      <c r="AA247" s="12" t="s">
        <v>6639</v>
      </c>
      <c r="AB247" s="12" t="s">
        <v>17</v>
      </c>
      <c r="AC247" s="12" t="s">
        <v>144</v>
      </c>
      <c r="AD247" s="12" t="s">
        <v>17</v>
      </c>
      <c r="AE247" s="12" t="s">
        <v>17</v>
      </c>
      <c r="AF247" s="12" t="s">
        <v>45</v>
      </c>
    </row>
    <row r="248" spans="1:32" x14ac:dyDescent="0.2">
      <c r="A248" s="12" t="s">
        <v>3076</v>
      </c>
      <c r="B248" s="12" t="s">
        <v>3077</v>
      </c>
      <c r="C248" s="12" t="s">
        <v>3078</v>
      </c>
      <c r="D248" s="12" t="s">
        <v>100</v>
      </c>
      <c r="E248" s="12" t="s">
        <v>7678</v>
      </c>
      <c r="F248" s="12" t="s">
        <v>5460</v>
      </c>
      <c r="G248" s="12" t="s">
        <v>222</v>
      </c>
      <c r="H248" s="12" t="s">
        <v>6614</v>
      </c>
      <c r="I248" s="12">
        <v>4193</v>
      </c>
      <c r="J248" s="12" t="s">
        <v>3079</v>
      </c>
      <c r="K248" s="12" t="s">
        <v>6654</v>
      </c>
      <c r="L248" s="12" t="s">
        <v>3053</v>
      </c>
      <c r="M248" s="12" t="s">
        <v>3053</v>
      </c>
      <c r="N248" s="12" t="s">
        <v>5785</v>
      </c>
      <c r="O248" s="12" t="s">
        <v>3056</v>
      </c>
      <c r="P248" s="12" t="s">
        <v>18</v>
      </c>
      <c r="Q248" s="12" t="s">
        <v>6653</v>
      </c>
      <c r="R248" s="12">
        <v>53.156486000000001</v>
      </c>
      <c r="S248" s="12">
        <v>90.207811000000007</v>
      </c>
      <c r="T248" s="12" t="s">
        <v>25</v>
      </c>
      <c r="U248" s="12" t="s">
        <v>3057</v>
      </c>
      <c r="V248" s="12" t="s">
        <v>6639</v>
      </c>
      <c r="W248" s="12" t="s">
        <v>6639</v>
      </c>
      <c r="X248" s="12">
        <v>0.6</v>
      </c>
      <c r="Y248" s="12">
        <v>442519</v>
      </c>
      <c r="Z248" s="12" t="s">
        <v>6639</v>
      </c>
      <c r="AA248" s="12" t="s">
        <v>6639</v>
      </c>
      <c r="AB248" s="12" t="s">
        <v>17</v>
      </c>
      <c r="AC248" s="12" t="s">
        <v>144</v>
      </c>
      <c r="AD248" s="12" t="s">
        <v>17</v>
      </c>
      <c r="AE248" s="12" t="s">
        <v>17</v>
      </c>
      <c r="AF248" s="12" t="s">
        <v>45</v>
      </c>
    </row>
    <row r="249" spans="1:32" x14ac:dyDescent="0.2">
      <c r="A249" s="12" t="s">
        <v>1384</v>
      </c>
      <c r="B249" s="12" t="s">
        <v>1385</v>
      </c>
      <c r="C249" s="12" t="s">
        <v>7570</v>
      </c>
      <c r="D249" s="12" t="s">
        <v>143</v>
      </c>
      <c r="E249" s="12" t="s">
        <v>7678</v>
      </c>
      <c r="F249" s="12" t="s">
        <v>5460</v>
      </c>
      <c r="G249" s="12" t="s">
        <v>222</v>
      </c>
      <c r="H249" s="12" t="s">
        <v>6614</v>
      </c>
      <c r="I249" s="12">
        <v>4112</v>
      </c>
      <c r="J249" s="12" t="s">
        <v>1387</v>
      </c>
      <c r="K249" s="12" t="s">
        <v>6654</v>
      </c>
      <c r="L249" s="12" t="s">
        <v>1386</v>
      </c>
      <c r="M249" s="12" t="s">
        <v>1386</v>
      </c>
      <c r="N249" s="12" t="s">
        <v>5785</v>
      </c>
      <c r="O249" s="12" t="s">
        <v>1388</v>
      </c>
      <c r="P249" s="12" t="s">
        <v>1152</v>
      </c>
      <c r="Q249" s="12" t="s">
        <v>6653</v>
      </c>
      <c r="R249" s="12">
        <v>51.631338999999997</v>
      </c>
      <c r="S249" s="12">
        <v>74.664450000000002</v>
      </c>
      <c r="T249" s="12" t="s">
        <v>25</v>
      </c>
      <c r="U249" s="12" t="s">
        <v>1389</v>
      </c>
      <c r="V249" s="12" t="s">
        <v>6639</v>
      </c>
      <c r="W249" s="12" t="s">
        <v>6639</v>
      </c>
      <c r="X249" s="12">
        <v>9.1</v>
      </c>
      <c r="Y249" s="12">
        <v>1093798</v>
      </c>
      <c r="Z249" s="12" t="s">
        <v>6639</v>
      </c>
      <c r="AA249" s="12" t="s">
        <v>6639</v>
      </c>
      <c r="AB249" s="12" t="s">
        <v>17</v>
      </c>
      <c r="AC249" s="12" t="s">
        <v>144</v>
      </c>
      <c r="AD249" s="12" t="s">
        <v>17</v>
      </c>
      <c r="AE249" s="12" t="s">
        <v>17</v>
      </c>
      <c r="AF249" s="12" t="s">
        <v>45</v>
      </c>
    </row>
    <row r="250" spans="1:32" x14ac:dyDescent="0.2">
      <c r="A250" s="12" t="s">
        <v>3072</v>
      </c>
      <c r="B250" s="12" t="s">
        <v>3073</v>
      </c>
      <c r="C250" s="12" t="s">
        <v>3074</v>
      </c>
      <c r="D250" s="12" t="s">
        <v>13</v>
      </c>
      <c r="E250" s="12" t="s">
        <v>7678</v>
      </c>
      <c r="F250" s="12" t="s">
        <v>5460</v>
      </c>
      <c r="G250" s="12" t="s">
        <v>222</v>
      </c>
      <c r="H250" s="12" t="s">
        <v>6614</v>
      </c>
      <c r="I250" s="12">
        <v>4079</v>
      </c>
      <c r="J250" s="12" t="s">
        <v>3075</v>
      </c>
      <c r="K250" s="12" t="s">
        <v>6654</v>
      </c>
      <c r="L250" s="12" t="s">
        <v>3053</v>
      </c>
      <c r="M250" s="12" t="s">
        <v>3053</v>
      </c>
      <c r="N250" s="12" t="s">
        <v>5785</v>
      </c>
      <c r="O250" s="12" t="s">
        <v>3056</v>
      </c>
      <c r="P250" s="12" t="s">
        <v>18</v>
      </c>
      <c r="Q250" s="12" t="s">
        <v>6653</v>
      </c>
      <c r="R250" s="12">
        <v>53.156486000000001</v>
      </c>
      <c r="S250" s="12">
        <v>90.207811000000007</v>
      </c>
      <c r="T250" s="12" t="s">
        <v>11</v>
      </c>
      <c r="U250" s="12" t="s">
        <v>2493</v>
      </c>
      <c r="V250" s="12" t="s">
        <v>69</v>
      </c>
      <c r="W250" s="12" t="s">
        <v>7415</v>
      </c>
      <c r="X250" s="12">
        <v>2.6</v>
      </c>
      <c r="Y250" s="12">
        <v>1037305</v>
      </c>
      <c r="Z250" s="12" t="s">
        <v>17</v>
      </c>
      <c r="AA250" s="12" t="s">
        <v>17</v>
      </c>
      <c r="AB250" s="12" t="s">
        <v>17</v>
      </c>
      <c r="AC250" s="12" t="s">
        <v>144</v>
      </c>
      <c r="AD250" s="12" t="s">
        <v>17</v>
      </c>
      <c r="AE250" s="12" t="s">
        <v>17</v>
      </c>
      <c r="AF250" s="12" t="s">
        <v>45</v>
      </c>
    </row>
    <row r="251" spans="1:32" x14ac:dyDescent="0.2">
      <c r="A251" s="12" t="s">
        <v>3068</v>
      </c>
      <c r="B251" s="12" t="s">
        <v>3069</v>
      </c>
      <c r="C251" s="12" t="s">
        <v>6978</v>
      </c>
      <c r="D251" s="12" t="s">
        <v>143</v>
      </c>
      <c r="E251" s="12" t="s">
        <v>7678</v>
      </c>
      <c r="F251" s="12" t="s">
        <v>5460</v>
      </c>
      <c r="G251" s="12" t="s">
        <v>222</v>
      </c>
      <c r="H251" s="12" t="s">
        <v>6614</v>
      </c>
      <c r="I251" s="12">
        <v>4070</v>
      </c>
      <c r="J251" s="12" t="s">
        <v>3070</v>
      </c>
      <c r="K251" s="12" t="s">
        <v>6654</v>
      </c>
      <c r="L251" s="12" t="s">
        <v>3053</v>
      </c>
      <c r="M251" s="12" t="s">
        <v>3053</v>
      </c>
      <c r="N251" s="12" t="s">
        <v>5785</v>
      </c>
      <c r="O251" s="12" t="s">
        <v>3071</v>
      </c>
      <c r="P251" s="12" t="s">
        <v>18</v>
      </c>
      <c r="Q251" s="12" t="s">
        <v>6653</v>
      </c>
      <c r="R251" s="12">
        <v>53.547806000000001</v>
      </c>
      <c r="S251" s="12">
        <v>91.025649999999999</v>
      </c>
      <c r="T251" s="12" t="s">
        <v>11</v>
      </c>
      <c r="U251" s="12" t="s">
        <v>1205</v>
      </c>
      <c r="V251" s="12" t="s">
        <v>2525</v>
      </c>
      <c r="W251" s="12" t="s">
        <v>7415</v>
      </c>
      <c r="X251" s="12">
        <v>0.6</v>
      </c>
      <c r="Y251" s="12">
        <v>364595</v>
      </c>
      <c r="Z251" s="12" t="s">
        <v>17</v>
      </c>
      <c r="AA251" s="12" t="s">
        <v>17</v>
      </c>
      <c r="AB251" s="12" t="s">
        <v>17</v>
      </c>
      <c r="AC251" s="12" t="s">
        <v>144</v>
      </c>
      <c r="AD251" s="12" t="s">
        <v>17</v>
      </c>
      <c r="AE251" s="12" t="s">
        <v>17</v>
      </c>
      <c r="AF251" s="12" t="s">
        <v>45</v>
      </c>
    </row>
    <row r="252" spans="1:32" x14ac:dyDescent="0.2">
      <c r="A252" s="12" t="s">
        <v>3064</v>
      </c>
      <c r="B252" s="12" t="s">
        <v>3065</v>
      </c>
      <c r="C252" s="12" t="s">
        <v>3066</v>
      </c>
      <c r="D252" s="12" t="s">
        <v>100</v>
      </c>
      <c r="E252" s="12" t="s">
        <v>7678</v>
      </c>
      <c r="F252" s="12" t="s">
        <v>5460</v>
      </c>
      <c r="G252" s="12" t="s">
        <v>222</v>
      </c>
      <c r="H252" s="12" t="s">
        <v>6614</v>
      </c>
      <c r="I252" s="12">
        <v>4069</v>
      </c>
      <c r="J252" s="12" t="s">
        <v>3067</v>
      </c>
      <c r="K252" s="12" t="s">
        <v>6654</v>
      </c>
      <c r="L252" s="12" t="s">
        <v>3053</v>
      </c>
      <c r="M252" s="12" t="s">
        <v>3053</v>
      </c>
      <c r="N252" s="12" t="s">
        <v>5785</v>
      </c>
      <c r="O252" s="12" t="s">
        <v>3056</v>
      </c>
      <c r="P252" s="12" t="s">
        <v>18</v>
      </c>
      <c r="Q252" s="12" t="s">
        <v>6653</v>
      </c>
      <c r="R252" s="12">
        <v>53.156486000000001</v>
      </c>
      <c r="S252" s="12">
        <v>90.207811000000007</v>
      </c>
      <c r="T252" s="12" t="s">
        <v>25</v>
      </c>
      <c r="U252" s="12" t="s">
        <v>51</v>
      </c>
      <c r="V252" s="12" t="s">
        <v>6639</v>
      </c>
      <c r="W252" s="12" t="s">
        <v>6639</v>
      </c>
      <c r="X252" s="12">
        <v>0.9</v>
      </c>
      <c r="Y252" s="12">
        <v>619017</v>
      </c>
      <c r="Z252" s="12" t="s">
        <v>6639</v>
      </c>
      <c r="AA252" s="12" t="s">
        <v>6639</v>
      </c>
      <c r="AB252" s="12" t="s">
        <v>17</v>
      </c>
      <c r="AC252" s="12" t="s">
        <v>144</v>
      </c>
      <c r="AD252" s="12" t="s">
        <v>17</v>
      </c>
      <c r="AE252" s="12" t="s">
        <v>17</v>
      </c>
      <c r="AF252" s="12" t="s">
        <v>45</v>
      </c>
    </row>
    <row r="253" spans="1:32" x14ac:dyDescent="0.2">
      <c r="A253" s="12" t="s">
        <v>1211</v>
      </c>
      <c r="B253" s="12" t="s">
        <v>1211</v>
      </c>
      <c r="C253" s="12" t="s">
        <v>7577</v>
      </c>
      <c r="D253" s="12" t="s">
        <v>13</v>
      </c>
      <c r="E253" s="12" t="s">
        <v>8108</v>
      </c>
      <c r="F253" s="12" t="s">
        <v>1213</v>
      </c>
      <c r="G253" s="12" t="s">
        <v>5453</v>
      </c>
      <c r="H253" s="12" t="s">
        <v>7639</v>
      </c>
      <c r="I253" s="12">
        <v>4064</v>
      </c>
      <c r="J253" s="12" t="s">
        <v>1213</v>
      </c>
      <c r="K253" s="12" t="s">
        <v>6654</v>
      </c>
      <c r="L253" s="12" t="s">
        <v>1199</v>
      </c>
      <c r="M253" s="12" t="s">
        <v>1212</v>
      </c>
      <c r="N253" s="12" t="s">
        <v>5785</v>
      </c>
      <c r="O253" s="12" t="s">
        <v>1214</v>
      </c>
      <c r="P253" s="12" t="s">
        <v>1152</v>
      </c>
      <c r="Q253" s="12" t="s">
        <v>6653</v>
      </c>
      <c r="R253" s="12">
        <v>50.46</v>
      </c>
      <c r="S253" s="12">
        <v>49.2</v>
      </c>
      <c r="T253" s="12" t="s">
        <v>11</v>
      </c>
      <c r="U253" s="12" t="s">
        <v>1215</v>
      </c>
      <c r="V253" s="12" t="s">
        <v>1216</v>
      </c>
      <c r="W253" s="12" t="s">
        <v>7415</v>
      </c>
      <c r="X253" s="12">
        <v>4.010802</v>
      </c>
      <c r="Y253" s="12">
        <v>767737</v>
      </c>
      <c r="Z253" s="12">
        <v>3.8960000000000002E-3</v>
      </c>
      <c r="AA253" s="12">
        <v>4.3337523220503007</v>
      </c>
      <c r="AB253" s="12" t="s">
        <v>1210</v>
      </c>
      <c r="AC253" s="12" t="s">
        <v>21</v>
      </c>
      <c r="AD253" s="12">
        <v>0.106</v>
      </c>
      <c r="AE253" s="12">
        <v>0.995</v>
      </c>
      <c r="AF253" s="12" t="s">
        <v>59</v>
      </c>
    </row>
    <row r="254" spans="1:32" x14ac:dyDescent="0.2">
      <c r="A254" s="12" t="s">
        <v>2369</v>
      </c>
      <c r="B254" s="12" t="s">
        <v>2369</v>
      </c>
      <c r="C254" s="12" t="s">
        <v>6737</v>
      </c>
      <c r="D254" s="12" t="s">
        <v>13</v>
      </c>
      <c r="E254" s="12" t="s">
        <v>8110</v>
      </c>
      <c r="F254" s="12" t="s">
        <v>2372</v>
      </c>
      <c r="G254" s="12" t="s">
        <v>5453</v>
      </c>
      <c r="H254" s="12" t="s">
        <v>6612</v>
      </c>
      <c r="I254" s="12">
        <v>4062</v>
      </c>
      <c r="J254" s="12" t="s">
        <v>2372</v>
      </c>
      <c r="K254" s="12" t="s">
        <v>6654</v>
      </c>
      <c r="L254" s="12" t="s">
        <v>2370</v>
      </c>
      <c r="M254" s="12" t="s">
        <v>2370</v>
      </c>
      <c r="N254" s="12" t="s">
        <v>5785</v>
      </c>
      <c r="O254" s="12" t="s">
        <v>2373</v>
      </c>
      <c r="P254" s="12" t="s">
        <v>1152</v>
      </c>
      <c r="Q254" s="12" t="s">
        <v>6653</v>
      </c>
      <c r="R254" s="12">
        <v>48.832683000000003</v>
      </c>
      <c r="S254" s="12">
        <v>83.909744000000003</v>
      </c>
      <c r="T254" s="12" t="s">
        <v>11</v>
      </c>
      <c r="U254" s="12" t="s">
        <v>933</v>
      </c>
      <c r="V254" s="12" t="s">
        <v>2374</v>
      </c>
      <c r="W254" s="12" t="s">
        <v>7415</v>
      </c>
      <c r="X254" s="12">
        <v>0.126689</v>
      </c>
      <c r="Y254" s="12">
        <v>136470</v>
      </c>
      <c r="Z254" s="12" t="s">
        <v>8052</v>
      </c>
      <c r="AA254" s="12" t="s">
        <v>8052</v>
      </c>
      <c r="AB254" s="12" t="s">
        <v>2371</v>
      </c>
      <c r="AC254" s="12" t="s">
        <v>21</v>
      </c>
      <c r="AD254" s="12">
        <v>0.1</v>
      </c>
      <c r="AE254" s="12">
        <v>0.999</v>
      </c>
      <c r="AF254" s="12" t="s">
        <v>45</v>
      </c>
    </row>
    <row r="255" spans="1:32" x14ac:dyDescent="0.2">
      <c r="A255" s="12" t="s">
        <v>3059</v>
      </c>
      <c r="B255" s="12" t="s">
        <v>3060</v>
      </c>
      <c r="C255" s="12" t="s">
        <v>3061</v>
      </c>
      <c r="D255" s="12" t="s">
        <v>100</v>
      </c>
      <c r="E255" s="12" t="s">
        <v>7678</v>
      </c>
      <c r="F255" s="12" t="s">
        <v>5460</v>
      </c>
      <c r="G255" s="12" t="s">
        <v>222</v>
      </c>
      <c r="H255" s="12" t="s">
        <v>6614</v>
      </c>
      <c r="I255" s="12">
        <v>3977</v>
      </c>
      <c r="J255" s="12" t="s">
        <v>3062</v>
      </c>
      <c r="K255" s="12" t="s">
        <v>6654</v>
      </c>
      <c r="L255" s="12" t="s">
        <v>3053</v>
      </c>
      <c r="M255" s="12" t="s">
        <v>3053</v>
      </c>
      <c r="N255" s="12" t="s">
        <v>5785</v>
      </c>
      <c r="O255" s="12" t="s">
        <v>3063</v>
      </c>
      <c r="P255" s="12" t="s">
        <v>18</v>
      </c>
      <c r="Q255" s="12" t="s">
        <v>6653</v>
      </c>
      <c r="R255" s="12">
        <v>53.708561000000003</v>
      </c>
      <c r="S255" s="12">
        <v>90.359808000000001</v>
      </c>
      <c r="T255" s="12" t="s">
        <v>11</v>
      </c>
      <c r="U255" s="12" t="s">
        <v>120</v>
      </c>
      <c r="V255" s="12" t="s">
        <v>2408</v>
      </c>
      <c r="W255" s="12" t="s">
        <v>7415</v>
      </c>
      <c r="X255" s="12">
        <v>2</v>
      </c>
      <c r="Y255" s="12">
        <v>858265</v>
      </c>
      <c r="Z255" s="12" t="s">
        <v>17</v>
      </c>
      <c r="AA255" s="12" t="s">
        <v>17</v>
      </c>
      <c r="AB255" s="12" t="s">
        <v>17</v>
      </c>
      <c r="AC255" s="12" t="s">
        <v>144</v>
      </c>
      <c r="AD255" s="12" t="s">
        <v>17</v>
      </c>
      <c r="AE255" s="12" t="s">
        <v>17</v>
      </c>
      <c r="AF255" s="12" t="s">
        <v>45</v>
      </c>
    </row>
    <row r="256" spans="1:32" x14ac:dyDescent="0.2">
      <c r="A256" s="12" t="s">
        <v>3051</v>
      </c>
      <c r="B256" s="12" t="s">
        <v>3052</v>
      </c>
      <c r="C256" s="12" t="s">
        <v>3054</v>
      </c>
      <c r="D256" s="12" t="s">
        <v>13</v>
      </c>
      <c r="E256" s="12" t="s">
        <v>7678</v>
      </c>
      <c r="F256" s="12" t="s">
        <v>5460</v>
      </c>
      <c r="G256" s="12" t="s">
        <v>222</v>
      </c>
      <c r="H256" s="12" t="s">
        <v>6614</v>
      </c>
      <c r="I256" s="12">
        <v>3963</v>
      </c>
      <c r="J256" s="12" t="s">
        <v>3055</v>
      </c>
      <c r="K256" s="12" t="s">
        <v>6654</v>
      </c>
      <c r="L256" s="12" t="s">
        <v>3053</v>
      </c>
      <c r="M256" s="12" t="s">
        <v>3053</v>
      </c>
      <c r="N256" s="12" t="s">
        <v>5785</v>
      </c>
      <c r="O256" s="12" t="s">
        <v>3056</v>
      </c>
      <c r="P256" s="12" t="s">
        <v>18</v>
      </c>
      <c r="Q256" s="12" t="s">
        <v>6653</v>
      </c>
      <c r="R256" s="12">
        <v>53.156486000000001</v>
      </c>
      <c r="S256" s="12">
        <v>90.207811000000007</v>
      </c>
      <c r="T256" s="12" t="s">
        <v>11</v>
      </c>
      <c r="U256" s="12" t="s">
        <v>3057</v>
      </c>
      <c r="V256" s="12" t="s">
        <v>3058</v>
      </c>
      <c r="W256" s="12" t="s">
        <v>7415</v>
      </c>
      <c r="X256" s="12">
        <v>0.7</v>
      </c>
      <c r="Y256" s="12">
        <v>509040</v>
      </c>
      <c r="Z256" s="12" t="s">
        <v>17</v>
      </c>
      <c r="AA256" s="12" t="s">
        <v>17</v>
      </c>
      <c r="AB256" s="12" t="s">
        <v>17</v>
      </c>
      <c r="AC256" s="12" t="s">
        <v>144</v>
      </c>
      <c r="AD256" s="12" t="s">
        <v>17</v>
      </c>
      <c r="AE256" s="12" t="s">
        <v>17</v>
      </c>
      <c r="AF256" s="12" t="s">
        <v>45</v>
      </c>
    </row>
    <row r="257" spans="1:32" x14ac:dyDescent="0.2">
      <c r="A257" s="12" t="s">
        <v>2541</v>
      </c>
      <c r="B257" s="12" t="s">
        <v>2542</v>
      </c>
      <c r="C257" s="12" t="s">
        <v>2543</v>
      </c>
      <c r="D257" s="12" t="s">
        <v>17</v>
      </c>
      <c r="E257" s="12" t="s">
        <v>7678</v>
      </c>
      <c r="F257" s="12" t="s">
        <v>5460</v>
      </c>
      <c r="G257" s="12" t="s">
        <v>2415</v>
      </c>
      <c r="H257" s="12" t="s">
        <v>6614</v>
      </c>
      <c r="I257" s="12">
        <v>2619</v>
      </c>
      <c r="J257" s="12" t="s">
        <v>2544</v>
      </c>
      <c r="K257" s="12" t="s">
        <v>6655</v>
      </c>
      <c r="L257" s="12" t="s">
        <v>2533</v>
      </c>
      <c r="M257" s="12" t="s">
        <v>2533</v>
      </c>
      <c r="N257" s="12" t="s">
        <v>5785</v>
      </c>
      <c r="O257" s="12" t="s">
        <v>2420</v>
      </c>
      <c r="P257" s="12" t="s">
        <v>1152</v>
      </c>
      <c r="Q257" s="12" t="s">
        <v>6653</v>
      </c>
      <c r="R257" s="12">
        <v>43.182222222199997</v>
      </c>
      <c r="S257" s="12">
        <v>76.413055555599996</v>
      </c>
      <c r="T257" s="12" t="s">
        <v>11</v>
      </c>
      <c r="U257" s="12" t="s">
        <v>1265</v>
      </c>
      <c r="V257" s="12" t="s">
        <v>2545</v>
      </c>
      <c r="W257" s="12" t="s">
        <v>7415</v>
      </c>
      <c r="X257" s="12">
        <v>2.9780000000000002</v>
      </c>
      <c r="Y257" s="12">
        <v>1052809</v>
      </c>
      <c r="Z257" s="12" t="s">
        <v>17</v>
      </c>
      <c r="AA257" s="12" t="s">
        <v>17</v>
      </c>
      <c r="AB257" s="12" t="s">
        <v>17</v>
      </c>
      <c r="AC257" s="12" t="s">
        <v>144</v>
      </c>
      <c r="AD257" s="12" t="s">
        <v>17</v>
      </c>
      <c r="AE257" s="12" t="s">
        <v>17</v>
      </c>
      <c r="AF257" s="12" t="s">
        <v>45</v>
      </c>
    </row>
    <row r="258" spans="1:32" x14ac:dyDescent="0.2">
      <c r="A258" s="12" t="s">
        <v>2421</v>
      </c>
      <c r="B258" s="12" t="s">
        <v>2422</v>
      </c>
      <c r="C258" s="12" t="s">
        <v>2424</v>
      </c>
      <c r="D258" s="12" t="s">
        <v>17</v>
      </c>
      <c r="E258" s="12" t="s">
        <v>7678</v>
      </c>
      <c r="F258" s="12" t="s">
        <v>5460</v>
      </c>
      <c r="G258" s="12" t="s">
        <v>2415</v>
      </c>
      <c r="H258" s="12" t="s">
        <v>6614</v>
      </c>
      <c r="I258" s="12">
        <v>2560</v>
      </c>
      <c r="J258" s="12" t="s">
        <v>2425</v>
      </c>
      <c r="K258" s="12" t="s">
        <v>6655</v>
      </c>
      <c r="L258" s="12" t="s">
        <v>2423</v>
      </c>
      <c r="M258" s="12" t="s">
        <v>2423</v>
      </c>
      <c r="N258" s="12" t="s">
        <v>5785</v>
      </c>
      <c r="O258" s="12" t="s">
        <v>2420</v>
      </c>
      <c r="P258" s="12" t="s">
        <v>1152</v>
      </c>
      <c r="Q258" s="12" t="s">
        <v>6653</v>
      </c>
      <c r="R258" s="12">
        <v>50.888333333299997</v>
      </c>
      <c r="S258" s="12">
        <v>73.880277777800003</v>
      </c>
      <c r="T258" s="12" t="s">
        <v>25</v>
      </c>
      <c r="U258" s="12" t="s">
        <v>1547</v>
      </c>
      <c r="V258" s="12" t="s">
        <v>6639</v>
      </c>
      <c r="W258" s="12" t="s">
        <v>6639</v>
      </c>
      <c r="X258" s="12">
        <v>0.53600000000000003</v>
      </c>
      <c r="Y258" s="12">
        <v>391412</v>
      </c>
      <c r="Z258" s="12" t="s">
        <v>6639</v>
      </c>
      <c r="AA258" s="12" t="s">
        <v>6639</v>
      </c>
      <c r="AB258" s="12" t="s">
        <v>17</v>
      </c>
      <c r="AC258" s="12" t="s">
        <v>144</v>
      </c>
      <c r="AD258" s="12" t="s">
        <v>17</v>
      </c>
      <c r="AE258" s="12" t="s">
        <v>17</v>
      </c>
      <c r="AF258" s="12" t="s">
        <v>45</v>
      </c>
    </row>
    <row r="259" spans="1:32" x14ac:dyDescent="0.2">
      <c r="A259" s="12" t="s">
        <v>2426</v>
      </c>
      <c r="B259" s="12" t="s">
        <v>2427</v>
      </c>
      <c r="C259" s="12" t="s">
        <v>2428</v>
      </c>
      <c r="D259" s="12" t="s">
        <v>17</v>
      </c>
      <c r="E259" s="12" t="s">
        <v>7678</v>
      </c>
      <c r="F259" s="12" t="s">
        <v>5458</v>
      </c>
      <c r="G259" s="12" t="s">
        <v>2415</v>
      </c>
      <c r="H259" s="12" t="s">
        <v>6614</v>
      </c>
      <c r="I259" s="12">
        <v>2550</v>
      </c>
      <c r="J259" s="12" t="s">
        <v>2429</v>
      </c>
      <c r="K259" s="12" t="s">
        <v>6655</v>
      </c>
      <c r="L259" s="12" t="s">
        <v>2423</v>
      </c>
      <c r="M259" s="12" t="s">
        <v>2423</v>
      </c>
      <c r="N259" s="12" t="s">
        <v>5785</v>
      </c>
      <c r="O259" s="12" t="s">
        <v>2420</v>
      </c>
      <c r="P259" s="12" t="s">
        <v>1152</v>
      </c>
      <c r="Q259" s="12" t="s">
        <v>6653</v>
      </c>
      <c r="R259" s="12">
        <v>49.128888888900001</v>
      </c>
      <c r="S259" s="12">
        <v>72.913333333300002</v>
      </c>
      <c r="T259" s="12" t="s">
        <v>25</v>
      </c>
      <c r="U259" s="12" t="s">
        <v>2430</v>
      </c>
      <c r="V259" s="12" t="s">
        <v>6639</v>
      </c>
      <c r="W259" s="12" t="s">
        <v>6639</v>
      </c>
      <c r="X259" s="12">
        <v>0.63400000000000001</v>
      </c>
      <c r="Y259" s="12">
        <v>455750</v>
      </c>
      <c r="Z259" s="12" t="s">
        <v>6639</v>
      </c>
      <c r="AA259" s="12" t="s">
        <v>6639</v>
      </c>
      <c r="AB259" s="12" t="s">
        <v>17</v>
      </c>
      <c r="AC259" s="12" t="s">
        <v>144</v>
      </c>
      <c r="AD259" s="12" t="s">
        <v>17</v>
      </c>
      <c r="AE259" s="12" t="s">
        <v>17</v>
      </c>
      <c r="AF259" s="12" t="s">
        <v>45</v>
      </c>
    </row>
    <row r="260" spans="1:32" x14ac:dyDescent="0.2">
      <c r="A260" s="12" t="s">
        <v>2445</v>
      </c>
      <c r="B260" s="12" t="s">
        <v>2446</v>
      </c>
      <c r="C260" s="12" t="s">
        <v>2447</v>
      </c>
      <c r="D260" s="12" t="s">
        <v>17</v>
      </c>
      <c r="E260" s="12" t="s">
        <v>7678</v>
      </c>
      <c r="F260" s="12" t="s">
        <v>5460</v>
      </c>
      <c r="G260" s="12" t="s">
        <v>2415</v>
      </c>
      <c r="H260" s="12" t="s">
        <v>6614</v>
      </c>
      <c r="I260" s="12">
        <v>2550</v>
      </c>
      <c r="J260" s="12" t="s">
        <v>2448</v>
      </c>
      <c r="K260" s="12" t="s">
        <v>6655</v>
      </c>
      <c r="L260" s="12" t="s">
        <v>2423</v>
      </c>
      <c r="M260" s="12" t="s">
        <v>2423</v>
      </c>
      <c r="N260" s="12" t="s">
        <v>5785</v>
      </c>
      <c r="O260" s="12" t="s">
        <v>2420</v>
      </c>
      <c r="P260" s="12" t="s">
        <v>1152</v>
      </c>
      <c r="Q260" s="12" t="s">
        <v>6653</v>
      </c>
      <c r="R260" s="12">
        <v>49.060645999999998</v>
      </c>
      <c r="S260" s="12">
        <v>75.503200000000007</v>
      </c>
      <c r="T260" s="12" t="s">
        <v>11</v>
      </c>
      <c r="U260" s="12" t="s">
        <v>2449</v>
      </c>
      <c r="V260" s="12" t="s">
        <v>606</v>
      </c>
      <c r="W260" s="12" t="s">
        <v>7415</v>
      </c>
      <c r="X260" s="12">
        <v>1.544</v>
      </c>
      <c r="Y260" s="12">
        <v>850759</v>
      </c>
      <c r="Z260" s="12" t="s">
        <v>17</v>
      </c>
      <c r="AA260" s="12" t="s">
        <v>17</v>
      </c>
      <c r="AB260" s="12" t="s">
        <v>17</v>
      </c>
      <c r="AC260" s="12" t="s">
        <v>144</v>
      </c>
      <c r="AD260" s="12" t="s">
        <v>17</v>
      </c>
      <c r="AE260" s="12" t="s">
        <v>17</v>
      </c>
      <c r="AF260" s="12" t="s">
        <v>45</v>
      </c>
    </row>
    <row r="261" spans="1:32" x14ac:dyDescent="0.2">
      <c r="A261" s="12" t="s">
        <v>2440</v>
      </c>
      <c r="B261" s="12" t="s">
        <v>2441</v>
      </c>
      <c r="C261" s="12" t="s">
        <v>2442</v>
      </c>
      <c r="D261" s="12" t="s">
        <v>17</v>
      </c>
      <c r="E261" s="12" t="s">
        <v>7678</v>
      </c>
      <c r="F261" s="12" t="s">
        <v>5460</v>
      </c>
      <c r="G261" s="12" t="s">
        <v>2415</v>
      </c>
      <c r="H261" s="12" t="s">
        <v>6614</v>
      </c>
      <c r="I261" s="12">
        <v>2549</v>
      </c>
      <c r="J261" s="12" t="s">
        <v>2443</v>
      </c>
      <c r="K261" s="12" t="s">
        <v>6655</v>
      </c>
      <c r="L261" s="12" t="s">
        <v>2423</v>
      </c>
      <c r="M261" s="12" t="s">
        <v>2423</v>
      </c>
      <c r="N261" s="12" t="s">
        <v>5785</v>
      </c>
      <c r="O261" s="12" t="s">
        <v>2420</v>
      </c>
      <c r="P261" s="12" t="s">
        <v>1152</v>
      </c>
      <c r="Q261" s="12" t="s">
        <v>6653</v>
      </c>
      <c r="R261" s="12">
        <v>48.482210000000002</v>
      </c>
      <c r="S261" s="12">
        <v>74.423680000000004</v>
      </c>
      <c r="T261" s="12" t="s">
        <v>11</v>
      </c>
      <c r="U261" s="12" t="s">
        <v>2444</v>
      </c>
      <c r="V261" s="12" t="s">
        <v>1282</v>
      </c>
      <c r="W261" s="12" t="s">
        <v>7415</v>
      </c>
      <c r="X261" s="12">
        <v>0.247</v>
      </c>
      <c r="Y261" s="12">
        <v>206865</v>
      </c>
      <c r="Z261" s="12" t="s">
        <v>17</v>
      </c>
      <c r="AA261" s="12" t="s">
        <v>17</v>
      </c>
      <c r="AB261" s="12" t="s">
        <v>17</v>
      </c>
      <c r="AC261" s="12" t="s">
        <v>144</v>
      </c>
      <c r="AD261" s="12" t="s">
        <v>17</v>
      </c>
      <c r="AE261" s="12" t="s">
        <v>17</v>
      </c>
      <c r="AF261" s="12" t="s">
        <v>45</v>
      </c>
    </row>
    <row r="262" spans="1:32" x14ac:dyDescent="0.2">
      <c r="A262" s="12" t="s">
        <v>2435</v>
      </c>
      <c r="B262" s="12" t="s">
        <v>2436</v>
      </c>
      <c r="C262" s="12" t="s">
        <v>2437</v>
      </c>
      <c r="D262" s="12" t="s">
        <v>17</v>
      </c>
      <c r="E262" s="12" t="s">
        <v>7678</v>
      </c>
      <c r="F262" s="12" t="s">
        <v>5460</v>
      </c>
      <c r="G262" s="12" t="s">
        <v>2415</v>
      </c>
      <c r="H262" s="12" t="s">
        <v>6614</v>
      </c>
      <c r="I262" s="12">
        <v>2549</v>
      </c>
      <c r="J262" s="12" t="s">
        <v>2438</v>
      </c>
      <c r="K262" s="12" t="s">
        <v>6655</v>
      </c>
      <c r="L262" s="12" t="s">
        <v>2423</v>
      </c>
      <c r="M262" s="12" t="s">
        <v>2423</v>
      </c>
      <c r="N262" s="12" t="s">
        <v>5785</v>
      </c>
      <c r="O262" s="12" t="s">
        <v>2420</v>
      </c>
      <c r="P262" s="12" t="s">
        <v>1152</v>
      </c>
      <c r="Q262" s="12" t="s">
        <v>6653</v>
      </c>
      <c r="R262" s="12">
        <v>49.123089999999998</v>
      </c>
      <c r="S262" s="12">
        <v>75.188550000000006</v>
      </c>
      <c r="T262" s="12" t="s">
        <v>25</v>
      </c>
      <c r="U262" s="12" t="s">
        <v>2439</v>
      </c>
      <c r="V262" s="12" t="s">
        <v>6639</v>
      </c>
      <c r="W262" s="12" t="s">
        <v>6639</v>
      </c>
      <c r="X262" s="12">
        <v>0.61599999999999999</v>
      </c>
      <c r="Y262" s="12">
        <v>449559</v>
      </c>
      <c r="Z262" s="12" t="s">
        <v>6639</v>
      </c>
      <c r="AA262" s="12" t="s">
        <v>6639</v>
      </c>
      <c r="AB262" s="12" t="s">
        <v>17</v>
      </c>
      <c r="AC262" s="12" t="s">
        <v>144</v>
      </c>
      <c r="AD262" s="12" t="s">
        <v>17</v>
      </c>
      <c r="AE262" s="12" t="s">
        <v>17</v>
      </c>
      <c r="AF262" s="12" t="s">
        <v>45</v>
      </c>
    </row>
    <row r="263" spans="1:32" x14ac:dyDescent="0.2">
      <c r="A263" s="12" t="s">
        <v>2537</v>
      </c>
      <c r="B263" s="12" t="s">
        <v>2538</v>
      </c>
      <c r="C263" s="12" t="s">
        <v>7582</v>
      </c>
      <c r="D263" s="12" t="s">
        <v>17</v>
      </c>
      <c r="E263" s="12" t="s">
        <v>7678</v>
      </c>
      <c r="F263" s="12" t="s">
        <v>5460</v>
      </c>
      <c r="G263" s="12" t="s">
        <v>2415</v>
      </c>
      <c r="H263" s="12" t="s">
        <v>6614</v>
      </c>
      <c r="I263" s="12">
        <v>2540</v>
      </c>
      <c r="J263" s="12" t="s">
        <v>2539</v>
      </c>
      <c r="K263" s="12" t="s">
        <v>6655</v>
      </c>
      <c r="L263" s="12" t="s">
        <v>2533</v>
      </c>
      <c r="M263" s="12" t="s">
        <v>2533</v>
      </c>
      <c r="N263" s="12" t="s">
        <v>5785</v>
      </c>
      <c r="O263" s="12" t="s">
        <v>2420</v>
      </c>
      <c r="P263" s="12" t="s">
        <v>1152</v>
      </c>
      <c r="Q263" s="12" t="s">
        <v>6653</v>
      </c>
      <c r="R263" s="12">
        <v>51.710555555600003</v>
      </c>
      <c r="S263" s="12">
        <v>74.884166666699997</v>
      </c>
      <c r="T263" s="12" t="s">
        <v>25</v>
      </c>
      <c r="U263" s="12" t="s">
        <v>2540</v>
      </c>
      <c r="V263" s="12" t="s">
        <v>6639</v>
      </c>
      <c r="W263" s="12" t="s">
        <v>6639</v>
      </c>
      <c r="X263" s="12">
        <v>0.36</v>
      </c>
      <c r="Y263" s="12">
        <v>267754</v>
      </c>
      <c r="Z263" s="12" t="s">
        <v>6639</v>
      </c>
      <c r="AA263" s="12" t="s">
        <v>6639</v>
      </c>
      <c r="AB263" s="12" t="s">
        <v>17</v>
      </c>
      <c r="AC263" s="12" t="s">
        <v>144</v>
      </c>
      <c r="AD263" s="12" t="s">
        <v>17</v>
      </c>
      <c r="AE263" s="12" t="s">
        <v>17</v>
      </c>
      <c r="AF263" s="12" t="s">
        <v>45</v>
      </c>
    </row>
    <row r="264" spans="1:32" x14ac:dyDescent="0.2">
      <c r="A264" s="12" t="s">
        <v>2431</v>
      </c>
      <c r="B264" s="12" t="s">
        <v>2432</v>
      </c>
      <c r="C264" s="12" t="s">
        <v>2433</v>
      </c>
      <c r="D264" s="12" t="s">
        <v>17</v>
      </c>
      <c r="E264" s="12" t="s">
        <v>7678</v>
      </c>
      <c r="F264" s="12" t="s">
        <v>5460</v>
      </c>
      <c r="G264" s="12" t="s">
        <v>2415</v>
      </c>
      <c r="H264" s="12" t="s">
        <v>6614</v>
      </c>
      <c r="I264" s="12">
        <v>2536</v>
      </c>
      <c r="J264" s="12" t="s">
        <v>2434</v>
      </c>
      <c r="K264" s="12" t="s">
        <v>6655</v>
      </c>
      <c r="L264" s="12" t="s">
        <v>2423</v>
      </c>
      <c r="M264" s="12" t="s">
        <v>2423</v>
      </c>
      <c r="N264" s="12" t="s">
        <v>5785</v>
      </c>
      <c r="O264" s="12" t="s">
        <v>2420</v>
      </c>
      <c r="P264" s="12" t="s">
        <v>1152</v>
      </c>
      <c r="Q264" s="12" t="s">
        <v>6653</v>
      </c>
      <c r="R264" s="12">
        <v>48.488340000000001</v>
      </c>
      <c r="S264" s="12">
        <v>74.425470000000004</v>
      </c>
      <c r="T264" s="12" t="s">
        <v>11</v>
      </c>
      <c r="U264" s="12" t="s">
        <v>1316</v>
      </c>
      <c r="V264" s="12" t="s">
        <v>739</v>
      </c>
      <c r="W264" s="12" t="s">
        <v>7415</v>
      </c>
      <c r="X264" s="12">
        <v>1.046</v>
      </c>
      <c r="Y264" s="12">
        <v>679727</v>
      </c>
      <c r="Z264" s="12" t="s">
        <v>17</v>
      </c>
      <c r="AA264" s="12" t="s">
        <v>17</v>
      </c>
      <c r="AB264" s="12" t="s">
        <v>17</v>
      </c>
      <c r="AC264" s="12" t="s">
        <v>144</v>
      </c>
      <c r="AD264" s="12" t="s">
        <v>17</v>
      </c>
      <c r="AE264" s="12" t="s">
        <v>17</v>
      </c>
      <c r="AF264" s="12" t="s">
        <v>45</v>
      </c>
    </row>
    <row r="265" spans="1:32" x14ac:dyDescent="0.2">
      <c r="A265" s="12" t="s">
        <v>2756</v>
      </c>
      <c r="B265" s="12" t="s">
        <v>2757</v>
      </c>
      <c r="C265" s="12" t="s">
        <v>2758</v>
      </c>
      <c r="D265" s="12" t="s">
        <v>17</v>
      </c>
      <c r="E265" s="12" t="s">
        <v>7678</v>
      </c>
      <c r="F265" s="12" t="s">
        <v>5460</v>
      </c>
      <c r="G265" s="12" t="s">
        <v>2415</v>
      </c>
      <c r="H265" s="12" t="s">
        <v>6614</v>
      </c>
      <c r="I265" s="12">
        <v>2400</v>
      </c>
      <c r="J265" s="12" t="s">
        <v>2759</v>
      </c>
      <c r="K265" s="12" t="s">
        <v>6655</v>
      </c>
      <c r="L265" s="12" t="s">
        <v>2731</v>
      </c>
      <c r="M265" s="12" t="s">
        <v>2731</v>
      </c>
      <c r="N265" s="12" t="s">
        <v>5785</v>
      </c>
      <c r="O265" s="12" t="s">
        <v>2420</v>
      </c>
      <c r="P265" s="12" t="s">
        <v>511</v>
      </c>
      <c r="Q265" s="12" t="s">
        <v>6653</v>
      </c>
      <c r="R265" s="12">
        <v>41.428055555599997</v>
      </c>
      <c r="S265" s="12">
        <v>75.329722222200004</v>
      </c>
      <c r="T265" s="12" t="s">
        <v>25</v>
      </c>
      <c r="U265" s="12" t="s">
        <v>57</v>
      </c>
      <c r="V265" s="12" t="s">
        <v>6639</v>
      </c>
      <c r="W265" s="12" t="s">
        <v>6639</v>
      </c>
      <c r="X265" s="12">
        <v>0.42599999999999999</v>
      </c>
      <c r="Y265" s="12">
        <v>292379</v>
      </c>
      <c r="Z265" s="12" t="s">
        <v>6639</v>
      </c>
      <c r="AA265" s="12" t="s">
        <v>6639</v>
      </c>
      <c r="AB265" s="12" t="s">
        <v>17</v>
      </c>
      <c r="AC265" s="12" t="s">
        <v>144</v>
      </c>
      <c r="AD265" s="12" t="s">
        <v>17</v>
      </c>
      <c r="AE265" s="12" t="s">
        <v>17</v>
      </c>
      <c r="AF265" s="12" t="s">
        <v>45</v>
      </c>
    </row>
    <row r="266" spans="1:32" x14ac:dyDescent="0.2">
      <c r="A266" s="12" t="s">
        <v>2546</v>
      </c>
      <c r="B266" s="12" t="s">
        <v>2547</v>
      </c>
      <c r="C266" s="12" t="s">
        <v>2548</v>
      </c>
      <c r="D266" s="12" t="s">
        <v>17</v>
      </c>
      <c r="E266" s="12" t="s">
        <v>7678</v>
      </c>
      <c r="F266" s="12" t="s">
        <v>5460</v>
      </c>
      <c r="G266" s="12" t="s">
        <v>2415</v>
      </c>
      <c r="H266" s="12" t="s">
        <v>6614</v>
      </c>
      <c r="I266" s="12">
        <v>2324</v>
      </c>
      <c r="J266" s="12" t="s">
        <v>2549</v>
      </c>
      <c r="K266" s="12" t="s">
        <v>6655</v>
      </c>
      <c r="L266" s="12" t="s">
        <v>2533</v>
      </c>
      <c r="M266" s="12" t="s">
        <v>2533</v>
      </c>
      <c r="N266" s="12" t="s">
        <v>5785</v>
      </c>
      <c r="O266" s="12" t="s">
        <v>2420</v>
      </c>
      <c r="P266" s="12" t="s">
        <v>1152</v>
      </c>
      <c r="Q266" s="12" t="s">
        <v>6653</v>
      </c>
      <c r="R266" s="12">
        <v>43.14</v>
      </c>
      <c r="S266" s="12">
        <v>76.225277777800002</v>
      </c>
      <c r="T266" s="12" t="s">
        <v>11</v>
      </c>
      <c r="U266" s="12" t="s">
        <v>998</v>
      </c>
      <c r="V266" s="12" t="s">
        <v>1352</v>
      </c>
      <c r="W266" s="12" t="s">
        <v>7415</v>
      </c>
      <c r="X266" s="12">
        <v>1.1020000000000001</v>
      </c>
      <c r="Y266" s="12">
        <v>677641</v>
      </c>
      <c r="Z266" s="12" t="s">
        <v>17</v>
      </c>
      <c r="AA266" s="12" t="s">
        <v>17</v>
      </c>
      <c r="AB266" s="12" t="s">
        <v>17</v>
      </c>
      <c r="AC266" s="12" t="s">
        <v>144</v>
      </c>
      <c r="AD266" s="12" t="s">
        <v>17</v>
      </c>
      <c r="AE266" s="12" t="s">
        <v>17</v>
      </c>
      <c r="AF266" s="12" t="s">
        <v>45</v>
      </c>
    </row>
    <row r="267" spans="1:32" x14ac:dyDescent="0.2">
      <c r="A267" s="12" t="s">
        <v>2550</v>
      </c>
      <c r="B267" s="12" t="s">
        <v>2551</v>
      </c>
      <c r="C267" s="12" t="s">
        <v>2553</v>
      </c>
      <c r="D267" s="12" t="s">
        <v>17</v>
      </c>
      <c r="E267" s="12" t="s">
        <v>7678</v>
      </c>
      <c r="F267" s="12" t="s">
        <v>5458</v>
      </c>
      <c r="G267" s="12" t="s">
        <v>2415</v>
      </c>
      <c r="H267" s="12" t="s">
        <v>6614</v>
      </c>
      <c r="I267" s="12">
        <v>2300</v>
      </c>
      <c r="J267" s="12" t="s">
        <v>2554</v>
      </c>
      <c r="K267" s="12" t="s">
        <v>6655</v>
      </c>
      <c r="L267" s="12" t="s">
        <v>2552</v>
      </c>
      <c r="M267" s="12" t="s">
        <v>2552</v>
      </c>
      <c r="N267" s="12" t="s">
        <v>5785</v>
      </c>
      <c r="O267" s="12" t="s">
        <v>2420</v>
      </c>
      <c r="P267" s="12" t="s">
        <v>1152</v>
      </c>
      <c r="Q267" s="12" t="s">
        <v>6653</v>
      </c>
      <c r="R267" s="12">
        <v>52.181111111100002</v>
      </c>
      <c r="S267" s="12">
        <v>64.539444444400004</v>
      </c>
      <c r="T267" s="12" t="s">
        <v>25</v>
      </c>
      <c r="U267" s="12" t="s">
        <v>2555</v>
      </c>
      <c r="V267" s="12" t="s">
        <v>6639</v>
      </c>
      <c r="W267" s="12" t="s">
        <v>6639</v>
      </c>
      <c r="X267" s="12">
        <v>0.95499999999999996</v>
      </c>
      <c r="Y267" s="12">
        <v>429137</v>
      </c>
      <c r="Z267" s="12" t="s">
        <v>6639</v>
      </c>
      <c r="AA267" s="12" t="s">
        <v>6639</v>
      </c>
      <c r="AB267" s="12" t="s">
        <v>17</v>
      </c>
      <c r="AC267" s="12" t="s">
        <v>144</v>
      </c>
      <c r="AD267" s="12" t="s">
        <v>17</v>
      </c>
      <c r="AE267" s="12" t="s">
        <v>17</v>
      </c>
      <c r="AF267" s="12" t="s">
        <v>45</v>
      </c>
    </row>
    <row r="268" spans="1:32" x14ac:dyDescent="0.2">
      <c r="A268" s="12" t="s">
        <v>2765</v>
      </c>
      <c r="B268" s="12" t="s">
        <v>2766</v>
      </c>
      <c r="C268" s="12" t="s">
        <v>2767</v>
      </c>
      <c r="D268" s="12" t="s">
        <v>17</v>
      </c>
      <c r="E268" s="12" t="s">
        <v>7678</v>
      </c>
      <c r="F268" s="12" t="s">
        <v>5458</v>
      </c>
      <c r="G268" s="12" t="s">
        <v>2415</v>
      </c>
      <c r="H268" s="12" t="s">
        <v>6614</v>
      </c>
      <c r="I268" s="12">
        <v>2300</v>
      </c>
      <c r="J268" s="12" t="s">
        <v>2768</v>
      </c>
      <c r="K268" s="12" t="s">
        <v>6655</v>
      </c>
      <c r="L268" s="12" t="s">
        <v>2731</v>
      </c>
      <c r="M268" s="12" t="s">
        <v>2731</v>
      </c>
      <c r="N268" s="12" t="s">
        <v>5785</v>
      </c>
      <c r="O268" s="12" t="s">
        <v>2420</v>
      </c>
      <c r="P268" s="12" t="s">
        <v>511</v>
      </c>
      <c r="Q268" s="12" t="s">
        <v>6653</v>
      </c>
      <c r="R268" s="12">
        <v>41.428055555599997</v>
      </c>
      <c r="S268" s="12">
        <v>75.329722222200004</v>
      </c>
      <c r="T268" s="12" t="s">
        <v>25</v>
      </c>
      <c r="U268" s="12" t="s">
        <v>98</v>
      </c>
      <c r="V268" s="12" t="s">
        <v>6639</v>
      </c>
      <c r="W268" s="12" t="s">
        <v>6639</v>
      </c>
      <c r="X268" s="12">
        <v>0.91800000000000004</v>
      </c>
      <c r="Y268" s="12">
        <v>546747</v>
      </c>
      <c r="Z268" s="12" t="s">
        <v>6639</v>
      </c>
      <c r="AA268" s="12" t="s">
        <v>6639</v>
      </c>
      <c r="AB268" s="12" t="s">
        <v>17</v>
      </c>
      <c r="AC268" s="12" t="s">
        <v>144</v>
      </c>
      <c r="AD268" s="12" t="s">
        <v>17</v>
      </c>
      <c r="AE268" s="12" t="s">
        <v>17</v>
      </c>
      <c r="AF268" s="12" t="s">
        <v>45</v>
      </c>
    </row>
    <row r="269" spans="1:32" x14ac:dyDescent="0.2">
      <c r="A269" s="12" t="s">
        <v>2752</v>
      </c>
      <c r="B269" s="12" t="s">
        <v>2753</v>
      </c>
      <c r="C269" s="12" t="s">
        <v>2754</v>
      </c>
      <c r="D269" s="12" t="s">
        <v>17</v>
      </c>
      <c r="E269" s="12" t="s">
        <v>7678</v>
      </c>
      <c r="F269" s="12" t="s">
        <v>5460</v>
      </c>
      <c r="G269" s="12" t="s">
        <v>2415</v>
      </c>
      <c r="H269" s="12" t="s">
        <v>6614</v>
      </c>
      <c r="I269" s="12">
        <v>2242</v>
      </c>
      <c r="J269" s="12" t="s">
        <v>2755</v>
      </c>
      <c r="K269" s="12" t="s">
        <v>6655</v>
      </c>
      <c r="L269" s="12" t="s">
        <v>2731</v>
      </c>
      <c r="M269" s="12" t="s">
        <v>2731</v>
      </c>
      <c r="N269" s="12" t="s">
        <v>5785</v>
      </c>
      <c r="O269" s="12" t="s">
        <v>2420</v>
      </c>
      <c r="P269" s="12" t="s">
        <v>511</v>
      </c>
      <c r="Q269" s="12" t="s">
        <v>6653</v>
      </c>
      <c r="R269" s="12">
        <v>41.428055555599997</v>
      </c>
      <c r="S269" s="12">
        <v>75.329722222200004</v>
      </c>
      <c r="T269" s="12" t="s">
        <v>11</v>
      </c>
      <c r="U269" s="12" t="s">
        <v>422</v>
      </c>
      <c r="V269" s="12" t="s">
        <v>1375</v>
      </c>
      <c r="W269" s="12" t="s">
        <v>7415</v>
      </c>
      <c r="X269" s="12">
        <v>0.746</v>
      </c>
      <c r="Y269" s="12">
        <v>500204</v>
      </c>
      <c r="Z269" s="12" t="s">
        <v>17</v>
      </c>
      <c r="AA269" s="12" t="s">
        <v>17</v>
      </c>
      <c r="AB269" s="12" t="s">
        <v>17</v>
      </c>
      <c r="AC269" s="12" t="s">
        <v>144</v>
      </c>
      <c r="AD269" s="12" t="s">
        <v>17</v>
      </c>
      <c r="AE269" s="12" t="s">
        <v>17</v>
      </c>
      <c r="AF269" s="12" t="s">
        <v>45</v>
      </c>
    </row>
    <row r="270" spans="1:32" x14ac:dyDescent="0.2">
      <c r="A270" s="12" t="s">
        <v>2520</v>
      </c>
      <c r="B270" s="12" t="s">
        <v>2521</v>
      </c>
      <c r="C270" s="12" t="s">
        <v>7583</v>
      </c>
      <c r="D270" s="12" t="s">
        <v>17</v>
      </c>
      <c r="E270" s="12" t="s">
        <v>7678</v>
      </c>
      <c r="F270" s="12" t="s">
        <v>5460</v>
      </c>
      <c r="G270" s="12" t="s">
        <v>2415</v>
      </c>
      <c r="H270" s="12" t="s">
        <v>6614</v>
      </c>
      <c r="I270" s="12">
        <v>2231</v>
      </c>
      <c r="J270" s="12" t="s">
        <v>2523</v>
      </c>
      <c r="K270" s="12" t="s">
        <v>6655</v>
      </c>
      <c r="L270" s="12" t="s">
        <v>2522</v>
      </c>
      <c r="M270" s="12" t="s">
        <v>2522</v>
      </c>
      <c r="N270" s="12" t="s">
        <v>5785</v>
      </c>
      <c r="O270" s="12" t="s">
        <v>2420</v>
      </c>
      <c r="P270" s="12" t="s">
        <v>1152</v>
      </c>
      <c r="Q270" s="12" t="s">
        <v>6653</v>
      </c>
      <c r="R270" s="12">
        <v>51.6397222222</v>
      </c>
      <c r="S270" s="12">
        <v>74.671944444399998</v>
      </c>
      <c r="T270" s="12" t="s">
        <v>11</v>
      </c>
      <c r="U270" s="12" t="s">
        <v>2524</v>
      </c>
      <c r="V270" s="12" t="s">
        <v>2525</v>
      </c>
      <c r="W270" s="12" t="s">
        <v>7415</v>
      </c>
      <c r="X270" s="12">
        <v>0.51700000000000002</v>
      </c>
      <c r="Y270" s="12">
        <v>395830</v>
      </c>
      <c r="Z270" s="12" t="s">
        <v>17</v>
      </c>
      <c r="AA270" s="12" t="s">
        <v>17</v>
      </c>
      <c r="AB270" s="12" t="s">
        <v>17</v>
      </c>
      <c r="AC270" s="12" t="s">
        <v>144</v>
      </c>
      <c r="AD270" s="12" t="s">
        <v>17</v>
      </c>
      <c r="AE270" s="12" t="s">
        <v>17</v>
      </c>
      <c r="AF270" s="12" t="s">
        <v>45</v>
      </c>
    </row>
    <row r="271" spans="1:32" x14ac:dyDescent="0.2">
      <c r="A271" s="12" t="s">
        <v>2560</v>
      </c>
      <c r="B271" s="12" t="s">
        <v>2561</v>
      </c>
      <c r="C271" s="12" t="s">
        <v>2563</v>
      </c>
      <c r="D271" s="12" t="s">
        <v>17</v>
      </c>
      <c r="E271" s="12" t="s">
        <v>7678</v>
      </c>
      <c r="F271" s="12" t="s">
        <v>5460</v>
      </c>
      <c r="G271" s="12" t="s">
        <v>2415</v>
      </c>
      <c r="H271" s="12" t="s">
        <v>6614</v>
      </c>
      <c r="I271" s="12">
        <v>2225</v>
      </c>
      <c r="J271" s="12" t="s">
        <v>2564</v>
      </c>
      <c r="K271" s="12" t="s">
        <v>6655</v>
      </c>
      <c r="L271" s="12" t="s">
        <v>2562</v>
      </c>
      <c r="M271" s="12" t="s">
        <v>2562</v>
      </c>
      <c r="N271" s="12" t="s">
        <v>5785</v>
      </c>
      <c r="O271" s="12" t="s">
        <v>2420</v>
      </c>
      <c r="P271" s="12" t="s">
        <v>1152</v>
      </c>
      <c r="Q271" s="12" t="s">
        <v>6653</v>
      </c>
      <c r="R271" s="12">
        <v>43.368611111100002</v>
      </c>
      <c r="S271" s="12">
        <v>77.426666666700001</v>
      </c>
      <c r="T271" s="12" t="s">
        <v>11</v>
      </c>
      <c r="U271" s="12" t="s">
        <v>1558</v>
      </c>
      <c r="V271" s="12" t="s">
        <v>854</v>
      </c>
      <c r="W271" s="12" t="s">
        <v>7415</v>
      </c>
      <c r="X271" s="12">
        <v>0.107</v>
      </c>
      <c r="Y271" s="12">
        <v>71933</v>
      </c>
      <c r="Z271" s="12" t="s">
        <v>17</v>
      </c>
      <c r="AA271" s="12" t="s">
        <v>17</v>
      </c>
      <c r="AB271" s="12" t="s">
        <v>17</v>
      </c>
      <c r="AC271" s="12" t="s">
        <v>144</v>
      </c>
      <c r="AD271" s="12" t="s">
        <v>17</v>
      </c>
      <c r="AE271" s="12" t="s">
        <v>17</v>
      </c>
      <c r="AF271" s="12" t="s">
        <v>45</v>
      </c>
    </row>
    <row r="272" spans="1:32" x14ac:dyDescent="0.2">
      <c r="A272" s="12" t="s">
        <v>2748</v>
      </c>
      <c r="B272" s="12" t="s">
        <v>2749</v>
      </c>
      <c r="C272" s="12" t="s">
        <v>2750</v>
      </c>
      <c r="D272" s="12" t="s">
        <v>17</v>
      </c>
      <c r="E272" s="12" t="s">
        <v>7678</v>
      </c>
      <c r="F272" s="12" t="s">
        <v>5460</v>
      </c>
      <c r="G272" s="12" t="s">
        <v>2415</v>
      </c>
      <c r="H272" s="12" t="s">
        <v>6614</v>
      </c>
      <c r="I272" s="12">
        <v>2218</v>
      </c>
      <c r="J272" s="12" t="s">
        <v>2751</v>
      </c>
      <c r="K272" s="12" t="s">
        <v>6655</v>
      </c>
      <c r="L272" s="12" t="s">
        <v>2731</v>
      </c>
      <c r="M272" s="12" t="s">
        <v>2731</v>
      </c>
      <c r="N272" s="12" t="s">
        <v>5785</v>
      </c>
      <c r="O272" s="12" t="s">
        <v>2420</v>
      </c>
      <c r="P272" s="12" t="s">
        <v>511</v>
      </c>
      <c r="Q272" s="12" t="s">
        <v>6653</v>
      </c>
      <c r="R272" s="12">
        <v>41.428055555599997</v>
      </c>
      <c r="S272" s="12">
        <v>75.329722222200004</v>
      </c>
      <c r="T272" s="12" t="s">
        <v>11</v>
      </c>
      <c r="U272" s="12" t="s">
        <v>1456</v>
      </c>
      <c r="V272" s="12" t="s">
        <v>1459</v>
      </c>
      <c r="W272" s="12" t="s">
        <v>7415</v>
      </c>
      <c r="X272" s="12">
        <v>0.35</v>
      </c>
      <c r="Y272" s="12">
        <v>272081</v>
      </c>
      <c r="Z272" s="12" t="s">
        <v>17</v>
      </c>
      <c r="AA272" s="12" t="s">
        <v>17</v>
      </c>
      <c r="AB272" s="12" t="s">
        <v>17</v>
      </c>
      <c r="AC272" s="12" t="s">
        <v>144</v>
      </c>
      <c r="AD272" s="12" t="s">
        <v>17</v>
      </c>
      <c r="AE272" s="12" t="s">
        <v>17</v>
      </c>
      <c r="AF272" s="12" t="s">
        <v>45</v>
      </c>
    </row>
    <row r="273" spans="1:41" x14ac:dyDescent="0.2">
      <c r="A273" s="12" t="s">
        <v>2760</v>
      </c>
      <c r="B273" s="12" t="s">
        <v>2761</v>
      </c>
      <c r="C273" s="12" t="s">
        <v>2762</v>
      </c>
      <c r="D273" s="12" t="s">
        <v>17</v>
      </c>
      <c r="E273" s="12" t="s">
        <v>7678</v>
      </c>
      <c r="F273" s="12" t="s">
        <v>5458</v>
      </c>
      <c r="G273" s="12" t="s">
        <v>2415</v>
      </c>
      <c r="H273" s="12" t="s">
        <v>6614</v>
      </c>
      <c r="I273" s="12">
        <v>2200</v>
      </c>
      <c r="J273" s="12" t="s">
        <v>2763</v>
      </c>
      <c r="K273" s="12" t="s">
        <v>6655</v>
      </c>
      <c r="L273" s="12" t="s">
        <v>2731</v>
      </c>
      <c r="M273" s="12" t="s">
        <v>2731</v>
      </c>
      <c r="N273" s="12" t="s">
        <v>5785</v>
      </c>
      <c r="O273" s="12" t="s">
        <v>2420</v>
      </c>
      <c r="P273" s="12" t="s">
        <v>511</v>
      </c>
      <c r="Q273" s="12" t="s">
        <v>6653</v>
      </c>
      <c r="R273" s="12">
        <v>41.428055555599997</v>
      </c>
      <c r="S273" s="12">
        <v>75.329722222200004</v>
      </c>
      <c r="T273" s="12" t="s">
        <v>11</v>
      </c>
      <c r="U273" s="12" t="s">
        <v>2764</v>
      </c>
      <c r="V273" s="12" t="s">
        <v>1352</v>
      </c>
      <c r="W273" s="12" t="s">
        <v>7415</v>
      </c>
      <c r="X273" s="12">
        <v>0.158</v>
      </c>
      <c r="Y273" s="12">
        <v>97541</v>
      </c>
      <c r="Z273" s="12" t="s">
        <v>17</v>
      </c>
      <c r="AA273" s="12" t="s">
        <v>17</v>
      </c>
      <c r="AB273" s="12" t="s">
        <v>17</v>
      </c>
      <c r="AC273" s="12" t="s">
        <v>144</v>
      </c>
      <c r="AD273" s="12" t="s">
        <v>17</v>
      </c>
      <c r="AE273" s="12" t="s">
        <v>17</v>
      </c>
      <c r="AF273" s="12" t="s">
        <v>45</v>
      </c>
      <c r="AG273" s="12"/>
      <c r="AH273" s="12"/>
      <c r="AI273" s="12"/>
      <c r="AJ273" s="12"/>
      <c r="AK273" s="12"/>
      <c r="AL273" s="12"/>
      <c r="AM273" s="12"/>
      <c r="AN273" s="12"/>
      <c r="AO273" s="12"/>
    </row>
    <row r="274" spans="1:41" x14ac:dyDescent="0.2">
      <c r="A274" s="12" t="s">
        <v>2735</v>
      </c>
      <c r="B274" s="12" t="s">
        <v>2736</v>
      </c>
      <c r="C274" s="12" t="s">
        <v>2737</v>
      </c>
      <c r="D274" s="12" t="s">
        <v>17</v>
      </c>
      <c r="E274" s="12" t="s">
        <v>7678</v>
      </c>
      <c r="F274" s="12" t="s">
        <v>5460</v>
      </c>
      <c r="G274" s="12" t="s">
        <v>2415</v>
      </c>
      <c r="H274" s="12" t="s">
        <v>6614</v>
      </c>
      <c r="I274" s="12">
        <v>2122</v>
      </c>
      <c r="J274" s="12" t="s">
        <v>2738</v>
      </c>
      <c r="K274" s="12" t="s">
        <v>6655</v>
      </c>
      <c r="L274" s="12" t="s">
        <v>2731</v>
      </c>
      <c r="M274" s="12" t="s">
        <v>2731</v>
      </c>
      <c r="N274" s="12" t="s">
        <v>5785</v>
      </c>
      <c r="O274" s="12" t="s">
        <v>2420</v>
      </c>
      <c r="P274" s="12" t="s">
        <v>511</v>
      </c>
      <c r="Q274" s="12" t="s">
        <v>6653</v>
      </c>
      <c r="R274" s="12">
        <v>41.428055555599997</v>
      </c>
      <c r="S274" s="12">
        <v>75.329722222200004</v>
      </c>
      <c r="T274" s="12" t="s">
        <v>11</v>
      </c>
      <c r="U274" s="12" t="s">
        <v>1568</v>
      </c>
      <c r="V274" s="12" t="s">
        <v>2545</v>
      </c>
      <c r="W274" s="12" t="s">
        <v>7415</v>
      </c>
      <c r="X274" s="12">
        <v>1.5</v>
      </c>
      <c r="Y274" s="12">
        <v>689794</v>
      </c>
      <c r="Z274" s="12" t="s">
        <v>17</v>
      </c>
      <c r="AA274" s="12" t="s">
        <v>17</v>
      </c>
      <c r="AB274" s="12" t="s">
        <v>17</v>
      </c>
      <c r="AC274" s="12" t="s">
        <v>144</v>
      </c>
      <c r="AD274" s="12" t="s">
        <v>17</v>
      </c>
      <c r="AE274" s="12" t="s">
        <v>17</v>
      </c>
      <c r="AF274" s="12" t="s">
        <v>45</v>
      </c>
    </row>
    <row r="275" spans="1:41" x14ac:dyDescent="0.2">
      <c r="A275" s="12" t="s">
        <v>2743</v>
      </c>
      <c r="B275" s="12" t="s">
        <v>2744</v>
      </c>
      <c r="C275" s="12" t="s">
        <v>2745</v>
      </c>
      <c r="D275" s="12" t="s">
        <v>17</v>
      </c>
      <c r="E275" s="12" t="s">
        <v>7678</v>
      </c>
      <c r="F275" s="12" t="s">
        <v>5460</v>
      </c>
      <c r="G275" s="12" t="s">
        <v>2415</v>
      </c>
      <c r="H275" s="12" t="s">
        <v>6614</v>
      </c>
      <c r="I275" s="12">
        <v>2072</v>
      </c>
      <c r="J275" s="12" t="s">
        <v>2746</v>
      </c>
      <c r="K275" s="12" t="s">
        <v>6655</v>
      </c>
      <c r="L275" s="12" t="s">
        <v>2731</v>
      </c>
      <c r="M275" s="12" t="s">
        <v>2731</v>
      </c>
      <c r="N275" s="12" t="s">
        <v>5785</v>
      </c>
      <c r="O275" s="12" t="s">
        <v>2420</v>
      </c>
      <c r="P275" s="12" t="s">
        <v>511</v>
      </c>
      <c r="Q275" s="12" t="s">
        <v>6653</v>
      </c>
      <c r="R275" s="12">
        <v>41.499722222199999</v>
      </c>
      <c r="S275" s="12">
        <v>75.804166666699999</v>
      </c>
      <c r="T275" s="12" t="s">
        <v>11</v>
      </c>
      <c r="U275" s="12" t="s">
        <v>2747</v>
      </c>
      <c r="V275" s="12" t="s">
        <v>500</v>
      </c>
      <c r="W275" s="12" t="s">
        <v>7415</v>
      </c>
      <c r="X275" s="12">
        <v>1.0049999999999999</v>
      </c>
      <c r="Y275" s="12">
        <v>634761</v>
      </c>
      <c r="Z275" s="12" t="s">
        <v>17</v>
      </c>
      <c r="AA275" s="12" t="s">
        <v>17</v>
      </c>
      <c r="AB275" s="12" t="s">
        <v>17</v>
      </c>
      <c r="AC275" s="12" t="s">
        <v>144</v>
      </c>
      <c r="AD275" s="12" t="s">
        <v>17</v>
      </c>
      <c r="AE275" s="12" t="s">
        <v>17</v>
      </c>
      <c r="AF275" s="12" t="s">
        <v>45</v>
      </c>
    </row>
    <row r="276" spans="1:41" x14ac:dyDescent="0.2">
      <c r="A276" s="12" t="s">
        <v>2739</v>
      </c>
      <c r="B276" s="12" t="s">
        <v>2740</v>
      </c>
      <c r="C276" s="12" t="s">
        <v>2741</v>
      </c>
      <c r="D276" s="12" t="s">
        <v>17</v>
      </c>
      <c r="E276" s="12" t="s">
        <v>7678</v>
      </c>
      <c r="F276" s="12" t="s">
        <v>5460</v>
      </c>
      <c r="G276" s="12" t="s">
        <v>2415</v>
      </c>
      <c r="H276" s="12" t="s">
        <v>6614</v>
      </c>
      <c r="I276" s="12">
        <v>2071</v>
      </c>
      <c r="J276" s="12" t="s">
        <v>2742</v>
      </c>
      <c r="K276" s="12" t="s">
        <v>6655</v>
      </c>
      <c r="L276" s="12" t="s">
        <v>2731</v>
      </c>
      <c r="M276" s="12" t="s">
        <v>2731</v>
      </c>
      <c r="N276" s="12" t="s">
        <v>5785</v>
      </c>
      <c r="O276" s="12" t="s">
        <v>2420</v>
      </c>
      <c r="P276" s="12" t="s">
        <v>511</v>
      </c>
      <c r="Q276" s="12" t="s">
        <v>6653</v>
      </c>
      <c r="R276" s="12">
        <v>41.499722222199999</v>
      </c>
      <c r="S276" s="12">
        <v>75.804166666699999</v>
      </c>
      <c r="T276" s="12" t="s">
        <v>11</v>
      </c>
      <c r="U276" s="12" t="s">
        <v>1233</v>
      </c>
      <c r="V276" s="12" t="s">
        <v>628</v>
      </c>
      <c r="W276" s="12" t="s">
        <v>7415</v>
      </c>
      <c r="X276" s="12">
        <v>0.85699999999999998</v>
      </c>
      <c r="Y276" s="12">
        <v>573031</v>
      </c>
      <c r="Z276" s="12" t="s">
        <v>17</v>
      </c>
      <c r="AA276" s="12" t="s">
        <v>17</v>
      </c>
      <c r="AB276" s="12" t="s">
        <v>17</v>
      </c>
      <c r="AC276" s="12" t="s">
        <v>144</v>
      </c>
      <c r="AD276" s="12" t="s">
        <v>17</v>
      </c>
      <c r="AE276" s="12" t="s">
        <v>17</v>
      </c>
      <c r="AF276" s="12" t="s">
        <v>45</v>
      </c>
    </row>
    <row r="277" spans="1:41" x14ac:dyDescent="0.2">
      <c r="A277" s="12" t="s">
        <v>2729</v>
      </c>
      <c r="B277" s="12" t="s">
        <v>2730</v>
      </c>
      <c r="C277" s="12" t="s">
        <v>2732</v>
      </c>
      <c r="D277" s="12" t="s">
        <v>17</v>
      </c>
      <c r="E277" s="12" t="s">
        <v>7678</v>
      </c>
      <c r="F277" s="12" t="s">
        <v>5460</v>
      </c>
      <c r="G277" s="12" t="s">
        <v>2415</v>
      </c>
      <c r="H277" s="12" t="s">
        <v>6614</v>
      </c>
      <c r="I277" s="12">
        <v>2005</v>
      </c>
      <c r="J277" s="12" t="s">
        <v>2733</v>
      </c>
      <c r="K277" s="12" t="s">
        <v>6655</v>
      </c>
      <c r="L277" s="12" t="s">
        <v>2731</v>
      </c>
      <c r="M277" s="12" t="s">
        <v>2731</v>
      </c>
      <c r="N277" s="12" t="s">
        <v>5785</v>
      </c>
      <c r="O277" s="12" t="s">
        <v>2420</v>
      </c>
      <c r="P277" s="12" t="s">
        <v>511</v>
      </c>
      <c r="Q277" s="12" t="s">
        <v>6653</v>
      </c>
      <c r="R277" s="12">
        <v>41.428055555599997</v>
      </c>
      <c r="S277" s="12">
        <v>75.329722222200004</v>
      </c>
      <c r="T277" s="12" t="s">
        <v>11</v>
      </c>
      <c r="U277" s="12" t="s">
        <v>2734</v>
      </c>
      <c r="V277" s="12" t="s">
        <v>1266</v>
      </c>
      <c r="W277" s="12" t="s">
        <v>7415</v>
      </c>
      <c r="X277" s="12">
        <v>0.86699999999999999</v>
      </c>
      <c r="Y277" s="12">
        <v>385020</v>
      </c>
      <c r="Z277" s="12" t="s">
        <v>17</v>
      </c>
      <c r="AA277" s="12" t="s">
        <v>17</v>
      </c>
      <c r="AB277" s="12" t="s">
        <v>17</v>
      </c>
      <c r="AC277" s="12" t="s">
        <v>144</v>
      </c>
      <c r="AD277" s="12" t="s">
        <v>17</v>
      </c>
      <c r="AE277" s="12" t="s">
        <v>17</v>
      </c>
      <c r="AF277" s="12" t="s">
        <v>45</v>
      </c>
    </row>
    <row r="278" spans="1:41" x14ac:dyDescent="0.2">
      <c r="A278" s="12" t="s">
        <v>2556</v>
      </c>
      <c r="B278" s="12" t="s">
        <v>2557</v>
      </c>
      <c r="C278" s="12" t="s">
        <v>2558</v>
      </c>
      <c r="D278" s="12" t="s">
        <v>17</v>
      </c>
      <c r="E278" s="12" t="s">
        <v>7678</v>
      </c>
      <c r="F278" s="12" t="s">
        <v>5460</v>
      </c>
      <c r="G278" s="12" t="s">
        <v>2415</v>
      </c>
      <c r="H278" s="12" t="s">
        <v>6614</v>
      </c>
      <c r="I278" s="12">
        <v>1965</v>
      </c>
      <c r="J278" s="12" t="s">
        <v>2559</v>
      </c>
      <c r="K278" s="12" t="s">
        <v>6655</v>
      </c>
      <c r="L278" s="12" t="s">
        <v>2552</v>
      </c>
      <c r="M278" s="12" t="s">
        <v>2552</v>
      </c>
      <c r="N278" s="12" t="s">
        <v>5785</v>
      </c>
      <c r="O278" s="12" t="s">
        <v>2420</v>
      </c>
      <c r="P278" s="12" t="s">
        <v>1152</v>
      </c>
      <c r="Q278" s="12" t="s">
        <v>6653</v>
      </c>
      <c r="R278" s="12">
        <v>51.695</v>
      </c>
      <c r="S278" s="12">
        <v>65.671388888899997</v>
      </c>
      <c r="T278" s="12" t="s">
        <v>11</v>
      </c>
      <c r="U278" s="12" t="s">
        <v>2555</v>
      </c>
      <c r="V278" s="12" t="s">
        <v>1430</v>
      </c>
      <c r="W278" s="12" t="s">
        <v>7415</v>
      </c>
      <c r="X278" s="12">
        <v>1.181</v>
      </c>
      <c r="Y278" s="12">
        <v>589700</v>
      </c>
      <c r="Z278" s="12" t="s">
        <v>17</v>
      </c>
      <c r="AA278" s="12" t="s">
        <v>17</v>
      </c>
      <c r="AB278" s="12" t="s">
        <v>17</v>
      </c>
      <c r="AC278" s="12" t="s">
        <v>144</v>
      </c>
      <c r="AD278" s="12" t="s">
        <v>17</v>
      </c>
      <c r="AE278" s="12" t="s">
        <v>17</v>
      </c>
      <c r="AF278" s="12" t="s">
        <v>45</v>
      </c>
    </row>
    <row r="279" spans="1:41" x14ac:dyDescent="0.2">
      <c r="A279" s="12" t="s">
        <v>2531</v>
      </c>
      <c r="B279" s="12" t="s">
        <v>2532</v>
      </c>
      <c r="C279" s="12" t="s">
        <v>2534</v>
      </c>
      <c r="D279" s="12" t="s">
        <v>17</v>
      </c>
      <c r="E279" s="12" t="s">
        <v>7678</v>
      </c>
      <c r="F279" s="12" t="s">
        <v>5460</v>
      </c>
      <c r="G279" s="12" t="s">
        <v>2415</v>
      </c>
      <c r="H279" s="12" t="s">
        <v>6614</v>
      </c>
      <c r="I279" s="12">
        <v>1931</v>
      </c>
      <c r="J279" s="12" t="s">
        <v>2535</v>
      </c>
      <c r="K279" s="12" t="s">
        <v>6655</v>
      </c>
      <c r="L279" s="12" t="s">
        <v>2533</v>
      </c>
      <c r="M279" s="12" t="s">
        <v>2533</v>
      </c>
      <c r="N279" s="12" t="s">
        <v>5785</v>
      </c>
      <c r="O279" s="12" t="s">
        <v>2420</v>
      </c>
      <c r="P279" s="12" t="s">
        <v>1152</v>
      </c>
      <c r="Q279" s="12" t="s">
        <v>6653</v>
      </c>
      <c r="R279" s="12">
        <v>52.173888888900002</v>
      </c>
      <c r="S279" s="12">
        <v>77.039722222199998</v>
      </c>
      <c r="T279" s="12" t="s">
        <v>11</v>
      </c>
      <c r="U279" s="12" t="s">
        <v>2536</v>
      </c>
      <c r="V279" s="12" t="s">
        <v>495</v>
      </c>
      <c r="W279" s="12" t="s">
        <v>7415</v>
      </c>
      <c r="X279" s="12">
        <v>0.36699999999999999</v>
      </c>
      <c r="Y279" s="12">
        <v>292443</v>
      </c>
      <c r="Z279" s="12" t="s">
        <v>17</v>
      </c>
      <c r="AA279" s="12" t="s">
        <v>17</v>
      </c>
      <c r="AB279" s="12" t="s">
        <v>17</v>
      </c>
      <c r="AC279" s="12" t="s">
        <v>144</v>
      </c>
      <c r="AD279" s="12" t="s">
        <v>17</v>
      </c>
      <c r="AE279" s="12" t="s">
        <v>17</v>
      </c>
      <c r="AF279" s="12" t="s">
        <v>45</v>
      </c>
    </row>
    <row r="280" spans="1:41" x14ac:dyDescent="0.2">
      <c r="A280" s="12" t="s">
        <v>2708</v>
      </c>
      <c r="B280" s="12" t="s">
        <v>2709</v>
      </c>
      <c r="C280" s="12" t="s">
        <v>2710</v>
      </c>
      <c r="D280" s="12" t="s">
        <v>17</v>
      </c>
      <c r="E280" s="12" t="s">
        <v>7678</v>
      </c>
      <c r="F280" s="12" t="s">
        <v>5460</v>
      </c>
      <c r="G280" s="12" t="s">
        <v>2415</v>
      </c>
      <c r="H280" s="12" t="s">
        <v>6614</v>
      </c>
      <c r="I280" s="12">
        <v>1821</v>
      </c>
      <c r="J280" s="12" t="s">
        <v>2711</v>
      </c>
      <c r="K280" s="12" t="s">
        <v>6655</v>
      </c>
      <c r="L280" s="12" t="s">
        <v>2637</v>
      </c>
      <c r="M280" s="12" t="s">
        <v>2637</v>
      </c>
      <c r="N280" s="12" t="s">
        <v>5785</v>
      </c>
      <c r="O280" s="12" t="s">
        <v>2420</v>
      </c>
      <c r="P280" s="12" t="s">
        <v>511</v>
      </c>
      <c r="Q280" s="12" t="s">
        <v>6653</v>
      </c>
      <c r="R280" s="12">
        <v>42.159444000000001</v>
      </c>
      <c r="S280" s="12">
        <v>77.406389000000004</v>
      </c>
      <c r="T280" s="12" t="s">
        <v>25</v>
      </c>
      <c r="U280" s="12" t="s">
        <v>1662</v>
      </c>
      <c r="V280" s="12" t="s">
        <v>6639</v>
      </c>
      <c r="W280" s="12" t="s">
        <v>6639</v>
      </c>
      <c r="X280" s="12">
        <v>0.42299999999999999</v>
      </c>
      <c r="Y280" s="12">
        <v>320362</v>
      </c>
      <c r="Z280" s="12" t="s">
        <v>6639</v>
      </c>
      <c r="AA280" s="12" t="s">
        <v>6639</v>
      </c>
      <c r="AB280" s="12" t="s">
        <v>17</v>
      </c>
      <c r="AC280" s="12" t="s">
        <v>144</v>
      </c>
      <c r="AD280" s="12" t="s">
        <v>17</v>
      </c>
      <c r="AE280" s="12" t="s">
        <v>17</v>
      </c>
      <c r="AF280" s="12" t="s">
        <v>45</v>
      </c>
    </row>
    <row r="281" spans="1:41" x14ac:dyDescent="0.2">
      <c r="A281" s="12" t="s">
        <v>2635</v>
      </c>
      <c r="B281" s="12" t="s">
        <v>2636</v>
      </c>
      <c r="C281" s="12" t="s">
        <v>2638</v>
      </c>
      <c r="D281" s="12" t="s">
        <v>17</v>
      </c>
      <c r="E281" s="12" t="s">
        <v>7678</v>
      </c>
      <c r="F281" s="12" t="s">
        <v>5460</v>
      </c>
      <c r="G281" s="12" t="s">
        <v>2415</v>
      </c>
      <c r="H281" s="12" t="s">
        <v>6614</v>
      </c>
      <c r="I281" s="12">
        <v>1821</v>
      </c>
      <c r="J281" s="12" t="s">
        <v>2639</v>
      </c>
      <c r="K281" s="12" t="s">
        <v>6655</v>
      </c>
      <c r="L281" s="12" t="s">
        <v>2637</v>
      </c>
      <c r="M281" s="12" t="s">
        <v>2637</v>
      </c>
      <c r="N281" s="12" t="s">
        <v>5785</v>
      </c>
      <c r="O281" s="12" t="s">
        <v>2420</v>
      </c>
      <c r="P281" s="12" t="s">
        <v>511</v>
      </c>
      <c r="Q281" s="12" t="s">
        <v>6653</v>
      </c>
      <c r="R281" s="12">
        <v>41.501388888900003</v>
      </c>
      <c r="S281" s="12">
        <v>75.794722222199994</v>
      </c>
      <c r="T281" s="12" t="s">
        <v>25</v>
      </c>
      <c r="U281" s="12" t="s">
        <v>2524</v>
      </c>
      <c r="V281" s="12" t="s">
        <v>6639</v>
      </c>
      <c r="W281" s="12" t="s">
        <v>6639</v>
      </c>
      <c r="X281" s="12">
        <v>0.81699999999999995</v>
      </c>
      <c r="Y281" s="12">
        <v>518089</v>
      </c>
      <c r="Z281" s="12" t="s">
        <v>6639</v>
      </c>
      <c r="AA281" s="12" t="s">
        <v>6639</v>
      </c>
      <c r="AB281" s="12" t="s">
        <v>17</v>
      </c>
      <c r="AC281" s="12" t="s">
        <v>144</v>
      </c>
      <c r="AD281" s="12" t="s">
        <v>17</v>
      </c>
      <c r="AE281" s="12" t="s">
        <v>17</v>
      </c>
      <c r="AF281" s="12" t="s">
        <v>45</v>
      </c>
    </row>
    <row r="282" spans="1:41" x14ac:dyDescent="0.2">
      <c r="A282" s="12" t="s">
        <v>2694</v>
      </c>
      <c r="B282" s="12" t="s">
        <v>2695</v>
      </c>
      <c r="C282" s="12" t="s">
        <v>2696</v>
      </c>
      <c r="D282" s="12" t="s">
        <v>17</v>
      </c>
      <c r="E282" s="12" t="s">
        <v>7678</v>
      </c>
      <c r="F282" s="12" t="s">
        <v>5460</v>
      </c>
      <c r="G282" s="12" t="s">
        <v>2415</v>
      </c>
      <c r="H282" s="12" t="s">
        <v>6614</v>
      </c>
      <c r="I282" s="12">
        <v>1811</v>
      </c>
      <c r="J282" s="12" t="s">
        <v>2697</v>
      </c>
      <c r="K282" s="12" t="s">
        <v>6655</v>
      </c>
      <c r="L282" s="12" t="s">
        <v>2637</v>
      </c>
      <c r="M282" s="12" t="s">
        <v>2637</v>
      </c>
      <c r="N282" s="12" t="s">
        <v>5785</v>
      </c>
      <c r="O282" s="12" t="s">
        <v>2420</v>
      </c>
      <c r="P282" s="12" t="s">
        <v>511</v>
      </c>
      <c r="Q282" s="12" t="s">
        <v>6653</v>
      </c>
      <c r="R282" s="12">
        <v>41.615000000000002</v>
      </c>
      <c r="S282" s="12">
        <v>74.985833333299993</v>
      </c>
      <c r="T282" s="12" t="s">
        <v>25</v>
      </c>
      <c r="U282" s="12" t="s">
        <v>1429</v>
      </c>
      <c r="V282" s="12" t="s">
        <v>6639</v>
      </c>
      <c r="W282" s="12" t="s">
        <v>6639</v>
      </c>
      <c r="X282" s="12">
        <v>0.17899999999999999</v>
      </c>
      <c r="Y282" s="12">
        <v>137123</v>
      </c>
      <c r="Z282" s="12" t="s">
        <v>6639</v>
      </c>
      <c r="AA282" s="12" t="s">
        <v>6639</v>
      </c>
      <c r="AB282" s="12" t="s">
        <v>17</v>
      </c>
      <c r="AC282" s="12" t="s">
        <v>144</v>
      </c>
      <c r="AD282" s="12" t="s">
        <v>17</v>
      </c>
      <c r="AE282" s="12" t="s">
        <v>17</v>
      </c>
      <c r="AF282" s="12" t="s">
        <v>45</v>
      </c>
    </row>
    <row r="283" spans="1:41" x14ac:dyDescent="0.2">
      <c r="A283" s="12" t="s">
        <v>2450</v>
      </c>
      <c r="B283" s="12" t="s">
        <v>2451</v>
      </c>
      <c r="C283" s="12" t="s">
        <v>2453</v>
      </c>
      <c r="D283" s="12" t="s">
        <v>17</v>
      </c>
      <c r="E283" s="12" t="s">
        <v>7678</v>
      </c>
      <c r="F283" s="12" t="s">
        <v>5460</v>
      </c>
      <c r="G283" s="12" t="s">
        <v>2415</v>
      </c>
      <c r="H283" s="12" t="s">
        <v>6614</v>
      </c>
      <c r="I283" s="12">
        <v>1738</v>
      </c>
      <c r="J283" s="12" t="s">
        <v>2454</v>
      </c>
      <c r="K283" s="12" t="s">
        <v>6655</v>
      </c>
      <c r="L283" s="12" t="s">
        <v>2452</v>
      </c>
      <c r="M283" s="12" t="s">
        <v>2452</v>
      </c>
      <c r="N283" s="12" t="s">
        <v>5785</v>
      </c>
      <c r="O283" s="12" t="s">
        <v>2420</v>
      </c>
      <c r="P283" s="12" t="s">
        <v>1152</v>
      </c>
      <c r="Q283" s="12" t="s">
        <v>6653</v>
      </c>
      <c r="R283" s="12">
        <v>42.901944444400002</v>
      </c>
      <c r="S283" s="12">
        <v>68.248888888899998</v>
      </c>
      <c r="T283" s="12" t="s">
        <v>11</v>
      </c>
      <c r="U283" s="12" t="s">
        <v>908</v>
      </c>
      <c r="V283" s="12" t="s">
        <v>739</v>
      </c>
      <c r="W283" s="12" t="s">
        <v>7415</v>
      </c>
      <c r="X283" s="12">
        <v>1.9950000000000001</v>
      </c>
      <c r="Y283" s="12">
        <v>924982</v>
      </c>
      <c r="Z283" s="12" t="s">
        <v>17</v>
      </c>
      <c r="AA283" s="12" t="s">
        <v>17</v>
      </c>
      <c r="AB283" s="12" t="s">
        <v>17</v>
      </c>
      <c r="AC283" s="12" t="s">
        <v>144</v>
      </c>
      <c r="AD283" s="12" t="s">
        <v>17</v>
      </c>
      <c r="AE283" s="12" t="s">
        <v>17</v>
      </c>
      <c r="AF283" s="12" t="s">
        <v>45</v>
      </c>
    </row>
    <row r="284" spans="1:41" x14ac:dyDescent="0.2">
      <c r="A284" s="12" t="s">
        <v>2460</v>
      </c>
      <c r="B284" s="12" t="s">
        <v>2461</v>
      </c>
      <c r="C284" s="12" t="s">
        <v>2462</v>
      </c>
      <c r="D284" s="12" t="s">
        <v>17</v>
      </c>
      <c r="E284" s="12" t="s">
        <v>7678</v>
      </c>
      <c r="F284" s="12" t="s">
        <v>5460</v>
      </c>
      <c r="G284" s="12" t="s">
        <v>2415</v>
      </c>
      <c r="H284" s="12" t="s">
        <v>6614</v>
      </c>
      <c r="I284" s="12">
        <v>1724</v>
      </c>
      <c r="J284" s="12" t="s">
        <v>2463</v>
      </c>
      <c r="K284" s="12" t="s">
        <v>6655</v>
      </c>
      <c r="L284" s="12" t="s">
        <v>2452</v>
      </c>
      <c r="M284" s="12" t="s">
        <v>2452</v>
      </c>
      <c r="N284" s="12" t="s">
        <v>5785</v>
      </c>
      <c r="O284" s="12" t="s">
        <v>2420</v>
      </c>
      <c r="P284" s="12" t="s">
        <v>1152</v>
      </c>
      <c r="Q284" s="12" t="s">
        <v>6653</v>
      </c>
      <c r="R284" s="12">
        <v>42.593055555600003</v>
      </c>
      <c r="S284" s="12">
        <v>68.050555555599999</v>
      </c>
      <c r="T284" s="12" t="s">
        <v>11</v>
      </c>
      <c r="U284" s="12" t="s">
        <v>2464</v>
      </c>
      <c r="V284" s="12" t="s">
        <v>933</v>
      </c>
      <c r="W284" s="12" t="s">
        <v>7415</v>
      </c>
      <c r="X284" s="12">
        <v>0.21199999999999999</v>
      </c>
      <c r="Y284" s="12">
        <v>165465</v>
      </c>
      <c r="Z284" s="12" t="s">
        <v>17</v>
      </c>
      <c r="AA284" s="12" t="s">
        <v>17</v>
      </c>
      <c r="AB284" s="12" t="s">
        <v>17</v>
      </c>
      <c r="AC284" s="12" t="s">
        <v>144</v>
      </c>
      <c r="AD284" s="12" t="s">
        <v>17</v>
      </c>
      <c r="AE284" s="12" t="s">
        <v>17</v>
      </c>
      <c r="AF284" s="12" t="s">
        <v>45</v>
      </c>
    </row>
    <row r="285" spans="1:41" x14ac:dyDescent="0.2">
      <c r="A285" s="12" t="s">
        <v>2721</v>
      </c>
      <c r="B285" s="12" t="s">
        <v>2722</v>
      </c>
      <c r="C285" s="12" t="s">
        <v>2723</v>
      </c>
      <c r="D285" s="12" t="s">
        <v>17</v>
      </c>
      <c r="E285" s="12" t="s">
        <v>7678</v>
      </c>
      <c r="F285" s="12" t="s">
        <v>5460</v>
      </c>
      <c r="G285" s="12" t="s">
        <v>2415</v>
      </c>
      <c r="H285" s="12" t="s">
        <v>6614</v>
      </c>
      <c r="I285" s="12">
        <v>1716</v>
      </c>
      <c r="J285" s="12" t="s">
        <v>2724</v>
      </c>
      <c r="K285" s="12" t="s">
        <v>6655</v>
      </c>
      <c r="L285" s="12" t="s">
        <v>2637</v>
      </c>
      <c r="M285" s="12" t="s">
        <v>2637</v>
      </c>
      <c r="N285" s="12" t="s">
        <v>5785</v>
      </c>
      <c r="O285" s="12" t="s">
        <v>2420</v>
      </c>
      <c r="P285" s="12" t="s">
        <v>511</v>
      </c>
      <c r="Q285" s="12" t="s">
        <v>6653</v>
      </c>
      <c r="R285" s="12">
        <v>42.159444000000001</v>
      </c>
      <c r="S285" s="12">
        <v>77.406389000000004</v>
      </c>
      <c r="T285" s="12" t="s">
        <v>11</v>
      </c>
      <c r="U285" s="12" t="s">
        <v>142</v>
      </c>
      <c r="V285" s="12" t="s">
        <v>739</v>
      </c>
      <c r="W285" s="12" t="s">
        <v>7415</v>
      </c>
      <c r="X285" s="12">
        <v>3.419</v>
      </c>
      <c r="Y285" s="12">
        <v>1087056</v>
      </c>
      <c r="Z285" s="12" t="s">
        <v>17</v>
      </c>
      <c r="AA285" s="12" t="s">
        <v>17</v>
      </c>
      <c r="AB285" s="12" t="s">
        <v>17</v>
      </c>
      <c r="AC285" s="12" t="s">
        <v>144</v>
      </c>
      <c r="AD285" s="12" t="s">
        <v>17</v>
      </c>
      <c r="AE285" s="12" t="s">
        <v>17</v>
      </c>
      <c r="AF285" s="12" t="s">
        <v>45</v>
      </c>
    </row>
    <row r="286" spans="1:41" x14ac:dyDescent="0.2">
      <c r="A286" s="12" t="s">
        <v>2470</v>
      </c>
      <c r="B286" s="12" t="s">
        <v>2471</v>
      </c>
      <c r="C286" s="12" t="s">
        <v>2472</v>
      </c>
      <c r="D286" s="12" t="s">
        <v>17</v>
      </c>
      <c r="E286" s="12" t="s">
        <v>7678</v>
      </c>
      <c r="F286" s="12" t="s">
        <v>5458</v>
      </c>
      <c r="G286" s="12" t="s">
        <v>2415</v>
      </c>
      <c r="H286" s="12" t="s">
        <v>6614</v>
      </c>
      <c r="I286" s="12">
        <v>1700</v>
      </c>
      <c r="J286" s="12" t="s">
        <v>2468</v>
      </c>
      <c r="K286" s="12" t="s">
        <v>6655</v>
      </c>
      <c r="L286" s="12" t="s">
        <v>2452</v>
      </c>
      <c r="M286" s="12" t="s">
        <v>2452</v>
      </c>
      <c r="N286" s="12" t="s">
        <v>5785</v>
      </c>
      <c r="O286" s="12" t="s">
        <v>2420</v>
      </c>
      <c r="P286" s="12" t="s">
        <v>1152</v>
      </c>
      <c r="Q286" s="12" t="s">
        <v>6653</v>
      </c>
      <c r="R286" s="12">
        <v>43.068611111099997</v>
      </c>
      <c r="S286" s="12">
        <v>68.248888888899998</v>
      </c>
      <c r="T286" s="12" t="s">
        <v>25</v>
      </c>
      <c r="U286" s="12" t="s">
        <v>1281</v>
      </c>
      <c r="V286" s="12" t="s">
        <v>6639</v>
      </c>
      <c r="W286" s="12" t="s">
        <v>6639</v>
      </c>
      <c r="X286" s="12">
        <v>0.46600000000000003</v>
      </c>
      <c r="Y286" s="12">
        <v>339089</v>
      </c>
      <c r="Z286" s="12" t="s">
        <v>6639</v>
      </c>
      <c r="AA286" s="12" t="s">
        <v>6639</v>
      </c>
      <c r="AB286" s="12" t="s">
        <v>17</v>
      </c>
      <c r="AC286" s="12" t="s">
        <v>144</v>
      </c>
      <c r="AD286" s="12" t="s">
        <v>17</v>
      </c>
      <c r="AE286" s="12" t="s">
        <v>17</v>
      </c>
      <c r="AF286" s="12" t="s">
        <v>45</v>
      </c>
    </row>
    <row r="287" spans="1:41" x14ac:dyDescent="0.2">
      <c r="A287" s="12" t="s">
        <v>2473</v>
      </c>
      <c r="B287" s="12" t="s">
        <v>2474</v>
      </c>
      <c r="C287" s="12" t="s">
        <v>7612</v>
      </c>
      <c r="D287" s="12" t="s">
        <v>17</v>
      </c>
      <c r="E287" s="12" t="s">
        <v>7678</v>
      </c>
      <c r="F287" s="12" t="s">
        <v>5458</v>
      </c>
      <c r="G287" s="12" t="s">
        <v>2415</v>
      </c>
      <c r="H287" s="12" t="s">
        <v>6614</v>
      </c>
      <c r="I287" s="12">
        <v>1700</v>
      </c>
      <c r="J287" s="12" t="s">
        <v>2468</v>
      </c>
      <c r="K287" s="12" t="s">
        <v>6655</v>
      </c>
      <c r="L287" s="12" t="s">
        <v>2452</v>
      </c>
      <c r="M287" s="12" t="s">
        <v>2452</v>
      </c>
      <c r="N287" s="12" t="s">
        <v>5785</v>
      </c>
      <c r="O287" s="12" t="s">
        <v>2420</v>
      </c>
      <c r="P287" s="12" t="s">
        <v>1152</v>
      </c>
      <c r="Q287" s="12" t="s">
        <v>6653</v>
      </c>
      <c r="R287" s="12">
        <v>42.4597222222</v>
      </c>
      <c r="S287" s="12">
        <v>69.699722222199995</v>
      </c>
      <c r="T287" s="12" t="s">
        <v>11</v>
      </c>
      <c r="U287" s="12" t="s">
        <v>2475</v>
      </c>
      <c r="V287" s="12" t="s">
        <v>1339</v>
      </c>
      <c r="W287" s="12" t="s">
        <v>7415</v>
      </c>
      <c r="X287" s="12">
        <v>0.73199999999999998</v>
      </c>
      <c r="Y287" s="12">
        <v>476291</v>
      </c>
      <c r="Z287" s="12" t="s">
        <v>17</v>
      </c>
      <c r="AA287" s="12" t="s">
        <v>17</v>
      </c>
      <c r="AB287" s="12" t="s">
        <v>17</v>
      </c>
      <c r="AC287" s="12" t="s">
        <v>144</v>
      </c>
      <c r="AD287" s="12" t="s">
        <v>17</v>
      </c>
      <c r="AE287" s="12" t="s">
        <v>17</v>
      </c>
      <c r="AF287" s="12" t="s">
        <v>45</v>
      </c>
    </row>
    <row r="288" spans="1:41" x14ac:dyDescent="0.2">
      <c r="A288" s="12" t="s">
        <v>2465</v>
      </c>
      <c r="B288" s="12" t="s">
        <v>2466</v>
      </c>
      <c r="C288" s="12" t="s">
        <v>2467</v>
      </c>
      <c r="D288" s="12" t="s">
        <v>17</v>
      </c>
      <c r="E288" s="12" t="s">
        <v>7678</v>
      </c>
      <c r="F288" s="12" t="s">
        <v>5458</v>
      </c>
      <c r="G288" s="12" t="s">
        <v>2415</v>
      </c>
      <c r="H288" s="12" t="s">
        <v>6614</v>
      </c>
      <c r="I288" s="12">
        <v>1700</v>
      </c>
      <c r="J288" s="12" t="s">
        <v>2468</v>
      </c>
      <c r="K288" s="12" t="s">
        <v>6655</v>
      </c>
      <c r="L288" s="12" t="s">
        <v>2452</v>
      </c>
      <c r="M288" s="12" t="s">
        <v>2452</v>
      </c>
      <c r="N288" s="12" t="s">
        <v>5785</v>
      </c>
      <c r="O288" s="12" t="s">
        <v>2420</v>
      </c>
      <c r="P288" s="12" t="s">
        <v>1152</v>
      </c>
      <c r="Q288" s="12" t="s">
        <v>6653</v>
      </c>
      <c r="R288" s="12">
        <v>42.733055555600004</v>
      </c>
      <c r="S288" s="12">
        <v>68.324444444400001</v>
      </c>
      <c r="T288" s="12" t="s">
        <v>25</v>
      </c>
      <c r="U288" s="12" t="s">
        <v>2469</v>
      </c>
      <c r="V288" s="12" t="s">
        <v>6639</v>
      </c>
      <c r="W288" s="12" t="s">
        <v>6639</v>
      </c>
      <c r="X288" s="12">
        <v>0.81899999999999995</v>
      </c>
      <c r="Y288" s="12">
        <v>538242</v>
      </c>
      <c r="Z288" s="12" t="s">
        <v>6639</v>
      </c>
      <c r="AA288" s="12" t="s">
        <v>6639</v>
      </c>
      <c r="AB288" s="12" t="s">
        <v>17</v>
      </c>
      <c r="AC288" s="12" t="s">
        <v>144</v>
      </c>
      <c r="AD288" s="12" t="s">
        <v>17</v>
      </c>
      <c r="AE288" s="12" t="s">
        <v>17</v>
      </c>
      <c r="AF288" s="12" t="s">
        <v>45</v>
      </c>
    </row>
    <row r="289" spans="1:41" x14ac:dyDescent="0.2">
      <c r="A289" s="12" t="s">
        <v>2704</v>
      </c>
      <c r="B289" s="12" t="s">
        <v>2705</v>
      </c>
      <c r="C289" s="12" t="s">
        <v>2706</v>
      </c>
      <c r="D289" s="12" t="s">
        <v>17</v>
      </c>
      <c r="E289" s="12" t="s">
        <v>7678</v>
      </c>
      <c r="F289" s="12" t="s">
        <v>5460</v>
      </c>
      <c r="G289" s="12" t="s">
        <v>2415</v>
      </c>
      <c r="H289" s="12" t="s">
        <v>6614</v>
      </c>
      <c r="I289" s="12">
        <v>1696</v>
      </c>
      <c r="J289" s="12" t="s">
        <v>2707</v>
      </c>
      <c r="K289" s="12" t="s">
        <v>6655</v>
      </c>
      <c r="L289" s="12" t="s">
        <v>2637</v>
      </c>
      <c r="M289" s="12" t="s">
        <v>2637</v>
      </c>
      <c r="N289" s="12" t="s">
        <v>5785</v>
      </c>
      <c r="O289" s="12" t="s">
        <v>2420</v>
      </c>
      <c r="P289" s="12" t="s">
        <v>511</v>
      </c>
      <c r="Q289" s="12" t="s">
        <v>6653</v>
      </c>
      <c r="R289" s="12">
        <v>41.615000000000002</v>
      </c>
      <c r="S289" s="12">
        <v>74.985833333299993</v>
      </c>
      <c r="T289" s="12" t="s">
        <v>11</v>
      </c>
      <c r="U289" s="12" t="s">
        <v>142</v>
      </c>
      <c r="V289" s="12" t="s">
        <v>413</v>
      </c>
      <c r="W289" s="12" t="s">
        <v>7415</v>
      </c>
      <c r="X289" s="12">
        <v>1.851</v>
      </c>
      <c r="Y289" s="12">
        <v>882605</v>
      </c>
      <c r="Z289" s="12" t="s">
        <v>17</v>
      </c>
      <c r="AA289" s="12" t="s">
        <v>17</v>
      </c>
      <c r="AB289" s="12" t="s">
        <v>17</v>
      </c>
      <c r="AC289" s="12" t="s">
        <v>144</v>
      </c>
      <c r="AD289" s="12" t="s">
        <v>17</v>
      </c>
      <c r="AE289" s="12" t="s">
        <v>17</v>
      </c>
      <c r="AF289" s="12" t="s">
        <v>45</v>
      </c>
    </row>
    <row r="290" spans="1:41" x14ac:dyDescent="0.2">
      <c r="A290" s="12" t="s">
        <v>2698</v>
      </c>
      <c r="B290" s="12" t="s">
        <v>2699</v>
      </c>
      <c r="C290" s="12" t="s">
        <v>2700</v>
      </c>
      <c r="D290" s="12" t="s">
        <v>17</v>
      </c>
      <c r="E290" s="12" t="s">
        <v>7678</v>
      </c>
      <c r="F290" s="12" t="s">
        <v>5460</v>
      </c>
      <c r="G290" s="12" t="s">
        <v>2415</v>
      </c>
      <c r="H290" s="12" t="s">
        <v>6614</v>
      </c>
      <c r="I290" s="12">
        <v>1692</v>
      </c>
      <c r="J290" s="12" t="s">
        <v>2701</v>
      </c>
      <c r="K290" s="12" t="s">
        <v>6655</v>
      </c>
      <c r="L290" s="12" t="s">
        <v>2637</v>
      </c>
      <c r="M290" s="12" t="s">
        <v>2637</v>
      </c>
      <c r="N290" s="12" t="s">
        <v>5785</v>
      </c>
      <c r="O290" s="12" t="s">
        <v>2420</v>
      </c>
      <c r="P290" s="12" t="s">
        <v>511</v>
      </c>
      <c r="Q290" s="12" t="s">
        <v>6653</v>
      </c>
      <c r="R290" s="12">
        <v>41.615000000000002</v>
      </c>
      <c r="S290" s="12">
        <v>74.985833333299993</v>
      </c>
      <c r="T290" s="12" t="s">
        <v>11</v>
      </c>
      <c r="U290" s="12" t="s">
        <v>2702</v>
      </c>
      <c r="V290" s="12" t="s">
        <v>2703</v>
      </c>
      <c r="W290" s="12" t="s">
        <v>7415</v>
      </c>
      <c r="X290" s="12">
        <v>2.0950000000000002</v>
      </c>
      <c r="Y290" s="12">
        <v>900631</v>
      </c>
      <c r="Z290" s="12" t="s">
        <v>17</v>
      </c>
      <c r="AA290" s="12" t="s">
        <v>17</v>
      </c>
      <c r="AB290" s="12" t="s">
        <v>17</v>
      </c>
      <c r="AC290" s="12" t="s">
        <v>144</v>
      </c>
      <c r="AD290" s="12" t="s">
        <v>17</v>
      </c>
      <c r="AE290" s="12" t="s">
        <v>17</v>
      </c>
      <c r="AF290" s="12" t="s">
        <v>45</v>
      </c>
    </row>
    <row r="291" spans="1:41" x14ac:dyDescent="0.2">
      <c r="A291" s="12" t="s">
        <v>2690</v>
      </c>
      <c r="B291" s="12" t="s">
        <v>2691</v>
      </c>
      <c r="C291" s="12" t="s">
        <v>2692</v>
      </c>
      <c r="D291" s="12" t="s">
        <v>17</v>
      </c>
      <c r="E291" s="12" t="s">
        <v>7678</v>
      </c>
      <c r="F291" s="12" t="s">
        <v>5460</v>
      </c>
      <c r="G291" s="12" t="s">
        <v>2415</v>
      </c>
      <c r="H291" s="12" t="s">
        <v>6614</v>
      </c>
      <c r="I291" s="12">
        <v>1653</v>
      </c>
      <c r="J291" s="12" t="s">
        <v>2693</v>
      </c>
      <c r="K291" s="12" t="s">
        <v>6655</v>
      </c>
      <c r="L291" s="12" t="s">
        <v>2637</v>
      </c>
      <c r="M291" s="12" t="s">
        <v>2637</v>
      </c>
      <c r="N291" s="12" t="s">
        <v>5785</v>
      </c>
      <c r="O291" s="12" t="s">
        <v>2420</v>
      </c>
      <c r="P291" s="12" t="s">
        <v>511</v>
      </c>
      <c r="Q291" s="12" t="s">
        <v>6653</v>
      </c>
      <c r="R291" s="12">
        <v>41.501388888900003</v>
      </c>
      <c r="S291" s="12">
        <v>75.794722222199994</v>
      </c>
      <c r="T291" s="12" t="s">
        <v>11</v>
      </c>
      <c r="U291" s="12" t="s">
        <v>1558</v>
      </c>
      <c r="V291" s="12" t="s">
        <v>2525</v>
      </c>
      <c r="W291" s="12" t="s">
        <v>7415</v>
      </c>
      <c r="X291" s="12">
        <v>0.63200000000000001</v>
      </c>
      <c r="Y291" s="12">
        <v>430962</v>
      </c>
      <c r="Z291" s="12" t="s">
        <v>17</v>
      </c>
      <c r="AA291" s="12" t="s">
        <v>17</v>
      </c>
      <c r="AB291" s="12" t="s">
        <v>17</v>
      </c>
      <c r="AC291" s="12" t="s">
        <v>144</v>
      </c>
      <c r="AD291" s="12" t="s">
        <v>17</v>
      </c>
      <c r="AE291" s="12" t="s">
        <v>17</v>
      </c>
      <c r="AF291" s="12" t="s">
        <v>45</v>
      </c>
    </row>
    <row r="292" spans="1:41" x14ac:dyDescent="0.2">
      <c r="A292" s="12" t="s">
        <v>2717</v>
      </c>
      <c r="B292" s="12" t="s">
        <v>2718</v>
      </c>
      <c r="C292" s="12" t="s">
        <v>2719</v>
      </c>
      <c r="D292" s="12" t="s">
        <v>17</v>
      </c>
      <c r="E292" s="12" t="s">
        <v>7678</v>
      </c>
      <c r="F292" s="12" t="s">
        <v>5460</v>
      </c>
      <c r="G292" s="12" t="s">
        <v>2415</v>
      </c>
      <c r="H292" s="12" t="s">
        <v>6614</v>
      </c>
      <c r="I292" s="12">
        <v>1650</v>
      </c>
      <c r="J292" s="12" t="s">
        <v>2720</v>
      </c>
      <c r="K292" s="12" t="s">
        <v>6655</v>
      </c>
      <c r="L292" s="12" t="s">
        <v>2637</v>
      </c>
      <c r="M292" s="12" t="s">
        <v>2637</v>
      </c>
      <c r="N292" s="12" t="s">
        <v>5785</v>
      </c>
      <c r="O292" s="12" t="s">
        <v>2420</v>
      </c>
      <c r="P292" s="12" t="s">
        <v>511</v>
      </c>
      <c r="Q292" s="12" t="s">
        <v>6653</v>
      </c>
      <c r="R292" s="12">
        <v>42.156666999999999</v>
      </c>
      <c r="S292" s="12">
        <v>77.405556000000004</v>
      </c>
      <c r="T292" s="12" t="s">
        <v>11</v>
      </c>
      <c r="U292" s="12" t="s">
        <v>2530</v>
      </c>
      <c r="V292" s="12" t="s">
        <v>606</v>
      </c>
      <c r="W292" s="12" t="s">
        <v>7415</v>
      </c>
      <c r="X292" s="12">
        <v>0.74099999999999999</v>
      </c>
      <c r="Y292" s="12">
        <v>929811</v>
      </c>
      <c r="Z292" s="12" t="s">
        <v>17</v>
      </c>
      <c r="AA292" s="12" t="s">
        <v>17</v>
      </c>
      <c r="AB292" s="12" t="s">
        <v>17</v>
      </c>
      <c r="AC292" s="12" t="s">
        <v>144</v>
      </c>
      <c r="AD292" s="12" t="s">
        <v>17</v>
      </c>
      <c r="AE292" s="12" t="s">
        <v>17</v>
      </c>
      <c r="AF292" s="12" t="s">
        <v>45</v>
      </c>
    </row>
    <row r="293" spans="1:41" x14ac:dyDescent="0.2">
      <c r="A293" s="12" t="s">
        <v>2712</v>
      </c>
      <c r="B293" s="12" t="s">
        <v>2713</v>
      </c>
      <c r="C293" s="12" t="s">
        <v>2714</v>
      </c>
      <c r="D293" s="12" t="s">
        <v>17</v>
      </c>
      <c r="E293" s="12" t="s">
        <v>7678</v>
      </c>
      <c r="F293" s="12" t="s">
        <v>5460</v>
      </c>
      <c r="G293" s="12" t="s">
        <v>2415</v>
      </c>
      <c r="H293" s="12" t="s">
        <v>6614</v>
      </c>
      <c r="I293" s="12">
        <v>1626</v>
      </c>
      <c r="J293" s="12" t="s">
        <v>2715</v>
      </c>
      <c r="K293" s="12" t="s">
        <v>6655</v>
      </c>
      <c r="L293" s="12" t="s">
        <v>2637</v>
      </c>
      <c r="M293" s="12" t="s">
        <v>2637</v>
      </c>
      <c r="N293" s="12" t="s">
        <v>5785</v>
      </c>
      <c r="O293" s="12" t="s">
        <v>2420</v>
      </c>
      <c r="P293" s="12" t="s">
        <v>511</v>
      </c>
      <c r="Q293" s="12" t="s">
        <v>6653</v>
      </c>
      <c r="R293" s="12">
        <v>42.156944000000003</v>
      </c>
      <c r="S293" s="12">
        <v>77.405556000000004</v>
      </c>
      <c r="T293" s="12" t="s">
        <v>11</v>
      </c>
      <c r="U293" s="12" t="s">
        <v>2716</v>
      </c>
      <c r="V293" s="12" t="s">
        <v>2545</v>
      </c>
      <c r="W293" s="12" t="s">
        <v>7415</v>
      </c>
      <c r="X293" s="12">
        <v>0.94099999999999995</v>
      </c>
      <c r="Y293" s="12">
        <v>618488</v>
      </c>
      <c r="Z293" s="12" t="s">
        <v>17</v>
      </c>
      <c r="AA293" s="12" t="s">
        <v>17</v>
      </c>
      <c r="AB293" s="12" t="s">
        <v>17</v>
      </c>
      <c r="AC293" s="12" t="s">
        <v>144</v>
      </c>
      <c r="AD293" s="12" t="s">
        <v>17</v>
      </c>
      <c r="AE293" s="12" t="s">
        <v>17</v>
      </c>
      <c r="AF293" s="12" t="s">
        <v>45</v>
      </c>
    </row>
    <row r="294" spans="1:41" x14ac:dyDescent="0.2">
      <c r="A294" s="12" t="s">
        <v>2508</v>
      </c>
      <c r="B294" s="12" t="s">
        <v>2509</v>
      </c>
      <c r="C294" s="12" t="s">
        <v>2511</v>
      </c>
      <c r="D294" s="12" t="s">
        <v>17</v>
      </c>
      <c r="E294" s="12" t="s">
        <v>7678</v>
      </c>
      <c r="F294" s="12" t="s">
        <v>5460</v>
      </c>
      <c r="G294" s="12" t="s">
        <v>2415</v>
      </c>
      <c r="H294" s="12" t="s">
        <v>6614</v>
      </c>
      <c r="I294" s="12">
        <v>1619</v>
      </c>
      <c r="J294" s="12" t="s">
        <v>2512</v>
      </c>
      <c r="K294" s="12" t="s">
        <v>6655</v>
      </c>
      <c r="L294" s="12" t="s">
        <v>2510</v>
      </c>
      <c r="M294" s="12" t="s">
        <v>2510</v>
      </c>
      <c r="N294" s="12" t="s">
        <v>5785</v>
      </c>
      <c r="O294" s="12" t="s">
        <v>2420</v>
      </c>
      <c r="P294" s="12" t="s">
        <v>1152</v>
      </c>
      <c r="Q294" s="12" t="s">
        <v>6653</v>
      </c>
      <c r="R294" s="12">
        <v>52.618055555600002</v>
      </c>
      <c r="S294" s="12">
        <v>76.749444444399998</v>
      </c>
      <c r="T294" s="12" t="s">
        <v>11</v>
      </c>
      <c r="U294" s="12" t="s">
        <v>2513</v>
      </c>
      <c r="V294" s="12" t="s">
        <v>2514</v>
      </c>
      <c r="W294" s="12" t="s">
        <v>7415</v>
      </c>
      <c r="X294" s="12">
        <v>1.998</v>
      </c>
      <c r="Y294" s="12">
        <v>887061</v>
      </c>
      <c r="Z294" s="12" t="s">
        <v>17</v>
      </c>
      <c r="AA294" s="12" t="s">
        <v>17</v>
      </c>
      <c r="AB294" s="12" t="s">
        <v>17</v>
      </c>
      <c r="AC294" s="12" t="s">
        <v>144</v>
      </c>
      <c r="AD294" s="12" t="s">
        <v>17</v>
      </c>
      <c r="AE294" s="12" t="s">
        <v>17</v>
      </c>
      <c r="AF294" s="12" t="s">
        <v>45</v>
      </c>
    </row>
    <row r="295" spans="1:41" x14ac:dyDescent="0.2">
      <c r="A295" s="12" t="s">
        <v>2685</v>
      </c>
      <c r="B295" s="12" t="s">
        <v>2686</v>
      </c>
      <c r="C295" s="12" t="s">
        <v>2687</v>
      </c>
      <c r="D295" s="12" t="s">
        <v>17</v>
      </c>
      <c r="E295" s="12" t="s">
        <v>7678</v>
      </c>
      <c r="F295" s="12" t="s">
        <v>5460</v>
      </c>
      <c r="G295" s="12" t="s">
        <v>2415</v>
      </c>
      <c r="H295" s="12" t="s">
        <v>6614</v>
      </c>
      <c r="I295" s="12">
        <v>1615</v>
      </c>
      <c r="J295" s="12" t="s">
        <v>2688</v>
      </c>
      <c r="K295" s="12" t="s">
        <v>6655</v>
      </c>
      <c r="L295" s="12" t="s">
        <v>2637</v>
      </c>
      <c r="M295" s="12" t="s">
        <v>2637</v>
      </c>
      <c r="N295" s="12" t="s">
        <v>5785</v>
      </c>
      <c r="O295" s="12" t="s">
        <v>2420</v>
      </c>
      <c r="P295" s="12" t="s">
        <v>511</v>
      </c>
      <c r="Q295" s="12" t="s">
        <v>6653</v>
      </c>
      <c r="R295" s="12">
        <v>41.428055555599997</v>
      </c>
      <c r="S295" s="12">
        <v>75.329722222200004</v>
      </c>
      <c r="T295" s="12" t="s">
        <v>11</v>
      </c>
      <c r="U295" s="12" t="s">
        <v>2689</v>
      </c>
      <c r="V295" s="12" t="s">
        <v>2591</v>
      </c>
      <c r="W295" s="12" t="s">
        <v>7415</v>
      </c>
      <c r="X295" s="12">
        <v>0.20300000000000001</v>
      </c>
      <c r="Y295" s="12">
        <v>144978</v>
      </c>
      <c r="Z295" s="12" t="s">
        <v>17</v>
      </c>
      <c r="AA295" s="12" t="s">
        <v>17</v>
      </c>
      <c r="AB295" s="12" t="s">
        <v>17</v>
      </c>
      <c r="AC295" s="12" t="s">
        <v>144</v>
      </c>
      <c r="AD295" s="12" t="s">
        <v>17</v>
      </c>
      <c r="AE295" s="12" t="s">
        <v>17</v>
      </c>
      <c r="AF295" s="12" t="s">
        <v>45</v>
      </c>
    </row>
    <row r="296" spans="1:41" x14ac:dyDescent="0.2">
      <c r="A296" s="12" t="s">
        <v>2455</v>
      </c>
      <c r="B296" s="12" t="s">
        <v>2456</v>
      </c>
      <c r="C296" s="12" t="s">
        <v>2457</v>
      </c>
      <c r="D296" s="12" t="s">
        <v>17</v>
      </c>
      <c r="E296" s="12" t="s">
        <v>7678</v>
      </c>
      <c r="F296" s="12" t="s">
        <v>5460</v>
      </c>
      <c r="G296" s="12" t="s">
        <v>2415</v>
      </c>
      <c r="H296" s="12" t="s">
        <v>6614</v>
      </c>
      <c r="I296" s="12">
        <v>1613</v>
      </c>
      <c r="J296" s="12" t="s">
        <v>2458</v>
      </c>
      <c r="K296" s="12" t="s">
        <v>6655</v>
      </c>
      <c r="L296" s="12" t="s">
        <v>2452</v>
      </c>
      <c r="M296" s="12" t="s">
        <v>2452</v>
      </c>
      <c r="N296" s="12" t="s">
        <v>5785</v>
      </c>
      <c r="O296" s="12" t="s">
        <v>2420</v>
      </c>
      <c r="P296" s="12" t="s">
        <v>1152</v>
      </c>
      <c r="Q296" s="12" t="s">
        <v>6653</v>
      </c>
      <c r="R296" s="12">
        <v>42.733055555600004</v>
      </c>
      <c r="S296" s="12">
        <v>68.340555555600005</v>
      </c>
      <c r="T296" s="12" t="s">
        <v>25</v>
      </c>
      <c r="U296" s="12" t="s">
        <v>2459</v>
      </c>
      <c r="V296" s="12" t="s">
        <v>6639</v>
      </c>
      <c r="W296" s="12" t="s">
        <v>6639</v>
      </c>
      <c r="X296" s="12">
        <v>0.65200000000000002</v>
      </c>
      <c r="Y296" s="12">
        <v>440897</v>
      </c>
      <c r="Z296" s="12" t="s">
        <v>6639</v>
      </c>
      <c r="AA296" s="12" t="s">
        <v>6639</v>
      </c>
      <c r="AB296" s="12" t="s">
        <v>17</v>
      </c>
      <c r="AC296" s="12" t="s">
        <v>144</v>
      </c>
      <c r="AD296" s="12" t="s">
        <v>17</v>
      </c>
      <c r="AE296" s="12" t="s">
        <v>17</v>
      </c>
      <c r="AF296" s="12" t="s">
        <v>45</v>
      </c>
    </row>
    <row r="297" spans="1:41" x14ac:dyDescent="0.2">
      <c r="A297" s="12" t="s">
        <v>2515</v>
      </c>
      <c r="B297" s="12" t="s">
        <v>2516</v>
      </c>
      <c r="C297" s="12" t="s">
        <v>2517</v>
      </c>
      <c r="D297" s="12" t="s">
        <v>17</v>
      </c>
      <c r="E297" s="12" t="s">
        <v>7678</v>
      </c>
      <c r="F297" s="12" t="s">
        <v>5458</v>
      </c>
      <c r="G297" s="12" t="s">
        <v>2415</v>
      </c>
      <c r="H297" s="12" t="s">
        <v>6614</v>
      </c>
      <c r="I297" s="12">
        <v>1600</v>
      </c>
      <c r="J297" s="12" t="s">
        <v>2518</v>
      </c>
      <c r="K297" s="12" t="s">
        <v>6655</v>
      </c>
      <c r="L297" s="12" t="s">
        <v>2510</v>
      </c>
      <c r="M297" s="12" t="s">
        <v>2510</v>
      </c>
      <c r="N297" s="12" t="s">
        <v>5785</v>
      </c>
      <c r="O297" s="12" t="s">
        <v>2420</v>
      </c>
      <c r="P297" s="12" t="s">
        <v>1152</v>
      </c>
      <c r="Q297" s="12" t="s">
        <v>6653</v>
      </c>
      <c r="R297" s="12">
        <v>52.015833333300002</v>
      </c>
      <c r="S297" s="12">
        <v>77.186111111100004</v>
      </c>
      <c r="T297" s="12" t="s">
        <v>25</v>
      </c>
      <c r="U297" s="12" t="s">
        <v>2519</v>
      </c>
      <c r="V297" s="12" t="s">
        <v>6639</v>
      </c>
      <c r="W297" s="12" t="s">
        <v>6639</v>
      </c>
      <c r="X297" s="12">
        <v>2.6040000000000001</v>
      </c>
      <c r="Y297" s="12">
        <v>982957</v>
      </c>
      <c r="Z297" s="12" t="s">
        <v>6639</v>
      </c>
      <c r="AA297" s="12" t="s">
        <v>6639</v>
      </c>
      <c r="AB297" s="12" t="s">
        <v>17</v>
      </c>
      <c r="AC297" s="12" t="s">
        <v>144</v>
      </c>
      <c r="AD297" s="12" t="s">
        <v>17</v>
      </c>
      <c r="AE297" s="12" t="s">
        <v>17</v>
      </c>
      <c r="AF297" s="12" t="s">
        <v>45</v>
      </c>
    </row>
    <row r="298" spans="1:41" x14ac:dyDescent="0.2">
      <c r="A298" s="12" t="s">
        <v>2725</v>
      </c>
      <c r="B298" s="12" t="s">
        <v>2726</v>
      </c>
      <c r="C298" s="12" t="s">
        <v>2727</v>
      </c>
      <c r="D298" s="12" t="s">
        <v>17</v>
      </c>
      <c r="E298" s="12" t="s">
        <v>7678</v>
      </c>
      <c r="F298" s="12" t="s">
        <v>5458</v>
      </c>
      <c r="G298" s="12" t="s">
        <v>2415</v>
      </c>
      <c r="H298" s="12" t="s">
        <v>6614</v>
      </c>
      <c r="I298" s="12">
        <v>1600</v>
      </c>
      <c r="J298" s="12" t="s">
        <v>2728</v>
      </c>
      <c r="K298" s="12" t="s">
        <v>6655</v>
      </c>
      <c r="L298" s="12" t="s">
        <v>2637</v>
      </c>
      <c r="M298" s="12" t="s">
        <v>2637</v>
      </c>
      <c r="N298" s="12" t="s">
        <v>5785</v>
      </c>
      <c r="O298" s="12" t="s">
        <v>2420</v>
      </c>
      <c r="P298" s="12" t="s">
        <v>511</v>
      </c>
      <c r="Q298" s="12" t="s">
        <v>6653</v>
      </c>
      <c r="R298" s="12">
        <v>42.156944000000003</v>
      </c>
      <c r="S298" s="12">
        <v>77.405556000000004</v>
      </c>
      <c r="T298" s="12" t="s">
        <v>25</v>
      </c>
      <c r="U298" s="12" t="s">
        <v>1547</v>
      </c>
      <c r="V298" s="12" t="s">
        <v>6639</v>
      </c>
      <c r="W298" s="12" t="s">
        <v>6639</v>
      </c>
      <c r="X298" s="12">
        <v>1.105</v>
      </c>
      <c r="Y298" s="12">
        <v>670066</v>
      </c>
      <c r="Z298" s="12" t="s">
        <v>6639</v>
      </c>
      <c r="AA298" s="12" t="s">
        <v>6639</v>
      </c>
      <c r="AB298" s="12" t="s">
        <v>17</v>
      </c>
      <c r="AC298" s="12" t="s">
        <v>144</v>
      </c>
      <c r="AD298" s="12" t="s">
        <v>17</v>
      </c>
      <c r="AE298" s="12" t="s">
        <v>17</v>
      </c>
      <c r="AF298" s="12" t="s">
        <v>45</v>
      </c>
    </row>
    <row r="299" spans="1:41" x14ac:dyDescent="0.2">
      <c r="A299" s="12" t="s">
        <v>2680</v>
      </c>
      <c r="B299" s="12" t="s">
        <v>2681</v>
      </c>
      <c r="C299" s="12" t="s">
        <v>2682</v>
      </c>
      <c r="D299" s="12" t="s">
        <v>17</v>
      </c>
      <c r="E299" s="12" t="s">
        <v>7678</v>
      </c>
      <c r="F299" s="12" t="s">
        <v>5460</v>
      </c>
      <c r="G299" s="12" t="s">
        <v>2415</v>
      </c>
      <c r="H299" s="12" t="s">
        <v>6614</v>
      </c>
      <c r="I299" s="12">
        <v>1598</v>
      </c>
      <c r="J299" s="12" t="s">
        <v>2683</v>
      </c>
      <c r="K299" s="12" t="s">
        <v>6655</v>
      </c>
      <c r="L299" s="12" t="s">
        <v>2637</v>
      </c>
      <c r="M299" s="12" t="s">
        <v>2637</v>
      </c>
      <c r="N299" s="12" t="s">
        <v>5785</v>
      </c>
      <c r="O299" s="12" t="s">
        <v>2420</v>
      </c>
      <c r="P299" s="12" t="s">
        <v>511</v>
      </c>
      <c r="Q299" s="12" t="s">
        <v>6653</v>
      </c>
      <c r="R299" s="12">
        <v>41.501388888900003</v>
      </c>
      <c r="S299" s="12">
        <v>75.794722222199994</v>
      </c>
      <c r="T299" s="12" t="s">
        <v>25</v>
      </c>
      <c r="U299" s="12" t="s">
        <v>2684</v>
      </c>
      <c r="V299" s="12" t="s">
        <v>6639</v>
      </c>
      <c r="W299" s="12" t="s">
        <v>6639</v>
      </c>
      <c r="X299" s="12">
        <v>1.042</v>
      </c>
      <c r="Y299" s="12">
        <v>582616</v>
      </c>
      <c r="Z299" s="12" t="s">
        <v>6639</v>
      </c>
      <c r="AA299" s="12" t="s">
        <v>6639</v>
      </c>
      <c r="AB299" s="12" t="s">
        <v>17</v>
      </c>
      <c r="AC299" s="12" t="s">
        <v>144</v>
      </c>
      <c r="AD299" s="12" t="s">
        <v>17</v>
      </c>
      <c r="AE299" s="12" t="s">
        <v>17</v>
      </c>
      <c r="AF299" s="12" t="s">
        <v>45</v>
      </c>
    </row>
    <row r="300" spans="1:41" x14ac:dyDescent="0.2">
      <c r="A300" s="12" t="s">
        <v>2675</v>
      </c>
      <c r="B300" s="12" t="s">
        <v>2676</v>
      </c>
      <c r="C300" s="12" t="s">
        <v>2677</v>
      </c>
      <c r="D300" s="12" t="s">
        <v>17</v>
      </c>
      <c r="E300" s="12" t="s">
        <v>7678</v>
      </c>
      <c r="F300" s="12" t="s">
        <v>5460</v>
      </c>
      <c r="G300" s="12" t="s">
        <v>2415</v>
      </c>
      <c r="H300" s="12" t="s">
        <v>6614</v>
      </c>
      <c r="I300" s="12">
        <v>1564</v>
      </c>
      <c r="J300" s="12" t="s">
        <v>2678</v>
      </c>
      <c r="K300" s="12" t="s">
        <v>6655</v>
      </c>
      <c r="L300" s="12" t="s">
        <v>2637</v>
      </c>
      <c r="M300" s="12" t="s">
        <v>2637</v>
      </c>
      <c r="N300" s="12" t="s">
        <v>5785</v>
      </c>
      <c r="O300" s="12" t="s">
        <v>2420</v>
      </c>
      <c r="P300" s="12" t="s">
        <v>511</v>
      </c>
      <c r="Q300" s="12" t="s">
        <v>6653</v>
      </c>
      <c r="R300" s="12">
        <v>41.501388888900003</v>
      </c>
      <c r="S300" s="12">
        <v>75.794722222199994</v>
      </c>
      <c r="T300" s="12" t="s">
        <v>25</v>
      </c>
      <c r="U300" s="12" t="s">
        <v>2679</v>
      </c>
      <c r="V300" s="12" t="s">
        <v>6639</v>
      </c>
      <c r="W300" s="12" t="s">
        <v>6639</v>
      </c>
      <c r="X300" s="12">
        <v>1.2729999999999999</v>
      </c>
      <c r="Y300" s="12">
        <v>665597</v>
      </c>
      <c r="Z300" s="12" t="s">
        <v>6639</v>
      </c>
      <c r="AA300" s="12" t="s">
        <v>6639</v>
      </c>
      <c r="AB300" s="12" t="s">
        <v>17</v>
      </c>
      <c r="AC300" s="12" t="s">
        <v>144</v>
      </c>
      <c r="AD300" s="12" t="s">
        <v>17</v>
      </c>
      <c r="AE300" s="12" t="s">
        <v>17</v>
      </c>
      <c r="AF300" s="12" t="s">
        <v>45</v>
      </c>
    </row>
    <row r="301" spans="1:41" x14ac:dyDescent="0.2">
      <c r="A301" s="12" t="s">
        <v>2526</v>
      </c>
      <c r="B301" s="12" t="s">
        <v>2527</v>
      </c>
      <c r="C301" s="12" t="s">
        <v>2528</v>
      </c>
      <c r="D301" s="12" t="s">
        <v>17</v>
      </c>
      <c r="E301" s="12" t="s">
        <v>7678</v>
      </c>
      <c r="F301" s="12" t="s">
        <v>5460</v>
      </c>
      <c r="G301" s="12" t="s">
        <v>2415</v>
      </c>
      <c r="H301" s="12" t="s">
        <v>6614</v>
      </c>
      <c r="I301" s="12">
        <v>1516</v>
      </c>
      <c r="J301" s="12" t="s">
        <v>2529</v>
      </c>
      <c r="K301" s="12" t="s">
        <v>6655</v>
      </c>
      <c r="L301" s="12" t="s">
        <v>2522</v>
      </c>
      <c r="M301" s="12" t="s">
        <v>2522</v>
      </c>
      <c r="N301" s="12" t="s">
        <v>5785</v>
      </c>
      <c r="O301" s="12" t="s">
        <v>2420</v>
      </c>
      <c r="P301" s="12" t="s">
        <v>1152</v>
      </c>
      <c r="Q301" s="12" t="s">
        <v>6653</v>
      </c>
      <c r="R301" s="12">
        <v>52.836944000000003</v>
      </c>
      <c r="S301" s="12">
        <v>62.893611</v>
      </c>
      <c r="T301" s="12" t="s">
        <v>11</v>
      </c>
      <c r="U301" s="12" t="s">
        <v>2530</v>
      </c>
      <c r="V301" s="12" t="s">
        <v>1352</v>
      </c>
      <c r="W301" s="12" t="s">
        <v>7415</v>
      </c>
      <c r="X301" s="12">
        <v>1.998</v>
      </c>
      <c r="Y301" s="12">
        <v>899905</v>
      </c>
      <c r="Z301" s="12" t="s">
        <v>17</v>
      </c>
      <c r="AA301" s="12" t="s">
        <v>17</v>
      </c>
      <c r="AB301" s="12" t="s">
        <v>17</v>
      </c>
      <c r="AC301" s="12" t="s">
        <v>144</v>
      </c>
      <c r="AD301" s="12" t="s">
        <v>17</v>
      </c>
      <c r="AE301" s="12" t="s">
        <v>17</v>
      </c>
      <c r="AF301" s="12" t="s">
        <v>45</v>
      </c>
    </row>
    <row r="302" spans="1:41" x14ac:dyDescent="0.2">
      <c r="A302" s="12" t="s">
        <v>2670</v>
      </c>
      <c r="B302" s="12" t="s">
        <v>2671</v>
      </c>
      <c r="C302" s="12" t="s">
        <v>2672</v>
      </c>
      <c r="D302" s="12" t="s">
        <v>17</v>
      </c>
      <c r="E302" s="12" t="s">
        <v>7678</v>
      </c>
      <c r="F302" s="12" t="s">
        <v>5460</v>
      </c>
      <c r="G302" s="12" t="s">
        <v>2415</v>
      </c>
      <c r="H302" s="12" t="s">
        <v>6614</v>
      </c>
      <c r="I302" s="12">
        <v>1516</v>
      </c>
      <c r="J302" s="12" t="s">
        <v>2673</v>
      </c>
      <c r="K302" s="12" t="s">
        <v>6655</v>
      </c>
      <c r="L302" s="12" t="s">
        <v>2637</v>
      </c>
      <c r="M302" s="12" t="s">
        <v>2637</v>
      </c>
      <c r="N302" s="12" t="s">
        <v>5785</v>
      </c>
      <c r="O302" s="12" t="s">
        <v>2420</v>
      </c>
      <c r="P302" s="12" t="s">
        <v>511</v>
      </c>
      <c r="Q302" s="12" t="s">
        <v>6653</v>
      </c>
      <c r="R302" s="12">
        <v>41.501388888900003</v>
      </c>
      <c r="S302" s="12">
        <v>75.794722222199994</v>
      </c>
      <c r="T302" s="12" t="s">
        <v>25</v>
      </c>
      <c r="U302" s="12" t="s">
        <v>2674</v>
      </c>
      <c r="V302" s="12" t="s">
        <v>6639</v>
      </c>
      <c r="W302" s="12" t="s">
        <v>6639</v>
      </c>
      <c r="X302" s="12">
        <v>0.89200000000000002</v>
      </c>
      <c r="Y302" s="12">
        <v>521687</v>
      </c>
      <c r="Z302" s="12" t="s">
        <v>6639</v>
      </c>
      <c r="AA302" s="12" t="s">
        <v>6639</v>
      </c>
      <c r="AB302" s="12" t="s">
        <v>17</v>
      </c>
      <c r="AC302" s="12" t="s">
        <v>144</v>
      </c>
      <c r="AD302" s="12" t="s">
        <v>17</v>
      </c>
      <c r="AE302" s="12" t="s">
        <v>17</v>
      </c>
      <c r="AF302" s="12" t="s">
        <v>45</v>
      </c>
    </row>
    <row r="303" spans="1:41" x14ac:dyDescent="0.2">
      <c r="A303" s="12" t="s">
        <v>2660</v>
      </c>
      <c r="B303" s="12" t="s">
        <v>2661</v>
      </c>
      <c r="C303" s="12" t="s">
        <v>2662</v>
      </c>
      <c r="D303" s="12" t="s">
        <v>17</v>
      </c>
      <c r="E303" s="12" t="s">
        <v>7678</v>
      </c>
      <c r="F303" s="12" t="s">
        <v>5460</v>
      </c>
      <c r="G303" s="12" t="s">
        <v>2415</v>
      </c>
      <c r="H303" s="12" t="s">
        <v>6614</v>
      </c>
      <c r="I303" s="12">
        <v>1511</v>
      </c>
      <c r="J303" s="12" t="s">
        <v>2663</v>
      </c>
      <c r="K303" s="12" t="s">
        <v>6655</v>
      </c>
      <c r="L303" s="12" t="s">
        <v>2637</v>
      </c>
      <c r="M303" s="12" t="s">
        <v>2637</v>
      </c>
      <c r="N303" s="12" t="s">
        <v>5785</v>
      </c>
      <c r="O303" s="12" t="s">
        <v>2420</v>
      </c>
      <c r="P303" s="12" t="s">
        <v>511</v>
      </c>
      <c r="Q303" s="12" t="s">
        <v>6653</v>
      </c>
      <c r="R303" s="12">
        <v>41.501388888900003</v>
      </c>
      <c r="S303" s="12">
        <v>75.794722222199994</v>
      </c>
      <c r="T303" s="12" t="s">
        <v>11</v>
      </c>
      <c r="U303" s="12" t="s">
        <v>2664</v>
      </c>
      <c r="V303" s="12" t="s">
        <v>1128</v>
      </c>
      <c r="W303" s="12" t="s">
        <v>7415</v>
      </c>
      <c r="X303" s="12">
        <v>0.27800000000000002</v>
      </c>
      <c r="Y303" s="12">
        <v>196741</v>
      </c>
      <c r="Z303" s="12" t="s">
        <v>17</v>
      </c>
      <c r="AA303" s="12" t="s">
        <v>17</v>
      </c>
      <c r="AB303" s="12" t="s">
        <v>17</v>
      </c>
      <c r="AC303" s="12" t="s">
        <v>144</v>
      </c>
      <c r="AD303" s="12" t="s">
        <v>17</v>
      </c>
      <c r="AE303" s="12" t="s">
        <v>17</v>
      </c>
      <c r="AF303" s="12" t="s">
        <v>45</v>
      </c>
    </row>
    <row r="304" spans="1:41" x14ac:dyDescent="0.2">
      <c r="A304" s="12" t="s">
        <v>2665</v>
      </c>
      <c r="B304" s="12" t="s">
        <v>2666</v>
      </c>
      <c r="C304" s="12" t="s">
        <v>2667</v>
      </c>
      <c r="D304" s="12" t="s">
        <v>17</v>
      </c>
      <c r="E304" s="12" t="s">
        <v>7678</v>
      </c>
      <c r="F304" s="12" t="s">
        <v>5460</v>
      </c>
      <c r="G304" s="12" t="s">
        <v>2415</v>
      </c>
      <c r="H304" s="12" t="s">
        <v>6614</v>
      </c>
      <c r="I304" s="12">
        <v>1511</v>
      </c>
      <c r="J304" s="12" t="s">
        <v>2668</v>
      </c>
      <c r="K304" s="12" t="s">
        <v>6655</v>
      </c>
      <c r="L304" s="12" t="s">
        <v>2637</v>
      </c>
      <c r="M304" s="12" t="s">
        <v>2637</v>
      </c>
      <c r="N304" s="12" t="s">
        <v>5785</v>
      </c>
      <c r="O304" s="12" t="s">
        <v>2420</v>
      </c>
      <c r="P304" s="12" t="s">
        <v>511</v>
      </c>
      <c r="Q304" s="12" t="s">
        <v>6653</v>
      </c>
      <c r="R304" s="12">
        <v>41.501388888900003</v>
      </c>
      <c r="S304" s="12">
        <v>75.794722222199994</v>
      </c>
      <c r="T304" s="12" t="s">
        <v>11</v>
      </c>
      <c r="U304" s="12" t="s">
        <v>1380</v>
      </c>
      <c r="V304" s="12" t="s">
        <v>2669</v>
      </c>
      <c r="W304" s="12" t="s">
        <v>7415</v>
      </c>
      <c r="X304" s="12">
        <v>0.91700000000000004</v>
      </c>
      <c r="Y304" s="12">
        <v>597968</v>
      </c>
      <c r="Z304" s="12" t="s">
        <v>17</v>
      </c>
      <c r="AA304" s="12" t="s">
        <v>17</v>
      </c>
      <c r="AB304" s="12" t="s">
        <v>17</v>
      </c>
      <c r="AC304" s="12" t="s">
        <v>144</v>
      </c>
      <c r="AD304" s="12" t="s">
        <v>17</v>
      </c>
      <c r="AE304" s="12" t="s">
        <v>17</v>
      </c>
      <c r="AF304" s="12" t="s">
        <v>45</v>
      </c>
      <c r="AG304" s="12"/>
      <c r="AH304" s="12"/>
      <c r="AI304" s="12"/>
      <c r="AJ304" s="12"/>
      <c r="AK304" s="12"/>
      <c r="AL304" s="12"/>
      <c r="AM304" s="12"/>
      <c r="AN304" s="12"/>
      <c r="AO304" s="12"/>
    </row>
    <row r="305" spans="1:32" x14ac:dyDescent="0.2">
      <c r="A305" s="12" t="s">
        <v>2655</v>
      </c>
      <c r="B305" s="12" t="s">
        <v>2656</v>
      </c>
      <c r="C305" s="12" t="s">
        <v>2657</v>
      </c>
      <c r="D305" s="12" t="s">
        <v>17</v>
      </c>
      <c r="E305" s="12" t="s">
        <v>7678</v>
      </c>
      <c r="F305" s="12" t="s">
        <v>5460</v>
      </c>
      <c r="G305" s="12" t="s">
        <v>2415</v>
      </c>
      <c r="H305" s="12" t="s">
        <v>6614</v>
      </c>
      <c r="I305" s="12">
        <v>1484</v>
      </c>
      <c r="J305" s="12" t="s">
        <v>2658</v>
      </c>
      <c r="K305" s="12" t="s">
        <v>6655</v>
      </c>
      <c r="L305" s="12" t="s">
        <v>2637</v>
      </c>
      <c r="M305" s="12" t="s">
        <v>2637</v>
      </c>
      <c r="N305" s="12" t="s">
        <v>5785</v>
      </c>
      <c r="O305" s="12" t="s">
        <v>2420</v>
      </c>
      <c r="P305" s="12" t="s">
        <v>511</v>
      </c>
      <c r="Q305" s="12" t="s">
        <v>6653</v>
      </c>
      <c r="R305" s="12">
        <v>41.428055555599997</v>
      </c>
      <c r="S305" s="12">
        <v>75.329722222200004</v>
      </c>
      <c r="T305" s="12" t="s">
        <v>11</v>
      </c>
      <c r="U305" s="12" t="s">
        <v>2659</v>
      </c>
      <c r="V305" s="12" t="s">
        <v>606</v>
      </c>
      <c r="W305" s="12" t="s">
        <v>7415</v>
      </c>
      <c r="X305" s="12">
        <v>0.46</v>
      </c>
      <c r="Y305" s="12">
        <v>346148</v>
      </c>
      <c r="Z305" s="12" t="s">
        <v>17</v>
      </c>
      <c r="AA305" s="12" t="s">
        <v>17</v>
      </c>
      <c r="AB305" s="12" t="s">
        <v>17</v>
      </c>
      <c r="AC305" s="12" t="s">
        <v>144</v>
      </c>
      <c r="AD305" s="12" t="s">
        <v>17</v>
      </c>
      <c r="AE305" s="12" t="s">
        <v>17</v>
      </c>
      <c r="AF305" s="12" t="s">
        <v>45</v>
      </c>
    </row>
    <row r="306" spans="1:32" x14ac:dyDescent="0.2">
      <c r="A306" s="12" t="s">
        <v>2650</v>
      </c>
      <c r="B306" s="12" t="s">
        <v>2651</v>
      </c>
      <c r="C306" s="12" t="s">
        <v>2652</v>
      </c>
      <c r="D306" s="12" t="s">
        <v>17</v>
      </c>
      <c r="E306" s="12" t="s">
        <v>7678</v>
      </c>
      <c r="F306" s="12" t="s">
        <v>5460</v>
      </c>
      <c r="G306" s="12" t="s">
        <v>2415</v>
      </c>
      <c r="H306" s="12" t="s">
        <v>6614</v>
      </c>
      <c r="I306" s="12">
        <v>1467</v>
      </c>
      <c r="J306" s="12" t="s">
        <v>2653</v>
      </c>
      <c r="K306" s="12" t="s">
        <v>6655</v>
      </c>
      <c r="L306" s="12" t="s">
        <v>2637</v>
      </c>
      <c r="M306" s="12" t="s">
        <v>2637</v>
      </c>
      <c r="N306" s="12" t="s">
        <v>5785</v>
      </c>
      <c r="O306" s="12" t="s">
        <v>2420</v>
      </c>
      <c r="P306" s="12" t="s">
        <v>511</v>
      </c>
      <c r="Q306" s="12" t="s">
        <v>6653</v>
      </c>
      <c r="R306" s="12">
        <v>41.501388888900003</v>
      </c>
      <c r="S306" s="12">
        <v>75.794722222199994</v>
      </c>
      <c r="T306" s="12" t="s">
        <v>11</v>
      </c>
      <c r="U306" s="12" t="s">
        <v>2654</v>
      </c>
      <c r="V306" s="12" t="s">
        <v>739</v>
      </c>
      <c r="W306" s="12" t="s">
        <v>7415</v>
      </c>
      <c r="X306" s="12">
        <v>2.2290000000000001</v>
      </c>
      <c r="Y306" s="12">
        <v>958459</v>
      </c>
      <c r="Z306" s="12" t="s">
        <v>17</v>
      </c>
      <c r="AA306" s="12" t="s">
        <v>17</v>
      </c>
      <c r="AB306" s="12" t="s">
        <v>17</v>
      </c>
      <c r="AC306" s="12" t="s">
        <v>144</v>
      </c>
      <c r="AD306" s="12" t="s">
        <v>17</v>
      </c>
      <c r="AE306" s="12" t="s">
        <v>17</v>
      </c>
      <c r="AF306" s="12" t="s">
        <v>45</v>
      </c>
    </row>
    <row r="307" spans="1:32" x14ac:dyDescent="0.2">
      <c r="A307" s="12" t="s">
        <v>2645</v>
      </c>
      <c r="B307" s="12" t="s">
        <v>2646</v>
      </c>
      <c r="C307" s="12" t="s">
        <v>2647</v>
      </c>
      <c r="D307" s="12" t="s">
        <v>17</v>
      </c>
      <c r="E307" s="12" t="s">
        <v>7678</v>
      </c>
      <c r="F307" s="12" t="s">
        <v>5460</v>
      </c>
      <c r="G307" s="12" t="s">
        <v>2415</v>
      </c>
      <c r="H307" s="12" t="s">
        <v>6614</v>
      </c>
      <c r="I307" s="12">
        <v>1447</v>
      </c>
      <c r="J307" s="12" t="s">
        <v>2648</v>
      </c>
      <c r="K307" s="12" t="s">
        <v>6655</v>
      </c>
      <c r="L307" s="12" t="s">
        <v>2637</v>
      </c>
      <c r="M307" s="12" t="s">
        <v>2637</v>
      </c>
      <c r="N307" s="12" t="s">
        <v>5785</v>
      </c>
      <c r="O307" s="12" t="s">
        <v>2420</v>
      </c>
      <c r="P307" s="12" t="s">
        <v>511</v>
      </c>
      <c r="Q307" s="12" t="s">
        <v>6653</v>
      </c>
      <c r="R307" s="12">
        <v>41.501388888900003</v>
      </c>
      <c r="S307" s="12">
        <v>75.794722222199994</v>
      </c>
      <c r="T307" s="12" t="s">
        <v>25</v>
      </c>
      <c r="U307" s="12" t="s">
        <v>2649</v>
      </c>
      <c r="V307" s="12" t="s">
        <v>6639</v>
      </c>
      <c r="W307" s="12" t="s">
        <v>6639</v>
      </c>
      <c r="X307" s="12">
        <v>0.39900000000000002</v>
      </c>
      <c r="Y307" s="12">
        <v>279463</v>
      </c>
      <c r="Z307" s="12" t="s">
        <v>6639</v>
      </c>
      <c r="AA307" s="12" t="s">
        <v>6639</v>
      </c>
      <c r="AB307" s="12" t="s">
        <v>17</v>
      </c>
      <c r="AC307" s="12" t="s">
        <v>144</v>
      </c>
      <c r="AD307" s="12" t="s">
        <v>17</v>
      </c>
      <c r="AE307" s="12" t="s">
        <v>17</v>
      </c>
      <c r="AF307" s="12" t="s">
        <v>45</v>
      </c>
    </row>
    <row r="308" spans="1:32" x14ac:dyDescent="0.2">
      <c r="A308" s="12" t="s">
        <v>2640</v>
      </c>
      <c r="B308" s="12" t="s">
        <v>2641</v>
      </c>
      <c r="C308" s="12" t="s">
        <v>2642</v>
      </c>
      <c r="D308" s="12" t="s">
        <v>17</v>
      </c>
      <c r="E308" s="12" t="s">
        <v>7678</v>
      </c>
      <c r="F308" s="12" t="s">
        <v>5460</v>
      </c>
      <c r="G308" s="12" t="s">
        <v>2415</v>
      </c>
      <c r="H308" s="12" t="s">
        <v>6614</v>
      </c>
      <c r="I308" s="12">
        <v>1358</v>
      </c>
      <c r="J308" s="12" t="s">
        <v>2643</v>
      </c>
      <c r="K308" s="12" t="s">
        <v>6655</v>
      </c>
      <c r="L308" s="12" t="s">
        <v>2637</v>
      </c>
      <c r="M308" s="12" t="s">
        <v>2637</v>
      </c>
      <c r="N308" s="12" t="s">
        <v>5785</v>
      </c>
      <c r="O308" s="12" t="s">
        <v>2420</v>
      </c>
      <c r="P308" s="12" t="s">
        <v>511</v>
      </c>
      <c r="Q308" s="12" t="s">
        <v>6653</v>
      </c>
      <c r="R308" s="12">
        <v>41.501388888900003</v>
      </c>
      <c r="S308" s="12">
        <v>75.794722222199994</v>
      </c>
      <c r="T308" s="12" t="s">
        <v>25</v>
      </c>
      <c r="U308" s="12" t="s">
        <v>2644</v>
      </c>
      <c r="V308" s="12" t="s">
        <v>6639</v>
      </c>
      <c r="W308" s="12" t="s">
        <v>6639</v>
      </c>
      <c r="X308" s="12">
        <v>0.13</v>
      </c>
      <c r="Y308" s="12">
        <v>89750</v>
      </c>
      <c r="Z308" s="12" t="s">
        <v>6639</v>
      </c>
      <c r="AA308" s="12" t="s">
        <v>6639</v>
      </c>
      <c r="AB308" s="12" t="s">
        <v>17</v>
      </c>
      <c r="AC308" s="12" t="s">
        <v>144</v>
      </c>
      <c r="AD308" s="12" t="s">
        <v>17</v>
      </c>
      <c r="AE308" s="12" t="s">
        <v>17</v>
      </c>
      <c r="AF308" s="12" t="s">
        <v>45</v>
      </c>
    </row>
    <row r="309" spans="1:32" x14ac:dyDescent="0.2">
      <c r="A309" s="12" t="s">
        <v>2489</v>
      </c>
      <c r="B309" s="12" t="s">
        <v>2490</v>
      </c>
      <c r="C309" s="12" t="s">
        <v>7584</v>
      </c>
      <c r="D309" s="12" t="s">
        <v>17</v>
      </c>
      <c r="E309" s="12" t="s">
        <v>7678</v>
      </c>
      <c r="F309" s="12" t="s">
        <v>5460</v>
      </c>
      <c r="G309" s="12" t="s">
        <v>2415</v>
      </c>
      <c r="H309" s="12" t="s">
        <v>6614</v>
      </c>
      <c r="I309" s="12">
        <v>1262</v>
      </c>
      <c r="J309" s="12" t="s">
        <v>2492</v>
      </c>
      <c r="K309" s="12" t="s">
        <v>6655</v>
      </c>
      <c r="L309" s="12" t="s">
        <v>2491</v>
      </c>
      <c r="M309" s="12" t="s">
        <v>2491</v>
      </c>
      <c r="N309" s="12" t="s">
        <v>5785</v>
      </c>
      <c r="O309" s="12" t="s">
        <v>2420</v>
      </c>
      <c r="P309" s="12" t="s">
        <v>1152</v>
      </c>
      <c r="Q309" s="12" t="s">
        <v>6653</v>
      </c>
      <c r="R309" s="12">
        <v>52.6430555556</v>
      </c>
      <c r="S309" s="12">
        <v>76.710555555599996</v>
      </c>
      <c r="T309" s="12" t="s">
        <v>11</v>
      </c>
      <c r="U309" s="12" t="s">
        <v>2493</v>
      </c>
      <c r="V309" s="12" t="s">
        <v>495</v>
      </c>
      <c r="W309" s="12" t="s">
        <v>7415</v>
      </c>
      <c r="X309" s="12">
        <v>0.26900000000000002</v>
      </c>
      <c r="Y309" s="12">
        <v>208843</v>
      </c>
      <c r="Z309" s="12" t="s">
        <v>17</v>
      </c>
      <c r="AA309" s="12" t="s">
        <v>17</v>
      </c>
      <c r="AB309" s="12" t="s">
        <v>17</v>
      </c>
      <c r="AC309" s="12" t="s">
        <v>144</v>
      </c>
      <c r="AD309" s="12" t="s">
        <v>17</v>
      </c>
      <c r="AE309" s="12" t="s">
        <v>17</v>
      </c>
      <c r="AF309" s="12" t="s">
        <v>45</v>
      </c>
    </row>
    <row r="310" spans="1:32" x14ac:dyDescent="0.2">
      <c r="A310" s="12" t="s">
        <v>2486</v>
      </c>
      <c r="B310" s="12" t="s">
        <v>2487</v>
      </c>
      <c r="C310" s="12" t="s">
        <v>2488</v>
      </c>
      <c r="D310" s="12" t="s">
        <v>17</v>
      </c>
      <c r="E310" s="12" t="s">
        <v>7678</v>
      </c>
      <c r="F310" s="12" t="s">
        <v>5458</v>
      </c>
      <c r="G310" s="12" t="s">
        <v>2415</v>
      </c>
      <c r="H310" s="12" t="s">
        <v>6614</v>
      </c>
      <c r="I310" s="12">
        <v>1000</v>
      </c>
      <c r="J310" s="12" t="s">
        <v>2484</v>
      </c>
      <c r="K310" s="12" t="s">
        <v>6655</v>
      </c>
      <c r="L310" s="12" t="s">
        <v>2478</v>
      </c>
      <c r="M310" s="12" t="s">
        <v>2478</v>
      </c>
      <c r="N310" s="12" t="s">
        <v>5785</v>
      </c>
      <c r="O310" s="12" t="s">
        <v>2420</v>
      </c>
      <c r="P310" s="12" t="s">
        <v>1152</v>
      </c>
      <c r="Q310" s="12" t="s">
        <v>6653</v>
      </c>
      <c r="R310" s="12">
        <v>43.202500000000001</v>
      </c>
      <c r="S310" s="12">
        <v>76.981666666699994</v>
      </c>
      <c r="T310" s="12" t="s">
        <v>25</v>
      </c>
      <c r="U310" s="12" t="s">
        <v>257</v>
      </c>
      <c r="V310" s="12" t="s">
        <v>6639</v>
      </c>
      <c r="W310" s="12" t="s">
        <v>6639</v>
      </c>
      <c r="X310" s="12">
        <v>0.60499999999999998</v>
      </c>
      <c r="Y310" s="12">
        <v>424419</v>
      </c>
      <c r="Z310" s="12" t="s">
        <v>6639</v>
      </c>
      <c r="AA310" s="12" t="s">
        <v>6639</v>
      </c>
      <c r="AB310" s="12" t="s">
        <v>17</v>
      </c>
      <c r="AC310" s="12" t="s">
        <v>144</v>
      </c>
      <c r="AD310" s="12" t="s">
        <v>17</v>
      </c>
      <c r="AE310" s="12" t="s">
        <v>17</v>
      </c>
      <c r="AF310" s="12" t="s">
        <v>45</v>
      </c>
    </row>
    <row r="311" spans="1:32" x14ac:dyDescent="0.2">
      <c r="A311" s="12" t="s">
        <v>2481</v>
      </c>
      <c r="B311" s="12" t="s">
        <v>2482</v>
      </c>
      <c r="C311" s="12" t="s">
        <v>2483</v>
      </c>
      <c r="D311" s="12" t="s">
        <v>17</v>
      </c>
      <c r="E311" s="12" t="s">
        <v>7678</v>
      </c>
      <c r="F311" s="12" t="s">
        <v>5458</v>
      </c>
      <c r="G311" s="12" t="s">
        <v>2415</v>
      </c>
      <c r="H311" s="12" t="s">
        <v>6614</v>
      </c>
      <c r="I311" s="12">
        <v>1000</v>
      </c>
      <c r="J311" s="12" t="s">
        <v>2484</v>
      </c>
      <c r="K311" s="12" t="s">
        <v>6655</v>
      </c>
      <c r="L311" s="12" t="s">
        <v>2478</v>
      </c>
      <c r="M311" s="12" t="s">
        <v>2478</v>
      </c>
      <c r="N311" s="12" t="s">
        <v>5785</v>
      </c>
      <c r="O311" s="12" t="s">
        <v>2420</v>
      </c>
      <c r="P311" s="12" t="s">
        <v>1152</v>
      </c>
      <c r="Q311" s="12" t="s">
        <v>6653</v>
      </c>
      <c r="R311" s="12">
        <v>43.202500000000001</v>
      </c>
      <c r="S311" s="12">
        <v>76.981666666699994</v>
      </c>
      <c r="T311" s="12" t="s">
        <v>11</v>
      </c>
      <c r="U311" s="12" t="s">
        <v>2485</v>
      </c>
      <c r="V311" s="12" t="s">
        <v>232</v>
      </c>
      <c r="W311" s="12" t="s">
        <v>7415</v>
      </c>
      <c r="X311" s="12">
        <v>0.71</v>
      </c>
      <c r="Y311" s="12">
        <v>469322</v>
      </c>
      <c r="Z311" s="12" t="s">
        <v>17</v>
      </c>
      <c r="AA311" s="12" t="s">
        <v>17</v>
      </c>
      <c r="AB311" s="12" t="s">
        <v>17</v>
      </c>
      <c r="AC311" s="12" t="s">
        <v>144</v>
      </c>
      <c r="AD311" s="12" t="s">
        <v>17</v>
      </c>
      <c r="AE311" s="12" t="s">
        <v>17</v>
      </c>
      <c r="AF311" s="12" t="s">
        <v>45</v>
      </c>
    </row>
    <row r="312" spans="1:32" x14ac:dyDescent="0.2">
      <c r="A312" s="12" t="s">
        <v>2476</v>
      </c>
      <c r="B312" s="12" t="s">
        <v>2477</v>
      </c>
      <c r="C312" s="12" t="s">
        <v>2479</v>
      </c>
      <c r="D312" s="12" t="s">
        <v>17</v>
      </c>
      <c r="E312" s="12" t="s">
        <v>7678</v>
      </c>
      <c r="F312" s="12" t="s">
        <v>5460</v>
      </c>
      <c r="G312" s="12" t="s">
        <v>2415</v>
      </c>
      <c r="H312" s="12" t="s">
        <v>6614</v>
      </c>
      <c r="I312" s="12">
        <v>998</v>
      </c>
      <c r="J312" s="12" t="s">
        <v>2480</v>
      </c>
      <c r="K312" s="12" t="s">
        <v>6655</v>
      </c>
      <c r="L312" s="12" t="s">
        <v>2478</v>
      </c>
      <c r="M312" s="12" t="s">
        <v>2478</v>
      </c>
      <c r="N312" s="12" t="s">
        <v>5785</v>
      </c>
      <c r="O312" s="12" t="s">
        <v>2420</v>
      </c>
      <c r="P312" s="12" t="s">
        <v>1152</v>
      </c>
      <c r="Q312" s="12" t="s">
        <v>6653</v>
      </c>
      <c r="R312" s="12">
        <v>43.202500000000001</v>
      </c>
      <c r="S312" s="12">
        <v>76.981666666699994</v>
      </c>
      <c r="T312" s="12" t="s">
        <v>11</v>
      </c>
      <c r="U312" s="12" t="s">
        <v>2449</v>
      </c>
      <c r="V312" s="12" t="s">
        <v>500</v>
      </c>
      <c r="W312" s="12" t="s">
        <v>7415</v>
      </c>
      <c r="X312" s="12">
        <v>1.0269999999999999</v>
      </c>
      <c r="Y312" s="12">
        <v>633817</v>
      </c>
      <c r="Z312" s="12" t="s">
        <v>17</v>
      </c>
      <c r="AA312" s="12" t="s">
        <v>17</v>
      </c>
      <c r="AB312" s="12" t="s">
        <v>17</v>
      </c>
      <c r="AC312" s="12" t="s">
        <v>144</v>
      </c>
      <c r="AD312" s="12" t="s">
        <v>17</v>
      </c>
      <c r="AE312" s="12" t="s">
        <v>17</v>
      </c>
      <c r="AF312" s="12" t="s">
        <v>45</v>
      </c>
    </row>
    <row r="313" spans="1:32" x14ac:dyDescent="0.2">
      <c r="A313" s="12" t="s">
        <v>2630</v>
      </c>
      <c r="B313" s="12" t="s">
        <v>2631</v>
      </c>
      <c r="C313" s="12" t="s">
        <v>2632</v>
      </c>
      <c r="D313" s="12" t="s">
        <v>17</v>
      </c>
      <c r="E313" s="12" t="s">
        <v>7678</v>
      </c>
      <c r="F313" s="12" t="s">
        <v>5460</v>
      </c>
      <c r="G313" s="12" t="s">
        <v>2415</v>
      </c>
      <c r="H313" s="12" t="s">
        <v>6614</v>
      </c>
      <c r="I313" s="12">
        <v>860</v>
      </c>
      <c r="J313" s="12" t="s">
        <v>2633</v>
      </c>
      <c r="K313" s="12" t="s">
        <v>6655</v>
      </c>
      <c r="L313" s="12" t="s">
        <v>2615</v>
      </c>
      <c r="M313" s="12" t="s">
        <v>2615</v>
      </c>
      <c r="N313" s="12" t="s">
        <v>5785</v>
      </c>
      <c r="O313" s="12" t="s">
        <v>2420</v>
      </c>
      <c r="P313" s="12" t="s">
        <v>511</v>
      </c>
      <c r="Q313" s="12" t="s">
        <v>6653</v>
      </c>
      <c r="R313" s="12">
        <v>42.074444</v>
      </c>
      <c r="S313" s="12">
        <v>76.966667000000001</v>
      </c>
      <c r="T313" s="12" t="s">
        <v>25</v>
      </c>
      <c r="U313" s="12" t="s">
        <v>2634</v>
      </c>
      <c r="V313" s="12" t="s">
        <v>6639</v>
      </c>
      <c r="W313" s="12" t="s">
        <v>6639</v>
      </c>
      <c r="X313" s="12">
        <v>1.4870000000000001</v>
      </c>
      <c r="Y313" s="12">
        <v>788540</v>
      </c>
      <c r="Z313" s="12" t="s">
        <v>6639</v>
      </c>
      <c r="AA313" s="12" t="s">
        <v>6639</v>
      </c>
      <c r="AB313" s="12" t="s">
        <v>17</v>
      </c>
      <c r="AC313" s="12" t="s">
        <v>144</v>
      </c>
      <c r="AD313" s="12" t="s">
        <v>17</v>
      </c>
      <c r="AE313" s="12" t="s">
        <v>17</v>
      </c>
      <c r="AF313" s="12" t="s">
        <v>45</v>
      </c>
    </row>
    <row r="314" spans="1:32" x14ac:dyDescent="0.2">
      <c r="A314" s="12" t="s">
        <v>2501</v>
      </c>
      <c r="B314" s="12" t="s">
        <v>2502</v>
      </c>
      <c r="C314" s="12" t="s">
        <v>2504</v>
      </c>
      <c r="D314" s="12" t="s">
        <v>17</v>
      </c>
      <c r="E314" s="12" t="s">
        <v>7678</v>
      </c>
      <c r="F314" s="12" t="s">
        <v>5460</v>
      </c>
      <c r="G314" s="12" t="s">
        <v>2415</v>
      </c>
      <c r="H314" s="12" t="s">
        <v>6614</v>
      </c>
      <c r="I314" s="12">
        <v>852</v>
      </c>
      <c r="J314" s="12" t="s">
        <v>2505</v>
      </c>
      <c r="K314" s="12" t="s">
        <v>6655</v>
      </c>
      <c r="L314" s="12" t="s">
        <v>2503</v>
      </c>
      <c r="M314" s="12" t="s">
        <v>2503</v>
      </c>
      <c r="N314" s="12" t="s">
        <v>5785</v>
      </c>
      <c r="O314" s="12" t="s">
        <v>2420</v>
      </c>
      <c r="P314" s="12" t="s">
        <v>1152</v>
      </c>
      <c r="Q314" s="12" t="s">
        <v>6653</v>
      </c>
      <c r="R314" s="12">
        <v>52.692500000000003</v>
      </c>
      <c r="S314" s="12">
        <v>62.6472222222</v>
      </c>
      <c r="T314" s="12" t="s">
        <v>11</v>
      </c>
      <c r="U314" s="12" t="s">
        <v>2506</v>
      </c>
      <c r="V314" s="12" t="s">
        <v>2507</v>
      </c>
      <c r="W314" s="12" t="s">
        <v>7415</v>
      </c>
      <c r="X314" s="12">
        <v>2.0499999999999998</v>
      </c>
      <c r="Y314" s="12">
        <v>928549</v>
      </c>
      <c r="Z314" s="12" t="s">
        <v>17</v>
      </c>
      <c r="AA314" s="12" t="s">
        <v>17</v>
      </c>
      <c r="AB314" s="12" t="s">
        <v>17</v>
      </c>
      <c r="AC314" s="12" t="s">
        <v>144</v>
      </c>
      <c r="AD314" s="12" t="s">
        <v>17</v>
      </c>
      <c r="AE314" s="12" t="s">
        <v>17</v>
      </c>
      <c r="AF314" s="12" t="s">
        <v>45</v>
      </c>
    </row>
    <row r="315" spans="1:32" x14ac:dyDescent="0.2">
      <c r="A315" s="12" t="s">
        <v>2494</v>
      </c>
      <c r="B315" s="12" t="s">
        <v>2495</v>
      </c>
      <c r="C315" s="12" t="s">
        <v>2497</v>
      </c>
      <c r="D315" s="12" t="s">
        <v>17</v>
      </c>
      <c r="E315" s="12" t="s">
        <v>7678</v>
      </c>
      <c r="F315" s="12" t="s">
        <v>5458</v>
      </c>
      <c r="G315" s="12" t="s">
        <v>2415</v>
      </c>
      <c r="H315" s="12" t="s">
        <v>6614</v>
      </c>
      <c r="I315" s="12">
        <v>850</v>
      </c>
      <c r="J315" s="12" t="s">
        <v>2498</v>
      </c>
      <c r="K315" s="12" t="s">
        <v>6655</v>
      </c>
      <c r="L315" s="12" t="s">
        <v>2496</v>
      </c>
      <c r="M315" s="12" t="s">
        <v>2496</v>
      </c>
      <c r="N315" s="12" t="s">
        <v>5785</v>
      </c>
      <c r="O315" s="12" t="s">
        <v>2420</v>
      </c>
      <c r="P315" s="12" t="s">
        <v>1152</v>
      </c>
      <c r="Q315" s="12" t="s">
        <v>6653</v>
      </c>
      <c r="R315" s="12">
        <v>49.043611111099999</v>
      </c>
      <c r="S315" s="12">
        <v>73.621111111100006</v>
      </c>
      <c r="T315" s="12" t="s">
        <v>11</v>
      </c>
      <c r="U315" s="12" t="s">
        <v>2499</v>
      </c>
      <c r="V315" s="12" t="s">
        <v>2500</v>
      </c>
      <c r="W315" s="12" t="s">
        <v>7415</v>
      </c>
      <c r="X315" s="12">
        <v>1.5229999999999999</v>
      </c>
      <c r="Y315" s="12">
        <v>770699</v>
      </c>
      <c r="Z315" s="12" t="s">
        <v>17</v>
      </c>
      <c r="AA315" s="12" t="s">
        <v>17</v>
      </c>
      <c r="AB315" s="12" t="s">
        <v>17</v>
      </c>
      <c r="AC315" s="12" t="s">
        <v>144</v>
      </c>
      <c r="AD315" s="12" t="s">
        <v>17</v>
      </c>
      <c r="AE315" s="12" t="s">
        <v>17</v>
      </c>
      <c r="AF315" s="12" t="s">
        <v>45</v>
      </c>
    </row>
    <row r="316" spans="1:32" x14ac:dyDescent="0.2">
      <c r="A316" s="12" t="s">
        <v>2625</v>
      </c>
      <c r="B316" s="12" t="s">
        <v>2626</v>
      </c>
      <c r="C316" s="12" t="s">
        <v>2627</v>
      </c>
      <c r="D316" s="12" t="s">
        <v>17</v>
      </c>
      <c r="E316" s="12" t="s">
        <v>7678</v>
      </c>
      <c r="F316" s="12" t="s">
        <v>5460</v>
      </c>
      <c r="G316" s="12" t="s">
        <v>2415</v>
      </c>
      <c r="H316" s="12" t="s">
        <v>6614</v>
      </c>
      <c r="I316" s="12">
        <v>796</v>
      </c>
      <c r="J316" s="12" t="s">
        <v>2628</v>
      </c>
      <c r="K316" s="12" t="s">
        <v>6655</v>
      </c>
      <c r="L316" s="12" t="s">
        <v>2615</v>
      </c>
      <c r="M316" s="12" t="s">
        <v>2615</v>
      </c>
      <c r="N316" s="12" t="s">
        <v>5785</v>
      </c>
      <c r="O316" s="12" t="s">
        <v>2420</v>
      </c>
      <c r="P316" s="12" t="s">
        <v>511</v>
      </c>
      <c r="Q316" s="12" t="s">
        <v>6653</v>
      </c>
      <c r="R316" s="12">
        <v>42.074444</v>
      </c>
      <c r="S316" s="12">
        <v>76.961111000000002</v>
      </c>
      <c r="T316" s="12" t="s">
        <v>25</v>
      </c>
      <c r="U316" s="12" t="s">
        <v>2629</v>
      </c>
      <c r="V316" s="12" t="s">
        <v>6639</v>
      </c>
      <c r="W316" s="12" t="s">
        <v>6639</v>
      </c>
      <c r="X316" s="12">
        <v>0.998</v>
      </c>
      <c r="Y316" s="12">
        <v>629855</v>
      </c>
      <c r="Z316" s="12" t="s">
        <v>6639</v>
      </c>
      <c r="AA316" s="12" t="s">
        <v>6639</v>
      </c>
      <c r="AB316" s="12" t="s">
        <v>17</v>
      </c>
      <c r="AC316" s="12" t="s">
        <v>144</v>
      </c>
      <c r="AD316" s="12" t="s">
        <v>17</v>
      </c>
      <c r="AE316" s="12" t="s">
        <v>17</v>
      </c>
      <c r="AF316" s="12" t="s">
        <v>45</v>
      </c>
    </row>
    <row r="317" spans="1:32" x14ac:dyDescent="0.2">
      <c r="A317" s="12" t="s">
        <v>2620</v>
      </c>
      <c r="B317" s="12" t="s">
        <v>2621</v>
      </c>
      <c r="C317" s="12" t="s">
        <v>2622</v>
      </c>
      <c r="D317" s="12" t="s">
        <v>17</v>
      </c>
      <c r="E317" s="12" t="s">
        <v>7678</v>
      </c>
      <c r="F317" s="12" t="s">
        <v>5460</v>
      </c>
      <c r="G317" s="12" t="s">
        <v>2415</v>
      </c>
      <c r="H317" s="12" t="s">
        <v>6614</v>
      </c>
      <c r="I317" s="12">
        <v>791</v>
      </c>
      <c r="J317" s="12" t="s">
        <v>2623</v>
      </c>
      <c r="K317" s="12" t="s">
        <v>6655</v>
      </c>
      <c r="L317" s="12" t="s">
        <v>2615</v>
      </c>
      <c r="M317" s="12" t="s">
        <v>2615</v>
      </c>
      <c r="N317" s="12" t="s">
        <v>5785</v>
      </c>
      <c r="O317" s="12" t="s">
        <v>2420</v>
      </c>
      <c r="P317" s="12" t="s">
        <v>511</v>
      </c>
      <c r="Q317" s="12" t="s">
        <v>6653</v>
      </c>
      <c r="R317" s="12">
        <v>42.067222000000001</v>
      </c>
      <c r="S317" s="12">
        <v>76.962778</v>
      </c>
      <c r="T317" s="12" t="s">
        <v>25</v>
      </c>
      <c r="U317" s="12" t="s">
        <v>2624</v>
      </c>
      <c r="V317" s="12" t="s">
        <v>6639</v>
      </c>
      <c r="W317" s="12" t="s">
        <v>6639</v>
      </c>
      <c r="X317" s="12">
        <v>1.389</v>
      </c>
      <c r="Y317" s="12">
        <v>748435</v>
      </c>
      <c r="Z317" s="12" t="s">
        <v>6639</v>
      </c>
      <c r="AA317" s="12" t="s">
        <v>6639</v>
      </c>
      <c r="AB317" s="12" t="s">
        <v>17</v>
      </c>
      <c r="AC317" s="12" t="s">
        <v>144</v>
      </c>
      <c r="AD317" s="12" t="s">
        <v>17</v>
      </c>
      <c r="AE317" s="12" t="s">
        <v>17</v>
      </c>
      <c r="AF317" s="12" t="s">
        <v>45</v>
      </c>
    </row>
    <row r="318" spans="1:32" x14ac:dyDescent="0.2">
      <c r="A318" s="12" t="s">
        <v>2613</v>
      </c>
      <c r="B318" s="12" t="s">
        <v>2614</v>
      </c>
      <c r="C318" s="12" t="s">
        <v>2616</v>
      </c>
      <c r="D318" s="12" t="s">
        <v>17</v>
      </c>
      <c r="E318" s="12" t="s">
        <v>7678</v>
      </c>
      <c r="F318" s="12" t="s">
        <v>5460</v>
      </c>
      <c r="G318" s="12" t="s">
        <v>2415</v>
      </c>
      <c r="H318" s="12" t="s">
        <v>6614</v>
      </c>
      <c r="I318" s="12">
        <v>787</v>
      </c>
      <c r="J318" s="12" t="s">
        <v>2617</v>
      </c>
      <c r="K318" s="12" t="s">
        <v>6655</v>
      </c>
      <c r="L318" s="12" t="s">
        <v>2615</v>
      </c>
      <c r="M318" s="12" t="s">
        <v>2615</v>
      </c>
      <c r="N318" s="12" t="s">
        <v>5785</v>
      </c>
      <c r="O318" s="12" t="s">
        <v>2420</v>
      </c>
      <c r="P318" s="12" t="s">
        <v>511</v>
      </c>
      <c r="Q318" s="12" t="s">
        <v>6653</v>
      </c>
      <c r="R318" s="12">
        <v>42.074722000000001</v>
      </c>
      <c r="S318" s="12">
        <v>76.963888999999995</v>
      </c>
      <c r="T318" s="12" t="s">
        <v>11</v>
      </c>
      <c r="U318" s="12" t="s">
        <v>2618</v>
      </c>
      <c r="V318" s="12" t="s">
        <v>2619</v>
      </c>
      <c r="W318" s="12" t="s">
        <v>7415</v>
      </c>
      <c r="X318" s="12">
        <v>0.65500000000000003</v>
      </c>
      <c r="Y318" s="12">
        <v>473616</v>
      </c>
      <c r="Z318" s="12" t="s">
        <v>17</v>
      </c>
      <c r="AA318" s="12" t="s">
        <v>17</v>
      </c>
      <c r="AB318" s="12" t="s">
        <v>17</v>
      </c>
      <c r="AC318" s="12" t="s">
        <v>144</v>
      </c>
      <c r="AD318" s="12" t="s">
        <v>17</v>
      </c>
      <c r="AE318" s="12" t="s">
        <v>17</v>
      </c>
      <c r="AF318" s="12" t="s">
        <v>45</v>
      </c>
    </row>
    <row r="319" spans="1:32" x14ac:dyDescent="0.2">
      <c r="A319" s="12" t="s">
        <v>1372</v>
      </c>
      <c r="B319" s="12" t="s">
        <v>1372</v>
      </c>
      <c r="C319" s="12" t="s">
        <v>7569</v>
      </c>
      <c r="D319" s="12" t="s">
        <v>13</v>
      </c>
      <c r="E319" s="12" t="s">
        <v>8108</v>
      </c>
      <c r="F319" s="12" t="s">
        <v>5458</v>
      </c>
      <c r="G319" s="12" t="s">
        <v>5453</v>
      </c>
      <c r="H319" s="12" t="s">
        <v>7425</v>
      </c>
      <c r="I319" s="3">
        <v>3717</v>
      </c>
      <c r="J319" s="3" t="s">
        <v>8162</v>
      </c>
      <c r="K319" s="12" t="s">
        <v>6656</v>
      </c>
      <c r="L319" s="12" t="s">
        <v>1229</v>
      </c>
      <c r="M319" s="12" t="s">
        <v>1373</v>
      </c>
      <c r="N319" s="12" t="s">
        <v>5785</v>
      </c>
      <c r="O319" s="12" t="s">
        <v>6642</v>
      </c>
      <c r="P319" s="12" t="s">
        <v>1152</v>
      </c>
      <c r="Q319" s="12" t="s">
        <v>6653</v>
      </c>
      <c r="R319" s="12">
        <v>50.450099999999999</v>
      </c>
      <c r="S319" s="12">
        <v>57.040055555599999</v>
      </c>
      <c r="T319" s="12" t="s">
        <v>11</v>
      </c>
      <c r="U319" s="12" t="s">
        <v>1334</v>
      </c>
      <c r="V319" s="12" t="s">
        <v>1375</v>
      </c>
      <c r="W319" s="12" t="s">
        <v>7415</v>
      </c>
      <c r="X319" s="12">
        <v>1.1197649999999999</v>
      </c>
      <c r="Y319" s="12">
        <v>621186</v>
      </c>
      <c r="Z319" s="12">
        <v>7.7060000000000002E-3</v>
      </c>
      <c r="AA319" s="12">
        <v>3.4758196885835155</v>
      </c>
      <c r="AB319" s="12" t="s">
        <v>1371</v>
      </c>
      <c r="AC319" s="12" t="s">
        <v>21</v>
      </c>
      <c r="AD319" s="12">
        <v>0.112</v>
      </c>
      <c r="AE319" s="12">
        <v>0.98699999999999999</v>
      </c>
      <c r="AF319" s="12" t="s">
        <v>152</v>
      </c>
    </row>
    <row r="320" spans="1:32" x14ac:dyDescent="0.2">
      <c r="A320" s="12" t="s">
        <v>1396</v>
      </c>
      <c r="B320" s="12" t="s">
        <v>1396</v>
      </c>
      <c r="C320" s="12" t="s">
        <v>7560</v>
      </c>
      <c r="D320" s="12" t="s">
        <v>13</v>
      </c>
      <c r="E320" s="12" t="s">
        <v>8108</v>
      </c>
      <c r="F320" s="12" t="s">
        <v>5458</v>
      </c>
      <c r="G320" s="12" t="s">
        <v>5453</v>
      </c>
      <c r="H320" s="12" t="s">
        <v>7426</v>
      </c>
      <c r="I320" s="3">
        <v>3631</v>
      </c>
      <c r="J320" s="3" t="s">
        <v>8161</v>
      </c>
      <c r="K320" s="12" t="s">
        <v>6656</v>
      </c>
      <c r="L320" s="12" t="s">
        <v>1397</v>
      </c>
      <c r="M320" s="12" t="s">
        <v>1397</v>
      </c>
      <c r="N320" s="12" t="s">
        <v>5785</v>
      </c>
      <c r="O320" s="12" t="s">
        <v>1398</v>
      </c>
      <c r="P320" s="12" t="s">
        <v>1152</v>
      </c>
      <c r="Q320" s="12" t="s">
        <v>6653</v>
      </c>
      <c r="R320" s="16">
        <v>50.668658333300002</v>
      </c>
      <c r="S320" s="16">
        <v>57.718569444400003</v>
      </c>
      <c r="T320" s="12" t="s">
        <v>25</v>
      </c>
      <c r="U320" s="12" t="s">
        <v>1311</v>
      </c>
      <c r="V320" s="12" t="s">
        <v>6639</v>
      </c>
      <c r="W320" s="12" t="s">
        <v>6639</v>
      </c>
      <c r="X320" s="12">
        <v>3.5683549999999999</v>
      </c>
      <c r="Y320" s="12">
        <v>733397</v>
      </c>
      <c r="Z320" s="12" t="s">
        <v>6639</v>
      </c>
      <c r="AA320" s="12" t="s">
        <v>6639</v>
      </c>
      <c r="AB320" s="12" t="s">
        <v>1395</v>
      </c>
      <c r="AC320" s="12" t="s">
        <v>21</v>
      </c>
      <c r="AD320" s="12">
        <v>0.126</v>
      </c>
      <c r="AE320" s="12">
        <v>0.99099999999999999</v>
      </c>
      <c r="AF320" s="12" t="s">
        <v>45</v>
      </c>
    </row>
    <row r="321" spans="1:41" x14ac:dyDescent="0.2">
      <c r="A321" s="12" t="s">
        <v>4113</v>
      </c>
      <c r="B321" s="12" t="s">
        <v>4113</v>
      </c>
      <c r="C321" s="12" t="s">
        <v>6869</v>
      </c>
      <c r="D321" s="12" t="s">
        <v>143</v>
      </c>
      <c r="E321" s="12" t="s">
        <v>8110</v>
      </c>
      <c r="F321" s="12" t="s">
        <v>4116</v>
      </c>
      <c r="G321" s="12" t="s">
        <v>5453</v>
      </c>
      <c r="H321" s="12" t="s">
        <v>6643</v>
      </c>
      <c r="I321" s="12">
        <v>3476</v>
      </c>
      <c r="J321" s="12" t="s">
        <v>4116</v>
      </c>
      <c r="K321" s="12" t="s">
        <v>6656</v>
      </c>
      <c r="L321" s="12" t="s">
        <v>4081</v>
      </c>
      <c r="M321" s="12" t="s">
        <v>4114</v>
      </c>
      <c r="N321" s="12" t="s">
        <v>5785</v>
      </c>
      <c r="O321" s="12" t="s">
        <v>1326</v>
      </c>
      <c r="P321" s="12" t="s">
        <v>1152</v>
      </c>
      <c r="Q321" s="12" t="s">
        <v>6653</v>
      </c>
      <c r="R321" s="16">
        <v>50.224899999999998</v>
      </c>
      <c r="S321" s="16">
        <v>81.836783330000003</v>
      </c>
      <c r="T321" s="12" t="s">
        <v>11</v>
      </c>
      <c r="U321" s="12" t="s">
        <v>4117</v>
      </c>
      <c r="V321" s="12" t="s">
        <v>755</v>
      </c>
      <c r="W321" s="12" t="s">
        <v>7415</v>
      </c>
      <c r="X321" s="12">
        <v>1.5049999999999999</v>
      </c>
      <c r="Y321" s="12">
        <v>724973</v>
      </c>
      <c r="Z321" s="12">
        <v>3.5539999999999999E-3</v>
      </c>
      <c r="AA321" s="12">
        <v>2.211633540909931</v>
      </c>
      <c r="AB321" s="12" t="s">
        <v>4115</v>
      </c>
      <c r="AC321" s="12" t="s">
        <v>21</v>
      </c>
      <c r="AD321" s="12">
        <v>5.8999999999999997E-2</v>
      </c>
      <c r="AE321" s="12">
        <v>0.996</v>
      </c>
      <c r="AF321" s="12" t="s">
        <v>59</v>
      </c>
    </row>
    <row r="322" spans="1:41" x14ac:dyDescent="0.2">
      <c r="A322" s="12" t="s">
        <v>5278</v>
      </c>
      <c r="B322" s="12" t="s">
        <v>5278</v>
      </c>
      <c r="C322" s="12" t="s">
        <v>7571</v>
      </c>
      <c r="D322" s="12" t="s">
        <v>13</v>
      </c>
      <c r="E322" s="12" t="s">
        <v>8108</v>
      </c>
      <c r="F322" s="12" t="s">
        <v>5458</v>
      </c>
      <c r="G322" s="12" t="s">
        <v>5453</v>
      </c>
      <c r="H322" s="12" t="s">
        <v>7425</v>
      </c>
      <c r="I322" s="12">
        <v>3250</v>
      </c>
      <c r="J322" s="12" t="s">
        <v>1374</v>
      </c>
      <c r="K322" s="12" t="s">
        <v>6656</v>
      </c>
      <c r="L322" s="12" t="s">
        <v>5060</v>
      </c>
      <c r="M322" s="12" t="s">
        <v>5279</v>
      </c>
      <c r="N322" s="12" t="s">
        <v>5785</v>
      </c>
      <c r="O322" s="12" t="s">
        <v>5280</v>
      </c>
      <c r="P322" s="12" t="s">
        <v>1152</v>
      </c>
      <c r="Q322" s="12" t="s">
        <v>6653</v>
      </c>
      <c r="R322" s="16">
        <v>51.006113888900003</v>
      </c>
      <c r="S322" s="16">
        <v>57.928252777799997</v>
      </c>
      <c r="T322" s="12" t="s">
        <v>25</v>
      </c>
      <c r="U322" s="12" t="s">
        <v>3775</v>
      </c>
      <c r="V322" s="12" t="s">
        <v>6639</v>
      </c>
      <c r="W322" s="12" t="s">
        <v>6639</v>
      </c>
      <c r="X322" s="12">
        <v>1.4345999999999999E-2</v>
      </c>
      <c r="Y322" s="12">
        <v>21104</v>
      </c>
      <c r="Z322" s="12" t="s">
        <v>6639</v>
      </c>
      <c r="AA322" s="12" t="s">
        <v>6639</v>
      </c>
      <c r="AB322" s="12" t="s">
        <v>5277</v>
      </c>
      <c r="AC322" s="12" t="s">
        <v>21</v>
      </c>
      <c r="AD322" s="12">
        <v>0.32800000000000001</v>
      </c>
      <c r="AE322" s="12">
        <v>0.89200000000000002</v>
      </c>
      <c r="AF322" s="12" t="s">
        <v>5281</v>
      </c>
    </row>
    <row r="323" spans="1:41" x14ac:dyDescent="0.2">
      <c r="A323" s="12" t="s">
        <v>4108</v>
      </c>
      <c r="B323" s="12" t="s">
        <v>4108</v>
      </c>
      <c r="C323" s="12" t="s">
        <v>6812</v>
      </c>
      <c r="D323" s="12" t="s">
        <v>13</v>
      </c>
      <c r="E323" s="12" t="s">
        <v>8110</v>
      </c>
      <c r="F323" s="12" t="s">
        <v>4111</v>
      </c>
      <c r="G323" s="12" t="s">
        <v>5453</v>
      </c>
      <c r="H323" s="12" t="s">
        <v>7595</v>
      </c>
      <c r="I323" s="12">
        <v>3249</v>
      </c>
      <c r="J323" s="12" t="s">
        <v>4111</v>
      </c>
      <c r="K323" s="12" t="s">
        <v>6656</v>
      </c>
      <c r="L323" s="12" t="s">
        <v>4081</v>
      </c>
      <c r="M323" s="12" t="s">
        <v>4109</v>
      </c>
      <c r="N323" s="12" t="s">
        <v>5785</v>
      </c>
      <c r="O323" s="12" t="s">
        <v>4112</v>
      </c>
      <c r="P323" s="12" t="s">
        <v>18</v>
      </c>
      <c r="Q323" s="12" t="s">
        <v>6653</v>
      </c>
      <c r="R323" s="12">
        <v>55.51</v>
      </c>
      <c r="S323" s="12">
        <v>77.05</v>
      </c>
      <c r="T323" s="12" t="s">
        <v>11</v>
      </c>
      <c r="U323" s="12" t="s">
        <v>399</v>
      </c>
      <c r="V323" s="12" t="s">
        <v>1266</v>
      </c>
      <c r="W323" s="12" t="s">
        <v>7415</v>
      </c>
      <c r="X323" s="12">
        <v>0.312</v>
      </c>
      <c r="Y323" s="12">
        <v>299441</v>
      </c>
      <c r="Z323" s="12" t="s">
        <v>8052</v>
      </c>
      <c r="AA323" s="12" t="s">
        <v>8052</v>
      </c>
      <c r="AB323" s="12" t="s">
        <v>4110</v>
      </c>
      <c r="AC323" s="12" t="s">
        <v>21</v>
      </c>
      <c r="AD323" s="12">
        <v>0.19900000000000001</v>
      </c>
      <c r="AE323" s="12">
        <v>0.99299999999999999</v>
      </c>
      <c r="AF323" s="12" t="s">
        <v>45</v>
      </c>
    </row>
    <row r="324" spans="1:41" x14ac:dyDescent="0.2">
      <c r="A324" s="12" t="s">
        <v>4105</v>
      </c>
      <c r="B324" s="12" t="s">
        <v>4105</v>
      </c>
      <c r="C324" s="12" t="s">
        <v>6778</v>
      </c>
      <c r="D324" s="12" t="s">
        <v>13</v>
      </c>
      <c r="E324" s="12" t="s">
        <v>8110</v>
      </c>
      <c r="F324" s="12" t="s">
        <v>4107</v>
      </c>
      <c r="G324" s="12" t="s">
        <v>5453</v>
      </c>
      <c r="H324" s="12" t="s">
        <v>6612</v>
      </c>
      <c r="I324" s="12">
        <v>3244</v>
      </c>
      <c r="J324" s="12" t="s">
        <v>4107</v>
      </c>
      <c r="K324" s="12" t="s">
        <v>6656</v>
      </c>
      <c r="L324" s="12" t="s">
        <v>4081</v>
      </c>
      <c r="M324" s="12" t="s">
        <v>7445</v>
      </c>
      <c r="N324" s="12" t="s">
        <v>5785</v>
      </c>
      <c r="O324" s="12" t="s">
        <v>6644</v>
      </c>
      <c r="P324" s="12" t="s">
        <v>1152</v>
      </c>
      <c r="Q324" s="12" t="s">
        <v>6653</v>
      </c>
      <c r="R324" s="16">
        <v>49.124400000000001</v>
      </c>
      <c r="S324" s="16">
        <v>84.304100000000005</v>
      </c>
      <c r="T324" s="12" t="s">
        <v>25</v>
      </c>
      <c r="U324" s="12" t="s">
        <v>73</v>
      </c>
      <c r="V324" s="12" t="s">
        <v>6639</v>
      </c>
      <c r="W324" s="12" t="s">
        <v>6639</v>
      </c>
      <c r="X324" s="12">
        <v>0.52618799999999999</v>
      </c>
      <c r="Y324" s="12">
        <v>435683</v>
      </c>
      <c r="Z324" s="12" t="s">
        <v>6639</v>
      </c>
      <c r="AA324" s="12" t="s">
        <v>6639</v>
      </c>
      <c r="AB324" s="12" t="s">
        <v>4106</v>
      </c>
      <c r="AC324" s="12" t="s">
        <v>21</v>
      </c>
      <c r="AD324" s="12">
        <v>7.1999999999999995E-2</v>
      </c>
      <c r="AE324" s="12">
        <v>0.999</v>
      </c>
      <c r="AF324" s="12" t="s">
        <v>45</v>
      </c>
    </row>
    <row r="325" spans="1:41" x14ac:dyDescent="0.2">
      <c r="A325" s="12" t="s">
        <v>4118</v>
      </c>
      <c r="B325" s="12" t="s">
        <v>4118</v>
      </c>
      <c r="C325" s="12" t="s">
        <v>4120</v>
      </c>
      <c r="D325" s="12" t="s">
        <v>143</v>
      </c>
      <c r="E325" s="12" t="s">
        <v>8110</v>
      </c>
      <c r="F325" s="12" t="s">
        <v>5458</v>
      </c>
      <c r="G325" s="12" t="s">
        <v>5453</v>
      </c>
      <c r="H325" s="12" t="s">
        <v>6643</v>
      </c>
      <c r="I325" s="12">
        <v>3150</v>
      </c>
      <c r="J325" s="12" t="s">
        <v>4122</v>
      </c>
      <c r="K325" s="12" t="s">
        <v>6656</v>
      </c>
      <c r="L325" s="12" t="s">
        <v>4081</v>
      </c>
      <c r="M325" s="12" t="s">
        <v>4119</v>
      </c>
      <c r="N325" s="12" t="s">
        <v>5785</v>
      </c>
      <c r="O325" s="12" t="s">
        <v>6998</v>
      </c>
      <c r="P325" s="12" t="s">
        <v>1152</v>
      </c>
      <c r="Q325" s="12" t="s">
        <v>6653</v>
      </c>
      <c r="R325" s="16">
        <v>43.373766670000002</v>
      </c>
      <c r="S325" s="16">
        <v>76.584500000000006</v>
      </c>
      <c r="T325" s="12" t="s">
        <v>25</v>
      </c>
      <c r="U325" s="12" t="s">
        <v>36</v>
      </c>
      <c r="V325" s="12" t="s">
        <v>6639</v>
      </c>
      <c r="W325" s="12" t="s">
        <v>6639</v>
      </c>
      <c r="X325" s="12">
        <v>1.7529999999999999</v>
      </c>
      <c r="Y325" s="12">
        <v>733200</v>
      </c>
      <c r="Z325" s="12" t="s">
        <v>6639</v>
      </c>
      <c r="AA325" s="12" t="s">
        <v>6639</v>
      </c>
      <c r="AB325" s="12" t="s">
        <v>4121</v>
      </c>
      <c r="AC325" s="12" t="s">
        <v>21</v>
      </c>
      <c r="AD325" s="12">
        <v>4.9000000000000002E-2</v>
      </c>
      <c r="AE325" s="12">
        <v>0.999</v>
      </c>
      <c r="AF325" s="12" t="s">
        <v>45</v>
      </c>
    </row>
    <row r="326" spans="1:41" x14ac:dyDescent="0.2">
      <c r="A326" s="12" t="s">
        <v>4591</v>
      </c>
      <c r="B326" s="12" t="s">
        <v>4591</v>
      </c>
      <c r="C326" s="12" t="s">
        <v>4593</v>
      </c>
      <c r="D326" s="12" t="s">
        <v>100</v>
      </c>
      <c r="E326" s="12" t="s">
        <v>8110</v>
      </c>
      <c r="F326" s="12" t="s">
        <v>5458</v>
      </c>
      <c r="G326" s="12" t="s">
        <v>5453</v>
      </c>
      <c r="H326" s="12" t="s">
        <v>6616</v>
      </c>
      <c r="I326" s="12">
        <v>3130</v>
      </c>
      <c r="J326" s="12" t="s">
        <v>4595</v>
      </c>
      <c r="K326" s="12" t="s">
        <v>6656</v>
      </c>
      <c r="L326" s="12" t="s">
        <v>4592</v>
      </c>
      <c r="M326" s="12" t="s">
        <v>4592</v>
      </c>
      <c r="N326" s="12" t="s">
        <v>24</v>
      </c>
      <c r="O326" s="12" t="s">
        <v>4085</v>
      </c>
      <c r="P326" s="12" t="s">
        <v>1152</v>
      </c>
      <c r="Q326" s="12" t="s">
        <v>6653</v>
      </c>
      <c r="R326" s="16">
        <v>45.134270000000001</v>
      </c>
      <c r="S326" s="16">
        <v>79.367940000000004</v>
      </c>
      <c r="T326" s="12" t="s">
        <v>11</v>
      </c>
      <c r="U326" s="12" t="s">
        <v>17</v>
      </c>
      <c r="V326" s="12" t="s">
        <v>383</v>
      </c>
      <c r="W326" s="12" t="s">
        <v>7415</v>
      </c>
      <c r="X326" s="12">
        <v>7.4460000000000004E-3</v>
      </c>
      <c r="Y326" s="12">
        <v>8696</v>
      </c>
      <c r="Z326" s="12" t="s">
        <v>8052</v>
      </c>
      <c r="AA326" s="12" t="s">
        <v>8052</v>
      </c>
      <c r="AB326" s="12" t="s">
        <v>4594</v>
      </c>
      <c r="AC326" s="12" t="s">
        <v>21</v>
      </c>
      <c r="AD326" s="12">
        <v>2.4E-2</v>
      </c>
      <c r="AE326" s="12" t="s">
        <v>7796</v>
      </c>
      <c r="AF326" s="12" t="s">
        <v>8095</v>
      </c>
    </row>
    <row r="327" spans="1:41" x14ac:dyDescent="0.2">
      <c r="A327" s="12" t="s">
        <v>4102</v>
      </c>
      <c r="B327" s="12" t="s">
        <v>4102</v>
      </c>
      <c r="C327" s="12" t="s">
        <v>7436</v>
      </c>
      <c r="D327" s="12" t="s">
        <v>13</v>
      </c>
      <c r="E327" s="12" t="s">
        <v>8110</v>
      </c>
      <c r="F327" s="12" t="s">
        <v>4104</v>
      </c>
      <c r="G327" s="12" t="s">
        <v>5453</v>
      </c>
      <c r="H327" s="12" t="s">
        <v>6616</v>
      </c>
      <c r="I327" s="12">
        <v>3084</v>
      </c>
      <c r="J327" s="12" t="s">
        <v>4104</v>
      </c>
      <c r="K327" s="12" t="s">
        <v>6656</v>
      </c>
      <c r="L327" s="12" t="s">
        <v>4081</v>
      </c>
      <c r="M327" s="12" t="s">
        <v>4087</v>
      </c>
      <c r="N327" s="12" t="s">
        <v>5785</v>
      </c>
      <c r="O327" s="12" t="s">
        <v>1326</v>
      </c>
      <c r="P327" s="12" t="s">
        <v>1152</v>
      </c>
      <c r="Q327" s="12" t="s">
        <v>6653</v>
      </c>
      <c r="R327" s="16">
        <v>50.224899999999998</v>
      </c>
      <c r="S327" s="16">
        <v>81.836783330000003</v>
      </c>
      <c r="T327" s="12" t="s">
        <v>11</v>
      </c>
      <c r="U327" s="12" t="s">
        <v>2475</v>
      </c>
      <c r="V327" s="12" t="s">
        <v>606</v>
      </c>
      <c r="W327" s="12" t="s">
        <v>7415</v>
      </c>
      <c r="X327" s="12">
        <v>3.36</v>
      </c>
      <c r="Y327" s="12">
        <v>778826</v>
      </c>
      <c r="Z327" s="12">
        <v>3.0490000000000001E-3</v>
      </c>
      <c r="AA327" s="12">
        <v>2.8970992900253889</v>
      </c>
      <c r="AB327" s="12" t="s">
        <v>4103</v>
      </c>
      <c r="AC327" s="12" t="s">
        <v>21</v>
      </c>
      <c r="AD327" s="12">
        <v>8.3000000000000004E-2</v>
      </c>
      <c r="AE327" s="12">
        <v>0.98399999999999999</v>
      </c>
      <c r="AF327" s="12" t="s">
        <v>427</v>
      </c>
      <c r="AG327" s="12"/>
      <c r="AH327" s="12"/>
      <c r="AI327" s="12"/>
      <c r="AJ327" s="12"/>
      <c r="AK327" s="12"/>
      <c r="AL327" s="12"/>
      <c r="AM327" s="12"/>
      <c r="AN327" s="12"/>
      <c r="AO327" s="12"/>
    </row>
    <row r="328" spans="1:41" x14ac:dyDescent="0.2">
      <c r="A328" s="12" t="s">
        <v>4099</v>
      </c>
      <c r="B328" s="12" t="s">
        <v>4099</v>
      </c>
      <c r="C328" s="12" t="s">
        <v>7437</v>
      </c>
      <c r="D328" s="12" t="s">
        <v>13</v>
      </c>
      <c r="E328" s="12" t="s">
        <v>8110</v>
      </c>
      <c r="F328" s="12" t="s">
        <v>4101</v>
      </c>
      <c r="G328" s="12" t="s">
        <v>5453</v>
      </c>
      <c r="H328" s="12" t="s">
        <v>6616</v>
      </c>
      <c r="I328" s="12">
        <v>3053</v>
      </c>
      <c r="J328" s="12" t="s">
        <v>4101</v>
      </c>
      <c r="K328" s="12" t="s">
        <v>6656</v>
      </c>
      <c r="L328" s="12" t="s">
        <v>4081</v>
      </c>
      <c r="M328" s="12" t="s">
        <v>4087</v>
      </c>
      <c r="N328" s="12" t="s">
        <v>5785</v>
      </c>
      <c r="O328" s="12" t="s">
        <v>1326</v>
      </c>
      <c r="P328" s="12" t="s">
        <v>1152</v>
      </c>
      <c r="Q328" s="12" t="s">
        <v>6653</v>
      </c>
      <c r="R328" s="12">
        <v>50.224899999999998</v>
      </c>
      <c r="S328" s="12">
        <v>81.836783330000003</v>
      </c>
      <c r="T328" s="12" t="s">
        <v>11</v>
      </c>
      <c r="U328" s="12" t="s">
        <v>1946</v>
      </c>
      <c r="V328" s="12" t="s">
        <v>755</v>
      </c>
      <c r="W328" s="12" t="s">
        <v>7415</v>
      </c>
      <c r="X328" s="12">
        <v>3.7610000000000001</v>
      </c>
      <c r="Y328" s="12">
        <v>788293</v>
      </c>
      <c r="Z328" s="12">
        <v>5.1139999999999996E-3</v>
      </c>
      <c r="AA328" s="12">
        <v>4.537875823344061</v>
      </c>
      <c r="AB328" s="12" t="s">
        <v>4100</v>
      </c>
      <c r="AC328" s="12" t="s">
        <v>21</v>
      </c>
      <c r="AD328" s="12">
        <v>7.1999999999999995E-2</v>
      </c>
      <c r="AE328" s="12">
        <v>0.996</v>
      </c>
      <c r="AF328" s="12" t="s">
        <v>82</v>
      </c>
    </row>
    <row r="329" spans="1:41" x14ac:dyDescent="0.2">
      <c r="A329" s="12" t="s">
        <v>4096</v>
      </c>
      <c r="B329" s="12" t="s">
        <v>4096</v>
      </c>
      <c r="C329" s="12" t="s">
        <v>6871</v>
      </c>
      <c r="D329" s="12" t="s">
        <v>143</v>
      </c>
      <c r="E329" s="12" t="s">
        <v>8110</v>
      </c>
      <c r="F329" s="12" t="s">
        <v>4098</v>
      </c>
      <c r="G329" s="12" t="s">
        <v>5453</v>
      </c>
      <c r="H329" s="12" t="s">
        <v>6643</v>
      </c>
      <c r="I329" s="12">
        <v>3051</v>
      </c>
      <c r="J329" s="12" t="s">
        <v>4098</v>
      </c>
      <c r="K329" s="12" t="s">
        <v>6656</v>
      </c>
      <c r="L329" s="12" t="s">
        <v>4081</v>
      </c>
      <c r="M329" s="12" t="s">
        <v>4087</v>
      </c>
      <c r="N329" s="12" t="s">
        <v>5785</v>
      </c>
      <c r="O329" s="12" t="s">
        <v>1326</v>
      </c>
      <c r="P329" s="12" t="s">
        <v>1152</v>
      </c>
      <c r="Q329" s="12" t="s">
        <v>6653</v>
      </c>
      <c r="R329" s="12">
        <v>50.224899999999998</v>
      </c>
      <c r="S329" s="12">
        <v>81.836783330000003</v>
      </c>
      <c r="T329" s="12" t="s">
        <v>11</v>
      </c>
      <c r="U329" s="12" t="s">
        <v>2674</v>
      </c>
      <c r="V329" s="12" t="s">
        <v>2545</v>
      </c>
      <c r="W329" s="12" t="s">
        <v>7415</v>
      </c>
      <c r="X329" s="12">
        <v>1.429</v>
      </c>
      <c r="Y329" s="12">
        <v>736054</v>
      </c>
      <c r="Z329" s="12">
        <v>2.1250000000000002E-3</v>
      </c>
      <c r="AA329" s="12">
        <v>1.5028277914937826</v>
      </c>
      <c r="AB329" s="12" t="s">
        <v>4097</v>
      </c>
      <c r="AC329" s="12" t="s">
        <v>21</v>
      </c>
      <c r="AD329" s="12">
        <v>3.9E-2</v>
      </c>
      <c r="AE329" s="12">
        <v>0.99399999999999999</v>
      </c>
      <c r="AF329" s="12" t="s">
        <v>45</v>
      </c>
    </row>
    <row r="330" spans="1:41" x14ac:dyDescent="0.2">
      <c r="A330" s="12" t="s">
        <v>4093</v>
      </c>
      <c r="B330" s="12" t="s">
        <v>4093</v>
      </c>
      <c r="C330" s="12" t="s">
        <v>6872</v>
      </c>
      <c r="D330" s="12" t="s">
        <v>143</v>
      </c>
      <c r="E330" s="12" t="s">
        <v>8110</v>
      </c>
      <c r="F330" s="12" t="s">
        <v>4095</v>
      </c>
      <c r="G330" s="12" t="s">
        <v>5453</v>
      </c>
      <c r="H330" s="12" t="s">
        <v>6643</v>
      </c>
      <c r="I330" s="12">
        <v>3013</v>
      </c>
      <c r="J330" s="12" t="s">
        <v>4095</v>
      </c>
      <c r="K330" s="12" t="s">
        <v>6656</v>
      </c>
      <c r="L330" s="12" t="s">
        <v>4081</v>
      </c>
      <c r="M330" s="12" t="s">
        <v>4087</v>
      </c>
      <c r="N330" s="12" t="s">
        <v>5785</v>
      </c>
      <c r="O330" s="12" t="s">
        <v>1326</v>
      </c>
      <c r="P330" s="12" t="s">
        <v>1152</v>
      </c>
      <c r="Q330" s="12" t="s">
        <v>6653</v>
      </c>
      <c r="R330" s="12">
        <v>50.224899999999998</v>
      </c>
      <c r="S330" s="12">
        <v>81.836783330000003</v>
      </c>
      <c r="T330" s="12" t="s">
        <v>11</v>
      </c>
      <c r="U330" s="12" t="s">
        <v>1311</v>
      </c>
      <c r="V330" s="12" t="s">
        <v>1159</v>
      </c>
      <c r="W330" s="12" t="s">
        <v>7415</v>
      </c>
      <c r="X330" s="12">
        <v>1.7989999999999999</v>
      </c>
      <c r="Y330" s="12">
        <v>754202</v>
      </c>
      <c r="Z330" s="12">
        <v>2.081E-3</v>
      </c>
      <c r="AA330" s="12">
        <v>1.7207206685756384</v>
      </c>
      <c r="AB330" s="12" t="s">
        <v>4094</v>
      </c>
      <c r="AC330" s="12" t="s">
        <v>21</v>
      </c>
      <c r="AD330" s="12">
        <v>5.1999999999999998E-2</v>
      </c>
      <c r="AE330" s="12">
        <v>0.99299999999999999</v>
      </c>
      <c r="AF330" s="12" t="s">
        <v>45</v>
      </c>
    </row>
    <row r="331" spans="1:41" x14ac:dyDescent="0.2">
      <c r="A331" s="12" t="s">
        <v>4587</v>
      </c>
      <c r="B331" s="12" t="s">
        <v>4587</v>
      </c>
      <c r="C331" s="12" t="s">
        <v>6874</v>
      </c>
      <c r="D331" s="12" t="s">
        <v>100</v>
      </c>
      <c r="E331" s="12" t="s">
        <v>8110</v>
      </c>
      <c r="F331" s="12" t="s">
        <v>4590</v>
      </c>
      <c r="G331" s="12" t="s">
        <v>5453</v>
      </c>
      <c r="H331" s="12" t="s">
        <v>6616</v>
      </c>
      <c r="I331" s="12">
        <v>2997</v>
      </c>
      <c r="J331" s="12" t="s">
        <v>4590</v>
      </c>
      <c r="K331" s="12" t="s">
        <v>6656</v>
      </c>
      <c r="L331" s="12" t="s">
        <v>4588</v>
      </c>
      <c r="M331" s="12" t="s">
        <v>4588</v>
      </c>
      <c r="N331" s="12" t="s">
        <v>5785</v>
      </c>
      <c r="O331" s="12" t="s">
        <v>4085</v>
      </c>
      <c r="P331" s="12" t="s">
        <v>1152</v>
      </c>
      <c r="Q331" s="12" t="s">
        <v>6653</v>
      </c>
      <c r="R331" s="12">
        <v>45.134270000000001</v>
      </c>
      <c r="S331" s="12">
        <v>79.367940000000004</v>
      </c>
      <c r="T331" s="12" t="s">
        <v>11</v>
      </c>
      <c r="U331" s="12" t="s">
        <v>4061</v>
      </c>
      <c r="V331" s="12" t="s">
        <v>854</v>
      </c>
      <c r="W331" s="12" t="s">
        <v>7160</v>
      </c>
      <c r="X331" s="12">
        <v>2.0525999999999999E-2</v>
      </c>
      <c r="Y331" s="12">
        <v>21625</v>
      </c>
      <c r="Z331" s="12" t="s">
        <v>8052</v>
      </c>
      <c r="AA331" s="12" t="s">
        <v>8052</v>
      </c>
      <c r="AB331" s="12" t="s">
        <v>4589</v>
      </c>
      <c r="AC331" s="12" t="s">
        <v>58</v>
      </c>
      <c r="AD331" s="12" t="s">
        <v>7881</v>
      </c>
      <c r="AE331" s="12" t="s">
        <v>7684</v>
      </c>
      <c r="AF331" s="12" t="s">
        <v>8096</v>
      </c>
    </row>
    <row r="332" spans="1:41" x14ac:dyDescent="0.2">
      <c r="A332" s="12" t="s">
        <v>4090</v>
      </c>
      <c r="B332" s="12" t="s">
        <v>4090</v>
      </c>
      <c r="C332" s="12" t="s">
        <v>6870</v>
      </c>
      <c r="D332" s="12" t="s">
        <v>143</v>
      </c>
      <c r="E332" s="12" t="s">
        <v>8110</v>
      </c>
      <c r="F332" s="12" t="s">
        <v>4092</v>
      </c>
      <c r="G332" s="12" t="s">
        <v>5453</v>
      </c>
      <c r="H332" s="12" t="s">
        <v>6643</v>
      </c>
      <c r="I332" s="12">
        <v>2976</v>
      </c>
      <c r="J332" s="12" t="s">
        <v>4092</v>
      </c>
      <c r="K332" s="12" t="s">
        <v>6656</v>
      </c>
      <c r="L332" s="12" t="s">
        <v>4081</v>
      </c>
      <c r="M332" s="12" t="s">
        <v>4087</v>
      </c>
      <c r="N332" s="12" t="s">
        <v>5785</v>
      </c>
      <c r="O332" s="12" t="s">
        <v>1326</v>
      </c>
      <c r="P332" s="12" t="s">
        <v>1152</v>
      </c>
      <c r="Q332" s="12" t="s">
        <v>6653</v>
      </c>
      <c r="R332" s="16">
        <v>50.224899999999998</v>
      </c>
      <c r="S332" s="16">
        <v>81.836783330000003</v>
      </c>
      <c r="T332" s="12" t="s">
        <v>11</v>
      </c>
      <c r="U332" s="12" t="s">
        <v>2959</v>
      </c>
      <c r="V332" s="12" t="s">
        <v>606</v>
      </c>
      <c r="W332" s="12" t="s">
        <v>7415</v>
      </c>
      <c r="X332" s="12">
        <v>1.9730000000000001</v>
      </c>
      <c r="Y332" s="12">
        <v>745643</v>
      </c>
      <c r="Z332" s="12">
        <v>3.1020000000000002E-3</v>
      </c>
      <c r="AA332" s="12">
        <v>2.7941289064435204</v>
      </c>
      <c r="AB332" s="12" t="s">
        <v>4091</v>
      </c>
      <c r="AC332" s="12" t="s">
        <v>21</v>
      </c>
      <c r="AD332" s="12">
        <v>3.4000000000000002E-2</v>
      </c>
      <c r="AE332" s="12">
        <v>0.997</v>
      </c>
      <c r="AF332" s="12" t="s">
        <v>427</v>
      </c>
    </row>
    <row r="333" spans="1:41" x14ac:dyDescent="0.2">
      <c r="A333" s="12" t="s">
        <v>4086</v>
      </c>
      <c r="B333" s="12" t="s">
        <v>4086</v>
      </c>
      <c r="C333" s="12" t="s">
        <v>6873</v>
      </c>
      <c r="D333" s="12" t="s">
        <v>143</v>
      </c>
      <c r="E333" s="12" t="s">
        <v>8110</v>
      </c>
      <c r="F333" s="12" t="s">
        <v>4089</v>
      </c>
      <c r="G333" s="12" t="s">
        <v>5453</v>
      </c>
      <c r="H333" s="12" t="s">
        <v>6643</v>
      </c>
      <c r="I333" s="12">
        <v>2913</v>
      </c>
      <c r="J333" s="12" t="s">
        <v>4089</v>
      </c>
      <c r="K333" s="12" t="s">
        <v>6656</v>
      </c>
      <c r="L333" s="12" t="s">
        <v>4081</v>
      </c>
      <c r="M333" s="12" t="s">
        <v>4087</v>
      </c>
      <c r="N333" s="12" t="s">
        <v>5785</v>
      </c>
      <c r="O333" s="12" t="s">
        <v>1326</v>
      </c>
      <c r="P333" s="12" t="s">
        <v>1152</v>
      </c>
      <c r="Q333" s="12" t="s">
        <v>6653</v>
      </c>
      <c r="R333" s="12">
        <v>50.224899999999998</v>
      </c>
      <c r="S333" s="12">
        <v>81.836783330000003</v>
      </c>
      <c r="T333" s="12" t="s">
        <v>25</v>
      </c>
      <c r="U333" s="12" t="s">
        <v>1032</v>
      </c>
      <c r="V333" s="12" t="s">
        <v>6639</v>
      </c>
      <c r="W333" s="12" t="s">
        <v>6639</v>
      </c>
      <c r="X333" s="12">
        <v>1.8109999999999999</v>
      </c>
      <c r="Y333" s="12">
        <v>746643</v>
      </c>
      <c r="Z333" s="12" t="s">
        <v>6639</v>
      </c>
      <c r="AA333" s="12" t="s">
        <v>6639</v>
      </c>
      <c r="AB333" s="12" t="s">
        <v>4088</v>
      </c>
      <c r="AC333" s="12" t="s">
        <v>21</v>
      </c>
      <c r="AD333" s="12">
        <v>2.7E-2</v>
      </c>
      <c r="AE333" s="12">
        <v>0.998</v>
      </c>
      <c r="AF333" s="12" t="s">
        <v>7798</v>
      </c>
    </row>
    <row r="334" spans="1:41" x14ac:dyDescent="0.2">
      <c r="A334" s="12" t="s">
        <v>4079</v>
      </c>
      <c r="B334" s="12" t="s">
        <v>4079</v>
      </c>
      <c r="C334" s="12" t="s">
        <v>4082</v>
      </c>
      <c r="D334" s="12" t="s">
        <v>100</v>
      </c>
      <c r="E334" s="12" t="s">
        <v>8110</v>
      </c>
      <c r="F334" s="12" t="s">
        <v>4084</v>
      </c>
      <c r="G334" s="12" t="s">
        <v>5453</v>
      </c>
      <c r="H334" s="12" t="s">
        <v>6616</v>
      </c>
      <c r="I334" s="12">
        <v>2818</v>
      </c>
      <c r="J334" s="12" t="s">
        <v>4084</v>
      </c>
      <c r="K334" s="12" t="s">
        <v>6656</v>
      </c>
      <c r="L334" s="12" t="s">
        <v>4081</v>
      </c>
      <c r="M334" s="12" t="s">
        <v>4080</v>
      </c>
      <c r="N334" s="12" t="s">
        <v>5785</v>
      </c>
      <c r="O334" s="12" t="s">
        <v>4085</v>
      </c>
      <c r="P334" s="12" t="s">
        <v>1152</v>
      </c>
      <c r="Q334" s="12" t="s">
        <v>6653</v>
      </c>
      <c r="R334" s="12">
        <v>45.134270000000001</v>
      </c>
      <c r="S334" s="12">
        <v>79.367940000000004</v>
      </c>
      <c r="T334" s="12" t="s">
        <v>25</v>
      </c>
      <c r="U334" s="12" t="s">
        <v>1542</v>
      </c>
      <c r="V334" s="12" t="s">
        <v>6639</v>
      </c>
      <c r="W334" s="12" t="s">
        <v>6639</v>
      </c>
      <c r="X334" s="12">
        <v>0.754</v>
      </c>
      <c r="Y334" s="12">
        <v>508194</v>
      </c>
      <c r="Z334" s="12" t="s">
        <v>6639</v>
      </c>
      <c r="AA334" s="12" t="s">
        <v>6639</v>
      </c>
      <c r="AB334" s="12" t="s">
        <v>4083</v>
      </c>
      <c r="AC334" s="12" t="s">
        <v>21</v>
      </c>
      <c r="AD334" s="12">
        <v>4.2999999999999997E-2</v>
      </c>
      <c r="AE334" s="12">
        <v>0.99399999999999999</v>
      </c>
      <c r="AF334" s="12" t="s">
        <v>45</v>
      </c>
    </row>
    <row r="335" spans="1:41" x14ac:dyDescent="0.2">
      <c r="A335" s="12" t="s">
        <v>4124</v>
      </c>
      <c r="B335" s="12" t="s">
        <v>4124</v>
      </c>
      <c r="C335" s="12" t="s">
        <v>4126</v>
      </c>
      <c r="D335" s="12" t="s">
        <v>13</v>
      </c>
      <c r="E335" s="12" t="s">
        <v>8108</v>
      </c>
      <c r="F335" s="12" t="s">
        <v>5458</v>
      </c>
      <c r="G335" s="12" t="s">
        <v>5453</v>
      </c>
      <c r="H335" s="12" t="s">
        <v>7426</v>
      </c>
      <c r="I335" s="3">
        <v>2534</v>
      </c>
      <c r="J335" s="3" t="s">
        <v>8160</v>
      </c>
      <c r="K335" s="12" t="s">
        <v>6656</v>
      </c>
      <c r="L335" s="12" t="s">
        <v>4081</v>
      </c>
      <c r="M335" s="12" t="s">
        <v>4125</v>
      </c>
      <c r="N335" s="12" t="s">
        <v>5785</v>
      </c>
      <c r="O335" s="12" t="s">
        <v>1398</v>
      </c>
      <c r="P335" s="12" t="s">
        <v>1152</v>
      </c>
      <c r="Q335" s="12" t="s">
        <v>6653</v>
      </c>
      <c r="R335" s="12">
        <v>50.668658333300002</v>
      </c>
      <c r="S335" s="12">
        <v>57.718569444400003</v>
      </c>
      <c r="T335" s="12" t="s">
        <v>11</v>
      </c>
      <c r="U335" s="12" t="s">
        <v>1321</v>
      </c>
      <c r="V335" s="12" t="s">
        <v>606</v>
      </c>
      <c r="W335" s="12" t="s">
        <v>7415</v>
      </c>
      <c r="X335" s="12">
        <v>2.65204</v>
      </c>
      <c r="Y335" s="12">
        <v>725111</v>
      </c>
      <c r="Z335" s="12">
        <v>6.6639999999999998E-3</v>
      </c>
      <c r="AA335" s="12">
        <v>5.2747350165943603</v>
      </c>
      <c r="AB335" s="12" t="s">
        <v>4123</v>
      </c>
      <c r="AC335" s="12" t="s">
        <v>21</v>
      </c>
      <c r="AD335" s="12">
        <v>0.13700000000000001</v>
      </c>
      <c r="AE335" s="12">
        <v>0.99299999999999999</v>
      </c>
      <c r="AF335" s="12" t="s">
        <v>22</v>
      </c>
    </row>
    <row r="336" spans="1:41" x14ac:dyDescent="0.2">
      <c r="A336" s="12" t="s">
        <v>4128</v>
      </c>
      <c r="B336" s="12" t="s">
        <v>4128</v>
      </c>
      <c r="C336" s="12" t="s">
        <v>7568</v>
      </c>
      <c r="D336" s="12" t="s">
        <v>13</v>
      </c>
      <c r="E336" s="12" t="s">
        <v>8108</v>
      </c>
      <c r="F336" s="12" t="s">
        <v>5458</v>
      </c>
      <c r="G336" s="12" t="s">
        <v>5453</v>
      </c>
      <c r="H336" s="12" t="s">
        <v>7425</v>
      </c>
      <c r="I336" s="3">
        <v>1765</v>
      </c>
      <c r="J336" s="3" t="s">
        <v>8159</v>
      </c>
      <c r="K336" s="12" t="s">
        <v>6656</v>
      </c>
      <c r="L336" s="12" t="s">
        <v>4081</v>
      </c>
      <c r="M336" s="12" t="s">
        <v>4129</v>
      </c>
      <c r="N336" s="12" t="s">
        <v>5785</v>
      </c>
      <c r="O336" s="12" t="s">
        <v>6642</v>
      </c>
      <c r="P336" s="12" t="s">
        <v>1152</v>
      </c>
      <c r="Q336" s="12" t="s">
        <v>6653</v>
      </c>
      <c r="R336" s="16">
        <v>50.450099999999999</v>
      </c>
      <c r="S336" s="16">
        <v>57.040055555599999</v>
      </c>
      <c r="T336" s="12" t="s">
        <v>11</v>
      </c>
      <c r="U336" s="12" t="s">
        <v>2684</v>
      </c>
      <c r="V336" s="12" t="s">
        <v>755</v>
      </c>
      <c r="W336" s="12" t="s">
        <v>7415</v>
      </c>
      <c r="X336" s="12">
        <v>2.7988550000000001</v>
      </c>
      <c r="Y336" s="12">
        <v>736318</v>
      </c>
      <c r="Z336" s="12">
        <v>4.7980000000000002E-3</v>
      </c>
      <c r="AA336" s="12">
        <v>4.5572582743967196</v>
      </c>
      <c r="AB336" s="12" t="s">
        <v>4127</v>
      </c>
      <c r="AC336" s="12" t="s">
        <v>21</v>
      </c>
      <c r="AD336" s="12">
        <v>0.09</v>
      </c>
      <c r="AE336" s="12">
        <v>0.98899999999999999</v>
      </c>
      <c r="AF336" s="12" t="s">
        <v>82</v>
      </c>
    </row>
    <row r="337" spans="1:41" x14ac:dyDescent="0.2">
      <c r="A337" s="12" t="s">
        <v>3899</v>
      </c>
      <c r="B337" s="12" t="s">
        <v>3900</v>
      </c>
      <c r="C337" s="12" t="s">
        <v>3902</v>
      </c>
      <c r="D337" s="12" t="s">
        <v>17</v>
      </c>
      <c r="E337" s="12" t="s">
        <v>7678</v>
      </c>
      <c r="F337" s="12" t="s">
        <v>5460</v>
      </c>
      <c r="G337" s="12" t="s">
        <v>222</v>
      </c>
      <c r="H337" s="12" t="s">
        <v>6614</v>
      </c>
      <c r="I337" s="12">
        <v>11259</v>
      </c>
      <c r="J337" s="12" t="s">
        <v>3903</v>
      </c>
      <c r="K337" s="12" t="s">
        <v>6657</v>
      </c>
      <c r="L337" s="12" t="s">
        <v>3901</v>
      </c>
      <c r="M337" s="12" t="s">
        <v>3901</v>
      </c>
      <c r="N337" s="12" t="s">
        <v>5785</v>
      </c>
      <c r="O337" s="12" t="s">
        <v>3900</v>
      </c>
      <c r="P337" s="12" t="s">
        <v>18</v>
      </c>
      <c r="Q337" s="12" t="s">
        <v>6653</v>
      </c>
      <c r="R337" s="12">
        <v>54.53</v>
      </c>
      <c r="S337" s="12">
        <v>51.11</v>
      </c>
      <c r="T337" s="12" t="s">
        <v>25</v>
      </c>
      <c r="U337" s="12" t="s">
        <v>3904</v>
      </c>
      <c r="V337" s="12" t="s">
        <v>6639</v>
      </c>
      <c r="W337" s="12" t="s">
        <v>6639</v>
      </c>
      <c r="X337" s="12">
        <v>2.9</v>
      </c>
      <c r="Y337" s="12">
        <v>967604</v>
      </c>
      <c r="Z337" s="12" t="s">
        <v>6639</v>
      </c>
      <c r="AA337" s="12" t="s">
        <v>6639</v>
      </c>
      <c r="AB337" s="12" t="s">
        <v>17</v>
      </c>
      <c r="AC337" s="12" t="s">
        <v>144</v>
      </c>
      <c r="AD337" s="12" t="s">
        <v>17</v>
      </c>
      <c r="AE337" s="12" t="s">
        <v>17</v>
      </c>
      <c r="AF337" s="12" t="s">
        <v>45</v>
      </c>
    </row>
    <row r="338" spans="1:41" x14ac:dyDescent="0.2">
      <c r="A338" s="12" t="s">
        <v>1532</v>
      </c>
      <c r="B338" s="12" t="s">
        <v>1532</v>
      </c>
      <c r="C338" s="12" t="s">
        <v>1533</v>
      </c>
      <c r="D338" s="12" t="s">
        <v>143</v>
      </c>
      <c r="E338" s="12" t="s">
        <v>8110</v>
      </c>
      <c r="F338" s="12" t="s">
        <v>5458</v>
      </c>
      <c r="G338" s="12" t="s">
        <v>273</v>
      </c>
      <c r="H338" s="12" t="s">
        <v>6614</v>
      </c>
      <c r="I338" s="12">
        <v>8280</v>
      </c>
      <c r="J338" s="12" t="s">
        <v>1521</v>
      </c>
      <c r="K338" s="12" t="s">
        <v>6657</v>
      </c>
      <c r="L338" s="12" t="s">
        <v>1512</v>
      </c>
      <c r="M338" s="12" t="s">
        <v>1518</v>
      </c>
      <c r="N338" s="12" t="s">
        <v>5785</v>
      </c>
      <c r="O338" s="12" t="s">
        <v>1522</v>
      </c>
      <c r="P338" s="12" t="s">
        <v>18</v>
      </c>
      <c r="Q338" s="12" t="s">
        <v>6653</v>
      </c>
      <c r="R338" s="12">
        <v>61.65</v>
      </c>
      <c r="S338" s="12">
        <v>35.65</v>
      </c>
      <c r="T338" s="12" t="s">
        <v>11</v>
      </c>
      <c r="U338" s="12" t="s">
        <v>407</v>
      </c>
      <c r="V338" s="12" t="s">
        <v>262</v>
      </c>
      <c r="W338" s="12" t="s">
        <v>7160</v>
      </c>
      <c r="X338" s="12">
        <v>0.13600000000000001</v>
      </c>
      <c r="Y338" s="12">
        <v>146885</v>
      </c>
      <c r="Z338" s="12" t="s">
        <v>17</v>
      </c>
      <c r="AA338" s="12" t="s">
        <v>17</v>
      </c>
      <c r="AB338" s="12" t="s">
        <v>1534</v>
      </c>
      <c r="AC338" s="12" t="s">
        <v>21</v>
      </c>
      <c r="AD338" s="12" t="s">
        <v>17</v>
      </c>
      <c r="AE338" s="12">
        <v>0.999</v>
      </c>
      <c r="AF338" s="12" t="s">
        <v>45</v>
      </c>
    </row>
    <row r="339" spans="1:41" x14ac:dyDescent="0.2">
      <c r="A339" s="12" t="s">
        <v>1516</v>
      </c>
      <c r="B339" s="12" t="s">
        <v>1516</v>
      </c>
      <c r="C339" s="12" t="s">
        <v>1519</v>
      </c>
      <c r="D339" s="12" t="s">
        <v>143</v>
      </c>
      <c r="E339" s="12" t="s">
        <v>8110</v>
      </c>
      <c r="F339" s="12" t="s">
        <v>5458</v>
      </c>
      <c r="G339" s="12" t="s">
        <v>1517</v>
      </c>
      <c r="H339" s="12" t="s">
        <v>6614</v>
      </c>
      <c r="I339" s="12">
        <v>8280</v>
      </c>
      <c r="J339" s="12" t="s">
        <v>1521</v>
      </c>
      <c r="K339" s="12" t="s">
        <v>6657</v>
      </c>
      <c r="L339" s="12" t="s">
        <v>1512</v>
      </c>
      <c r="M339" s="12" t="s">
        <v>1518</v>
      </c>
      <c r="N339" s="12" t="s">
        <v>5785</v>
      </c>
      <c r="O339" s="12" t="s">
        <v>1522</v>
      </c>
      <c r="P339" s="12" t="s">
        <v>18</v>
      </c>
      <c r="Q339" s="12" t="s">
        <v>6653</v>
      </c>
      <c r="R339" s="12">
        <v>61.65</v>
      </c>
      <c r="S339" s="12">
        <v>35.65</v>
      </c>
      <c r="T339" s="12" t="s">
        <v>11</v>
      </c>
      <c r="U339" s="12" t="s">
        <v>1523</v>
      </c>
      <c r="V339" s="12" t="s">
        <v>1282</v>
      </c>
      <c r="W339" s="12" t="s">
        <v>7160</v>
      </c>
      <c r="X339" s="12">
        <v>5.2720000000000002</v>
      </c>
      <c r="Y339" s="12">
        <v>1025148</v>
      </c>
      <c r="Z339" s="12" t="s">
        <v>17</v>
      </c>
      <c r="AA339" s="12" t="s">
        <v>17</v>
      </c>
      <c r="AB339" s="12" t="s">
        <v>1520</v>
      </c>
      <c r="AC339" s="12" t="s">
        <v>1524</v>
      </c>
      <c r="AD339" s="12" t="s">
        <v>7782</v>
      </c>
      <c r="AE339" s="12" t="s">
        <v>7788</v>
      </c>
      <c r="AF339" s="12" t="s">
        <v>82</v>
      </c>
    </row>
    <row r="340" spans="1:41" x14ac:dyDescent="0.2">
      <c r="A340" s="12" t="s">
        <v>5338</v>
      </c>
      <c r="B340" s="12" t="s">
        <v>5338</v>
      </c>
      <c r="C340" s="12" t="s">
        <v>5339</v>
      </c>
      <c r="D340" s="12" t="s">
        <v>143</v>
      </c>
      <c r="E340" s="12" t="s">
        <v>8110</v>
      </c>
      <c r="F340" s="12" t="s">
        <v>5460</v>
      </c>
      <c r="G340" s="12" t="s">
        <v>1517</v>
      </c>
      <c r="H340" s="12" t="s">
        <v>6614</v>
      </c>
      <c r="I340" s="12">
        <v>4473</v>
      </c>
      <c r="J340" s="12" t="s">
        <v>5341</v>
      </c>
      <c r="K340" s="12" t="s">
        <v>6652</v>
      </c>
      <c r="L340" s="12" t="s">
        <v>5060</v>
      </c>
      <c r="M340" s="12" t="s">
        <v>5322</v>
      </c>
      <c r="N340" s="12" t="s">
        <v>5785</v>
      </c>
      <c r="O340" s="12" t="s">
        <v>1469</v>
      </c>
      <c r="P340" s="12" t="s">
        <v>1470</v>
      </c>
      <c r="Q340" s="12" t="s">
        <v>6653</v>
      </c>
      <c r="R340" s="12">
        <v>51.42</v>
      </c>
      <c r="S340" s="12">
        <v>11.68</v>
      </c>
      <c r="T340" s="12" t="s">
        <v>25</v>
      </c>
      <c r="U340" s="12" t="s">
        <v>5342</v>
      </c>
      <c r="V340" s="12" t="s">
        <v>6639</v>
      </c>
      <c r="W340" s="12" t="s">
        <v>6639</v>
      </c>
      <c r="X340" s="12">
        <v>17.527999999999999</v>
      </c>
      <c r="Y340" s="12">
        <v>1049840</v>
      </c>
      <c r="Z340" s="12" t="s">
        <v>6639</v>
      </c>
      <c r="AA340" s="12" t="s">
        <v>6639</v>
      </c>
      <c r="AB340" s="12" t="s">
        <v>5340</v>
      </c>
      <c r="AC340" s="12" t="s">
        <v>5343</v>
      </c>
      <c r="AD340" s="12" t="s">
        <v>7782</v>
      </c>
      <c r="AE340" s="12" t="s">
        <v>7791</v>
      </c>
      <c r="AF340" s="12" t="s">
        <v>45</v>
      </c>
    </row>
    <row r="341" spans="1:41" x14ac:dyDescent="0.2">
      <c r="A341" s="12" t="s">
        <v>5344</v>
      </c>
      <c r="B341" s="12" t="s">
        <v>5344</v>
      </c>
      <c r="C341" s="12" t="s">
        <v>5345</v>
      </c>
      <c r="D341" s="12" t="s">
        <v>143</v>
      </c>
      <c r="E341" s="12" t="s">
        <v>8110</v>
      </c>
      <c r="F341" s="12" t="s">
        <v>5460</v>
      </c>
      <c r="G341" s="12" t="s">
        <v>273</v>
      </c>
      <c r="H341" s="12" t="s">
        <v>6614</v>
      </c>
      <c r="I341" s="12">
        <v>4408</v>
      </c>
      <c r="J341" s="12" t="s">
        <v>5347</v>
      </c>
      <c r="K341" s="12" t="s">
        <v>6652</v>
      </c>
      <c r="L341" s="12" t="s">
        <v>5060</v>
      </c>
      <c r="M341" s="12" t="s">
        <v>5322</v>
      </c>
      <c r="N341" s="12" t="s">
        <v>5785</v>
      </c>
      <c r="O341" s="12" t="s">
        <v>1469</v>
      </c>
      <c r="P341" s="12" t="s">
        <v>1470</v>
      </c>
      <c r="Q341" s="12" t="s">
        <v>6653</v>
      </c>
      <c r="R341" s="12">
        <v>51.42</v>
      </c>
      <c r="S341" s="12">
        <v>11.68</v>
      </c>
      <c r="T341" s="12" t="s">
        <v>25</v>
      </c>
      <c r="U341" s="12" t="s">
        <v>3780</v>
      </c>
      <c r="V341" s="12" t="s">
        <v>6639</v>
      </c>
      <c r="W341" s="12" t="s">
        <v>6639</v>
      </c>
      <c r="X341" s="12">
        <v>0.13200000000000001</v>
      </c>
      <c r="Y341" s="12">
        <v>138220</v>
      </c>
      <c r="Z341" s="12" t="s">
        <v>6639</v>
      </c>
      <c r="AA341" s="12" t="s">
        <v>6639</v>
      </c>
      <c r="AB341" s="12" t="s">
        <v>5346</v>
      </c>
      <c r="AC341" s="12" t="s">
        <v>21</v>
      </c>
      <c r="AD341" s="12" t="s">
        <v>17</v>
      </c>
      <c r="AE341" s="12">
        <v>1</v>
      </c>
      <c r="AF341" s="12" t="s">
        <v>45</v>
      </c>
    </row>
    <row r="342" spans="1:41" x14ac:dyDescent="0.2">
      <c r="A342" s="12" t="s">
        <v>5333</v>
      </c>
      <c r="B342" s="12" t="s">
        <v>5333</v>
      </c>
      <c r="C342" s="12" t="s">
        <v>5334</v>
      </c>
      <c r="D342" s="12" t="s">
        <v>143</v>
      </c>
      <c r="E342" s="12" t="s">
        <v>8110</v>
      </c>
      <c r="F342" s="12" t="s">
        <v>5460</v>
      </c>
      <c r="G342" s="12" t="s">
        <v>1517</v>
      </c>
      <c r="H342" s="12" t="s">
        <v>6614</v>
      </c>
      <c r="I342" s="12">
        <v>4378</v>
      </c>
      <c r="J342" s="12" t="s">
        <v>5336</v>
      </c>
      <c r="K342" s="12" t="s">
        <v>6652</v>
      </c>
      <c r="L342" s="12" t="s">
        <v>5060</v>
      </c>
      <c r="M342" s="12" t="s">
        <v>5322</v>
      </c>
      <c r="N342" s="12" t="s">
        <v>5785</v>
      </c>
      <c r="O342" s="12" t="s">
        <v>1469</v>
      </c>
      <c r="P342" s="12" t="s">
        <v>1470</v>
      </c>
      <c r="Q342" s="12" t="s">
        <v>6653</v>
      </c>
      <c r="R342" s="12">
        <v>51.42</v>
      </c>
      <c r="S342" s="12">
        <v>11.68</v>
      </c>
      <c r="T342" s="12" t="s">
        <v>11</v>
      </c>
      <c r="U342" s="12" t="s">
        <v>5149</v>
      </c>
      <c r="V342" s="12" t="s">
        <v>1459</v>
      </c>
      <c r="W342" s="12" t="s">
        <v>7160</v>
      </c>
      <c r="X342" s="12">
        <v>4.1840000000000002</v>
      </c>
      <c r="Y342" s="12">
        <v>962767</v>
      </c>
      <c r="Z342" s="12" t="s">
        <v>17</v>
      </c>
      <c r="AA342" s="12" t="s">
        <v>17</v>
      </c>
      <c r="AB342" s="12" t="s">
        <v>5335</v>
      </c>
      <c r="AC342" s="12" t="s">
        <v>2878</v>
      </c>
      <c r="AD342" s="12" t="s">
        <v>7782</v>
      </c>
      <c r="AE342" s="12" t="s">
        <v>7783</v>
      </c>
      <c r="AF342" s="12" t="s">
        <v>5337</v>
      </c>
    </row>
    <row r="343" spans="1:41" x14ac:dyDescent="0.2">
      <c r="A343" s="12" t="s">
        <v>5328</v>
      </c>
      <c r="B343" s="12" t="s">
        <v>5328</v>
      </c>
      <c r="C343" s="12" t="s">
        <v>5329</v>
      </c>
      <c r="D343" s="12" t="s">
        <v>143</v>
      </c>
      <c r="E343" s="12" t="s">
        <v>8110</v>
      </c>
      <c r="F343" s="12" t="s">
        <v>5460</v>
      </c>
      <c r="G343" s="12" t="s">
        <v>1517</v>
      </c>
      <c r="H343" s="12" t="s">
        <v>6614</v>
      </c>
      <c r="I343" s="12">
        <v>4287</v>
      </c>
      <c r="J343" s="12" t="s">
        <v>5331</v>
      </c>
      <c r="K343" s="12" t="s">
        <v>6652</v>
      </c>
      <c r="L343" s="12" t="s">
        <v>5060</v>
      </c>
      <c r="M343" s="12" t="s">
        <v>5322</v>
      </c>
      <c r="N343" s="12" t="s">
        <v>5785</v>
      </c>
      <c r="O343" s="12" t="s">
        <v>1469</v>
      </c>
      <c r="P343" s="12" t="s">
        <v>1470</v>
      </c>
      <c r="Q343" s="12" t="s">
        <v>6653</v>
      </c>
      <c r="R343" s="12">
        <v>51.42</v>
      </c>
      <c r="S343" s="12">
        <v>11.68</v>
      </c>
      <c r="T343" s="12" t="s">
        <v>25</v>
      </c>
      <c r="U343" s="12" t="s">
        <v>4142</v>
      </c>
      <c r="V343" s="12" t="s">
        <v>6639</v>
      </c>
      <c r="W343" s="12" t="s">
        <v>6639</v>
      </c>
      <c r="X343" s="12">
        <v>0.224</v>
      </c>
      <c r="Y343" s="12">
        <v>222103</v>
      </c>
      <c r="Z343" s="12" t="s">
        <v>6639</v>
      </c>
      <c r="AA343" s="12" t="s">
        <v>6639</v>
      </c>
      <c r="AB343" s="12" t="s">
        <v>5330</v>
      </c>
      <c r="AC343" s="12" t="s">
        <v>5332</v>
      </c>
      <c r="AD343" s="12" t="s">
        <v>17</v>
      </c>
      <c r="AE343" s="12" t="s">
        <v>17</v>
      </c>
      <c r="AF343" s="12" t="s">
        <v>45</v>
      </c>
    </row>
    <row r="344" spans="1:41" x14ac:dyDescent="0.2">
      <c r="A344" s="12" t="s">
        <v>5321</v>
      </c>
      <c r="B344" s="12" t="s">
        <v>5321</v>
      </c>
      <c r="C344" s="12" t="s">
        <v>5323</v>
      </c>
      <c r="D344" s="12" t="s">
        <v>143</v>
      </c>
      <c r="E344" s="12" t="s">
        <v>8110</v>
      </c>
      <c r="F344" s="12" t="s">
        <v>5460</v>
      </c>
      <c r="G344" s="12" t="s">
        <v>1517</v>
      </c>
      <c r="H344" s="12" t="s">
        <v>6614</v>
      </c>
      <c r="I344" s="12">
        <v>4287</v>
      </c>
      <c r="J344" s="12" t="s">
        <v>5325</v>
      </c>
      <c r="K344" s="12" t="s">
        <v>6652</v>
      </c>
      <c r="L344" s="12" t="s">
        <v>5060</v>
      </c>
      <c r="M344" s="12" t="s">
        <v>5322</v>
      </c>
      <c r="N344" s="12" t="s">
        <v>5785</v>
      </c>
      <c r="O344" s="12" t="s">
        <v>1469</v>
      </c>
      <c r="P344" s="12" t="s">
        <v>1470</v>
      </c>
      <c r="Q344" s="12" t="s">
        <v>6653</v>
      </c>
      <c r="R344" s="12">
        <v>51.42</v>
      </c>
      <c r="S344" s="12">
        <v>11.68</v>
      </c>
      <c r="T344" s="12" t="s">
        <v>25</v>
      </c>
      <c r="U344" s="12" t="s">
        <v>5326</v>
      </c>
      <c r="V344" s="12" t="s">
        <v>6639</v>
      </c>
      <c r="W344" s="12" t="s">
        <v>6639</v>
      </c>
      <c r="X344" s="12">
        <v>0.64900000000000002</v>
      </c>
      <c r="Y344" s="12">
        <v>514322</v>
      </c>
      <c r="Z344" s="12" t="s">
        <v>6639</v>
      </c>
      <c r="AA344" s="12" t="s">
        <v>6639</v>
      </c>
      <c r="AB344" s="12" t="s">
        <v>5324</v>
      </c>
      <c r="AC344" s="12" t="s">
        <v>5327</v>
      </c>
      <c r="AD344" s="12" t="s">
        <v>7685</v>
      </c>
      <c r="AE344" s="12" t="s">
        <v>7690</v>
      </c>
      <c r="AF344" s="12" t="s">
        <v>45</v>
      </c>
    </row>
    <row r="345" spans="1:41" x14ac:dyDescent="0.2">
      <c r="A345" s="12" t="s">
        <v>5370</v>
      </c>
      <c r="B345" s="12" t="s">
        <v>5370</v>
      </c>
      <c r="C345" s="12" t="s">
        <v>5371</v>
      </c>
      <c r="D345" s="12" t="s">
        <v>143</v>
      </c>
      <c r="E345" s="12" t="s">
        <v>8110</v>
      </c>
      <c r="F345" s="12" t="s">
        <v>5458</v>
      </c>
      <c r="G345" s="12" t="s">
        <v>273</v>
      </c>
      <c r="H345" s="12" t="s">
        <v>6614</v>
      </c>
      <c r="I345" s="12">
        <v>4225</v>
      </c>
      <c r="J345" s="12" t="s">
        <v>1468</v>
      </c>
      <c r="K345" s="12" t="s">
        <v>6652</v>
      </c>
      <c r="L345" s="12" t="s">
        <v>5060</v>
      </c>
      <c r="M345" s="12" t="s">
        <v>5322</v>
      </c>
      <c r="N345" s="12" t="s">
        <v>5785</v>
      </c>
      <c r="O345" s="12" t="s">
        <v>1469</v>
      </c>
      <c r="P345" s="12" t="s">
        <v>1470</v>
      </c>
      <c r="Q345" s="12" t="s">
        <v>6653</v>
      </c>
      <c r="R345" s="12">
        <v>51.42</v>
      </c>
      <c r="S345" s="12">
        <v>11.68</v>
      </c>
      <c r="T345" s="12" t="s">
        <v>11</v>
      </c>
      <c r="U345" s="12" t="s">
        <v>44</v>
      </c>
      <c r="V345" s="12" t="s">
        <v>392</v>
      </c>
      <c r="W345" s="12" t="s">
        <v>7160</v>
      </c>
      <c r="X345" s="12">
        <v>6.8000000000000005E-2</v>
      </c>
      <c r="Y345" s="12">
        <v>76340</v>
      </c>
      <c r="Z345" s="12" t="s">
        <v>17</v>
      </c>
      <c r="AA345" s="12" t="s">
        <v>17</v>
      </c>
      <c r="AB345" s="12" t="s">
        <v>5372</v>
      </c>
      <c r="AC345" s="12" t="s">
        <v>21</v>
      </c>
      <c r="AD345" s="12" t="s">
        <v>17</v>
      </c>
      <c r="AE345" s="12">
        <v>0.99399999999999999</v>
      </c>
      <c r="AF345" s="12" t="s">
        <v>45</v>
      </c>
    </row>
    <row r="346" spans="1:41" x14ac:dyDescent="0.2">
      <c r="A346" s="12" t="s">
        <v>5373</v>
      </c>
      <c r="B346" s="12" t="s">
        <v>5373</v>
      </c>
      <c r="C346" s="12" t="s">
        <v>5374</v>
      </c>
      <c r="D346" s="12" t="s">
        <v>143</v>
      </c>
      <c r="E346" s="12" t="s">
        <v>8110</v>
      </c>
      <c r="F346" s="12" t="s">
        <v>5458</v>
      </c>
      <c r="G346" s="12" t="s">
        <v>273</v>
      </c>
      <c r="H346" s="12" t="s">
        <v>6614</v>
      </c>
      <c r="I346" s="12">
        <v>4225</v>
      </c>
      <c r="J346" s="12" t="s">
        <v>1468</v>
      </c>
      <c r="K346" s="12" t="s">
        <v>6652</v>
      </c>
      <c r="L346" s="12" t="s">
        <v>5060</v>
      </c>
      <c r="M346" s="12" t="s">
        <v>5322</v>
      </c>
      <c r="N346" s="12" t="s">
        <v>5785</v>
      </c>
      <c r="O346" s="12" t="s">
        <v>1469</v>
      </c>
      <c r="P346" s="12" t="s">
        <v>1470</v>
      </c>
      <c r="Q346" s="12" t="s">
        <v>6653</v>
      </c>
      <c r="R346" s="12">
        <v>51.42</v>
      </c>
      <c r="S346" s="12">
        <v>11.68</v>
      </c>
      <c r="T346" s="12" t="s">
        <v>11</v>
      </c>
      <c r="U346" s="12" t="s">
        <v>5376</v>
      </c>
      <c r="V346" s="12" t="s">
        <v>1266</v>
      </c>
      <c r="W346" s="12" t="s">
        <v>7160</v>
      </c>
      <c r="X346" s="12">
        <v>0.104</v>
      </c>
      <c r="Y346" s="12">
        <v>114655</v>
      </c>
      <c r="Z346" s="12" t="s">
        <v>17</v>
      </c>
      <c r="AA346" s="12" t="s">
        <v>17</v>
      </c>
      <c r="AB346" s="12" t="s">
        <v>5375</v>
      </c>
      <c r="AC346" s="12" t="s">
        <v>21</v>
      </c>
      <c r="AD346" s="12" t="s">
        <v>17</v>
      </c>
      <c r="AE346" s="12">
        <v>1</v>
      </c>
      <c r="AF346" s="12" t="s">
        <v>45</v>
      </c>
    </row>
    <row r="347" spans="1:41" x14ac:dyDescent="0.2">
      <c r="A347" s="12" t="s">
        <v>5364</v>
      </c>
      <c r="B347" s="12" t="s">
        <v>5364</v>
      </c>
      <c r="C347" s="12" t="s">
        <v>5365</v>
      </c>
      <c r="D347" s="12" t="s">
        <v>143</v>
      </c>
      <c r="E347" s="12" t="s">
        <v>8110</v>
      </c>
      <c r="F347" s="12" t="s">
        <v>5458</v>
      </c>
      <c r="G347" s="12" t="s">
        <v>273</v>
      </c>
      <c r="H347" s="12" t="s">
        <v>6614</v>
      </c>
      <c r="I347" s="12">
        <v>4225</v>
      </c>
      <c r="J347" s="12" t="s">
        <v>1468</v>
      </c>
      <c r="K347" s="12" t="s">
        <v>6652</v>
      </c>
      <c r="L347" s="12" t="s">
        <v>5060</v>
      </c>
      <c r="M347" s="12" t="s">
        <v>5322</v>
      </c>
      <c r="N347" s="12" t="s">
        <v>5785</v>
      </c>
      <c r="O347" s="12" t="s">
        <v>1469</v>
      </c>
      <c r="P347" s="12" t="s">
        <v>1470</v>
      </c>
      <c r="Q347" s="12" t="s">
        <v>6653</v>
      </c>
      <c r="R347" s="12">
        <v>51.42</v>
      </c>
      <c r="S347" s="12">
        <v>11.68</v>
      </c>
      <c r="T347" s="12" t="s">
        <v>11</v>
      </c>
      <c r="U347" s="12" t="s">
        <v>4984</v>
      </c>
      <c r="V347" s="12" t="s">
        <v>1266</v>
      </c>
      <c r="W347" s="12" t="s">
        <v>7160</v>
      </c>
      <c r="X347" s="12">
        <v>0.105</v>
      </c>
      <c r="Y347" s="12">
        <v>114655</v>
      </c>
      <c r="Z347" s="12" t="s">
        <v>17</v>
      </c>
      <c r="AA347" s="12" t="s">
        <v>17</v>
      </c>
      <c r="AB347" s="12" t="s">
        <v>5366</v>
      </c>
      <c r="AC347" s="12" t="s">
        <v>21</v>
      </c>
      <c r="AD347" s="12" t="s">
        <v>17</v>
      </c>
      <c r="AE347" s="12">
        <v>1</v>
      </c>
      <c r="AF347" s="12" t="s">
        <v>45</v>
      </c>
    </row>
    <row r="348" spans="1:41" x14ac:dyDescent="0.2">
      <c r="A348" s="12" t="s">
        <v>5367</v>
      </c>
      <c r="B348" s="12" t="s">
        <v>5367</v>
      </c>
      <c r="C348" s="12" t="s">
        <v>5368</v>
      </c>
      <c r="D348" s="12" t="s">
        <v>143</v>
      </c>
      <c r="E348" s="12" t="s">
        <v>8110</v>
      </c>
      <c r="F348" s="12" t="s">
        <v>5458</v>
      </c>
      <c r="G348" s="12" t="s">
        <v>273</v>
      </c>
      <c r="H348" s="12" t="s">
        <v>6614</v>
      </c>
      <c r="I348" s="12">
        <v>4225</v>
      </c>
      <c r="J348" s="12" t="s">
        <v>1468</v>
      </c>
      <c r="K348" s="12" t="s">
        <v>6652</v>
      </c>
      <c r="L348" s="12" t="s">
        <v>5060</v>
      </c>
      <c r="M348" s="12" t="s">
        <v>5322</v>
      </c>
      <c r="N348" s="12" t="s">
        <v>5785</v>
      </c>
      <c r="O348" s="12" t="s">
        <v>1469</v>
      </c>
      <c r="P348" s="12" t="s">
        <v>1470</v>
      </c>
      <c r="Q348" s="12" t="s">
        <v>6653</v>
      </c>
      <c r="R348" s="12">
        <v>51.42</v>
      </c>
      <c r="S348" s="12">
        <v>11.68</v>
      </c>
      <c r="T348" s="12" t="s">
        <v>11</v>
      </c>
      <c r="U348" s="12" t="s">
        <v>1471</v>
      </c>
      <c r="V348" s="12" t="s">
        <v>1266</v>
      </c>
      <c r="W348" s="12" t="s">
        <v>7160</v>
      </c>
      <c r="X348" s="12">
        <v>0.126</v>
      </c>
      <c r="Y348" s="12">
        <v>135269</v>
      </c>
      <c r="Z348" s="12" t="s">
        <v>17</v>
      </c>
      <c r="AA348" s="12" t="s">
        <v>17</v>
      </c>
      <c r="AB348" s="12" t="s">
        <v>5369</v>
      </c>
      <c r="AC348" s="12" t="s">
        <v>21</v>
      </c>
      <c r="AD348" s="12" t="s">
        <v>17</v>
      </c>
      <c r="AE348" s="12">
        <v>1</v>
      </c>
      <c r="AF348" s="12" t="s">
        <v>45</v>
      </c>
      <c r="AG348" s="12"/>
      <c r="AH348" s="12"/>
      <c r="AI348" s="12"/>
      <c r="AJ348" s="12"/>
      <c r="AK348" s="12"/>
      <c r="AL348" s="12"/>
      <c r="AM348" s="12"/>
      <c r="AN348" s="12"/>
    </row>
    <row r="349" spans="1:41" x14ac:dyDescent="0.2">
      <c r="A349" s="12" t="s">
        <v>5360</v>
      </c>
      <c r="B349" s="12" t="s">
        <v>5360</v>
      </c>
      <c r="C349" s="12" t="s">
        <v>5361</v>
      </c>
      <c r="D349" s="12" t="s">
        <v>143</v>
      </c>
      <c r="E349" s="12" t="s">
        <v>8110</v>
      </c>
      <c r="F349" s="12" t="s">
        <v>5458</v>
      </c>
      <c r="G349" s="12" t="s">
        <v>273</v>
      </c>
      <c r="H349" s="12" t="s">
        <v>6614</v>
      </c>
      <c r="I349" s="12">
        <v>4225</v>
      </c>
      <c r="J349" s="12" t="s">
        <v>1468</v>
      </c>
      <c r="K349" s="12" t="s">
        <v>6652</v>
      </c>
      <c r="L349" s="12" t="s">
        <v>5060</v>
      </c>
      <c r="M349" s="12" t="s">
        <v>5322</v>
      </c>
      <c r="N349" s="12" t="s">
        <v>5785</v>
      </c>
      <c r="O349" s="12" t="s">
        <v>1469</v>
      </c>
      <c r="P349" s="12" t="s">
        <v>1470</v>
      </c>
      <c r="Q349" s="12" t="s">
        <v>6653</v>
      </c>
      <c r="R349" s="12">
        <v>51.42</v>
      </c>
      <c r="S349" s="12">
        <v>11.68</v>
      </c>
      <c r="T349" s="12" t="s">
        <v>11</v>
      </c>
      <c r="U349" s="12" t="s">
        <v>5363</v>
      </c>
      <c r="V349" s="12" t="s">
        <v>392</v>
      </c>
      <c r="W349" s="12" t="s">
        <v>7160</v>
      </c>
      <c r="X349" s="12">
        <v>0.158</v>
      </c>
      <c r="Y349" s="12">
        <v>164095</v>
      </c>
      <c r="Z349" s="12" t="s">
        <v>17</v>
      </c>
      <c r="AA349" s="12" t="s">
        <v>17</v>
      </c>
      <c r="AB349" s="12" t="s">
        <v>5362</v>
      </c>
      <c r="AC349" s="12" t="s">
        <v>21</v>
      </c>
      <c r="AD349" s="12" t="s">
        <v>17</v>
      </c>
      <c r="AE349" s="12">
        <v>1</v>
      </c>
      <c r="AF349" s="12" t="s">
        <v>45</v>
      </c>
      <c r="AG349" s="12"/>
      <c r="AH349" s="12"/>
      <c r="AI349" s="12"/>
      <c r="AJ349" s="12"/>
      <c r="AK349" s="12"/>
      <c r="AL349" s="12"/>
      <c r="AM349" s="12"/>
      <c r="AN349" s="12"/>
    </row>
    <row r="350" spans="1:41" x14ac:dyDescent="0.2">
      <c r="A350" s="12" t="s">
        <v>5356</v>
      </c>
      <c r="B350" s="12" t="s">
        <v>5356</v>
      </c>
      <c r="C350" s="12" t="s">
        <v>5357</v>
      </c>
      <c r="D350" s="12" t="s">
        <v>143</v>
      </c>
      <c r="E350" s="12" t="s">
        <v>8110</v>
      </c>
      <c r="F350" s="12" t="s">
        <v>5458</v>
      </c>
      <c r="G350" s="12" t="s">
        <v>273</v>
      </c>
      <c r="H350" s="12" t="s">
        <v>6614</v>
      </c>
      <c r="I350" s="12">
        <v>4225</v>
      </c>
      <c r="J350" s="12" t="s">
        <v>1468</v>
      </c>
      <c r="K350" s="12" t="s">
        <v>6652</v>
      </c>
      <c r="L350" s="12" t="s">
        <v>5060</v>
      </c>
      <c r="M350" s="12" t="s">
        <v>5322</v>
      </c>
      <c r="N350" s="12" t="s">
        <v>5785</v>
      </c>
      <c r="O350" s="12" t="s">
        <v>1469</v>
      </c>
      <c r="P350" s="12" t="s">
        <v>1470</v>
      </c>
      <c r="Q350" s="12" t="s">
        <v>6653</v>
      </c>
      <c r="R350" s="16">
        <v>51.42</v>
      </c>
      <c r="S350" s="16">
        <v>11.68</v>
      </c>
      <c r="T350" s="12" t="s">
        <v>11</v>
      </c>
      <c r="U350" s="12" t="s">
        <v>5359</v>
      </c>
      <c r="V350" s="12" t="s">
        <v>1375</v>
      </c>
      <c r="W350" s="12" t="s">
        <v>7160</v>
      </c>
      <c r="X350" s="12">
        <v>0.56599999999999995</v>
      </c>
      <c r="Y350" s="12">
        <v>464060</v>
      </c>
      <c r="Z350" s="12" t="s">
        <v>17</v>
      </c>
      <c r="AA350" s="12" t="s">
        <v>17</v>
      </c>
      <c r="AB350" s="12" t="s">
        <v>5358</v>
      </c>
      <c r="AC350" s="12" t="s">
        <v>21</v>
      </c>
      <c r="AD350" s="12" t="s">
        <v>17</v>
      </c>
      <c r="AE350" s="12">
        <v>0.98</v>
      </c>
      <c r="AF350" s="12" t="s">
        <v>45</v>
      </c>
      <c r="AG350" s="12"/>
      <c r="AH350" s="12"/>
      <c r="AI350" s="12"/>
      <c r="AJ350" s="12"/>
      <c r="AK350" s="12"/>
      <c r="AL350" s="12"/>
      <c r="AM350" s="12"/>
      <c r="AN350" s="12"/>
      <c r="AO350" s="12"/>
    </row>
    <row r="351" spans="1:41" x14ac:dyDescent="0.2">
      <c r="A351" s="12" t="s">
        <v>4187</v>
      </c>
      <c r="B351" s="12" t="s">
        <v>4187</v>
      </c>
      <c r="C351" s="12" t="s">
        <v>6912</v>
      </c>
      <c r="D351" s="12" t="s">
        <v>4189</v>
      </c>
      <c r="E351" s="12" t="s">
        <v>8110</v>
      </c>
      <c r="F351" s="12" t="s">
        <v>5460</v>
      </c>
      <c r="G351" s="12" t="s">
        <v>5453</v>
      </c>
      <c r="H351" s="12" t="s">
        <v>6980</v>
      </c>
      <c r="I351" s="12">
        <v>4173</v>
      </c>
      <c r="J351" s="12" t="s">
        <v>5808</v>
      </c>
      <c r="K351" s="12" t="s">
        <v>6652</v>
      </c>
      <c r="L351" s="12" t="s">
        <v>4177</v>
      </c>
      <c r="M351" s="12" t="s">
        <v>4188</v>
      </c>
      <c r="N351" s="12" t="s">
        <v>5785</v>
      </c>
      <c r="O351" s="12" t="s">
        <v>4191</v>
      </c>
      <c r="P351" s="12" t="s">
        <v>18</v>
      </c>
      <c r="Q351" s="12" t="s">
        <v>6653</v>
      </c>
      <c r="R351" s="12">
        <v>53.589750000000002</v>
      </c>
      <c r="S351" s="12">
        <v>50.571291670000001</v>
      </c>
      <c r="T351" s="12" t="s">
        <v>25</v>
      </c>
      <c r="U351" s="12" t="s">
        <v>4192</v>
      </c>
      <c r="V351" s="12" t="s">
        <v>6639</v>
      </c>
      <c r="W351" s="12" t="s">
        <v>6639</v>
      </c>
      <c r="X351" s="12">
        <v>3.8224830000000001</v>
      </c>
      <c r="Y351" s="12">
        <v>863757</v>
      </c>
      <c r="Z351" s="12" t="s">
        <v>6639</v>
      </c>
      <c r="AA351" s="12" t="s">
        <v>6639</v>
      </c>
      <c r="AB351" s="12" t="s">
        <v>4190</v>
      </c>
      <c r="AC351" s="12" t="s">
        <v>58</v>
      </c>
      <c r="AD351" s="12" t="s">
        <v>7892</v>
      </c>
      <c r="AE351" s="12" t="s">
        <v>7771</v>
      </c>
      <c r="AF351" s="12" t="s">
        <v>45</v>
      </c>
    </row>
    <row r="352" spans="1:41" x14ac:dyDescent="0.2">
      <c r="A352" s="12" t="s">
        <v>4250</v>
      </c>
      <c r="B352" s="12" t="s">
        <v>4250</v>
      </c>
      <c r="C352" s="12" t="s">
        <v>6907</v>
      </c>
      <c r="D352" s="12" t="s">
        <v>105</v>
      </c>
      <c r="E352" s="12" t="s">
        <v>8110</v>
      </c>
      <c r="F352" s="12" t="s">
        <v>5460</v>
      </c>
      <c r="G352" s="12" t="s">
        <v>5454</v>
      </c>
      <c r="H352" s="12" t="s">
        <v>6626</v>
      </c>
      <c r="I352" s="12">
        <v>4149</v>
      </c>
      <c r="J352" s="12" t="s">
        <v>4252</v>
      </c>
      <c r="K352" s="12" t="s">
        <v>6652</v>
      </c>
      <c r="L352" s="12" t="s">
        <v>4177</v>
      </c>
      <c r="M352" s="12" t="s">
        <v>4188</v>
      </c>
      <c r="N352" s="12" t="s">
        <v>5785</v>
      </c>
      <c r="O352" s="12" t="s">
        <v>4253</v>
      </c>
      <c r="P352" s="12" t="s">
        <v>18</v>
      </c>
      <c r="Q352" s="12" t="s">
        <v>6653</v>
      </c>
      <c r="R352" s="12">
        <v>52.912777779999999</v>
      </c>
      <c r="S352" s="12">
        <v>50.990555559999997</v>
      </c>
      <c r="T352" s="12" t="s">
        <v>11</v>
      </c>
      <c r="U352" s="12" t="s">
        <v>728</v>
      </c>
      <c r="V352" s="12" t="s">
        <v>1619</v>
      </c>
      <c r="W352" s="12" t="s">
        <v>7160</v>
      </c>
      <c r="X352" s="12">
        <v>0.16695699999999999</v>
      </c>
      <c r="Y352" s="12">
        <v>176641</v>
      </c>
      <c r="Z352" s="12" t="s">
        <v>8052</v>
      </c>
      <c r="AA352" s="12" t="s">
        <v>8052</v>
      </c>
      <c r="AB352" s="12" t="s">
        <v>4251</v>
      </c>
      <c r="AC352" s="12" t="s">
        <v>340</v>
      </c>
      <c r="AD352" s="12" t="s">
        <v>7848</v>
      </c>
      <c r="AE352" s="12" t="s">
        <v>7719</v>
      </c>
      <c r="AF352" s="12" t="s">
        <v>45</v>
      </c>
    </row>
    <row r="353" spans="1:41" x14ac:dyDescent="0.2">
      <c r="A353" s="12" t="s">
        <v>3776</v>
      </c>
      <c r="B353" s="12" t="s">
        <v>3777</v>
      </c>
      <c r="C353" s="12" t="s">
        <v>3778</v>
      </c>
      <c r="D353" s="12" t="s">
        <v>143</v>
      </c>
      <c r="E353" s="12" t="s">
        <v>7678</v>
      </c>
      <c r="F353" s="12" t="s">
        <v>5460</v>
      </c>
      <c r="G353" s="12" t="s">
        <v>141</v>
      </c>
      <c r="H353" s="12" t="s">
        <v>6614</v>
      </c>
      <c r="I353" s="12">
        <v>4122</v>
      </c>
      <c r="J353" s="12" t="s">
        <v>3779</v>
      </c>
      <c r="K353" s="12" t="s">
        <v>6652</v>
      </c>
      <c r="L353" s="12" t="s">
        <v>3760</v>
      </c>
      <c r="M353" s="12" t="s">
        <v>3760</v>
      </c>
      <c r="N353" s="12" t="s">
        <v>5785</v>
      </c>
      <c r="O353" s="12" t="s">
        <v>3763</v>
      </c>
      <c r="P353" s="12" t="s">
        <v>18</v>
      </c>
      <c r="Q353" s="12" t="s">
        <v>6653</v>
      </c>
      <c r="R353" s="12">
        <v>52.453000000000003</v>
      </c>
      <c r="S353" s="12">
        <v>55.16</v>
      </c>
      <c r="T353" s="12" t="s">
        <v>11</v>
      </c>
      <c r="U353" s="12" t="s">
        <v>3780</v>
      </c>
      <c r="V353" s="12" t="s">
        <v>1266</v>
      </c>
      <c r="W353" s="12" t="s">
        <v>7160</v>
      </c>
      <c r="X353" s="12">
        <v>0.41499999999999998</v>
      </c>
      <c r="Y353" s="12">
        <v>309690</v>
      </c>
      <c r="Z353" s="12" t="s">
        <v>17</v>
      </c>
      <c r="AA353" s="12" t="s">
        <v>17</v>
      </c>
      <c r="AB353" s="12" t="s">
        <v>17</v>
      </c>
      <c r="AC353" s="12" t="s">
        <v>144</v>
      </c>
      <c r="AD353" s="12" t="s">
        <v>17</v>
      </c>
      <c r="AE353" s="12" t="s">
        <v>17</v>
      </c>
      <c r="AF353" s="12" t="s">
        <v>45</v>
      </c>
    </row>
    <row r="354" spans="1:41" x14ac:dyDescent="0.2">
      <c r="A354" s="12" t="s">
        <v>4254</v>
      </c>
      <c r="B354" s="12" t="s">
        <v>4254</v>
      </c>
      <c r="C354" s="12" t="s">
        <v>6906</v>
      </c>
      <c r="D354" s="12" t="s">
        <v>105</v>
      </c>
      <c r="E354" s="12" t="s">
        <v>8110</v>
      </c>
      <c r="F354" s="12" t="s">
        <v>5458</v>
      </c>
      <c r="G354" s="12" t="s">
        <v>5454</v>
      </c>
      <c r="H354" s="12" t="s">
        <v>6626</v>
      </c>
      <c r="I354" s="12">
        <v>4000</v>
      </c>
      <c r="J354" s="12" t="s">
        <v>4242</v>
      </c>
      <c r="K354" s="12" t="s">
        <v>6652</v>
      </c>
      <c r="L354" s="12" t="s">
        <v>4177</v>
      </c>
      <c r="M354" s="12" t="s">
        <v>4255</v>
      </c>
      <c r="N354" s="12" t="s">
        <v>5785</v>
      </c>
      <c r="O354" s="12" t="s">
        <v>4253</v>
      </c>
      <c r="P354" s="12" t="s">
        <v>18</v>
      </c>
      <c r="Q354" s="12" t="s">
        <v>6653</v>
      </c>
      <c r="R354" s="12">
        <v>52.912777779999999</v>
      </c>
      <c r="S354" s="12">
        <v>50.990555559999997</v>
      </c>
      <c r="T354" s="12" t="s">
        <v>11</v>
      </c>
      <c r="U354" s="12" t="s">
        <v>2792</v>
      </c>
      <c r="V354" s="12" t="s">
        <v>755</v>
      </c>
      <c r="W354" s="12" t="s">
        <v>7160</v>
      </c>
      <c r="X354" s="12">
        <v>0.72824199999999994</v>
      </c>
      <c r="Y354" s="12">
        <v>583943</v>
      </c>
      <c r="Z354" s="12">
        <v>8.6820000000000005E-3</v>
      </c>
      <c r="AA354" s="12">
        <v>1.7982962789434669</v>
      </c>
      <c r="AB354" s="12" t="s">
        <v>4256</v>
      </c>
      <c r="AC354" s="12" t="s">
        <v>219</v>
      </c>
      <c r="AD354" s="12" t="s">
        <v>7805</v>
      </c>
      <c r="AE354" s="12" t="s">
        <v>7760</v>
      </c>
      <c r="AF354" s="12" t="s">
        <v>45</v>
      </c>
    </row>
    <row r="355" spans="1:41" x14ac:dyDescent="0.2">
      <c r="A355" s="12" t="s">
        <v>1322</v>
      </c>
      <c r="B355" s="12" t="s">
        <v>1322</v>
      </c>
      <c r="C355" s="12" t="s">
        <v>6868</v>
      </c>
      <c r="D355" s="12" t="s">
        <v>143</v>
      </c>
      <c r="E355" s="12" t="s">
        <v>8110</v>
      </c>
      <c r="F355" s="12" t="s">
        <v>1325</v>
      </c>
      <c r="G355" s="12" t="s">
        <v>5453</v>
      </c>
      <c r="H355" s="12" t="s">
        <v>6643</v>
      </c>
      <c r="I355" s="12">
        <v>3986</v>
      </c>
      <c r="J355" s="12" t="s">
        <v>1325</v>
      </c>
      <c r="K355" s="12" t="s">
        <v>6652</v>
      </c>
      <c r="L355" s="12" t="s">
        <v>1229</v>
      </c>
      <c r="M355" s="12" t="s">
        <v>1323</v>
      </c>
      <c r="N355" s="12" t="s">
        <v>5785</v>
      </c>
      <c r="O355" s="12" t="s">
        <v>1326</v>
      </c>
      <c r="P355" s="12" t="s">
        <v>1152</v>
      </c>
      <c r="Q355" s="12" t="s">
        <v>6653</v>
      </c>
      <c r="R355" s="12">
        <v>50.224899999999998</v>
      </c>
      <c r="S355" s="12">
        <v>81.836783330000003</v>
      </c>
      <c r="T355" s="12" t="s">
        <v>11</v>
      </c>
      <c r="U355" s="12" t="s">
        <v>36</v>
      </c>
      <c r="V355" s="12" t="s">
        <v>755</v>
      </c>
      <c r="W355" s="12" t="s">
        <v>7415</v>
      </c>
      <c r="X355" s="12">
        <v>1.0169999999999999</v>
      </c>
      <c r="Y355" s="12">
        <v>618137</v>
      </c>
      <c r="Z355" s="12">
        <v>7.4219999999999998E-3</v>
      </c>
      <c r="AA355" s="12">
        <v>2.4639839054244494</v>
      </c>
      <c r="AB355" s="12" t="s">
        <v>1324</v>
      </c>
      <c r="AC355" s="12" t="s">
        <v>21</v>
      </c>
      <c r="AD355" s="12">
        <v>5.5E-2</v>
      </c>
      <c r="AE355" s="12">
        <v>1</v>
      </c>
      <c r="AF355" s="12" t="s">
        <v>22</v>
      </c>
    </row>
    <row r="356" spans="1:41" x14ac:dyDescent="0.2">
      <c r="A356" s="12" t="s">
        <v>5172</v>
      </c>
      <c r="B356" s="12" t="s">
        <v>5172</v>
      </c>
      <c r="C356" s="12" t="s">
        <v>5173</v>
      </c>
      <c r="D356" s="12" t="s">
        <v>143</v>
      </c>
      <c r="E356" s="12" t="s">
        <v>8110</v>
      </c>
      <c r="F356" s="12" t="s">
        <v>5175</v>
      </c>
      <c r="G356" s="12" t="s">
        <v>5453</v>
      </c>
      <c r="H356" s="12" t="s">
        <v>6626</v>
      </c>
      <c r="I356" s="12">
        <v>3982</v>
      </c>
      <c r="J356" s="12" t="s">
        <v>5175</v>
      </c>
      <c r="K356" s="12" t="s">
        <v>6652</v>
      </c>
      <c r="L356" s="12" t="s">
        <v>5060</v>
      </c>
      <c r="M356" s="12" t="s">
        <v>4255</v>
      </c>
      <c r="N356" s="12" t="s">
        <v>5785</v>
      </c>
      <c r="O356" s="12" t="s">
        <v>4191</v>
      </c>
      <c r="P356" s="12" t="s">
        <v>18</v>
      </c>
      <c r="Q356" s="12" t="s">
        <v>6653</v>
      </c>
      <c r="R356" s="12">
        <v>53.589750000000002</v>
      </c>
      <c r="S356" s="12">
        <v>50.571291670000001</v>
      </c>
      <c r="T356" s="12" t="s">
        <v>11</v>
      </c>
      <c r="U356" s="12" t="s">
        <v>3780</v>
      </c>
      <c r="V356" s="12" t="s">
        <v>2787</v>
      </c>
      <c r="W356" s="12" t="s">
        <v>7160</v>
      </c>
      <c r="X356" s="12">
        <v>0.60419500000000004</v>
      </c>
      <c r="Y356" s="12">
        <v>497335</v>
      </c>
      <c r="Z356" s="12">
        <v>-9.4200000000000002E-4</v>
      </c>
      <c r="AA356" s="12">
        <v>-0.75298977708465065</v>
      </c>
      <c r="AB356" s="12" t="s">
        <v>5174</v>
      </c>
      <c r="AC356" s="12" t="s">
        <v>21</v>
      </c>
      <c r="AD356" s="12">
        <v>3.3000000000000002E-2</v>
      </c>
      <c r="AE356" s="12">
        <v>0.998</v>
      </c>
      <c r="AF356" s="12" t="s">
        <v>45</v>
      </c>
    </row>
    <row r="357" spans="1:41" x14ac:dyDescent="0.2">
      <c r="A357" s="12" t="s">
        <v>3770</v>
      </c>
      <c r="B357" s="12" t="s">
        <v>3771</v>
      </c>
      <c r="C357" s="12" t="s">
        <v>3772</v>
      </c>
      <c r="D357" s="12" t="s">
        <v>143</v>
      </c>
      <c r="E357" s="12" t="s">
        <v>7678</v>
      </c>
      <c r="F357" s="12" t="s">
        <v>5460</v>
      </c>
      <c r="G357" s="12" t="s">
        <v>141</v>
      </c>
      <c r="H357" s="12" t="s">
        <v>6614</v>
      </c>
      <c r="I357" s="12">
        <v>3961</v>
      </c>
      <c r="J357" s="12" t="s">
        <v>3773</v>
      </c>
      <c r="K357" s="12" t="s">
        <v>6652</v>
      </c>
      <c r="L357" s="12" t="s">
        <v>3760</v>
      </c>
      <c r="M357" s="12" t="s">
        <v>3760</v>
      </c>
      <c r="N357" s="12" t="s">
        <v>5785</v>
      </c>
      <c r="O357" s="12" t="s">
        <v>3774</v>
      </c>
      <c r="P357" s="12" t="s">
        <v>18</v>
      </c>
      <c r="Q357" s="12" t="s">
        <v>6653</v>
      </c>
      <c r="R357" s="12">
        <v>53.875999999999998</v>
      </c>
      <c r="S357" s="12">
        <v>59.076000000000001</v>
      </c>
      <c r="T357" s="12" t="s">
        <v>11</v>
      </c>
      <c r="U357" s="12" t="s">
        <v>3775</v>
      </c>
      <c r="V357" s="12" t="s">
        <v>606</v>
      </c>
      <c r="W357" s="12" t="s">
        <v>7160</v>
      </c>
      <c r="X357" s="12">
        <v>0.59799999999999998</v>
      </c>
      <c r="Y357" s="12">
        <v>515319</v>
      </c>
      <c r="Z357" s="12" t="s">
        <v>17</v>
      </c>
      <c r="AA357" s="12" t="s">
        <v>17</v>
      </c>
      <c r="AB357" s="12" t="s">
        <v>17</v>
      </c>
      <c r="AC357" s="12" t="s">
        <v>144</v>
      </c>
      <c r="AD357" s="12" t="s">
        <v>17</v>
      </c>
      <c r="AE357" s="12" t="s">
        <v>17</v>
      </c>
      <c r="AF357" s="12" t="s">
        <v>7667</v>
      </c>
    </row>
    <row r="358" spans="1:41" x14ac:dyDescent="0.2">
      <c r="A358" s="12" t="s">
        <v>4162</v>
      </c>
      <c r="B358" s="12" t="s">
        <v>4162</v>
      </c>
      <c r="C358" s="12" t="s">
        <v>6876</v>
      </c>
      <c r="D358" s="12" t="s">
        <v>13</v>
      </c>
      <c r="E358" s="12" t="s">
        <v>8110</v>
      </c>
      <c r="F358" s="12" t="s">
        <v>5458</v>
      </c>
      <c r="G358" s="12" t="s">
        <v>5453</v>
      </c>
      <c r="H358" s="12" t="s">
        <v>6623</v>
      </c>
      <c r="I358" s="12">
        <v>3950</v>
      </c>
      <c r="J358" s="12" t="s">
        <v>4160</v>
      </c>
      <c r="K358" s="12" t="s">
        <v>6652</v>
      </c>
      <c r="L358" s="12" t="s">
        <v>4138</v>
      </c>
      <c r="M358" s="12" t="s">
        <v>4158</v>
      </c>
      <c r="N358" s="12" t="s">
        <v>5785</v>
      </c>
      <c r="O358" s="12" t="s">
        <v>4161</v>
      </c>
      <c r="P358" s="12" t="s">
        <v>865</v>
      </c>
      <c r="Q358" s="12" t="s">
        <v>6653</v>
      </c>
      <c r="R358" s="12">
        <v>40.54</v>
      </c>
      <c r="S358" s="12">
        <v>64.989999999999995</v>
      </c>
      <c r="T358" s="12" t="s">
        <v>11</v>
      </c>
      <c r="U358" s="12" t="s">
        <v>1117</v>
      </c>
      <c r="V358" s="12" t="s">
        <v>1459</v>
      </c>
      <c r="W358" s="12" t="s">
        <v>7415</v>
      </c>
      <c r="X358" s="12">
        <v>0.26011600000000001</v>
      </c>
      <c r="Y358" s="12">
        <v>264519</v>
      </c>
      <c r="Z358" s="12" t="s">
        <v>8052</v>
      </c>
      <c r="AA358" s="12" t="s">
        <v>8052</v>
      </c>
      <c r="AB358" s="12" t="s">
        <v>4163</v>
      </c>
      <c r="AC358" s="12" t="s">
        <v>21</v>
      </c>
      <c r="AD358" s="12">
        <v>0.08</v>
      </c>
      <c r="AE358" s="12">
        <v>0.99099999999999999</v>
      </c>
      <c r="AF358" s="12" t="s">
        <v>45</v>
      </c>
      <c r="AG358" s="12"/>
      <c r="AH358" s="12"/>
      <c r="AI358" s="12"/>
      <c r="AJ358" s="12"/>
      <c r="AK358" s="12"/>
      <c r="AL358" s="12"/>
      <c r="AM358" s="12"/>
      <c r="AN358" s="12"/>
      <c r="AO358" s="12"/>
    </row>
    <row r="359" spans="1:41" x14ac:dyDescent="0.2">
      <c r="A359" s="12" t="s">
        <v>5271</v>
      </c>
      <c r="B359" s="12" t="s">
        <v>5271</v>
      </c>
      <c r="C359" s="12" t="s">
        <v>6772</v>
      </c>
      <c r="D359" s="12" t="s">
        <v>5072</v>
      </c>
      <c r="E359" s="12" t="s">
        <v>8110</v>
      </c>
      <c r="F359" s="12" t="s">
        <v>5458</v>
      </c>
      <c r="G359" s="12" t="s">
        <v>5453</v>
      </c>
      <c r="H359" s="12" t="s">
        <v>6625</v>
      </c>
      <c r="I359" s="12">
        <v>3900</v>
      </c>
      <c r="J359" s="12" t="s">
        <v>5273</v>
      </c>
      <c r="K359" s="12" t="s">
        <v>6652</v>
      </c>
      <c r="L359" s="12" t="s">
        <v>5060</v>
      </c>
      <c r="M359" s="12" t="s">
        <v>5068</v>
      </c>
      <c r="N359" s="12" t="s">
        <v>5785</v>
      </c>
      <c r="O359" s="12" t="s">
        <v>3774</v>
      </c>
      <c r="P359" s="12" t="s">
        <v>18</v>
      </c>
      <c r="Q359" s="12" t="s">
        <v>6653</v>
      </c>
      <c r="R359" s="12">
        <v>53.875999999999998</v>
      </c>
      <c r="S359" s="12">
        <v>59.076000000000001</v>
      </c>
      <c r="T359" s="12" t="s">
        <v>25</v>
      </c>
      <c r="U359" s="12" t="s">
        <v>1436</v>
      </c>
      <c r="V359" s="12" t="s">
        <v>6639</v>
      </c>
      <c r="W359" s="12" t="s">
        <v>6639</v>
      </c>
      <c r="X359" s="12">
        <v>0.189165</v>
      </c>
      <c r="Y359" s="12">
        <v>199936</v>
      </c>
      <c r="Z359" s="12" t="s">
        <v>6639</v>
      </c>
      <c r="AA359" s="12" t="s">
        <v>6639</v>
      </c>
      <c r="AB359" s="12" t="s">
        <v>5272</v>
      </c>
      <c r="AC359" s="12" t="s">
        <v>58</v>
      </c>
      <c r="AD359" s="12" t="s">
        <v>7885</v>
      </c>
      <c r="AE359" s="12" t="s">
        <v>7723</v>
      </c>
      <c r="AF359" s="12" t="s">
        <v>45</v>
      </c>
      <c r="AG359" s="12"/>
      <c r="AH359" s="12"/>
      <c r="AI359" s="12"/>
      <c r="AJ359" s="12"/>
      <c r="AK359" s="12"/>
      <c r="AL359" s="12"/>
      <c r="AM359" s="12"/>
      <c r="AN359" s="12"/>
      <c r="AO359" s="12"/>
    </row>
    <row r="360" spans="1:41" x14ac:dyDescent="0.2">
      <c r="A360" s="12" t="s">
        <v>5071</v>
      </c>
      <c r="B360" s="12" t="s">
        <v>5071</v>
      </c>
      <c r="C360" s="12" t="s">
        <v>6773</v>
      </c>
      <c r="D360" s="12" t="s">
        <v>5072</v>
      </c>
      <c r="E360" s="12" t="s">
        <v>8110</v>
      </c>
      <c r="F360" s="12" t="s">
        <v>5074</v>
      </c>
      <c r="G360" s="12" t="s">
        <v>5453</v>
      </c>
      <c r="H360" s="12" t="s">
        <v>6625</v>
      </c>
      <c r="I360" s="12">
        <v>3898</v>
      </c>
      <c r="J360" s="12" t="s">
        <v>5074</v>
      </c>
      <c r="K360" s="12" t="s">
        <v>6652</v>
      </c>
      <c r="L360" s="12" t="s">
        <v>5060</v>
      </c>
      <c r="M360" s="12" t="s">
        <v>5068</v>
      </c>
      <c r="N360" s="12" t="s">
        <v>5785</v>
      </c>
      <c r="O360" s="12" t="s">
        <v>3774</v>
      </c>
      <c r="P360" s="12" t="s">
        <v>18</v>
      </c>
      <c r="Q360" s="12" t="s">
        <v>6653</v>
      </c>
      <c r="R360" s="12">
        <v>53.875999999999998</v>
      </c>
      <c r="S360" s="12">
        <v>59.076000000000001</v>
      </c>
      <c r="T360" s="12" t="s">
        <v>25</v>
      </c>
      <c r="U360" s="12" t="s">
        <v>1117</v>
      </c>
      <c r="V360" s="12" t="s">
        <v>6639</v>
      </c>
      <c r="W360" s="12" t="s">
        <v>6639</v>
      </c>
      <c r="X360" s="12">
        <v>8.2019999999999996E-2</v>
      </c>
      <c r="Y360" s="12">
        <v>91812</v>
      </c>
      <c r="Z360" s="12" t="s">
        <v>6639</v>
      </c>
      <c r="AA360" s="12" t="s">
        <v>6639</v>
      </c>
      <c r="AB360" s="12" t="s">
        <v>5073</v>
      </c>
      <c r="AC360" s="12" t="s">
        <v>340</v>
      </c>
      <c r="AD360" s="12" t="s">
        <v>7818</v>
      </c>
      <c r="AE360" s="12" t="s">
        <v>7707</v>
      </c>
      <c r="AF360" s="12" t="s">
        <v>45</v>
      </c>
    </row>
    <row r="361" spans="1:41" x14ac:dyDescent="0.2">
      <c r="A361" s="12" t="s">
        <v>4257</v>
      </c>
      <c r="B361" s="12" t="s">
        <v>4257</v>
      </c>
      <c r="C361" s="12" t="s">
        <v>4258</v>
      </c>
      <c r="D361" s="12" t="s">
        <v>105</v>
      </c>
      <c r="E361" s="12" t="s">
        <v>8110</v>
      </c>
      <c r="F361" s="12" t="s">
        <v>5460</v>
      </c>
      <c r="G361" s="12" t="s">
        <v>273</v>
      </c>
      <c r="H361" s="12" t="s">
        <v>6614</v>
      </c>
      <c r="I361" s="12">
        <v>3897</v>
      </c>
      <c r="J361" s="12" t="s">
        <v>4260</v>
      </c>
      <c r="K361" s="12" t="s">
        <v>6652</v>
      </c>
      <c r="L361" s="12" t="s">
        <v>4177</v>
      </c>
      <c r="M361" s="12" t="s">
        <v>4255</v>
      </c>
      <c r="N361" s="12" t="s">
        <v>5785</v>
      </c>
      <c r="O361" s="12" t="s">
        <v>4253</v>
      </c>
      <c r="P361" s="12" t="s">
        <v>18</v>
      </c>
      <c r="Q361" s="12" t="s">
        <v>6653</v>
      </c>
      <c r="R361" s="12">
        <v>52.912777779999999</v>
      </c>
      <c r="S361" s="12">
        <v>50.990555559999997</v>
      </c>
      <c r="T361" s="12" t="s">
        <v>25</v>
      </c>
      <c r="U361" s="12" t="s">
        <v>36</v>
      </c>
      <c r="V361" s="12" t="s">
        <v>6639</v>
      </c>
      <c r="W361" s="12" t="s">
        <v>6639</v>
      </c>
      <c r="X361" s="12">
        <v>0.123</v>
      </c>
      <c r="Y361" s="12">
        <v>133342</v>
      </c>
      <c r="Z361" s="12" t="s">
        <v>6639</v>
      </c>
      <c r="AA361" s="12" t="s">
        <v>6639</v>
      </c>
      <c r="AB361" s="12" t="s">
        <v>4259</v>
      </c>
      <c r="AC361" s="12" t="s">
        <v>21</v>
      </c>
      <c r="AD361" s="12">
        <v>0.13200000000000001</v>
      </c>
      <c r="AE361" s="12">
        <v>0.999</v>
      </c>
      <c r="AF361" s="12" t="s">
        <v>45</v>
      </c>
    </row>
    <row r="362" spans="1:41" x14ac:dyDescent="0.2">
      <c r="A362" s="12" t="s">
        <v>5210</v>
      </c>
      <c r="B362" s="12" t="s">
        <v>5210</v>
      </c>
      <c r="C362" s="62" t="s">
        <v>6757</v>
      </c>
      <c r="D362" s="12" t="s">
        <v>5072</v>
      </c>
      <c r="E362" s="12" t="s">
        <v>8110</v>
      </c>
      <c r="F362" s="12" t="s">
        <v>5458</v>
      </c>
      <c r="G362" s="12" t="s">
        <v>5453</v>
      </c>
      <c r="H362" s="12" t="s">
        <v>6625</v>
      </c>
      <c r="I362" s="12">
        <v>3890</v>
      </c>
      <c r="J362" s="12" t="s">
        <v>8153</v>
      </c>
      <c r="K362" s="12" t="s">
        <v>6652</v>
      </c>
      <c r="L362" s="12" t="s">
        <v>5060</v>
      </c>
      <c r="M362" s="12" t="s">
        <v>5059</v>
      </c>
      <c r="N362" s="12" t="s">
        <v>5785</v>
      </c>
      <c r="O362" s="12" t="s">
        <v>3913</v>
      </c>
      <c r="P362" s="12" t="s">
        <v>18</v>
      </c>
      <c r="Q362" s="12" t="s">
        <v>6653</v>
      </c>
      <c r="R362" s="12">
        <v>52.816666669999996</v>
      </c>
      <c r="S362" s="12">
        <v>60.466666670000002</v>
      </c>
      <c r="T362" s="12" t="s">
        <v>11</v>
      </c>
      <c r="U362" s="12" t="s">
        <v>1281</v>
      </c>
      <c r="V362" s="12" t="s">
        <v>7410</v>
      </c>
      <c r="W362" s="12" t="s">
        <v>7160</v>
      </c>
      <c r="X362" s="12">
        <v>0.29327199999999998</v>
      </c>
      <c r="Y362" s="12">
        <v>292528</v>
      </c>
      <c r="Z362" s="12" t="s">
        <v>17</v>
      </c>
      <c r="AA362" s="12" t="s">
        <v>17</v>
      </c>
      <c r="AB362" s="12" t="s">
        <v>6756</v>
      </c>
      <c r="AC362" s="12" t="s">
        <v>340</v>
      </c>
      <c r="AD362" s="12" t="s">
        <v>7823</v>
      </c>
      <c r="AE362" s="12" t="s">
        <v>7727</v>
      </c>
      <c r="AF362" s="12" t="s">
        <v>45</v>
      </c>
    </row>
    <row r="363" spans="1:41" x14ac:dyDescent="0.2">
      <c r="A363" s="12" t="s">
        <v>5065</v>
      </c>
      <c r="B363" s="12" t="s">
        <v>5065</v>
      </c>
      <c r="C363" s="62" t="s">
        <v>6753</v>
      </c>
      <c r="D363" s="12" t="s">
        <v>105</v>
      </c>
      <c r="E363" s="12" t="s">
        <v>8110</v>
      </c>
      <c r="F363" s="12" t="s">
        <v>5460</v>
      </c>
      <c r="G363" s="12" t="s">
        <v>5453</v>
      </c>
      <c r="H363" s="12" t="s">
        <v>6625</v>
      </c>
      <c r="I363" s="12">
        <v>3853</v>
      </c>
      <c r="J363" s="12" t="s">
        <v>5066</v>
      </c>
      <c r="K363" s="12" t="s">
        <v>6652</v>
      </c>
      <c r="L363" s="12" t="s">
        <v>5060</v>
      </c>
      <c r="M363" s="12" t="s">
        <v>5059</v>
      </c>
      <c r="N363" s="12" t="s">
        <v>5785</v>
      </c>
      <c r="O363" s="12" t="s">
        <v>3913</v>
      </c>
      <c r="P363" s="12" t="s">
        <v>18</v>
      </c>
      <c r="Q363" s="12" t="s">
        <v>6653</v>
      </c>
      <c r="R363" s="12">
        <v>52.816666669999996</v>
      </c>
      <c r="S363" s="12">
        <v>60.466666670000002</v>
      </c>
      <c r="T363" s="12" t="s">
        <v>11</v>
      </c>
      <c r="U363" s="12" t="s">
        <v>4219</v>
      </c>
      <c r="V363" s="12" t="s">
        <v>755</v>
      </c>
      <c r="W363" s="12" t="s">
        <v>7415</v>
      </c>
      <c r="X363" s="12">
        <v>0.99051900000000004</v>
      </c>
      <c r="Y363" s="12">
        <v>684687</v>
      </c>
      <c r="Z363" s="12" t="s">
        <v>17</v>
      </c>
      <c r="AA363" s="12" t="s">
        <v>17</v>
      </c>
      <c r="AB363" s="12" t="s">
        <v>6752</v>
      </c>
      <c r="AC363" s="12" t="s">
        <v>340</v>
      </c>
      <c r="AD363" s="12" t="s">
        <v>7855</v>
      </c>
      <c r="AE363" s="12" t="s">
        <v>7719</v>
      </c>
      <c r="AF363" s="12" t="s">
        <v>45</v>
      </c>
    </row>
    <row r="364" spans="1:41" x14ac:dyDescent="0.2">
      <c r="A364" s="12" t="s">
        <v>4193</v>
      </c>
      <c r="B364" s="12" t="s">
        <v>4193</v>
      </c>
      <c r="C364" s="12" t="s">
        <v>6742</v>
      </c>
      <c r="D364" s="12" t="s">
        <v>105</v>
      </c>
      <c r="E364" s="12" t="s">
        <v>8110</v>
      </c>
      <c r="F364" s="12" t="s">
        <v>5460</v>
      </c>
      <c r="G364" s="12" t="s">
        <v>5453</v>
      </c>
      <c r="H364" s="12" t="s">
        <v>6625</v>
      </c>
      <c r="I364" s="12">
        <v>3843</v>
      </c>
      <c r="J364" s="12" t="s">
        <v>4196</v>
      </c>
      <c r="K364" s="12" t="s">
        <v>6652</v>
      </c>
      <c r="L364" s="12" t="s">
        <v>4177</v>
      </c>
      <c r="M364" s="12" t="s">
        <v>4194</v>
      </c>
      <c r="N364" s="12" t="s">
        <v>5785</v>
      </c>
      <c r="O364" s="12" t="s">
        <v>3913</v>
      </c>
      <c r="P364" s="12" t="s">
        <v>18</v>
      </c>
      <c r="Q364" s="12" t="s">
        <v>6653</v>
      </c>
      <c r="R364" s="12">
        <v>52.816666669999996</v>
      </c>
      <c r="S364" s="12">
        <v>60.466666670000002</v>
      </c>
      <c r="T364" s="12" t="s">
        <v>11</v>
      </c>
      <c r="U364" s="12" t="s">
        <v>4197</v>
      </c>
      <c r="V364" s="12" t="s">
        <v>37</v>
      </c>
      <c r="W364" s="12" t="s">
        <v>7415</v>
      </c>
      <c r="X364" s="12">
        <v>0.91400000000000003</v>
      </c>
      <c r="Y364" s="12">
        <v>640367</v>
      </c>
      <c r="Z364" s="12">
        <v>6.0720000000000001E-3</v>
      </c>
      <c r="AA364" s="12">
        <v>1.5935807460172948</v>
      </c>
      <c r="AB364" s="12" t="s">
        <v>4195</v>
      </c>
      <c r="AC364" s="12" t="s">
        <v>21</v>
      </c>
      <c r="AD364" s="12">
        <v>7.2999999999999995E-2</v>
      </c>
      <c r="AE364" s="12">
        <v>0.999</v>
      </c>
      <c r="AF364" s="12" t="s">
        <v>45</v>
      </c>
    </row>
    <row r="365" spans="1:41" x14ac:dyDescent="0.2">
      <c r="A365" s="12" t="s">
        <v>5067</v>
      </c>
      <c r="B365" s="12" t="s">
        <v>5067</v>
      </c>
      <c r="C365" s="12" t="s">
        <v>6771</v>
      </c>
      <c r="D365" s="12" t="s">
        <v>118</v>
      </c>
      <c r="E365" s="12" t="s">
        <v>8110</v>
      </c>
      <c r="F365" s="12" t="s">
        <v>5070</v>
      </c>
      <c r="G365" s="12" t="s">
        <v>5453</v>
      </c>
      <c r="H365" s="12" t="s">
        <v>6625</v>
      </c>
      <c r="I365" s="12">
        <v>3834</v>
      </c>
      <c r="J365" s="12" t="s">
        <v>5070</v>
      </c>
      <c r="K365" s="12" t="s">
        <v>6652</v>
      </c>
      <c r="L365" s="12" t="s">
        <v>5060</v>
      </c>
      <c r="M365" s="12" t="s">
        <v>5068</v>
      </c>
      <c r="N365" s="12" t="s">
        <v>5785</v>
      </c>
      <c r="O365" s="12" t="s">
        <v>3774</v>
      </c>
      <c r="P365" s="12" t="s">
        <v>18</v>
      </c>
      <c r="Q365" s="12" t="s">
        <v>6653</v>
      </c>
      <c r="R365" s="12">
        <v>53.875999999999998</v>
      </c>
      <c r="S365" s="12">
        <v>59.076000000000001</v>
      </c>
      <c r="T365" s="12" t="s">
        <v>25</v>
      </c>
      <c r="U365" s="12" t="s">
        <v>17</v>
      </c>
      <c r="V365" s="12" t="s">
        <v>6639</v>
      </c>
      <c r="W365" s="12" t="s">
        <v>6639</v>
      </c>
      <c r="X365" s="12">
        <v>5.4004999999999997E-2</v>
      </c>
      <c r="Y365" s="12">
        <v>61601</v>
      </c>
      <c r="Z365" s="12" t="s">
        <v>6639</v>
      </c>
      <c r="AA365" s="12" t="s">
        <v>6639</v>
      </c>
      <c r="AB365" s="12" t="s">
        <v>5069</v>
      </c>
      <c r="AC365" s="12" t="s">
        <v>58</v>
      </c>
      <c r="AD365" s="12" t="s">
        <v>7930</v>
      </c>
      <c r="AE365" s="12" t="s">
        <v>7700</v>
      </c>
      <c r="AF365" s="12" t="s">
        <v>7802</v>
      </c>
    </row>
    <row r="366" spans="1:41" x14ac:dyDescent="0.2">
      <c r="A366" s="12" t="s">
        <v>5058</v>
      </c>
      <c r="B366" s="12" t="s">
        <v>5058</v>
      </c>
      <c r="C366" s="12" t="s">
        <v>5061</v>
      </c>
      <c r="D366" s="12" t="s">
        <v>105</v>
      </c>
      <c r="E366" s="12" t="s">
        <v>8110</v>
      </c>
      <c r="F366" s="12" t="s">
        <v>5460</v>
      </c>
      <c r="G366" s="12" t="s">
        <v>5453</v>
      </c>
      <c r="H366" s="12" t="s">
        <v>6625</v>
      </c>
      <c r="I366" s="12">
        <v>3823</v>
      </c>
      <c r="J366" s="12" t="s">
        <v>5063</v>
      </c>
      <c r="K366" s="12" t="s">
        <v>6652</v>
      </c>
      <c r="L366" s="12" t="s">
        <v>5060</v>
      </c>
      <c r="M366" s="12" t="s">
        <v>5059</v>
      </c>
      <c r="N366" s="12" t="s">
        <v>5785</v>
      </c>
      <c r="O366" s="12" t="s">
        <v>3913</v>
      </c>
      <c r="P366" s="12" t="s">
        <v>18</v>
      </c>
      <c r="Q366" s="12" t="s">
        <v>6653</v>
      </c>
      <c r="R366" s="16">
        <v>52.816666669999996</v>
      </c>
      <c r="S366" s="16">
        <v>60.466666670000002</v>
      </c>
      <c r="T366" s="12" t="s">
        <v>25</v>
      </c>
      <c r="U366" s="12" t="s">
        <v>5064</v>
      </c>
      <c r="V366" s="12" t="s">
        <v>6639</v>
      </c>
      <c r="W366" s="12" t="s">
        <v>6639</v>
      </c>
      <c r="X366" s="12">
        <v>0.82599999999999996</v>
      </c>
      <c r="Y366" s="12">
        <v>580668</v>
      </c>
      <c r="Z366" s="12" t="s">
        <v>6639</v>
      </c>
      <c r="AA366" s="12" t="s">
        <v>6639</v>
      </c>
      <c r="AB366" s="12" t="s">
        <v>5062</v>
      </c>
      <c r="AC366" s="12" t="s">
        <v>21</v>
      </c>
      <c r="AD366" s="12">
        <v>5.3999999999999999E-2</v>
      </c>
      <c r="AE366" s="12">
        <v>0.998</v>
      </c>
      <c r="AF366" s="12" t="s">
        <v>45</v>
      </c>
    </row>
    <row r="367" spans="1:41" x14ac:dyDescent="0.2">
      <c r="A367" s="12" t="s">
        <v>5169</v>
      </c>
      <c r="B367" s="12" t="s">
        <v>5169</v>
      </c>
      <c r="C367" s="12" t="s">
        <v>6774</v>
      </c>
      <c r="D367" s="12" t="s">
        <v>105</v>
      </c>
      <c r="E367" s="12" t="s">
        <v>8110</v>
      </c>
      <c r="F367" s="12" t="s">
        <v>5171</v>
      </c>
      <c r="G367" s="12" t="s">
        <v>5453</v>
      </c>
      <c r="H367" s="12" t="s">
        <v>6625</v>
      </c>
      <c r="I367" s="12">
        <v>3819</v>
      </c>
      <c r="J367" s="12" t="s">
        <v>5171</v>
      </c>
      <c r="K367" s="12" t="s">
        <v>6652</v>
      </c>
      <c r="L367" s="12" t="s">
        <v>5060</v>
      </c>
      <c r="M367" s="12" t="s">
        <v>5059</v>
      </c>
      <c r="N367" s="12" t="s">
        <v>5785</v>
      </c>
      <c r="O367" s="12" t="s">
        <v>3913</v>
      </c>
      <c r="P367" s="12" t="s">
        <v>18</v>
      </c>
      <c r="Q367" s="12" t="s">
        <v>6653</v>
      </c>
      <c r="R367" s="16">
        <v>52.816666669999996</v>
      </c>
      <c r="S367" s="16">
        <v>60.466666670000002</v>
      </c>
      <c r="T367" s="12" t="s">
        <v>11</v>
      </c>
      <c r="U367" s="12" t="s">
        <v>36</v>
      </c>
      <c r="V367" s="12" t="s">
        <v>755</v>
      </c>
      <c r="W367" s="12" t="s">
        <v>7415</v>
      </c>
      <c r="X367" s="12">
        <v>3.6480000000000001</v>
      </c>
      <c r="Y367" s="12">
        <v>993163</v>
      </c>
      <c r="Z367" s="12">
        <v>6.3829999999999998E-3</v>
      </c>
      <c r="AA367" s="12">
        <v>5.9385803973815534</v>
      </c>
      <c r="AB367" s="12" t="s">
        <v>5170</v>
      </c>
      <c r="AC367" s="12" t="s">
        <v>340</v>
      </c>
      <c r="AD367" s="12" t="s">
        <v>7838</v>
      </c>
      <c r="AE367" s="12" t="s">
        <v>7786</v>
      </c>
      <c r="AF367" s="12" t="s">
        <v>436</v>
      </c>
    </row>
    <row r="368" spans="1:41" x14ac:dyDescent="0.2">
      <c r="A368" s="12" t="s">
        <v>4227</v>
      </c>
      <c r="B368" s="12" t="s">
        <v>4227</v>
      </c>
      <c r="C368" s="12" t="s">
        <v>4228</v>
      </c>
      <c r="D368" s="12" t="s">
        <v>105</v>
      </c>
      <c r="E368" s="12" t="s">
        <v>8110</v>
      </c>
      <c r="F368" s="12" t="s">
        <v>4230</v>
      </c>
      <c r="G368" s="12" t="s">
        <v>5453</v>
      </c>
      <c r="H368" s="12" t="s">
        <v>6625</v>
      </c>
      <c r="I368" s="12">
        <v>3811</v>
      </c>
      <c r="J368" s="12" t="s">
        <v>4230</v>
      </c>
      <c r="K368" s="12" t="s">
        <v>6652</v>
      </c>
      <c r="L368" s="12" t="s">
        <v>4177</v>
      </c>
      <c r="M368" s="12" t="s">
        <v>4194</v>
      </c>
      <c r="N368" s="12" t="s">
        <v>5785</v>
      </c>
      <c r="O368" s="12" t="s">
        <v>3913</v>
      </c>
      <c r="P368" s="12" t="s">
        <v>18</v>
      </c>
      <c r="Q368" s="12" t="s">
        <v>6653</v>
      </c>
      <c r="R368" s="12">
        <v>52.816666669999996</v>
      </c>
      <c r="S368" s="12">
        <v>60.466666670000002</v>
      </c>
      <c r="T368" s="12" t="s">
        <v>11</v>
      </c>
      <c r="U368" s="12" t="s">
        <v>1436</v>
      </c>
      <c r="V368" s="12" t="s">
        <v>755</v>
      </c>
      <c r="W368" s="12" t="s">
        <v>7415</v>
      </c>
      <c r="X368" s="12">
        <v>2.1309999999999998</v>
      </c>
      <c r="Y368" s="12">
        <v>829304</v>
      </c>
      <c r="Z368" s="12">
        <v>7.3699999999999998E-3</v>
      </c>
      <c r="AA368" s="12">
        <v>4.3626659973693771</v>
      </c>
      <c r="AB368" s="12" t="s">
        <v>4229</v>
      </c>
      <c r="AC368" s="12" t="s">
        <v>21</v>
      </c>
      <c r="AD368" s="12">
        <v>5.6000000000000001E-2</v>
      </c>
      <c r="AE368" s="12">
        <v>0.999</v>
      </c>
      <c r="AF368" s="12" t="s">
        <v>22</v>
      </c>
    </row>
    <row r="369" spans="1:32" x14ac:dyDescent="0.2">
      <c r="A369" s="12" t="s">
        <v>3765</v>
      </c>
      <c r="B369" s="12" t="s">
        <v>3766</v>
      </c>
      <c r="C369" s="12" t="s">
        <v>3767</v>
      </c>
      <c r="D369" s="12" t="s">
        <v>143</v>
      </c>
      <c r="E369" s="12" t="s">
        <v>7678</v>
      </c>
      <c r="F369" s="12" t="s">
        <v>5460</v>
      </c>
      <c r="G369" s="12" t="s">
        <v>141</v>
      </c>
      <c r="H369" s="12" t="s">
        <v>6614</v>
      </c>
      <c r="I369" s="12">
        <v>3808</v>
      </c>
      <c r="J369" s="12" t="s">
        <v>3768</v>
      </c>
      <c r="K369" s="12" t="s">
        <v>6652</v>
      </c>
      <c r="L369" s="12" t="s">
        <v>3760</v>
      </c>
      <c r="M369" s="12" t="s">
        <v>3760</v>
      </c>
      <c r="N369" s="12" t="s">
        <v>5785</v>
      </c>
      <c r="O369" s="12" t="s">
        <v>3769</v>
      </c>
      <c r="P369" s="12" t="s">
        <v>18</v>
      </c>
      <c r="Q369" s="12" t="s">
        <v>6653</v>
      </c>
      <c r="R369" s="16">
        <v>52.637</v>
      </c>
      <c r="S369" s="16">
        <v>59.536000000000001</v>
      </c>
      <c r="T369" s="12" t="s">
        <v>25</v>
      </c>
      <c r="U369" s="12" t="s">
        <v>1281</v>
      </c>
      <c r="V369" s="12" t="s">
        <v>6639</v>
      </c>
      <c r="W369" s="12" t="s">
        <v>6639</v>
      </c>
      <c r="X369" s="12">
        <v>2.3969999999999998</v>
      </c>
      <c r="Y369" s="12">
        <v>857114</v>
      </c>
      <c r="Z369" s="12" t="s">
        <v>6639</v>
      </c>
      <c r="AA369" s="12" t="s">
        <v>6639</v>
      </c>
      <c r="AB369" s="12" t="s">
        <v>17</v>
      </c>
      <c r="AC369" s="12" t="s">
        <v>144</v>
      </c>
      <c r="AD369" s="12" t="s">
        <v>17</v>
      </c>
      <c r="AE369" s="12" t="s">
        <v>17</v>
      </c>
      <c r="AF369" s="12" t="s">
        <v>45</v>
      </c>
    </row>
    <row r="370" spans="1:32" x14ac:dyDescent="0.2">
      <c r="A370" s="12" t="s">
        <v>4245</v>
      </c>
      <c r="B370" s="12" t="s">
        <v>4245</v>
      </c>
      <c r="C370" s="12" t="s">
        <v>6901</v>
      </c>
      <c r="D370" s="12" t="s">
        <v>105</v>
      </c>
      <c r="E370" s="12" t="s">
        <v>8110</v>
      </c>
      <c r="F370" s="12" t="s">
        <v>5460</v>
      </c>
      <c r="G370" s="12" t="s">
        <v>5454</v>
      </c>
      <c r="H370" s="12" t="s">
        <v>6626</v>
      </c>
      <c r="I370" s="12">
        <v>3803</v>
      </c>
      <c r="J370" s="12" t="s">
        <v>4248</v>
      </c>
      <c r="K370" s="12" t="s">
        <v>6652</v>
      </c>
      <c r="L370" s="12" t="s">
        <v>4177</v>
      </c>
      <c r="M370" s="12" t="s">
        <v>4246</v>
      </c>
      <c r="N370" s="12" t="s">
        <v>5785</v>
      </c>
      <c r="O370" s="12" t="s">
        <v>4249</v>
      </c>
      <c r="P370" s="12" t="s">
        <v>18</v>
      </c>
      <c r="Q370" s="12" t="s">
        <v>6653</v>
      </c>
      <c r="R370" s="12">
        <v>53.03</v>
      </c>
      <c r="S370" s="12">
        <v>50.39</v>
      </c>
      <c r="T370" s="12" t="s">
        <v>25</v>
      </c>
      <c r="U370" s="12" t="s">
        <v>538</v>
      </c>
      <c r="V370" s="12" t="s">
        <v>6639</v>
      </c>
      <c r="W370" s="12" t="s">
        <v>6639</v>
      </c>
      <c r="X370" s="12">
        <v>0.611429</v>
      </c>
      <c r="Y370" s="12">
        <v>513208</v>
      </c>
      <c r="Z370" s="12" t="s">
        <v>6639</v>
      </c>
      <c r="AA370" s="12" t="s">
        <v>6639</v>
      </c>
      <c r="AB370" s="12" t="s">
        <v>4247</v>
      </c>
      <c r="AC370" s="12" t="s">
        <v>340</v>
      </c>
      <c r="AD370" s="12" t="s">
        <v>7819</v>
      </c>
      <c r="AE370" s="12" t="s">
        <v>8065</v>
      </c>
      <c r="AF370" s="12" t="s">
        <v>45</v>
      </c>
    </row>
    <row r="371" spans="1:32" x14ac:dyDescent="0.2">
      <c r="A371" s="12" t="s">
        <v>3758</v>
      </c>
      <c r="B371" s="12" t="s">
        <v>3759</v>
      </c>
      <c r="C371" s="12" t="s">
        <v>3761</v>
      </c>
      <c r="D371" s="12" t="s">
        <v>143</v>
      </c>
      <c r="E371" s="12" t="s">
        <v>7678</v>
      </c>
      <c r="F371" s="12" t="s">
        <v>5460</v>
      </c>
      <c r="G371" s="12" t="s">
        <v>141</v>
      </c>
      <c r="H371" s="12" t="s">
        <v>6614</v>
      </c>
      <c r="I371" s="12">
        <v>3802</v>
      </c>
      <c r="J371" s="12" t="s">
        <v>3762</v>
      </c>
      <c r="K371" s="12" t="s">
        <v>6652</v>
      </c>
      <c r="L371" s="12" t="s">
        <v>3760</v>
      </c>
      <c r="M371" s="12" t="s">
        <v>3760</v>
      </c>
      <c r="N371" s="12" t="s">
        <v>5785</v>
      </c>
      <c r="O371" s="12" t="s">
        <v>3763</v>
      </c>
      <c r="P371" s="12" t="s">
        <v>18</v>
      </c>
      <c r="Q371" s="12" t="s">
        <v>6653</v>
      </c>
      <c r="R371" s="12">
        <v>52.453000000000003</v>
      </c>
      <c r="S371" s="12">
        <v>55.16</v>
      </c>
      <c r="T371" s="12" t="s">
        <v>25</v>
      </c>
      <c r="U371" s="12" t="s">
        <v>3764</v>
      </c>
      <c r="V371" s="12" t="s">
        <v>6639</v>
      </c>
      <c r="W371" s="12" t="s">
        <v>6639</v>
      </c>
      <c r="X371" s="12">
        <v>0.36299999999999999</v>
      </c>
      <c r="Y371" s="12">
        <v>325196</v>
      </c>
      <c r="Z371" s="12" t="s">
        <v>6639</v>
      </c>
      <c r="AA371" s="12" t="s">
        <v>6639</v>
      </c>
      <c r="AB371" s="12" t="s">
        <v>17</v>
      </c>
      <c r="AC371" s="12" t="s">
        <v>144</v>
      </c>
      <c r="AD371" s="12" t="s">
        <v>17</v>
      </c>
      <c r="AE371" s="12" t="s">
        <v>17</v>
      </c>
      <c r="AF371" s="12" t="s">
        <v>45</v>
      </c>
    </row>
    <row r="372" spans="1:32" x14ac:dyDescent="0.2">
      <c r="A372" s="12" t="s">
        <v>5166</v>
      </c>
      <c r="B372" s="12" t="s">
        <v>5166</v>
      </c>
      <c r="C372" s="12" t="s">
        <v>6816</v>
      </c>
      <c r="D372" s="12" t="s">
        <v>26</v>
      </c>
      <c r="E372" s="12" t="s">
        <v>8110</v>
      </c>
      <c r="F372" s="12" t="s">
        <v>5168</v>
      </c>
      <c r="G372" s="12" t="s">
        <v>5453</v>
      </c>
      <c r="H372" s="12" t="s">
        <v>6616</v>
      </c>
      <c r="I372" s="12">
        <v>3802</v>
      </c>
      <c r="J372" s="12" t="s">
        <v>5168</v>
      </c>
      <c r="K372" s="12" t="s">
        <v>6652</v>
      </c>
      <c r="L372" s="12" t="s">
        <v>5060</v>
      </c>
      <c r="M372" s="12" t="s">
        <v>5099</v>
      </c>
      <c r="N372" s="12" t="s">
        <v>5785</v>
      </c>
      <c r="O372" s="12" t="s">
        <v>4135</v>
      </c>
      <c r="P372" s="12" t="s">
        <v>1152</v>
      </c>
      <c r="Q372" s="12" t="s">
        <v>6653</v>
      </c>
      <c r="R372" s="12">
        <v>48.741750000000003</v>
      </c>
      <c r="S372" s="12">
        <v>76.995733329999993</v>
      </c>
      <c r="T372" s="12" t="s">
        <v>25</v>
      </c>
      <c r="U372" s="12" t="s">
        <v>36</v>
      </c>
      <c r="V372" s="12" t="s">
        <v>6639</v>
      </c>
      <c r="W372" s="12" t="s">
        <v>6639</v>
      </c>
      <c r="X372" s="12">
        <v>3.7999999999999999E-2</v>
      </c>
      <c r="Y372" s="12">
        <v>43000</v>
      </c>
      <c r="Z372" s="12" t="s">
        <v>6639</v>
      </c>
      <c r="AA372" s="12" t="s">
        <v>6639</v>
      </c>
      <c r="AB372" s="12" t="s">
        <v>5167</v>
      </c>
      <c r="AC372" s="12" t="s">
        <v>21</v>
      </c>
      <c r="AD372" s="12" t="s">
        <v>17</v>
      </c>
      <c r="AE372" s="12">
        <v>0.999</v>
      </c>
      <c r="AF372" s="12" t="s">
        <v>45</v>
      </c>
    </row>
    <row r="373" spans="1:32" x14ac:dyDescent="0.2">
      <c r="A373" s="12" t="s">
        <v>4231</v>
      </c>
      <c r="B373" s="12" t="s">
        <v>4231</v>
      </c>
      <c r="C373" s="12" t="s">
        <v>6749</v>
      </c>
      <c r="D373" s="12" t="s">
        <v>105</v>
      </c>
      <c r="E373" s="12" t="s">
        <v>8110</v>
      </c>
      <c r="F373" s="12" t="s">
        <v>5458</v>
      </c>
      <c r="G373" s="12" t="s">
        <v>5453</v>
      </c>
      <c r="H373" s="12" t="s">
        <v>6625</v>
      </c>
      <c r="I373" s="12">
        <v>3800</v>
      </c>
      <c r="J373" s="12" t="s">
        <v>6977</v>
      </c>
      <c r="K373" s="12" t="s">
        <v>6652</v>
      </c>
      <c r="L373" s="12" t="s">
        <v>4177</v>
      </c>
      <c r="M373" s="12" t="s">
        <v>4199</v>
      </c>
      <c r="N373" s="12" t="s">
        <v>5785</v>
      </c>
      <c r="O373" s="12" t="s">
        <v>3913</v>
      </c>
      <c r="P373" s="12" t="s">
        <v>18</v>
      </c>
      <c r="Q373" s="12" t="s">
        <v>6653</v>
      </c>
      <c r="R373" s="12">
        <v>52.816666669999996</v>
      </c>
      <c r="S373" s="12">
        <v>60.466666670000002</v>
      </c>
      <c r="T373" s="12" t="s">
        <v>11</v>
      </c>
      <c r="U373" s="12" t="s">
        <v>4233</v>
      </c>
      <c r="V373" s="12" t="s">
        <v>2787</v>
      </c>
      <c r="W373" s="12" t="s">
        <v>7415</v>
      </c>
      <c r="X373" s="12">
        <v>2.7102999999999999E-2</v>
      </c>
      <c r="Y373" s="12">
        <v>31802</v>
      </c>
      <c r="Z373" s="12" t="s">
        <v>8052</v>
      </c>
      <c r="AA373" s="12" t="s">
        <v>8052</v>
      </c>
      <c r="AB373" s="12" t="s">
        <v>4232</v>
      </c>
      <c r="AC373" s="12" t="s">
        <v>58</v>
      </c>
      <c r="AD373" s="12" t="s">
        <v>7887</v>
      </c>
      <c r="AE373" s="12" t="s">
        <v>7688</v>
      </c>
      <c r="AF373" s="12" t="s">
        <v>4234</v>
      </c>
    </row>
    <row r="374" spans="1:32" x14ac:dyDescent="0.2">
      <c r="A374" s="12" t="s">
        <v>4237</v>
      </c>
      <c r="B374" s="12" t="s">
        <v>4237</v>
      </c>
      <c r="C374" s="12" t="s">
        <v>6764</v>
      </c>
      <c r="D374" s="12" t="s">
        <v>105</v>
      </c>
      <c r="E374" s="12" t="s">
        <v>8110</v>
      </c>
      <c r="F374" s="12" t="s">
        <v>5458</v>
      </c>
      <c r="G374" s="12" t="s">
        <v>5453</v>
      </c>
      <c r="H374" s="12" t="s">
        <v>6625</v>
      </c>
      <c r="I374" s="12">
        <v>3800</v>
      </c>
      <c r="J374" s="12" t="s">
        <v>6977</v>
      </c>
      <c r="K374" s="12" t="s">
        <v>6652</v>
      </c>
      <c r="L374" s="12" t="s">
        <v>4177</v>
      </c>
      <c r="M374" s="12" t="s">
        <v>4199</v>
      </c>
      <c r="N374" s="12" t="s">
        <v>5785</v>
      </c>
      <c r="O374" s="12" t="s">
        <v>3913</v>
      </c>
      <c r="P374" s="12" t="s">
        <v>18</v>
      </c>
      <c r="Q374" s="12" t="s">
        <v>6653</v>
      </c>
      <c r="R374" s="12">
        <v>52.816666669999996</v>
      </c>
      <c r="S374" s="12">
        <v>60.466666670000002</v>
      </c>
      <c r="T374" s="12" t="s">
        <v>11</v>
      </c>
      <c r="U374" s="12" t="s">
        <v>1316</v>
      </c>
      <c r="V374" s="12" t="s">
        <v>2591</v>
      </c>
      <c r="W374" s="12" t="s">
        <v>7415</v>
      </c>
      <c r="X374" s="12">
        <v>0.10899399999999999</v>
      </c>
      <c r="Y374" s="12">
        <v>121752</v>
      </c>
      <c r="Z374" s="12" t="s">
        <v>8052</v>
      </c>
      <c r="AA374" s="12" t="s">
        <v>8052</v>
      </c>
      <c r="AB374" s="12" t="s">
        <v>4238</v>
      </c>
      <c r="AC374" s="12" t="s">
        <v>58</v>
      </c>
      <c r="AD374" s="12" t="s">
        <v>7909</v>
      </c>
      <c r="AE374" s="12" t="s">
        <v>7711</v>
      </c>
      <c r="AF374" s="12" t="s">
        <v>45</v>
      </c>
    </row>
    <row r="375" spans="1:32" x14ac:dyDescent="0.2">
      <c r="A375" s="12" t="s">
        <v>4235</v>
      </c>
      <c r="B375" s="12" t="s">
        <v>4235</v>
      </c>
      <c r="C375" s="12" t="s">
        <v>6751</v>
      </c>
      <c r="D375" s="12" t="s">
        <v>105</v>
      </c>
      <c r="E375" s="12" t="s">
        <v>8110</v>
      </c>
      <c r="F375" s="12" t="s">
        <v>5458</v>
      </c>
      <c r="G375" s="12" t="s">
        <v>5453</v>
      </c>
      <c r="H375" s="12" t="s">
        <v>6625</v>
      </c>
      <c r="I375" s="12">
        <v>3800</v>
      </c>
      <c r="J375" s="12" t="s">
        <v>6977</v>
      </c>
      <c r="K375" s="12" t="s">
        <v>6652</v>
      </c>
      <c r="L375" s="12" t="s">
        <v>4177</v>
      </c>
      <c r="M375" s="12" t="s">
        <v>4194</v>
      </c>
      <c r="N375" s="12" t="s">
        <v>5785</v>
      </c>
      <c r="O375" s="12" t="s">
        <v>3913</v>
      </c>
      <c r="P375" s="12" t="s">
        <v>18</v>
      </c>
      <c r="Q375" s="12" t="s">
        <v>6653</v>
      </c>
      <c r="R375" s="12">
        <v>52.816666669999996</v>
      </c>
      <c r="S375" s="12">
        <v>60.466666670000002</v>
      </c>
      <c r="T375" s="12" t="s">
        <v>25</v>
      </c>
      <c r="U375" s="12" t="s">
        <v>1056</v>
      </c>
      <c r="V375" s="12" t="s">
        <v>6639</v>
      </c>
      <c r="W375" s="12" t="s">
        <v>6639</v>
      </c>
      <c r="X375" s="12">
        <v>0.50610299999999997</v>
      </c>
      <c r="Y375" s="12">
        <v>435799</v>
      </c>
      <c r="Z375" s="12" t="s">
        <v>6639</v>
      </c>
      <c r="AA375" s="12" t="s">
        <v>6639</v>
      </c>
      <c r="AB375" s="12" t="s">
        <v>4236</v>
      </c>
      <c r="AC375" s="12" t="s">
        <v>58</v>
      </c>
      <c r="AD375" s="12" t="s">
        <v>7914</v>
      </c>
      <c r="AE375" s="12" t="s">
        <v>7690</v>
      </c>
      <c r="AF375" s="12" t="s">
        <v>45</v>
      </c>
    </row>
    <row r="376" spans="1:32" x14ac:dyDescent="0.2">
      <c r="A376" s="12" t="s">
        <v>5211</v>
      </c>
      <c r="B376" s="12" t="s">
        <v>5211</v>
      </c>
      <c r="C376" s="12" t="s">
        <v>6767</v>
      </c>
      <c r="D376" s="12" t="s">
        <v>105</v>
      </c>
      <c r="E376" s="12" t="s">
        <v>8110</v>
      </c>
      <c r="F376" s="12" t="s">
        <v>5458</v>
      </c>
      <c r="G376" s="12" t="s">
        <v>5453</v>
      </c>
      <c r="H376" s="12" t="s">
        <v>6625</v>
      </c>
      <c r="I376" s="12">
        <v>3800</v>
      </c>
      <c r="J376" s="12" t="s">
        <v>6977</v>
      </c>
      <c r="K376" s="12" t="s">
        <v>6652</v>
      </c>
      <c r="L376" s="12" t="s">
        <v>5060</v>
      </c>
      <c r="M376" s="12" t="s">
        <v>5059</v>
      </c>
      <c r="N376" s="12" t="s">
        <v>5785</v>
      </c>
      <c r="O376" s="12" t="s">
        <v>3913</v>
      </c>
      <c r="P376" s="12" t="s">
        <v>18</v>
      </c>
      <c r="Q376" s="12" t="s">
        <v>6653</v>
      </c>
      <c r="R376" s="12">
        <v>52.816666669999996</v>
      </c>
      <c r="S376" s="12">
        <v>60.466666670000002</v>
      </c>
      <c r="T376" s="12" t="s">
        <v>25</v>
      </c>
      <c r="U376" s="12" t="s">
        <v>1302</v>
      </c>
      <c r="V376" s="12" t="s">
        <v>6639</v>
      </c>
      <c r="W376" s="12" t="s">
        <v>6639</v>
      </c>
      <c r="X376" s="12">
        <v>4.6524000000000003E-2</v>
      </c>
      <c r="Y376" s="12">
        <v>53300</v>
      </c>
      <c r="Z376" s="12" t="s">
        <v>6639</v>
      </c>
      <c r="AA376" s="12" t="s">
        <v>6639</v>
      </c>
      <c r="AB376" s="12" t="s">
        <v>5212</v>
      </c>
      <c r="AC376" s="12" t="s">
        <v>58</v>
      </c>
      <c r="AD376" s="12" t="s">
        <v>7901</v>
      </c>
      <c r="AE376" s="12" t="s">
        <v>7698</v>
      </c>
      <c r="AF376" s="12" t="s">
        <v>45</v>
      </c>
    </row>
    <row r="377" spans="1:32" x14ac:dyDescent="0.2">
      <c r="A377" s="12" t="s">
        <v>5203</v>
      </c>
      <c r="B377" s="12" t="s">
        <v>5203</v>
      </c>
      <c r="C377" s="12" t="s">
        <v>6762</v>
      </c>
      <c r="D377" s="12" t="s">
        <v>105</v>
      </c>
      <c r="E377" s="12" t="s">
        <v>8110</v>
      </c>
      <c r="F377" s="12" t="s">
        <v>5458</v>
      </c>
      <c r="G377" s="12" t="s">
        <v>5453</v>
      </c>
      <c r="H377" s="12" t="s">
        <v>6625</v>
      </c>
      <c r="I377" s="12">
        <v>3800</v>
      </c>
      <c r="J377" s="12" t="s">
        <v>6977</v>
      </c>
      <c r="K377" s="12" t="s">
        <v>6652</v>
      </c>
      <c r="L377" s="12" t="s">
        <v>5060</v>
      </c>
      <c r="M377" s="12" t="s">
        <v>5059</v>
      </c>
      <c r="N377" s="12" t="s">
        <v>5785</v>
      </c>
      <c r="O377" s="12" t="s">
        <v>3913</v>
      </c>
      <c r="P377" s="12" t="s">
        <v>18</v>
      </c>
      <c r="Q377" s="12" t="s">
        <v>6653</v>
      </c>
      <c r="R377" s="16">
        <v>52.816666669999996</v>
      </c>
      <c r="S377" s="16">
        <v>60.466666670000002</v>
      </c>
      <c r="T377" s="12" t="s">
        <v>11</v>
      </c>
      <c r="U377" s="12" t="s">
        <v>5149</v>
      </c>
      <c r="V377" s="12" t="s">
        <v>392</v>
      </c>
      <c r="W377" s="12" t="s">
        <v>7415</v>
      </c>
      <c r="X377" s="12">
        <v>5.4175000000000001E-2</v>
      </c>
      <c r="Y377" s="12">
        <v>62743</v>
      </c>
      <c r="Z377" s="12" t="s">
        <v>8052</v>
      </c>
      <c r="AA377" s="12" t="s">
        <v>8052</v>
      </c>
      <c r="AB377" s="12" t="s">
        <v>5204</v>
      </c>
      <c r="AC377" s="12" t="s">
        <v>58</v>
      </c>
      <c r="AD377" s="12" t="s">
        <v>7893</v>
      </c>
      <c r="AE377" s="12" t="s">
        <v>7690</v>
      </c>
      <c r="AF377" s="12" t="s">
        <v>45</v>
      </c>
    </row>
    <row r="378" spans="1:32" x14ac:dyDescent="0.2">
      <c r="A378" s="12" t="s">
        <v>5197</v>
      </c>
      <c r="B378" s="12" t="s">
        <v>5197</v>
      </c>
      <c r="C378" s="12" t="s">
        <v>6750</v>
      </c>
      <c r="D378" s="12" t="s">
        <v>105</v>
      </c>
      <c r="E378" s="12" t="s">
        <v>8110</v>
      </c>
      <c r="F378" s="12" t="s">
        <v>5458</v>
      </c>
      <c r="G378" s="12" t="s">
        <v>5453</v>
      </c>
      <c r="H378" s="12" t="s">
        <v>6625</v>
      </c>
      <c r="I378" s="12">
        <v>3800</v>
      </c>
      <c r="J378" s="12" t="s">
        <v>6977</v>
      </c>
      <c r="K378" s="12" t="s">
        <v>6652</v>
      </c>
      <c r="L378" s="12" t="s">
        <v>5060</v>
      </c>
      <c r="M378" s="12" t="s">
        <v>5059</v>
      </c>
      <c r="N378" s="12" t="s">
        <v>5785</v>
      </c>
      <c r="O378" s="12" t="s">
        <v>3913</v>
      </c>
      <c r="P378" s="12" t="s">
        <v>18</v>
      </c>
      <c r="Q378" s="12" t="s">
        <v>6653</v>
      </c>
      <c r="R378" s="12">
        <v>52.816666669999996</v>
      </c>
      <c r="S378" s="12">
        <v>60.466666670000002</v>
      </c>
      <c r="T378" s="12" t="s">
        <v>25</v>
      </c>
      <c r="U378" s="12" t="s">
        <v>4197</v>
      </c>
      <c r="V378" s="12" t="s">
        <v>6639</v>
      </c>
      <c r="W378" s="12" t="s">
        <v>6639</v>
      </c>
      <c r="X378" s="12">
        <v>6.5777000000000002E-2</v>
      </c>
      <c r="Y378" s="12">
        <v>74303</v>
      </c>
      <c r="Z378" s="12" t="s">
        <v>6639</v>
      </c>
      <c r="AA378" s="12" t="s">
        <v>6639</v>
      </c>
      <c r="AB378" s="12" t="s">
        <v>5198</v>
      </c>
      <c r="AC378" s="12" t="s">
        <v>21</v>
      </c>
      <c r="AD378" s="12">
        <v>3.7999999999999999E-2</v>
      </c>
      <c r="AE378" s="12">
        <v>0.999</v>
      </c>
      <c r="AF378" s="12" t="s">
        <v>45</v>
      </c>
    </row>
    <row r="379" spans="1:32" x14ac:dyDescent="0.2">
      <c r="A379" s="12" t="s">
        <v>5205</v>
      </c>
      <c r="B379" s="12" t="s">
        <v>5205</v>
      </c>
      <c r="C379" s="12" t="s">
        <v>6763</v>
      </c>
      <c r="D379" s="12" t="s">
        <v>105</v>
      </c>
      <c r="E379" s="12" t="s">
        <v>8110</v>
      </c>
      <c r="F379" s="12" t="s">
        <v>5458</v>
      </c>
      <c r="G379" s="12" t="s">
        <v>5453</v>
      </c>
      <c r="H379" s="12" t="s">
        <v>6625</v>
      </c>
      <c r="I379" s="12">
        <v>3800</v>
      </c>
      <c r="J379" s="12" t="s">
        <v>6977</v>
      </c>
      <c r="K379" s="12" t="s">
        <v>6652</v>
      </c>
      <c r="L379" s="12" t="s">
        <v>5060</v>
      </c>
      <c r="M379" s="12" t="s">
        <v>5059</v>
      </c>
      <c r="N379" s="12" t="s">
        <v>5785</v>
      </c>
      <c r="O379" s="12" t="s">
        <v>3913</v>
      </c>
      <c r="P379" s="12" t="s">
        <v>18</v>
      </c>
      <c r="Q379" s="12" t="s">
        <v>6653</v>
      </c>
      <c r="R379" s="12">
        <v>52.816666669999996</v>
      </c>
      <c r="S379" s="12">
        <v>60.466666670000002</v>
      </c>
      <c r="T379" s="12" t="s">
        <v>11</v>
      </c>
      <c r="U379" s="12" t="s">
        <v>2782</v>
      </c>
      <c r="V379" s="12" t="s">
        <v>1266</v>
      </c>
      <c r="W379" s="12" t="s">
        <v>7415</v>
      </c>
      <c r="X379" s="12">
        <v>6.9186999999999999E-2</v>
      </c>
      <c r="Y379" s="12">
        <v>79292</v>
      </c>
      <c r="Z379" s="12" t="s">
        <v>8052</v>
      </c>
      <c r="AA379" s="12" t="s">
        <v>8052</v>
      </c>
      <c r="AB379" s="12" t="s">
        <v>5206</v>
      </c>
      <c r="AC379" s="12" t="s">
        <v>58</v>
      </c>
      <c r="AD379" s="12" t="s">
        <v>7903</v>
      </c>
      <c r="AE379" s="12" t="s">
        <v>7690</v>
      </c>
      <c r="AF379" s="12" t="s">
        <v>45</v>
      </c>
    </row>
    <row r="380" spans="1:32" x14ac:dyDescent="0.2">
      <c r="A380" s="12" t="s">
        <v>5186</v>
      </c>
      <c r="B380" s="12" t="s">
        <v>5186</v>
      </c>
      <c r="C380" s="12" t="s">
        <v>6743</v>
      </c>
      <c r="D380" s="12" t="s">
        <v>105</v>
      </c>
      <c r="E380" s="12" t="s">
        <v>8110</v>
      </c>
      <c r="F380" s="12" t="s">
        <v>5458</v>
      </c>
      <c r="G380" s="12" t="s">
        <v>5453</v>
      </c>
      <c r="H380" s="12" t="s">
        <v>6625</v>
      </c>
      <c r="I380" s="12">
        <v>3800</v>
      </c>
      <c r="J380" s="12" t="s">
        <v>6977</v>
      </c>
      <c r="K380" s="12" t="s">
        <v>6652</v>
      </c>
      <c r="L380" s="12" t="s">
        <v>5060</v>
      </c>
      <c r="M380" s="12" t="s">
        <v>5059</v>
      </c>
      <c r="N380" s="12" t="s">
        <v>5785</v>
      </c>
      <c r="O380" s="12" t="s">
        <v>3913</v>
      </c>
      <c r="P380" s="12" t="s">
        <v>18</v>
      </c>
      <c r="Q380" s="12" t="s">
        <v>6653</v>
      </c>
      <c r="R380" s="12">
        <v>52.816666669999996</v>
      </c>
      <c r="S380" s="12">
        <v>60.466666670000002</v>
      </c>
      <c r="T380" s="12" t="s">
        <v>25</v>
      </c>
      <c r="U380" s="12" t="s">
        <v>5188</v>
      </c>
      <c r="V380" s="12" t="s">
        <v>6639</v>
      </c>
      <c r="W380" s="12" t="s">
        <v>6639</v>
      </c>
      <c r="X380" s="12">
        <v>7.6196E-2</v>
      </c>
      <c r="Y380" s="12">
        <v>85607</v>
      </c>
      <c r="Z380" s="12" t="s">
        <v>6639</v>
      </c>
      <c r="AA380" s="12" t="s">
        <v>6639</v>
      </c>
      <c r="AB380" s="12" t="s">
        <v>5187</v>
      </c>
      <c r="AC380" s="12" t="s">
        <v>58</v>
      </c>
      <c r="AD380" s="12" t="s">
        <v>7886</v>
      </c>
      <c r="AE380" s="12" t="s">
        <v>7690</v>
      </c>
      <c r="AF380" s="12" t="s">
        <v>45</v>
      </c>
    </row>
    <row r="381" spans="1:32" x14ac:dyDescent="0.2">
      <c r="A381" s="12" t="s">
        <v>5189</v>
      </c>
      <c r="B381" s="12" t="s">
        <v>5189</v>
      </c>
      <c r="C381" s="12" t="s">
        <v>6744</v>
      </c>
      <c r="D381" s="12" t="s">
        <v>105</v>
      </c>
      <c r="E381" s="12" t="s">
        <v>8110</v>
      </c>
      <c r="F381" s="12" t="s">
        <v>5458</v>
      </c>
      <c r="G381" s="12" t="s">
        <v>5453</v>
      </c>
      <c r="H381" s="12" t="s">
        <v>6625</v>
      </c>
      <c r="I381" s="12">
        <v>3800</v>
      </c>
      <c r="J381" s="12" t="s">
        <v>6977</v>
      </c>
      <c r="K381" s="12" t="s">
        <v>6652</v>
      </c>
      <c r="L381" s="12" t="s">
        <v>5060</v>
      </c>
      <c r="M381" s="12" t="s">
        <v>5059</v>
      </c>
      <c r="N381" s="12" t="s">
        <v>5785</v>
      </c>
      <c r="O381" s="12" t="s">
        <v>3913</v>
      </c>
      <c r="P381" s="12" t="s">
        <v>18</v>
      </c>
      <c r="Q381" s="12" t="s">
        <v>6653</v>
      </c>
      <c r="R381" s="12">
        <v>52.816666669999996</v>
      </c>
      <c r="S381" s="12">
        <v>60.466666670000002</v>
      </c>
      <c r="T381" s="12" t="s">
        <v>25</v>
      </c>
      <c r="U381" s="12" t="s">
        <v>1338</v>
      </c>
      <c r="V381" s="12" t="s">
        <v>6639</v>
      </c>
      <c r="W381" s="12" t="s">
        <v>6639</v>
      </c>
      <c r="X381" s="12">
        <v>9.8218E-2</v>
      </c>
      <c r="Y381" s="12">
        <v>108935</v>
      </c>
      <c r="Z381" s="12" t="s">
        <v>6639</v>
      </c>
      <c r="AA381" s="12" t="s">
        <v>6639</v>
      </c>
      <c r="AB381" s="12" t="s">
        <v>5190</v>
      </c>
      <c r="AC381" s="12" t="s">
        <v>58</v>
      </c>
      <c r="AD381" s="12" t="s">
        <v>7888</v>
      </c>
      <c r="AE381" s="12" t="s">
        <v>7708</v>
      </c>
      <c r="AF381" s="12" t="s">
        <v>45</v>
      </c>
    </row>
    <row r="382" spans="1:32" x14ac:dyDescent="0.2">
      <c r="A382" s="12" t="s">
        <v>5199</v>
      </c>
      <c r="B382" s="12" t="s">
        <v>5199</v>
      </c>
      <c r="C382" s="12" t="s">
        <v>6759</v>
      </c>
      <c r="D382" s="12" t="s">
        <v>105</v>
      </c>
      <c r="E382" s="12" t="s">
        <v>8110</v>
      </c>
      <c r="F382" s="12" t="s">
        <v>5458</v>
      </c>
      <c r="G382" s="12" t="s">
        <v>5453</v>
      </c>
      <c r="H382" s="12" t="s">
        <v>6625</v>
      </c>
      <c r="I382" s="12">
        <v>3800</v>
      </c>
      <c r="J382" s="12" t="s">
        <v>6977</v>
      </c>
      <c r="K382" s="12" t="s">
        <v>6652</v>
      </c>
      <c r="L382" s="12" t="s">
        <v>5060</v>
      </c>
      <c r="M382" s="12" t="s">
        <v>5059</v>
      </c>
      <c r="N382" s="12" t="s">
        <v>5785</v>
      </c>
      <c r="O382" s="12" t="s">
        <v>3913</v>
      </c>
      <c r="P382" s="12" t="s">
        <v>18</v>
      </c>
      <c r="Q382" s="12" t="s">
        <v>6653</v>
      </c>
      <c r="R382" s="12">
        <v>52.816666669999996</v>
      </c>
      <c r="S382" s="12">
        <v>60.466666670000002</v>
      </c>
      <c r="T382" s="12" t="s">
        <v>11</v>
      </c>
      <c r="U382" s="12" t="s">
        <v>1272</v>
      </c>
      <c r="V382" s="12" t="s">
        <v>1619</v>
      </c>
      <c r="W382" s="12" t="s">
        <v>7415</v>
      </c>
      <c r="X382" s="12">
        <v>0.11706999999999999</v>
      </c>
      <c r="Y382" s="12">
        <v>130945</v>
      </c>
      <c r="Z382" s="12" t="s">
        <v>8052</v>
      </c>
      <c r="AA382" s="12" t="s">
        <v>8052</v>
      </c>
      <c r="AB382" s="12" t="s">
        <v>5200</v>
      </c>
      <c r="AC382" s="12" t="s">
        <v>58</v>
      </c>
      <c r="AD382" s="12" t="s">
        <v>7899</v>
      </c>
      <c r="AE382" s="12" t="s">
        <v>7712</v>
      </c>
      <c r="AF382" s="12" t="s">
        <v>45</v>
      </c>
    </row>
    <row r="383" spans="1:32" x14ac:dyDescent="0.2">
      <c r="A383" s="12" t="s">
        <v>5193</v>
      </c>
      <c r="B383" s="12" t="s">
        <v>5193</v>
      </c>
      <c r="C383" s="12" t="s">
        <v>6747</v>
      </c>
      <c r="D383" s="12" t="s">
        <v>105</v>
      </c>
      <c r="E383" s="12" t="s">
        <v>8110</v>
      </c>
      <c r="F383" s="12" t="s">
        <v>5458</v>
      </c>
      <c r="G383" s="12" t="s">
        <v>5453</v>
      </c>
      <c r="H383" s="12" t="s">
        <v>6625</v>
      </c>
      <c r="I383" s="12">
        <v>3800</v>
      </c>
      <c r="J383" s="12" t="s">
        <v>6977</v>
      </c>
      <c r="K383" s="12" t="s">
        <v>6652</v>
      </c>
      <c r="L383" s="12" t="s">
        <v>5060</v>
      </c>
      <c r="M383" s="12" t="s">
        <v>5059</v>
      </c>
      <c r="N383" s="12" t="s">
        <v>5785</v>
      </c>
      <c r="O383" s="12" t="s">
        <v>3913</v>
      </c>
      <c r="P383" s="12" t="s">
        <v>18</v>
      </c>
      <c r="Q383" s="12" t="s">
        <v>6653</v>
      </c>
      <c r="R383" s="12">
        <v>52.816666669999996</v>
      </c>
      <c r="S383" s="12">
        <v>60.466666670000002</v>
      </c>
      <c r="T383" s="12" t="s">
        <v>11</v>
      </c>
      <c r="U383" s="12" t="s">
        <v>605</v>
      </c>
      <c r="V383" s="12" t="s">
        <v>1619</v>
      </c>
      <c r="W383" s="12" t="s">
        <v>7415</v>
      </c>
      <c r="X383" s="12">
        <v>0.13525100000000001</v>
      </c>
      <c r="Y383" s="12">
        <v>149118</v>
      </c>
      <c r="Z383" s="12" t="s">
        <v>8052</v>
      </c>
      <c r="AA383" s="12" t="s">
        <v>8052</v>
      </c>
      <c r="AB383" s="12" t="s">
        <v>5194</v>
      </c>
      <c r="AC383" s="12" t="s">
        <v>58</v>
      </c>
      <c r="AD383" s="12" t="s">
        <v>7902</v>
      </c>
      <c r="AE383" s="12" t="s">
        <v>7690</v>
      </c>
      <c r="AF383" s="12" t="s">
        <v>45</v>
      </c>
    </row>
    <row r="384" spans="1:32" x14ac:dyDescent="0.2">
      <c r="A384" s="12" t="s">
        <v>5227</v>
      </c>
      <c r="B384" s="12" t="s">
        <v>5227</v>
      </c>
      <c r="C384" s="12" t="s">
        <v>5228</v>
      </c>
      <c r="D384" s="12" t="s">
        <v>105</v>
      </c>
      <c r="E384" s="12" t="s">
        <v>8110</v>
      </c>
      <c r="F384" s="12" t="s">
        <v>5458</v>
      </c>
      <c r="G384" s="12" t="s">
        <v>5453</v>
      </c>
      <c r="H384" s="12" t="s">
        <v>6625</v>
      </c>
      <c r="I384" s="12">
        <v>3800</v>
      </c>
      <c r="J384" s="12" t="s">
        <v>6977</v>
      </c>
      <c r="K384" s="12" t="s">
        <v>6652</v>
      </c>
      <c r="L384" s="12" t="s">
        <v>5060</v>
      </c>
      <c r="M384" s="12" t="s">
        <v>5059</v>
      </c>
      <c r="N384" s="12" t="s">
        <v>5785</v>
      </c>
      <c r="O384" s="12" t="s">
        <v>3913</v>
      </c>
      <c r="P384" s="12" t="s">
        <v>18</v>
      </c>
      <c r="Q384" s="12" t="s">
        <v>6653</v>
      </c>
      <c r="R384" s="12">
        <v>52.816666669999996</v>
      </c>
      <c r="S384" s="12">
        <v>60.466666670000002</v>
      </c>
      <c r="T384" s="12" t="s">
        <v>25</v>
      </c>
      <c r="U384" s="12" t="s">
        <v>1293</v>
      </c>
      <c r="V384" s="12" t="s">
        <v>6639</v>
      </c>
      <c r="W384" s="12" t="s">
        <v>6639</v>
      </c>
      <c r="X384" s="12">
        <v>0.158</v>
      </c>
      <c r="Y384" s="12">
        <v>159289</v>
      </c>
      <c r="Z384" s="12" t="s">
        <v>6639</v>
      </c>
      <c r="AA384" s="12" t="s">
        <v>6639</v>
      </c>
      <c r="AB384" s="12" t="s">
        <v>5229</v>
      </c>
      <c r="AC384" s="12" t="s">
        <v>21</v>
      </c>
      <c r="AD384" s="12">
        <v>4.4999999999999998E-2</v>
      </c>
      <c r="AE384" s="12">
        <v>0.997</v>
      </c>
      <c r="AF384" s="12" t="s">
        <v>45</v>
      </c>
    </row>
    <row r="385" spans="1:32" x14ac:dyDescent="0.2">
      <c r="A385" s="12" t="s">
        <v>5232</v>
      </c>
      <c r="B385" s="12" t="s">
        <v>5232</v>
      </c>
      <c r="C385" s="12" t="s">
        <v>5233</v>
      </c>
      <c r="D385" s="12" t="s">
        <v>105</v>
      </c>
      <c r="E385" s="12" t="s">
        <v>8110</v>
      </c>
      <c r="F385" s="12" t="s">
        <v>5458</v>
      </c>
      <c r="G385" s="12" t="s">
        <v>5453</v>
      </c>
      <c r="H385" s="12" t="s">
        <v>6625</v>
      </c>
      <c r="I385" s="12">
        <v>3800</v>
      </c>
      <c r="J385" s="12" t="s">
        <v>6977</v>
      </c>
      <c r="K385" s="12" t="s">
        <v>6652</v>
      </c>
      <c r="L385" s="12" t="s">
        <v>5060</v>
      </c>
      <c r="M385" s="12" t="s">
        <v>5059</v>
      </c>
      <c r="N385" s="12" t="s">
        <v>5785</v>
      </c>
      <c r="O385" s="12" t="s">
        <v>3913</v>
      </c>
      <c r="P385" s="12" t="s">
        <v>18</v>
      </c>
      <c r="Q385" s="12" t="s">
        <v>6653</v>
      </c>
      <c r="R385" s="12">
        <v>52.816666669999996</v>
      </c>
      <c r="S385" s="12">
        <v>60.466666670000002</v>
      </c>
      <c r="T385" s="12" t="s">
        <v>25</v>
      </c>
      <c r="U385" s="12" t="s">
        <v>1302</v>
      </c>
      <c r="V385" s="12" t="s">
        <v>6639</v>
      </c>
      <c r="W385" s="12" t="s">
        <v>6639</v>
      </c>
      <c r="X385" s="12">
        <v>0.16</v>
      </c>
      <c r="Y385" s="12">
        <v>170444</v>
      </c>
      <c r="Z385" s="12" t="s">
        <v>6639</v>
      </c>
      <c r="AA385" s="12" t="s">
        <v>6639</v>
      </c>
      <c r="AB385" s="12" t="s">
        <v>5234</v>
      </c>
      <c r="AC385" s="12" t="s">
        <v>21</v>
      </c>
      <c r="AD385" s="12">
        <v>7.0999999999999994E-2</v>
      </c>
      <c r="AE385" s="12">
        <v>0.98799999999999999</v>
      </c>
      <c r="AF385" s="12" t="s">
        <v>45</v>
      </c>
    </row>
    <row r="386" spans="1:32" x14ac:dyDescent="0.2">
      <c r="A386" s="12" t="s">
        <v>5238</v>
      </c>
      <c r="B386" s="12" t="s">
        <v>5238</v>
      </c>
      <c r="C386" s="12" t="s">
        <v>5239</v>
      </c>
      <c r="D386" s="12" t="s">
        <v>105</v>
      </c>
      <c r="E386" s="12" t="s">
        <v>8110</v>
      </c>
      <c r="F386" s="12" t="s">
        <v>5458</v>
      </c>
      <c r="G386" s="12" t="s">
        <v>5453</v>
      </c>
      <c r="H386" s="12" t="s">
        <v>6625</v>
      </c>
      <c r="I386" s="12">
        <v>3800</v>
      </c>
      <c r="J386" s="12" t="s">
        <v>6977</v>
      </c>
      <c r="K386" s="12" t="s">
        <v>6652</v>
      </c>
      <c r="L386" s="12" t="s">
        <v>5060</v>
      </c>
      <c r="M386" s="12" t="s">
        <v>5059</v>
      </c>
      <c r="N386" s="12" t="s">
        <v>5785</v>
      </c>
      <c r="O386" s="12" t="s">
        <v>3913</v>
      </c>
      <c r="P386" s="12" t="s">
        <v>18</v>
      </c>
      <c r="Q386" s="12" t="s">
        <v>6653</v>
      </c>
      <c r="R386" s="12">
        <v>52.816666669999996</v>
      </c>
      <c r="S386" s="12">
        <v>60.466666670000002</v>
      </c>
      <c r="T386" s="12" t="s">
        <v>11</v>
      </c>
      <c r="U386" s="12" t="s">
        <v>2459</v>
      </c>
      <c r="V386" s="12" t="s">
        <v>606</v>
      </c>
      <c r="W386" s="12" t="s">
        <v>7415</v>
      </c>
      <c r="X386" s="12">
        <v>0.16400000000000001</v>
      </c>
      <c r="Y386" s="12">
        <v>171414</v>
      </c>
      <c r="Z386" s="12" t="s">
        <v>8052</v>
      </c>
      <c r="AA386" s="12" t="s">
        <v>8052</v>
      </c>
      <c r="AB386" s="12" t="s">
        <v>5240</v>
      </c>
      <c r="AC386" s="12" t="s">
        <v>21</v>
      </c>
      <c r="AD386" s="12">
        <v>5.0999999999999997E-2</v>
      </c>
      <c r="AE386" s="12">
        <v>0.98799999999999999</v>
      </c>
      <c r="AF386" s="12" t="s">
        <v>45</v>
      </c>
    </row>
    <row r="387" spans="1:32" x14ac:dyDescent="0.2">
      <c r="A387" s="12" t="s">
        <v>5219</v>
      </c>
      <c r="B387" s="12" t="s">
        <v>5219</v>
      </c>
      <c r="C387" s="12" t="s">
        <v>5220</v>
      </c>
      <c r="D387" s="12" t="s">
        <v>105</v>
      </c>
      <c r="E387" s="12" t="s">
        <v>8110</v>
      </c>
      <c r="F387" s="12" t="s">
        <v>5458</v>
      </c>
      <c r="G387" s="12" t="s">
        <v>5453</v>
      </c>
      <c r="H387" s="12" t="s">
        <v>6625</v>
      </c>
      <c r="I387" s="12">
        <v>3800</v>
      </c>
      <c r="J387" s="12" t="s">
        <v>6977</v>
      </c>
      <c r="K387" s="12" t="s">
        <v>6652</v>
      </c>
      <c r="L387" s="12" t="s">
        <v>5060</v>
      </c>
      <c r="M387" s="12" t="s">
        <v>5059</v>
      </c>
      <c r="N387" s="12" t="s">
        <v>5785</v>
      </c>
      <c r="O387" s="12" t="s">
        <v>3913</v>
      </c>
      <c r="P387" s="12" t="s">
        <v>18</v>
      </c>
      <c r="Q387" s="12" t="s">
        <v>6653</v>
      </c>
      <c r="R387" s="12">
        <v>52.816666669999996</v>
      </c>
      <c r="S387" s="12">
        <v>60.466666670000002</v>
      </c>
      <c r="T387" s="12" t="s">
        <v>25</v>
      </c>
      <c r="U387" s="12" t="s">
        <v>4184</v>
      </c>
      <c r="V387" s="12" t="s">
        <v>6639</v>
      </c>
      <c r="W387" s="12" t="s">
        <v>6639</v>
      </c>
      <c r="X387" s="12">
        <v>0.215</v>
      </c>
      <c r="Y387" s="12">
        <v>217559</v>
      </c>
      <c r="Z387" s="12" t="s">
        <v>6639</v>
      </c>
      <c r="AA387" s="12" t="s">
        <v>6639</v>
      </c>
      <c r="AB387" s="12" t="s">
        <v>5221</v>
      </c>
      <c r="AC387" s="12" t="s">
        <v>21</v>
      </c>
      <c r="AD387" s="12">
        <v>7.6999999999999999E-2</v>
      </c>
      <c r="AE387" s="12">
        <v>0.995</v>
      </c>
      <c r="AF387" s="12" t="s">
        <v>45</v>
      </c>
    </row>
    <row r="388" spans="1:32" x14ac:dyDescent="0.2">
      <c r="A388" s="12" t="s">
        <v>5201</v>
      </c>
      <c r="B388" s="12" t="s">
        <v>5201</v>
      </c>
      <c r="C388" s="12" t="s">
        <v>6761</v>
      </c>
      <c r="D388" s="12" t="s">
        <v>105</v>
      </c>
      <c r="E388" s="12" t="s">
        <v>8110</v>
      </c>
      <c r="F388" s="12" t="s">
        <v>5458</v>
      </c>
      <c r="G388" s="12" t="s">
        <v>5453</v>
      </c>
      <c r="H388" s="12" t="s">
        <v>6625</v>
      </c>
      <c r="I388" s="12">
        <v>3800</v>
      </c>
      <c r="J388" s="12" t="s">
        <v>6977</v>
      </c>
      <c r="K388" s="12" t="s">
        <v>6652</v>
      </c>
      <c r="L388" s="12" t="s">
        <v>5060</v>
      </c>
      <c r="M388" s="12" t="s">
        <v>5059</v>
      </c>
      <c r="N388" s="12" t="s">
        <v>5785</v>
      </c>
      <c r="O388" s="12" t="s">
        <v>3913</v>
      </c>
      <c r="P388" s="12" t="s">
        <v>18</v>
      </c>
      <c r="Q388" s="12" t="s">
        <v>6653</v>
      </c>
      <c r="R388" s="12">
        <v>52.816666669999996</v>
      </c>
      <c r="S388" s="12">
        <v>60.466666670000002</v>
      </c>
      <c r="T388" s="12" t="s">
        <v>11</v>
      </c>
      <c r="U388" s="12" t="s">
        <v>1272</v>
      </c>
      <c r="V388" s="12" t="s">
        <v>1619</v>
      </c>
      <c r="W388" s="12" t="s">
        <v>7160</v>
      </c>
      <c r="X388" s="12">
        <v>0.21159900000000001</v>
      </c>
      <c r="Y388" s="12">
        <v>222411</v>
      </c>
      <c r="Z388" s="12" t="s">
        <v>8052</v>
      </c>
      <c r="AA388" s="12" t="s">
        <v>8052</v>
      </c>
      <c r="AB388" s="12" t="s">
        <v>5202</v>
      </c>
      <c r="AC388" s="12" t="s">
        <v>58</v>
      </c>
      <c r="AD388" s="12" t="s">
        <v>7905</v>
      </c>
      <c r="AE388" s="12" t="s">
        <v>7690</v>
      </c>
      <c r="AF388" s="12" t="s">
        <v>45</v>
      </c>
    </row>
    <row r="389" spans="1:32" x14ac:dyDescent="0.2">
      <c r="A389" s="12" t="s">
        <v>5230</v>
      </c>
      <c r="B389" s="12" t="s">
        <v>5230</v>
      </c>
      <c r="C389" s="12" t="s">
        <v>6770</v>
      </c>
      <c r="D389" s="12" t="s">
        <v>105</v>
      </c>
      <c r="E389" s="12" t="s">
        <v>8110</v>
      </c>
      <c r="F389" s="12" t="s">
        <v>5458</v>
      </c>
      <c r="G389" s="12" t="s">
        <v>5453</v>
      </c>
      <c r="H389" s="12" t="s">
        <v>6625</v>
      </c>
      <c r="I389" s="12">
        <v>3800</v>
      </c>
      <c r="J389" s="12" t="s">
        <v>6977</v>
      </c>
      <c r="K389" s="12" t="s">
        <v>6652</v>
      </c>
      <c r="L389" s="12" t="s">
        <v>5060</v>
      </c>
      <c r="M389" s="12" t="s">
        <v>5059</v>
      </c>
      <c r="N389" s="12" t="s">
        <v>5785</v>
      </c>
      <c r="O389" s="12" t="s">
        <v>3913</v>
      </c>
      <c r="P389" s="12" t="s">
        <v>18</v>
      </c>
      <c r="Q389" s="12" t="s">
        <v>6653</v>
      </c>
      <c r="R389" s="12">
        <v>52.816666669999996</v>
      </c>
      <c r="S389" s="12">
        <v>60.466666670000002</v>
      </c>
      <c r="T389" s="12" t="s">
        <v>25</v>
      </c>
      <c r="U389" s="12" t="s">
        <v>1450</v>
      </c>
      <c r="V389" s="12" t="s">
        <v>6639</v>
      </c>
      <c r="W389" s="12" t="s">
        <v>6639</v>
      </c>
      <c r="X389" s="12">
        <v>0.224715</v>
      </c>
      <c r="Y389" s="12">
        <v>222862</v>
      </c>
      <c r="Z389" s="12" t="s">
        <v>6639</v>
      </c>
      <c r="AA389" s="12" t="s">
        <v>6639</v>
      </c>
      <c r="AB389" s="12" t="s">
        <v>5231</v>
      </c>
      <c r="AC389" s="12" t="s">
        <v>340</v>
      </c>
      <c r="AD389" s="12" t="s">
        <v>7822</v>
      </c>
      <c r="AE389" s="12" t="s">
        <v>7728</v>
      </c>
      <c r="AF389" s="12" t="s">
        <v>45</v>
      </c>
    </row>
    <row r="390" spans="1:32" x14ac:dyDescent="0.2">
      <c r="A390" s="12" t="s">
        <v>5251</v>
      </c>
      <c r="B390" s="12" t="s">
        <v>5251</v>
      </c>
      <c r="C390" s="12" t="s">
        <v>5252</v>
      </c>
      <c r="D390" s="12" t="s">
        <v>105</v>
      </c>
      <c r="E390" s="12" t="s">
        <v>8110</v>
      </c>
      <c r="F390" s="12" t="s">
        <v>5458</v>
      </c>
      <c r="G390" s="12" t="s">
        <v>5453</v>
      </c>
      <c r="H390" s="12" t="s">
        <v>6625</v>
      </c>
      <c r="I390" s="12">
        <v>3800</v>
      </c>
      <c r="J390" s="12" t="s">
        <v>6977</v>
      </c>
      <c r="K390" s="12" t="s">
        <v>6652</v>
      </c>
      <c r="L390" s="12" t="s">
        <v>5060</v>
      </c>
      <c r="M390" s="12" t="s">
        <v>5059</v>
      </c>
      <c r="N390" s="12" t="s">
        <v>5785</v>
      </c>
      <c r="O390" s="12" t="s">
        <v>3913</v>
      </c>
      <c r="P390" s="12" t="s">
        <v>18</v>
      </c>
      <c r="Q390" s="12" t="s">
        <v>6653</v>
      </c>
      <c r="R390" s="12">
        <v>52.816666669999996</v>
      </c>
      <c r="S390" s="12">
        <v>60.466666670000002</v>
      </c>
      <c r="T390" s="12" t="s">
        <v>25</v>
      </c>
      <c r="U390" s="12" t="s">
        <v>1297</v>
      </c>
      <c r="V390" s="12" t="s">
        <v>6639</v>
      </c>
      <c r="W390" s="12" t="s">
        <v>6639</v>
      </c>
      <c r="X390" s="12">
        <v>0.25700000000000001</v>
      </c>
      <c r="Y390" s="12">
        <v>257140</v>
      </c>
      <c r="Z390" s="12" t="s">
        <v>6639</v>
      </c>
      <c r="AA390" s="12" t="s">
        <v>6639</v>
      </c>
      <c r="AB390" s="12" t="s">
        <v>5253</v>
      </c>
      <c r="AC390" s="12" t="s">
        <v>21</v>
      </c>
      <c r="AD390" s="12">
        <v>0.06</v>
      </c>
      <c r="AE390" s="12">
        <v>0.997</v>
      </c>
      <c r="AF390" s="12" t="s">
        <v>45</v>
      </c>
    </row>
    <row r="391" spans="1:32" x14ac:dyDescent="0.2">
      <c r="A391" s="12" t="s">
        <v>5244</v>
      </c>
      <c r="B391" s="12" t="s">
        <v>5244</v>
      </c>
      <c r="C391" s="12" t="s">
        <v>5245</v>
      </c>
      <c r="D391" s="12" t="s">
        <v>105</v>
      </c>
      <c r="E391" s="12" t="s">
        <v>8110</v>
      </c>
      <c r="F391" s="12" t="s">
        <v>5458</v>
      </c>
      <c r="G391" s="12" t="s">
        <v>5453</v>
      </c>
      <c r="H391" s="12" t="s">
        <v>6625</v>
      </c>
      <c r="I391" s="12">
        <v>3800</v>
      </c>
      <c r="J391" s="12" t="s">
        <v>6977</v>
      </c>
      <c r="K391" s="12" t="s">
        <v>6652</v>
      </c>
      <c r="L391" s="12" t="s">
        <v>5060</v>
      </c>
      <c r="M391" s="12" t="s">
        <v>5059</v>
      </c>
      <c r="N391" s="12" t="s">
        <v>5785</v>
      </c>
      <c r="O391" s="12" t="s">
        <v>3913</v>
      </c>
      <c r="P391" s="12" t="s">
        <v>18</v>
      </c>
      <c r="Q391" s="12" t="s">
        <v>6653</v>
      </c>
      <c r="R391" s="12">
        <v>52.816666669999996</v>
      </c>
      <c r="S391" s="12">
        <v>60.466666670000002</v>
      </c>
      <c r="T391" s="12" t="s">
        <v>11</v>
      </c>
      <c r="U391" s="12" t="s">
        <v>5247</v>
      </c>
      <c r="V391" s="12" t="s">
        <v>1375</v>
      </c>
      <c r="W391" s="12" t="s">
        <v>7415</v>
      </c>
      <c r="X391" s="12">
        <v>0.26200000000000001</v>
      </c>
      <c r="Y391" s="12">
        <v>267279</v>
      </c>
      <c r="Z391" s="12" t="s">
        <v>8052</v>
      </c>
      <c r="AA391" s="12" t="s">
        <v>8052</v>
      </c>
      <c r="AB391" s="12" t="s">
        <v>5246</v>
      </c>
      <c r="AC391" s="12" t="s">
        <v>21</v>
      </c>
      <c r="AD391" s="12">
        <v>8.1000000000000003E-2</v>
      </c>
      <c r="AE391" s="12">
        <v>0.999</v>
      </c>
      <c r="AF391" s="12" t="s">
        <v>45</v>
      </c>
    </row>
    <row r="392" spans="1:32" x14ac:dyDescent="0.2">
      <c r="A392" s="12" t="s">
        <v>5241</v>
      </c>
      <c r="B392" s="12" t="s">
        <v>5241</v>
      </c>
      <c r="C392" s="12" t="s">
        <v>5242</v>
      </c>
      <c r="D392" s="12" t="s">
        <v>105</v>
      </c>
      <c r="E392" s="12" t="s">
        <v>8110</v>
      </c>
      <c r="F392" s="12" t="s">
        <v>5458</v>
      </c>
      <c r="G392" s="12" t="s">
        <v>5453</v>
      </c>
      <c r="H392" s="12" t="s">
        <v>6625</v>
      </c>
      <c r="I392" s="12">
        <v>3800</v>
      </c>
      <c r="J392" s="12" t="s">
        <v>6977</v>
      </c>
      <c r="K392" s="12" t="s">
        <v>6652</v>
      </c>
      <c r="L392" s="12" t="s">
        <v>5060</v>
      </c>
      <c r="M392" s="12" t="s">
        <v>5059</v>
      </c>
      <c r="N392" s="12" t="s">
        <v>5785</v>
      </c>
      <c r="O392" s="12" t="s">
        <v>3913</v>
      </c>
      <c r="P392" s="12" t="s">
        <v>18</v>
      </c>
      <c r="Q392" s="12" t="s">
        <v>6653</v>
      </c>
      <c r="R392" s="12">
        <v>52.816666669999996</v>
      </c>
      <c r="S392" s="12">
        <v>60.466666670000002</v>
      </c>
      <c r="T392" s="12" t="s">
        <v>11</v>
      </c>
      <c r="U392" s="12" t="s">
        <v>2674</v>
      </c>
      <c r="V392" s="12" t="s">
        <v>1282</v>
      </c>
      <c r="W392" s="12" t="s">
        <v>7415</v>
      </c>
      <c r="X392" s="12">
        <v>0.30399999999999999</v>
      </c>
      <c r="Y392" s="12">
        <v>294473</v>
      </c>
      <c r="Z392" s="12" t="s">
        <v>8052</v>
      </c>
      <c r="AA392" s="12" t="s">
        <v>8052</v>
      </c>
      <c r="AB392" s="12" t="s">
        <v>5243</v>
      </c>
      <c r="AC392" s="12" t="s">
        <v>21</v>
      </c>
      <c r="AD392" s="12">
        <v>9.0999999999999998E-2</v>
      </c>
      <c r="AE392" s="12">
        <v>0.99299999999999999</v>
      </c>
      <c r="AF392" s="12" t="s">
        <v>45</v>
      </c>
    </row>
    <row r="393" spans="1:32" x14ac:dyDescent="0.2">
      <c r="A393" s="12" t="s">
        <v>5207</v>
      </c>
      <c r="B393" s="12" t="s">
        <v>5207</v>
      </c>
      <c r="C393" s="12" t="s">
        <v>6765</v>
      </c>
      <c r="D393" s="12" t="s">
        <v>105</v>
      </c>
      <c r="E393" s="12" t="s">
        <v>8110</v>
      </c>
      <c r="F393" s="12" t="s">
        <v>5458</v>
      </c>
      <c r="G393" s="12" t="s">
        <v>5453</v>
      </c>
      <c r="H393" s="12" t="s">
        <v>6625</v>
      </c>
      <c r="I393" s="12">
        <v>3800</v>
      </c>
      <c r="J393" s="12" t="s">
        <v>6977</v>
      </c>
      <c r="K393" s="12" t="s">
        <v>6652</v>
      </c>
      <c r="L393" s="12" t="s">
        <v>5060</v>
      </c>
      <c r="M393" s="12" t="s">
        <v>5059</v>
      </c>
      <c r="N393" s="12" t="s">
        <v>5785</v>
      </c>
      <c r="O393" s="12" t="s">
        <v>3913</v>
      </c>
      <c r="P393" s="12" t="s">
        <v>18</v>
      </c>
      <c r="Q393" s="12" t="s">
        <v>6653</v>
      </c>
      <c r="R393" s="12">
        <v>52.816666669999996</v>
      </c>
      <c r="S393" s="12">
        <v>60.466666670000002</v>
      </c>
      <c r="T393" s="12" t="s">
        <v>11</v>
      </c>
      <c r="U393" s="12" t="s">
        <v>36</v>
      </c>
      <c r="V393" s="12" t="s">
        <v>1459</v>
      </c>
      <c r="W393" s="12" t="s">
        <v>7415</v>
      </c>
      <c r="X393" s="12">
        <v>0.31384200000000001</v>
      </c>
      <c r="Y393" s="12">
        <v>309789</v>
      </c>
      <c r="Z393" s="12" t="s">
        <v>8052</v>
      </c>
      <c r="AA393" s="12" t="s">
        <v>8052</v>
      </c>
      <c r="AB393" s="12" t="s">
        <v>5208</v>
      </c>
      <c r="AC393" s="12" t="s">
        <v>58</v>
      </c>
      <c r="AD393" s="12" t="s">
        <v>7898</v>
      </c>
      <c r="AE393" s="12" t="s">
        <v>7690</v>
      </c>
      <c r="AF393" s="12" t="s">
        <v>45</v>
      </c>
    </row>
    <row r="394" spans="1:32" x14ac:dyDescent="0.2">
      <c r="A394" s="12" t="s">
        <v>5224</v>
      </c>
      <c r="B394" s="12" t="s">
        <v>5224</v>
      </c>
      <c r="C394" s="12" t="s">
        <v>5225</v>
      </c>
      <c r="D394" s="12" t="s">
        <v>105</v>
      </c>
      <c r="E394" s="12" t="s">
        <v>8110</v>
      </c>
      <c r="F394" s="12" t="s">
        <v>5458</v>
      </c>
      <c r="G394" s="12" t="s">
        <v>5453</v>
      </c>
      <c r="H394" s="12" t="s">
        <v>6625</v>
      </c>
      <c r="I394" s="12">
        <v>3800</v>
      </c>
      <c r="J394" s="12" t="s">
        <v>6977</v>
      </c>
      <c r="K394" s="12" t="s">
        <v>6652</v>
      </c>
      <c r="L394" s="12" t="s">
        <v>5060</v>
      </c>
      <c r="M394" s="12" t="s">
        <v>5059</v>
      </c>
      <c r="N394" s="12" t="s">
        <v>5785</v>
      </c>
      <c r="O394" s="12" t="s">
        <v>3913</v>
      </c>
      <c r="P394" s="12" t="s">
        <v>18</v>
      </c>
      <c r="Q394" s="12" t="s">
        <v>6653</v>
      </c>
      <c r="R394" s="16">
        <v>52.816666669999996</v>
      </c>
      <c r="S394" s="16">
        <v>60.466666670000002</v>
      </c>
      <c r="T394" s="12" t="s">
        <v>11</v>
      </c>
      <c r="U394" s="12" t="s">
        <v>1281</v>
      </c>
      <c r="V394" s="12" t="s">
        <v>739</v>
      </c>
      <c r="W394" s="12" t="s">
        <v>7415</v>
      </c>
      <c r="X394" s="12">
        <v>0.33500000000000002</v>
      </c>
      <c r="Y394" s="12">
        <v>323716</v>
      </c>
      <c r="Z394" s="12" t="s">
        <v>8052</v>
      </c>
      <c r="AA394" s="12" t="s">
        <v>8052</v>
      </c>
      <c r="AB394" s="12" t="s">
        <v>5226</v>
      </c>
      <c r="AC394" s="12" t="s">
        <v>21</v>
      </c>
      <c r="AD394" s="12">
        <v>8.4000000000000005E-2</v>
      </c>
      <c r="AE394" s="12">
        <v>0.999</v>
      </c>
      <c r="AF394" s="12" t="s">
        <v>45</v>
      </c>
    </row>
    <row r="395" spans="1:32" x14ac:dyDescent="0.2">
      <c r="A395" s="12" t="s">
        <v>5213</v>
      </c>
      <c r="B395" s="12" t="s">
        <v>5213</v>
      </c>
      <c r="C395" s="12" t="s">
        <v>5214</v>
      </c>
      <c r="D395" s="12" t="s">
        <v>105</v>
      </c>
      <c r="E395" s="12" t="s">
        <v>8110</v>
      </c>
      <c r="F395" s="12" t="s">
        <v>5458</v>
      </c>
      <c r="G395" s="12" t="s">
        <v>5453</v>
      </c>
      <c r="H395" s="12" t="s">
        <v>6625</v>
      </c>
      <c r="I395" s="12">
        <v>3800</v>
      </c>
      <c r="J395" s="12" t="s">
        <v>6977</v>
      </c>
      <c r="K395" s="12" t="s">
        <v>6652</v>
      </c>
      <c r="L395" s="12" t="s">
        <v>5060</v>
      </c>
      <c r="M395" s="12" t="s">
        <v>5059</v>
      </c>
      <c r="N395" s="12" t="s">
        <v>5785</v>
      </c>
      <c r="O395" s="12" t="s">
        <v>3913</v>
      </c>
      <c r="P395" s="12" t="s">
        <v>18</v>
      </c>
      <c r="Q395" s="12" t="s">
        <v>6653</v>
      </c>
      <c r="R395" s="12">
        <v>52.816666669999996</v>
      </c>
      <c r="S395" s="12">
        <v>60.466666670000002</v>
      </c>
      <c r="T395" s="12" t="s">
        <v>11</v>
      </c>
      <c r="U395" s="12" t="s">
        <v>4219</v>
      </c>
      <c r="V395" s="12" t="s">
        <v>739</v>
      </c>
      <c r="W395" s="12" t="s">
        <v>7415</v>
      </c>
      <c r="X395" s="12">
        <v>0.34699999999999998</v>
      </c>
      <c r="Y395" s="12">
        <v>334635</v>
      </c>
      <c r="Z395" s="12" t="s">
        <v>8052</v>
      </c>
      <c r="AA395" s="12" t="s">
        <v>8052</v>
      </c>
      <c r="AB395" s="12" t="s">
        <v>5215</v>
      </c>
      <c r="AC395" s="12" t="s">
        <v>21</v>
      </c>
      <c r="AD395" s="12">
        <v>5.5E-2</v>
      </c>
      <c r="AE395" s="12">
        <v>1</v>
      </c>
      <c r="AF395" s="12" t="s">
        <v>45</v>
      </c>
    </row>
    <row r="396" spans="1:32" x14ac:dyDescent="0.2">
      <c r="A396" s="12" t="s">
        <v>5263</v>
      </c>
      <c r="B396" s="12" t="s">
        <v>5263</v>
      </c>
      <c r="C396" s="12" t="s">
        <v>6760</v>
      </c>
      <c r="D396" s="12" t="s">
        <v>105</v>
      </c>
      <c r="E396" s="12" t="s">
        <v>8110</v>
      </c>
      <c r="F396" s="12" t="s">
        <v>5458</v>
      </c>
      <c r="G396" s="12" t="s">
        <v>5453</v>
      </c>
      <c r="H396" s="12" t="s">
        <v>6625</v>
      </c>
      <c r="I396" s="12">
        <v>3800</v>
      </c>
      <c r="J396" s="12" t="s">
        <v>6977</v>
      </c>
      <c r="K396" s="12" t="s">
        <v>6652</v>
      </c>
      <c r="L396" s="12" t="s">
        <v>5060</v>
      </c>
      <c r="M396" s="12" t="s">
        <v>5059</v>
      </c>
      <c r="N396" s="12" t="s">
        <v>5785</v>
      </c>
      <c r="O396" s="12" t="s">
        <v>3913</v>
      </c>
      <c r="P396" s="12" t="s">
        <v>18</v>
      </c>
      <c r="Q396" s="12" t="s">
        <v>6653</v>
      </c>
      <c r="R396" s="12">
        <v>52.816666669999996</v>
      </c>
      <c r="S396" s="12">
        <v>60.466666670000002</v>
      </c>
      <c r="T396" s="12" t="s">
        <v>11</v>
      </c>
      <c r="U396" s="12" t="s">
        <v>17</v>
      </c>
      <c r="V396" s="12" t="s">
        <v>755</v>
      </c>
      <c r="W396" s="12" t="s">
        <v>7415</v>
      </c>
      <c r="X396" s="12">
        <v>0.42099700000000001</v>
      </c>
      <c r="Y396" s="12">
        <v>387939</v>
      </c>
      <c r="Z396" s="12">
        <v>0.12210500000000001</v>
      </c>
      <c r="AA396" s="12">
        <v>5.3629835765902394</v>
      </c>
      <c r="AB396" s="12" t="s">
        <v>5264</v>
      </c>
      <c r="AC396" s="12" t="s">
        <v>58</v>
      </c>
      <c r="AD396" s="12" t="s">
        <v>7900</v>
      </c>
      <c r="AE396" s="12" t="s">
        <v>7690</v>
      </c>
      <c r="AF396" s="12" t="s">
        <v>7628</v>
      </c>
    </row>
    <row r="397" spans="1:32" x14ac:dyDescent="0.2">
      <c r="A397" s="12" t="s">
        <v>5216</v>
      </c>
      <c r="B397" s="12" t="s">
        <v>5216</v>
      </c>
      <c r="C397" s="12" t="s">
        <v>5217</v>
      </c>
      <c r="D397" s="12" t="s">
        <v>105</v>
      </c>
      <c r="E397" s="12" t="s">
        <v>8110</v>
      </c>
      <c r="F397" s="12" t="s">
        <v>5458</v>
      </c>
      <c r="G397" s="12" t="s">
        <v>5453</v>
      </c>
      <c r="H397" s="12" t="s">
        <v>6625</v>
      </c>
      <c r="I397" s="12">
        <v>3800</v>
      </c>
      <c r="J397" s="12" t="s">
        <v>6977</v>
      </c>
      <c r="K397" s="12" t="s">
        <v>6652</v>
      </c>
      <c r="L397" s="12" t="s">
        <v>5060</v>
      </c>
      <c r="M397" s="12" t="s">
        <v>5059</v>
      </c>
      <c r="N397" s="12" t="s">
        <v>5785</v>
      </c>
      <c r="O397" s="12" t="s">
        <v>3913</v>
      </c>
      <c r="P397" s="12" t="s">
        <v>18</v>
      </c>
      <c r="Q397" s="12" t="s">
        <v>6653</v>
      </c>
      <c r="R397" s="12">
        <v>52.816666669999996</v>
      </c>
      <c r="S397" s="12">
        <v>60.466666670000002</v>
      </c>
      <c r="T397" s="12" t="s">
        <v>11</v>
      </c>
      <c r="U397" s="12" t="s">
        <v>1233</v>
      </c>
      <c r="V397" s="12" t="s">
        <v>755</v>
      </c>
      <c r="W397" s="12" t="s">
        <v>7415</v>
      </c>
      <c r="X397" s="12">
        <v>0.42699999999999999</v>
      </c>
      <c r="Y397" s="12">
        <v>392870</v>
      </c>
      <c r="Z397" s="12">
        <v>3.1203999999999999E-2</v>
      </c>
      <c r="AA397" s="12">
        <v>2.2483049809422937</v>
      </c>
      <c r="AB397" s="12" t="s">
        <v>5218</v>
      </c>
      <c r="AC397" s="12" t="s">
        <v>21</v>
      </c>
      <c r="AD397" s="12">
        <v>4.8000000000000001E-2</v>
      </c>
      <c r="AE397" s="12">
        <v>0.999</v>
      </c>
      <c r="AF397" s="12" t="s">
        <v>7673</v>
      </c>
    </row>
    <row r="398" spans="1:32" x14ac:dyDescent="0.2">
      <c r="A398" s="12" t="s">
        <v>5248</v>
      </c>
      <c r="B398" s="12" t="s">
        <v>5248</v>
      </c>
      <c r="C398" s="12" t="s">
        <v>5249</v>
      </c>
      <c r="D398" s="12" t="s">
        <v>105</v>
      </c>
      <c r="E398" s="12" t="s">
        <v>8110</v>
      </c>
      <c r="F398" s="12" t="s">
        <v>5458</v>
      </c>
      <c r="G398" s="12" t="s">
        <v>5453</v>
      </c>
      <c r="H398" s="12" t="s">
        <v>6625</v>
      </c>
      <c r="I398" s="12">
        <v>3800</v>
      </c>
      <c r="J398" s="12" t="s">
        <v>6977</v>
      </c>
      <c r="K398" s="12" t="s">
        <v>6652</v>
      </c>
      <c r="L398" s="12" t="s">
        <v>5060</v>
      </c>
      <c r="M398" s="12" t="s">
        <v>5059</v>
      </c>
      <c r="N398" s="12" t="s">
        <v>5785</v>
      </c>
      <c r="O398" s="12" t="s">
        <v>3913</v>
      </c>
      <c r="P398" s="12" t="s">
        <v>18</v>
      </c>
      <c r="Q398" s="12" t="s">
        <v>6653</v>
      </c>
      <c r="R398" s="12">
        <v>52.816666669999996</v>
      </c>
      <c r="S398" s="12">
        <v>60.466666670000002</v>
      </c>
      <c r="T398" s="12" t="s">
        <v>11</v>
      </c>
      <c r="U398" s="12" t="s">
        <v>36</v>
      </c>
      <c r="V398" s="12" t="s">
        <v>1459</v>
      </c>
      <c r="W398" s="12" t="s">
        <v>7415</v>
      </c>
      <c r="X398" s="12">
        <v>0.55500000000000005</v>
      </c>
      <c r="Y398" s="12">
        <v>464685</v>
      </c>
      <c r="Z398" s="12">
        <v>2.2341E-2</v>
      </c>
      <c r="AA398" s="12">
        <v>2.2829741386577997</v>
      </c>
      <c r="AB398" s="12" t="s">
        <v>5250</v>
      </c>
      <c r="AC398" s="12" t="s">
        <v>21</v>
      </c>
      <c r="AD398" s="12">
        <v>7.3999999999999996E-2</v>
      </c>
      <c r="AE398" s="12">
        <v>0.99099999999999999</v>
      </c>
      <c r="AF398" s="12" t="s">
        <v>7672</v>
      </c>
    </row>
    <row r="399" spans="1:32" x14ac:dyDescent="0.2">
      <c r="A399" s="12" t="s">
        <v>5222</v>
      </c>
      <c r="B399" s="12" t="s">
        <v>5222</v>
      </c>
      <c r="C399" s="12" t="s">
        <v>6768</v>
      </c>
      <c r="D399" s="12" t="s">
        <v>105</v>
      </c>
      <c r="E399" s="12" t="s">
        <v>8110</v>
      </c>
      <c r="F399" s="12" t="s">
        <v>5458</v>
      </c>
      <c r="G399" s="12" t="s">
        <v>5453</v>
      </c>
      <c r="H399" s="12" t="s">
        <v>6625</v>
      </c>
      <c r="I399" s="12">
        <v>3800</v>
      </c>
      <c r="J399" s="12" t="s">
        <v>6977</v>
      </c>
      <c r="K399" s="12" t="s">
        <v>6652</v>
      </c>
      <c r="L399" s="12" t="s">
        <v>5060</v>
      </c>
      <c r="M399" s="12" t="s">
        <v>5059</v>
      </c>
      <c r="N399" s="12" t="s">
        <v>5785</v>
      </c>
      <c r="O399" s="12" t="s">
        <v>3913</v>
      </c>
      <c r="P399" s="12" t="s">
        <v>18</v>
      </c>
      <c r="Q399" s="12" t="s">
        <v>6653</v>
      </c>
      <c r="R399" s="12">
        <v>52.816666669999996</v>
      </c>
      <c r="S399" s="12">
        <v>60.466666670000002</v>
      </c>
      <c r="T399" s="12" t="s">
        <v>25</v>
      </c>
      <c r="U399" s="12" t="s">
        <v>605</v>
      </c>
      <c r="V399" s="12" t="s">
        <v>6639</v>
      </c>
      <c r="W399" s="12" t="s">
        <v>6639</v>
      </c>
      <c r="X399" s="12">
        <v>0.58299999999999996</v>
      </c>
      <c r="Y399" s="12">
        <v>475329</v>
      </c>
      <c r="Z399" s="12" t="s">
        <v>6639</v>
      </c>
      <c r="AA399" s="12" t="s">
        <v>6639</v>
      </c>
      <c r="AB399" s="12" t="s">
        <v>5223</v>
      </c>
      <c r="AC399" s="12" t="s">
        <v>58</v>
      </c>
      <c r="AD399" s="12" t="s">
        <v>7911</v>
      </c>
      <c r="AE399" s="12" t="s">
        <v>7753</v>
      </c>
      <c r="AF399" s="12" t="s">
        <v>45</v>
      </c>
    </row>
    <row r="400" spans="1:32" x14ac:dyDescent="0.2">
      <c r="A400" s="12" t="s">
        <v>5257</v>
      </c>
      <c r="B400" s="12" t="s">
        <v>5257</v>
      </c>
      <c r="C400" s="12" t="s">
        <v>5258</v>
      </c>
      <c r="D400" s="12" t="s">
        <v>105</v>
      </c>
      <c r="E400" s="12" t="s">
        <v>8110</v>
      </c>
      <c r="F400" s="12" t="s">
        <v>5458</v>
      </c>
      <c r="G400" s="12" t="s">
        <v>5453</v>
      </c>
      <c r="H400" s="12" t="s">
        <v>6625</v>
      </c>
      <c r="I400" s="12">
        <v>3800</v>
      </c>
      <c r="J400" s="12" t="s">
        <v>6977</v>
      </c>
      <c r="K400" s="12" t="s">
        <v>6652</v>
      </c>
      <c r="L400" s="12" t="s">
        <v>5060</v>
      </c>
      <c r="M400" s="12" t="s">
        <v>5059</v>
      </c>
      <c r="N400" s="12" t="s">
        <v>5785</v>
      </c>
      <c r="O400" s="12" t="s">
        <v>3913</v>
      </c>
      <c r="P400" s="12" t="s">
        <v>18</v>
      </c>
      <c r="Q400" s="12" t="s">
        <v>6653</v>
      </c>
      <c r="R400" s="12">
        <v>52.816666669999996</v>
      </c>
      <c r="S400" s="12">
        <v>60.466666670000002</v>
      </c>
      <c r="T400" s="12" t="s">
        <v>25</v>
      </c>
      <c r="U400" s="12" t="s">
        <v>36</v>
      </c>
      <c r="V400" s="12" t="s">
        <v>6639</v>
      </c>
      <c r="W400" s="12" t="s">
        <v>6639</v>
      </c>
      <c r="X400" s="12">
        <v>0.58199999999999996</v>
      </c>
      <c r="Y400" s="12">
        <v>488227</v>
      </c>
      <c r="Z400" s="12" t="s">
        <v>6639</v>
      </c>
      <c r="AA400" s="12" t="s">
        <v>6639</v>
      </c>
      <c r="AB400" s="12" t="s">
        <v>5259</v>
      </c>
      <c r="AC400" s="12" t="s">
        <v>21</v>
      </c>
      <c r="AD400" s="12">
        <v>7.3999999999999996E-2</v>
      </c>
      <c r="AE400" s="12">
        <v>1</v>
      </c>
      <c r="AF400" s="12" t="s">
        <v>45</v>
      </c>
    </row>
    <row r="401" spans="1:41" x14ac:dyDescent="0.2">
      <c r="A401" s="12" t="s">
        <v>5191</v>
      </c>
      <c r="B401" s="12" t="s">
        <v>5191</v>
      </c>
      <c r="C401" s="12" t="s">
        <v>6745</v>
      </c>
      <c r="D401" s="12" t="s">
        <v>105</v>
      </c>
      <c r="E401" s="12" t="s">
        <v>8110</v>
      </c>
      <c r="F401" s="12" t="s">
        <v>5458</v>
      </c>
      <c r="G401" s="12" t="s">
        <v>5453</v>
      </c>
      <c r="H401" s="12" t="s">
        <v>6625</v>
      </c>
      <c r="I401" s="12">
        <v>3800</v>
      </c>
      <c r="J401" s="12" t="s">
        <v>6977</v>
      </c>
      <c r="K401" s="12" t="s">
        <v>6652</v>
      </c>
      <c r="L401" s="12" t="s">
        <v>5060</v>
      </c>
      <c r="M401" s="12" t="s">
        <v>5059</v>
      </c>
      <c r="N401" s="12" t="s">
        <v>5785</v>
      </c>
      <c r="O401" s="12" t="s">
        <v>3913</v>
      </c>
      <c r="P401" s="12" t="s">
        <v>18</v>
      </c>
      <c r="Q401" s="12" t="s">
        <v>6653</v>
      </c>
      <c r="R401" s="12">
        <v>52.816666669999996</v>
      </c>
      <c r="S401" s="12">
        <v>60.466666670000002</v>
      </c>
      <c r="T401" s="12" t="s">
        <v>25</v>
      </c>
      <c r="U401" s="12" t="s">
        <v>4219</v>
      </c>
      <c r="V401" s="12" t="s">
        <v>6639</v>
      </c>
      <c r="W401" s="12" t="s">
        <v>6639</v>
      </c>
      <c r="X401" s="12">
        <v>0.60680100000000003</v>
      </c>
      <c r="Y401" s="12">
        <v>494646</v>
      </c>
      <c r="Z401" s="12" t="s">
        <v>6639</v>
      </c>
      <c r="AA401" s="12" t="s">
        <v>6639</v>
      </c>
      <c r="AB401" s="12" t="s">
        <v>5192</v>
      </c>
      <c r="AC401" s="12" t="s">
        <v>58</v>
      </c>
      <c r="AD401" s="12" t="s">
        <v>7895</v>
      </c>
      <c r="AE401" s="12" t="s">
        <v>7712</v>
      </c>
      <c r="AF401" s="12" t="s">
        <v>45</v>
      </c>
    </row>
    <row r="402" spans="1:41" x14ac:dyDescent="0.2">
      <c r="A402" s="12" t="s">
        <v>5235</v>
      </c>
      <c r="B402" s="12" t="s">
        <v>5235</v>
      </c>
      <c r="C402" s="12" t="s">
        <v>5236</v>
      </c>
      <c r="D402" s="12" t="s">
        <v>105</v>
      </c>
      <c r="E402" s="12" t="s">
        <v>8110</v>
      </c>
      <c r="F402" s="12" t="s">
        <v>5458</v>
      </c>
      <c r="G402" s="12" t="s">
        <v>5453</v>
      </c>
      <c r="H402" s="12" t="s">
        <v>6625</v>
      </c>
      <c r="I402" s="12">
        <v>3800</v>
      </c>
      <c r="J402" s="12" t="s">
        <v>6977</v>
      </c>
      <c r="K402" s="12" t="s">
        <v>6652</v>
      </c>
      <c r="L402" s="12" t="s">
        <v>5060</v>
      </c>
      <c r="M402" s="12" t="s">
        <v>5059</v>
      </c>
      <c r="N402" s="12" t="s">
        <v>5785</v>
      </c>
      <c r="O402" s="12" t="s">
        <v>3913</v>
      </c>
      <c r="P402" s="12" t="s">
        <v>18</v>
      </c>
      <c r="Q402" s="12" t="s">
        <v>6653</v>
      </c>
      <c r="R402" s="12">
        <v>52.816666669999996</v>
      </c>
      <c r="S402" s="12">
        <v>60.466666670000002</v>
      </c>
      <c r="T402" s="12" t="s">
        <v>25</v>
      </c>
      <c r="U402" s="12" t="s">
        <v>407</v>
      </c>
      <c r="V402" s="12" t="s">
        <v>6639</v>
      </c>
      <c r="W402" s="12" t="s">
        <v>6639</v>
      </c>
      <c r="X402" s="12">
        <v>0.60099999999999998</v>
      </c>
      <c r="Y402" s="12">
        <v>496245</v>
      </c>
      <c r="Z402" s="12" t="s">
        <v>6639</v>
      </c>
      <c r="AA402" s="12" t="s">
        <v>6639</v>
      </c>
      <c r="AB402" s="12" t="s">
        <v>5237</v>
      </c>
      <c r="AC402" s="12" t="s">
        <v>21</v>
      </c>
      <c r="AD402" s="12">
        <v>5.8999999999999997E-2</v>
      </c>
      <c r="AE402" s="12">
        <v>0.99299999999999999</v>
      </c>
      <c r="AF402" s="12" t="s">
        <v>45</v>
      </c>
    </row>
    <row r="403" spans="1:41" x14ac:dyDescent="0.2">
      <c r="A403" s="12" t="s">
        <v>5195</v>
      </c>
      <c r="B403" s="12" t="s">
        <v>5195</v>
      </c>
      <c r="C403" s="12" t="s">
        <v>6748</v>
      </c>
      <c r="D403" s="12" t="s">
        <v>105</v>
      </c>
      <c r="E403" s="12" t="s">
        <v>8110</v>
      </c>
      <c r="F403" s="12" t="s">
        <v>5458</v>
      </c>
      <c r="G403" s="12" t="s">
        <v>5453</v>
      </c>
      <c r="H403" s="12" t="s">
        <v>6625</v>
      </c>
      <c r="I403" s="12">
        <v>3800</v>
      </c>
      <c r="J403" s="12" t="s">
        <v>6977</v>
      </c>
      <c r="K403" s="12" t="s">
        <v>6652</v>
      </c>
      <c r="L403" s="12" t="s">
        <v>5060</v>
      </c>
      <c r="M403" s="12" t="s">
        <v>5059</v>
      </c>
      <c r="N403" s="12" t="s">
        <v>5785</v>
      </c>
      <c r="O403" s="12" t="s">
        <v>3913</v>
      </c>
      <c r="P403" s="12" t="s">
        <v>18</v>
      </c>
      <c r="Q403" s="12" t="s">
        <v>6653</v>
      </c>
      <c r="R403" s="12">
        <v>52.816666669999996</v>
      </c>
      <c r="S403" s="12">
        <v>60.466666670000002</v>
      </c>
      <c r="T403" s="12" t="s">
        <v>25</v>
      </c>
      <c r="U403" s="12" t="s">
        <v>1265</v>
      </c>
      <c r="V403" s="12" t="s">
        <v>6639</v>
      </c>
      <c r="W403" s="12" t="s">
        <v>6639</v>
      </c>
      <c r="X403" s="12">
        <v>1.419945</v>
      </c>
      <c r="Y403" s="12">
        <v>704696</v>
      </c>
      <c r="Z403" s="12" t="s">
        <v>6639</v>
      </c>
      <c r="AA403" s="12" t="s">
        <v>6639</v>
      </c>
      <c r="AB403" s="12" t="s">
        <v>5196</v>
      </c>
      <c r="AC403" s="12" t="s">
        <v>58</v>
      </c>
      <c r="AD403" s="12" t="s">
        <v>7883</v>
      </c>
      <c r="AE403" s="12" t="s">
        <v>7712</v>
      </c>
      <c r="AF403" s="12" t="s">
        <v>45</v>
      </c>
    </row>
    <row r="404" spans="1:41" x14ac:dyDescent="0.2">
      <c r="A404" s="12" t="s">
        <v>5254</v>
      </c>
      <c r="B404" s="12" t="s">
        <v>5254</v>
      </c>
      <c r="C404" s="12" t="s">
        <v>5255</v>
      </c>
      <c r="D404" s="12" t="s">
        <v>105</v>
      </c>
      <c r="E404" s="12" t="s">
        <v>8110</v>
      </c>
      <c r="F404" s="12" t="s">
        <v>5458</v>
      </c>
      <c r="G404" s="12" t="s">
        <v>5453</v>
      </c>
      <c r="H404" s="12" t="s">
        <v>6625</v>
      </c>
      <c r="I404" s="12">
        <v>3800</v>
      </c>
      <c r="J404" s="12" t="s">
        <v>6977</v>
      </c>
      <c r="K404" s="12" t="s">
        <v>6652</v>
      </c>
      <c r="L404" s="12" t="s">
        <v>5060</v>
      </c>
      <c r="M404" s="12" t="s">
        <v>5059</v>
      </c>
      <c r="N404" s="12" t="s">
        <v>5785</v>
      </c>
      <c r="O404" s="12" t="s">
        <v>3913</v>
      </c>
      <c r="P404" s="12" t="s">
        <v>18</v>
      </c>
      <c r="Q404" s="12" t="s">
        <v>6653</v>
      </c>
      <c r="R404" s="12">
        <v>52.816666669999996</v>
      </c>
      <c r="S404" s="12">
        <v>60.466666670000002</v>
      </c>
      <c r="T404" s="12" t="s">
        <v>25</v>
      </c>
      <c r="U404" s="12" t="s">
        <v>2674</v>
      </c>
      <c r="V404" s="12" t="s">
        <v>6639</v>
      </c>
      <c r="W404" s="12" t="s">
        <v>6639</v>
      </c>
      <c r="X404" s="12">
        <v>2.097</v>
      </c>
      <c r="Y404" s="12">
        <v>830007</v>
      </c>
      <c r="Z404" s="12" t="s">
        <v>6639</v>
      </c>
      <c r="AA404" s="12" t="s">
        <v>6639</v>
      </c>
      <c r="AB404" s="12" t="s">
        <v>5256</v>
      </c>
      <c r="AC404" s="12" t="s">
        <v>21</v>
      </c>
      <c r="AD404" s="12">
        <v>6.4000000000000001E-2</v>
      </c>
      <c r="AE404" s="12">
        <v>1</v>
      </c>
      <c r="AF404" s="12" t="s">
        <v>45</v>
      </c>
      <c r="AG404" s="12"/>
      <c r="AH404" s="12"/>
      <c r="AI404" s="12"/>
      <c r="AJ404" s="12"/>
      <c r="AK404" s="12"/>
      <c r="AL404" s="12"/>
      <c r="AM404" s="12"/>
      <c r="AN404" s="12"/>
      <c r="AO404" s="12"/>
    </row>
    <row r="405" spans="1:41" x14ac:dyDescent="0.2">
      <c r="A405" s="12" t="s">
        <v>5260</v>
      </c>
      <c r="B405" s="12" t="s">
        <v>5260</v>
      </c>
      <c r="C405" s="12" t="s">
        <v>6814</v>
      </c>
      <c r="D405" s="12" t="s">
        <v>13</v>
      </c>
      <c r="E405" s="12" t="s">
        <v>8110</v>
      </c>
      <c r="F405" s="12" t="s">
        <v>5458</v>
      </c>
      <c r="G405" s="12" t="s">
        <v>5453</v>
      </c>
      <c r="H405" s="12" t="s">
        <v>6626</v>
      </c>
      <c r="I405" s="12">
        <v>3800</v>
      </c>
      <c r="J405" s="12" t="s">
        <v>6977</v>
      </c>
      <c r="K405" s="12" t="s">
        <v>6652</v>
      </c>
      <c r="L405" s="12" t="s">
        <v>5060</v>
      </c>
      <c r="M405" s="12" t="s">
        <v>5059</v>
      </c>
      <c r="N405" s="12" t="s">
        <v>5785</v>
      </c>
      <c r="O405" s="12" t="s">
        <v>3913</v>
      </c>
      <c r="P405" s="12" t="s">
        <v>18</v>
      </c>
      <c r="Q405" s="12" t="s">
        <v>6653</v>
      </c>
      <c r="R405" s="12">
        <v>52.816666669999996</v>
      </c>
      <c r="S405" s="12">
        <v>60.466666670000002</v>
      </c>
      <c r="T405" s="12" t="s">
        <v>25</v>
      </c>
      <c r="U405" s="12" t="s">
        <v>5262</v>
      </c>
      <c r="V405" s="12" t="s">
        <v>6639</v>
      </c>
      <c r="W405" s="12" t="s">
        <v>6639</v>
      </c>
      <c r="X405" s="12">
        <v>3.8047170000000001</v>
      </c>
      <c r="Y405" s="12">
        <v>859417</v>
      </c>
      <c r="Z405" s="12" t="s">
        <v>6639</v>
      </c>
      <c r="AA405" s="12" t="s">
        <v>6639</v>
      </c>
      <c r="AB405" s="12" t="s">
        <v>5261</v>
      </c>
      <c r="AC405" s="12" t="s">
        <v>21</v>
      </c>
      <c r="AD405" s="12">
        <v>0.124</v>
      </c>
      <c r="AE405" s="12">
        <v>0.99399999999999999</v>
      </c>
      <c r="AF405" s="12" t="s">
        <v>45</v>
      </c>
    </row>
    <row r="406" spans="1:41" x14ac:dyDescent="0.2">
      <c r="A406" s="12" t="s">
        <v>5209</v>
      </c>
      <c r="B406" s="12" t="s">
        <v>5209</v>
      </c>
      <c r="C406" s="62" t="s">
        <v>6755</v>
      </c>
      <c r="D406" s="12" t="s">
        <v>105</v>
      </c>
      <c r="E406" s="12" t="s">
        <v>8110</v>
      </c>
      <c r="F406" s="12" t="s">
        <v>5458</v>
      </c>
      <c r="G406" s="12" t="s">
        <v>5453</v>
      </c>
      <c r="H406" s="12" t="s">
        <v>6625</v>
      </c>
      <c r="I406" s="12">
        <v>3800</v>
      </c>
      <c r="J406" s="12" t="s">
        <v>6977</v>
      </c>
      <c r="K406" s="12" t="s">
        <v>6652</v>
      </c>
      <c r="L406" s="12" t="s">
        <v>5060</v>
      </c>
      <c r="M406" s="12" t="s">
        <v>5059</v>
      </c>
      <c r="N406" s="12" t="s">
        <v>5785</v>
      </c>
      <c r="O406" s="12" t="s">
        <v>3913</v>
      </c>
      <c r="P406" s="12" t="s">
        <v>18</v>
      </c>
      <c r="Q406" s="12" t="s">
        <v>6653</v>
      </c>
      <c r="R406" s="12">
        <v>52.816666669999996</v>
      </c>
      <c r="S406" s="12">
        <v>60.466666670000002</v>
      </c>
      <c r="T406" s="12" t="s">
        <v>11</v>
      </c>
      <c r="U406" s="12" t="s">
        <v>1121</v>
      </c>
      <c r="V406" s="12" t="s">
        <v>755</v>
      </c>
      <c r="W406" s="12" t="s">
        <v>7415</v>
      </c>
      <c r="X406" s="12">
        <v>1.9423969999999999</v>
      </c>
      <c r="Y406" s="12">
        <v>873259</v>
      </c>
      <c r="Z406" s="12" t="s">
        <v>17</v>
      </c>
      <c r="AA406" s="12" t="s">
        <v>17</v>
      </c>
      <c r="AB406" s="12" t="s">
        <v>6754</v>
      </c>
      <c r="AC406" s="12" t="s">
        <v>340</v>
      </c>
      <c r="AD406" s="12" t="s">
        <v>8072</v>
      </c>
      <c r="AE406" s="12" t="s">
        <v>8057</v>
      </c>
      <c r="AF406" s="12" t="s">
        <v>45</v>
      </c>
    </row>
    <row r="407" spans="1:41" x14ac:dyDescent="0.2">
      <c r="A407" s="12" t="s">
        <v>5377</v>
      </c>
      <c r="B407" s="12" t="s">
        <v>5377</v>
      </c>
      <c r="C407" s="12" t="s">
        <v>6905</v>
      </c>
      <c r="D407" s="12" t="s">
        <v>105</v>
      </c>
      <c r="E407" s="12" t="s">
        <v>8110</v>
      </c>
      <c r="F407" s="12" t="s">
        <v>5458</v>
      </c>
      <c r="G407" s="12" t="s">
        <v>5454</v>
      </c>
      <c r="H407" s="12" t="s">
        <v>6626</v>
      </c>
      <c r="I407" s="12">
        <v>3800</v>
      </c>
      <c r="J407" s="12" t="s">
        <v>5381</v>
      </c>
      <c r="K407" s="12" t="s">
        <v>6652</v>
      </c>
      <c r="L407" s="12" t="s">
        <v>5379</v>
      </c>
      <c r="M407" s="12" t="s">
        <v>5378</v>
      </c>
      <c r="N407" s="12" t="s">
        <v>24</v>
      </c>
      <c r="O407" s="12" t="s">
        <v>4249</v>
      </c>
      <c r="P407" s="12" t="s">
        <v>18</v>
      </c>
      <c r="Q407" s="12" t="s">
        <v>6653</v>
      </c>
      <c r="R407" s="12">
        <v>53.03</v>
      </c>
      <c r="S407" s="12">
        <v>50.39</v>
      </c>
      <c r="T407" s="12" t="s">
        <v>11</v>
      </c>
      <c r="U407" s="12" t="s">
        <v>538</v>
      </c>
      <c r="V407" s="12" t="s">
        <v>1282</v>
      </c>
      <c r="W407" s="12" t="s">
        <v>7415</v>
      </c>
      <c r="X407" s="12">
        <v>9.9188999999999999E-2</v>
      </c>
      <c r="Y407" s="12">
        <v>112159</v>
      </c>
      <c r="Z407" s="12" t="s">
        <v>8052</v>
      </c>
      <c r="AA407" s="12" t="s">
        <v>8052</v>
      </c>
      <c r="AB407" s="12" t="s">
        <v>5380</v>
      </c>
      <c r="AC407" s="12" t="s">
        <v>340</v>
      </c>
      <c r="AD407" s="12" t="s">
        <v>7824</v>
      </c>
      <c r="AE407" s="12" t="s">
        <v>7709</v>
      </c>
      <c r="AF407" s="12" t="s">
        <v>45</v>
      </c>
    </row>
    <row r="408" spans="1:41" x14ac:dyDescent="0.2">
      <c r="A408" s="12" t="s">
        <v>5389</v>
      </c>
      <c r="B408" s="12" t="s">
        <v>5389</v>
      </c>
      <c r="C408" s="12" t="s">
        <v>6746</v>
      </c>
      <c r="D408" s="12" t="s">
        <v>105</v>
      </c>
      <c r="E408" s="12" t="s">
        <v>8110</v>
      </c>
      <c r="F408" s="12" t="s">
        <v>5458</v>
      </c>
      <c r="G408" s="12" t="s">
        <v>5453</v>
      </c>
      <c r="H408" s="12" t="s">
        <v>6625</v>
      </c>
      <c r="I408" s="12">
        <v>3800</v>
      </c>
      <c r="J408" s="12" t="s">
        <v>6977</v>
      </c>
      <c r="K408" s="12" t="s">
        <v>6652</v>
      </c>
      <c r="L408" s="12" t="s">
        <v>7133</v>
      </c>
      <c r="M408" s="12" t="s">
        <v>7134</v>
      </c>
      <c r="N408" s="12" t="s">
        <v>24</v>
      </c>
      <c r="O408" s="12" t="s">
        <v>3913</v>
      </c>
      <c r="P408" s="12" t="s">
        <v>18</v>
      </c>
      <c r="Q408" s="12" t="s">
        <v>6653</v>
      </c>
      <c r="R408" s="12">
        <v>52.816666669999996</v>
      </c>
      <c r="S408" s="12">
        <v>60.466666670000002</v>
      </c>
      <c r="T408" s="12" t="s">
        <v>25</v>
      </c>
      <c r="U408" s="12" t="s">
        <v>1281</v>
      </c>
      <c r="V408" s="12" t="s">
        <v>6639</v>
      </c>
      <c r="W408" s="12" t="s">
        <v>6639</v>
      </c>
      <c r="X408" s="12">
        <v>0.123001</v>
      </c>
      <c r="Y408" s="12">
        <v>134350</v>
      </c>
      <c r="Z408" s="12" t="s">
        <v>6639</v>
      </c>
      <c r="AA408" s="12" t="s">
        <v>6639</v>
      </c>
      <c r="AB408" s="12" t="s">
        <v>5390</v>
      </c>
      <c r="AC408" s="12" t="s">
        <v>58</v>
      </c>
      <c r="AD408" s="12" t="s">
        <v>7896</v>
      </c>
      <c r="AE408" s="12" t="s">
        <v>7712</v>
      </c>
      <c r="AF408" s="12" t="s">
        <v>45</v>
      </c>
    </row>
    <row r="409" spans="1:41" x14ac:dyDescent="0.2">
      <c r="A409" s="12" t="s">
        <v>5391</v>
      </c>
      <c r="B409" s="12" t="s">
        <v>5391</v>
      </c>
      <c r="C409" s="12" t="s">
        <v>6758</v>
      </c>
      <c r="D409" s="12" t="s">
        <v>105</v>
      </c>
      <c r="E409" s="12" t="s">
        <v>8110</v>
      </c>
      <c r="F409" s="12" t="s">
        <v>5458</v>
      </c>
      <c r="G409" s="12" t="s">
        <v>5453</v>
      </c>
      <c r="H409" s="12" t="s">
        <v>6625</v>
      </c>
      <c r="I409" s="12">
        <v>3800</v>
      </c>
      <c r="J409" s="12" t="s">
        <v>6977</v>
      </c>
      <c r="K409" s="12" t="s">
        <v>6652</v>
      </c>
      <c r="L409" s="12" t="s">
        <v>7135</v>
      </c>
      <c r="M409" s="12" t="s">
        <v>7136</v>
      </c>
      <c r="N409" s="12" t="s">
        <v>24</v>
      </c>
      <c r="O409" s="12" t="s">
        <v>3913</v>
      </c>
      <c r="P409" s="12" t="s">
        <v>18</v>
      </c>
      <c r="Q409" s="12" t="s">
        <v>6653</v>
      </c>
      <c r="R409" s="12">
        <v>52.816666669999996</v>
      </c>
      <c r="S409" s="12">
        <v>60.466666670000002</v>
      </c>
      <c r="T409" s="12" t="s">
        <v>25</v>
      </c>
      <c r="U409" s="12" t="s">
        <v>5247</v>
      </c>
      <c r="V409" s="12" t="s">
        <v>6639</v>
      </c>
      <c r="W409" s="12" t="s">
        <v>6639</v>
      </c>
      <c r="X409" s="12">
        <v>5.6195000000000002E-2</v>
      </c>
      <c r="Y409" s="12">
        <v>63895</v>
      </c>
      <c r="Z409" s="12" t="s">
        <v>6639</v>
      </c>
      <c r="AA409" s="12" t="s">
        <v>6639</v>
      </c>
      <c r="AB409" s="12" t="s">
        <v>5392</v>
      </c>
      <c r="AC409" s="12" t="s">
        <v>58</v>
      </c>
      <c r="AD409" s="12" t="s">
        <v>7894</v>
      </c>
      <c r="AE409" s="12" t="s">
        <v>7701</v>
      </c>
      <c r="AF409" s="12" t="s">
        <v>45</v>
      </c>
    </row>
    <row r="410" spans="1:41" x14ac:dyDescent="0.2">
      <c r="A410" s="12" t="s">
        <v>5386</v>
      </c>
      <c r="B410" s="12" t="s">
        <v>5386</v>
      </c>
      <c r="C410" s="12" t="s">
        <v>6766</v>
      </c>
      <c r="D410" s="12" t="s">
        <v>105</v>
      </c>
      <c r="E410" s="12" t="s">
        <v>8110</v>
      </c>
      <c r="F410" s="12" t="s">
        <v>5458</v>
      </c>
      <c r="G410" s="12" t="s">
        <v>5453</v>
      </c>
      <c r="H410" s="12" t="s">
        <v>6625</v>
      </c>
      <c r="I410" s="12">
        <v>3800</v>
      </c>
      <c r="J410" s="12" t="s">
        <v>6977</v>
      </c>
      <c r="K410" s="12" t="s">
        <v>6652</v>
      </c>
      <c r="L410" s="12" t="s">
        <v>7131</v>
      </c>
      <c r="M410" s="12" t="s">
        <v>7132</v>
      </c>
      <c r="N410" s="12" t="s">
        <v>24</v>
      </c>
      <c r="O410" s="12" t="s">
        <v>3913</v>
      </c>
      <c r="P410" s="12" t="s">
        <v>18</v>
      </c>
      <c r="Q410" s="12" t="s">
        <v>6653</v>
      </c>
      <c r="R410" s="16">
        <v>52.816666669999996</v>
      </c>
      <c r="S410" s="16">
        <v>60.466666670000002</v>
      </c>
      <c r="T410" s="12" t="s">
        <v>11</v>
      </c>
      <c r="U410" s="12" t="s">
        <v>36</v>
      </c>
      <c r="V410" s="12" t="s">
        <v>5388</v>
      </c>
      <c r="W410" s="12" t="s">
        <v>7415</v>
      </c>
      <c r="X410" s="12">
        <v>6.2091E-2</v>
      </c>
      <c r="Y410" s="12">
        <v>71391</v>
      </c>
      <c r="Z410" s="12" t="s">
        <v>8052</v>
      </c>
      <c r="AA410" s="12" t="s">
        <v>8052</v>
      </c>
      <c r="AB410" s="12" t="s">
        <v>5387</v>
      </c>
      <c r="AC410" s="12" t="s">
        <v>58</v>
      </c>
      <c r="AD410" s="12" t="s">
        <v>7907</v>
      </c>
      <c r="AE410" s="12" t="s">
        <v>7690</v>
      </c>
      <c r="AF410" s="12" t="s">
        <v>45</v>
      </c>
    </row>
    <row r="411" spans="1:41" x14ac:dyDescent="0.2">
      <c r="A411" s="12" t="s">
        <v>5163</v>
      </c>
      <c r="B411" s="12" t="s">
        <v>5163</v>
      </c>
      <c r="C411" s="12" t="s">
        <v>6769</v>
      </c>
      <c r="D411" s="12" t="s">
        <v>105</v>
      </c>
      <c r="E411" s="12" t="s">
        <v>8110</v>
      </c>
      <c r="F411" s="12" t="s">
        <v>5165</v>
      </c>
      <c r="G411" s="12" t="s">
        <v>5453</v>
      </c>
      <c r="H411" s="12" t="s">
        <v>6625</v>
      </c>
      <c r="I411" s="12">
        <v>3793</v>
      </c>
      <c r="J411" s="12" t="s">
        <v>5165</v>
      </c>
      <c r="K411" s="12" t="s">
        <v>6652</v>
      </c>
      <c r="L411" s="12" t="s">
        <v>5060</v>
      </c>
      <c r="M411" s="12" t="s">
        <v>5059</v>
      </c>
      <c r="N411" s="12" t="s">
        <v>5785</v>
      </c>
      <c r="O411" s="12" t="s">
        <v>3913</v>
      </c>
      <c r="P411" s="12" t="s">
        <v>18</v>
      </c>
      <c r="Q411" s="12" t="s">
        <v>6653</v>
      </c>
      <c r="R411" s="12">
        <v>52.816666669999996</v>
      </c>
      <c r="S411" s="12">
        <v>60.466666670000002</v>
      </c>
      <c r="T411" s="12" t="s">
        <v>11</v>
      </c>
      <c r="U411" s="12" t="s">
        <v>605</v>
      </c>
      <c r="V411" s="12" t="s">
        <v>755</v>
      </c>
      <c r="W411" s="12" t="s">
        <v>7415</v>
      </c>
      <c r="X411" s="12">
        <v>3.59</v>
      </c>
      <c r="Y411" s="12">
        <v>866643</v>
      </c>
      <c r="Z411" s="12">
        <v>3.0240000000000002E-3</v>
      </c>
      <c r="AA411" s="12">
        <v>3.1887590338945899</v>
      </c>
      <c r="AB411" s="12" t="s">
        <v>5164</v>
      </c>
      <c r="AC411" s="12" t="s">
        <v>21</v>
      </c>
      <c r="AD411" s="12">
        <v>0.06</v>
      </c>
      <c r="AE411" s="12">
        <v>0.98899999999999999</v>
      </c>
      <c r="AF411" s="12" t="s">
        <v>427</v>
      </c>
    </row>
    <row r="412" spans="1:41" x14ac:dyDescent="0.2">
      <c r="A412" s="12" t="s">
        <v>4198</v>
      </c>
      <c r="B412" s="12" t="s">
        <v>4198</v>
      </c>
      <c r="C412" s="12" t="s">
        <v>4200</v>
      </c>
      <c r="D412" s="12" t="s">
        <v>105</v>
      </c>
      <c r="E412" s="12" t="s">
        <v>8110</v>
      </c>
      <c r="F412" s="12" t="s">
        <v>4202</v>
      </c>
      <c r="G412" s="12" t="s">
        <v>5453</v>
      </c>
      <c r="H412" s="12" t="s">
        <v>6625</v>
      </c>
      <c r="I412" s="12">
        <v>3791</v>
      </c>
      <c r="J412" s="12" t="s">
        <v>4202</v>
      </c>
      <c r="K412" s="12" t="s">
        <v>6652</v>
      </c>
      <c r="L412" s="12" t="s">
        <v>4177</v>
      </c>
      <c r="M412" s="12" t="s">
        <v>4199</v>
      </c>
      <c r="N412" s="12" t="s">
        <v>5785</v>
      </c>
      <c r="O412" s="12" t="s">
        <v>3913</v>
      </c>
      <c r="P412" s="12" t="s">
        <v>18</v>
      </c>
      <c r="Q412" s="12" t="s">
        <v>6653</v>
      </c>
      <c r="R412" s="12">
        <v>52.816666669999996</v>
      </c>
      <c r="S412" s="12">
        <v>60.466666670000002</v>
      </c>
      <c r="T412" s="12" t="s">
        <v>11</v>
      </c>
      <c r="U412" s="12" t="s">
        <v>4203</v>
      </c>
      <c r="V412" s="12" t="s">
        <v>69</v>
      </c>
      <c r="W412" s="12" t="s">
        <v>7415</v>
      </c>
      <c r="X412" s="12">
        <v>0.36</v>
      </c>
      <c r="Y412" s="12">
        <v>339948</v>
      </c>
      <c r="Z412" s="12" t="s">
        <v>8052</v>
      </c>
      <c r="AA412" s="12" t="s">
        <v>8052</v>
      </c>
      <c r="AB412" s="12" t="s">
        <v>4201</v>
      </c>
      <c r="AC412" s="12" t="s">
        <v>21</v>
      </c>
      <c r="AD412" s="12">
        <v>6.3E-2</v>
      </c>
      <c r="AE412" s="12">
        <v>1</v>
      </c>
      <c r="AF412" s="12" t="s">
        <v>45</v>
      </c>
    </row>
    <row r="413" spans="1:41" x14ac:dyDescent="0.2">
      <c r="A413" s="12" t="s">
        <v>4261</v>
      </c>
      <c r="B413" s="12" t="s">
        <v>4261</v>
      </c>
      <c r="C413" s="12" t="s">
        <v>4262</v>
      </c>
      <c r="D413" s="12" t="s">
        <v>105</v>
      </c>
      <c r="E413" s="12" t="s">
        <v>8110</v>
      </c>
      <c r="F413" s="12" t="s">
        <v>4264</v>
      </c>
      <c r="G413" s="12" t="s">
        <v>5453</v>
      </c>
      <c r="H413" s="12" t="s">
        <v>6625</v>
      </c>
      <c r="I413" s="12">
        <v>3775</v>
      </c>
      <c r="J413" s="12" t="s">
        <v>4264</v>
      </c>
      <c r="K413" s="12" t="s">
        <v>6652</v>
      </c>
      <c r="L413" s="12" t="s">
        <v>7141</v>
      </c>
      <c r="M413" s="12" t="s">
        <v>7142</v>
      </c>
      <c r="N413" s="12" t="s">
        <v>24</v>
      </c>
      <c r="O413" s="12" t="s">
        <v>3913</v>
      </c>
      <c r="P413" s="12" t="s">
        <v>18</v>
      </c>
      <c r="Q413" s="12" t="s">
        <v>6653</v>
      </c>
      <c r="R413" s="16">
        <v>52.816666669999996</v>
      </c>
      <c r="S413" s="16">
        <v>60.466666670000002</v>
      </c>
      <c r="T413" s="12" t="s">
        <v>11</v>
      </c>
      <c r="U413" s="12" t="s">
        <v>1436</v>
      </c>
      <c r="V413" s="12" t="s">
        <v>1375</v>
      </c>
      <c r="W413" s="12" t="s">
        <v>7415</v>
      </c>
      <c r="X413" s="12">
        <v>0.69099999999999995</v>
      </c>
      <c r="Y413" s="12">
        <v>531218</v>
      </c>
      <c r="Z413" s="12">
        <v>6.7400000000000003E-3</v>
      </c>
      <c r="AA413" s="12">
        <v>1.5329808083994612</v>
      </c>
      <c r="AB413" s="12" t="s">
        <v>4263</v>
      </c>
      <c r="AC413" s="12" t="s">
        <v>21</v>
      </c>
      <c r="AD413" s="12">
        <v>5.8999999999999997E-2</v>
      </c>
      <c r="AE413" s="12">
        <v>0.999</v>
      </c>
      <c r="AF413" s="12" t="s">
        <v>45</v>
      </c>
    </row>
    <row r="414" spans="1:41" x14ac:dyDescent="0.2">
      <c r="A414" s="12" t="s">
        <v>5393</v>
      </c>
      <c r="B414" s="12" t="s">
        <v>5393</v>
      </c>
      <c r="C414" s="12" t="s">
        <v>5394</v>
      </c>
      <c r="D414" s="12" t="s">
        <v>105</v>
      </c>
      <c r="E414" s="12" t="s">
        <v>8110</v>
      </c>
      <c r="F414" s="12" t="s">
        <v>5396</v>
      </c>
      <c r="G414" s="12" t="s">
        <v>5453</v>
      </c>
      <c r="H414" s="12" t="s">
        <v>6625</v>
      </c>
      <c r="I414" s="12">
        <v>3769</v>
      </c>
      <c r="J414" s="12" t="s">
        <v>5396</v>
      </c>
      <c r="K414" s="12" t="s">
        <v>6652</v>
      </c>
      <c r="L414" s="12" t="s">
        <v>7137</v>
      </c>
      <c r="M414" s="12" t="s">
        <v>7138</v>
      </c>
      <c r="N414" s="12" t="s">
        <v>24</v>
      </c>
      <c r="O414" s="12" t="s">
        <v>3913</v>
      </c>
      <c r="P414" s="12" t="s">
        <v>18</v>
      </c>
      <c r="Q414" s="12" t="s">
        <v>6653</v>
      </c>
      <c r="R414" s="12">
        <v>52.816666669999996</v>
      </c>
      <c r="S414" s="12">
        <v>60.466666670000002</v>
      </c>
      <c r="T414" s="12" t="s">
        <v>11</v>
      </c>
      <c r="U414" s="12" t="s">
        <v>605</v>
      </c>
      <c r="V414" s="12" t="s">
        <v>755</v>
      </c>
      <c r="W414" s="12" t="s">
        <v>7415</v>
      </c>
      <c r="X414" s="12">
        <v>2.4630000000000001</v>
      </c>
      <c r="Y414" s="12">
        <v>845956</v>
      </c>
      <c r="Z414" s="12">
        <v>2.5370000000000002E-3</v>
      </c>
      <c r="AA414" s="12">
        <v>2.1758464746055477</v>
      </c>
      <c r="AB414" s="12" t="s">
        <v>5395</v>
      </c>
      <c r="AC414" s="12" t="s">
        <v>21</v>
      </c>
      <c r="AD414" s="12">
        <v>4.2000000000000003E-2</v>
      </c>
      <c r="AE414" s="12">
        <v>0.996</v>
      </c>
      <c r="AF414" s="12" t="s">
        <v>427</v>
      </c>
      <c r="AG414" s="12"/>
      <c r="AH414" s="12"/>
      <c r="AI414" s="12"/>
      <c r="AJ414" s="12"/>
      <c r="AK414" s="12"/>
      <c r="AL414" s="12"/>
      <c r="AM414" s="12"/>
      <c r="AN414" s="12"/>
      <c r="AO414" s="12"/>
    </row>
    <row r="415" spans="1:41" x14ac:dyDescent="0.2">
      <c r="A415" s="12" t="s">
        <v>5160</v>
      </c>
      <c r="B415" s="12" t="s">
        <v>5160</v>
      </c>
      <c r="C415" s="12" t="s">
        <v>6810</v>
      </c>
      <c r="D415" s="12" t="s">
        <v>13</v>
      </c>
      <c r="E415" s="12" t="s">
        <v>8110</v>
      </c>
      <c r="F415" s="12" t="s">
        <v>5162</v>
      </c>
      <c r="G415" s="12" t="s">
        <v>5453</v>
      </c>
      <c r="H415" s="12" t="s">
        <v>6621</v>
      </c>
      <c r="I415" s="12">
        <v>3765</v>
      </c>
      <c r="J415" s="12" t="s">
        <v>5162</v>
      </c>
      <c r="K415" s="12" t="s">
        <v>6652</v>
      </c>
      <c r="L415" s="12" t="s">
        <v>5060</v>
      </c>
      <c r="M415" s="12" t="s">
        <v>5109</v>
      </c>
      <c r="N415" s="12" t="s">
        <v>5785</v>
      </c>
      <c r="O415" s="12" t="s">
        <v>4218</v>
      </c>
      <c r="P415" s="12" t="s">
        <v>1152</v>
      </c>
      <c r="Q415" s="12" t="s">
        <v>6653</v>
      </c>
      <c r="R415" s="12">
        <v>50.09</v>
      </c>
      <c r="S415" s="12">
        <v>74.44</v>
      </c>
      <c r="T415" s="12" t="s">
        <v>25</v>
      </c>
      <c r="U415" s="12" t="s">
        <v>1293</v>
      </c>
      <c r="V415" s="12" t="s">
        <v>6639</v>
      </c>
      <c r="W415" s="12" t="s">
        <v>6639</v>
      </c>
      <c r="X415" s="12">
        <v>2.9921769999999999</v>
      </c>
      <c r="Y415" s="12">
        <v>802803</v>
      </c>
      <c r="Z415" s="12" t="s">
        <v>6639</v>
      </c>
      <c r="AA415" s="12" t="s">
        <v>6639</v>
      </c>
      <c r="AB415" s="12" t="s">
        <v>5161</v>
      </c>
      <c r="AC415" s="12" t="s">
        <v>21</v>
      </c>
      <c r="AD415" s="12">
        <v>9.8000000000000004E-2</v>
      </c>
      <c r="AE415" s="12">
        <v>0.999</v>
      </c>
      <c r="AF415" s="12" t="s">
        <v>45</v>
      </c>
    </row>
    <row r="416" spans="1:41" x14ac:dyDescent="0.2">
      <c r="A416" s="12" t="s">
        <v>4265</v>
      </c>
      <c r="B416" s="12" t="s">
        <v>4265</v>
      </c>
      <c r="C416" s="12" t="s">
        <v>4266</v>
      </c>
      <c r="D416" s="12" t="s">
        <v>105</v>
      </c>
      <c r="E416" s="12" t="s">
        <v>8110</v>
      </c>
      <c r="F416" s="12" t="s">
        <v>4268</v>
      </c>
      <c r="G416" s="12" t="s">
        <v>5453</v>
      </c>
      <c r="H416" s="12" t="s">
        <v>6625</v>
      </c>
      <c r="I416" s="12">
        <v>3741</v>
      </c>
      <c r="J416" s="12" t="s">
        <v>4268</v>
      </c>
      <c r="K416" s="12" t="s">
        <v>6652</v>
      </c>
      <c r="L416" s="12" t="s">
        <v>7139</v>
      </c>
      <c r="M416" s="12" t="s">
        <v>7140</v>
      </c>
      <c r="N416" s="12" t="s">
        <v>24</v>
      </c>
      <c r="O416" s="12" t="s">
        <v>3913</v>
      </c>
      <c r="P416" s="12" t="s">
        <v>18</v>
      </c>
      <c r="Q416" s="12" t="s">
        <v>6653</v>
      </c>
      <c r="R416" s="12">
        <v>52.816666669999996</v>
      </c>
      <c r="S416" s="12">
        <v>60.466666670000002</v>
      </c>
      <c r="T416" s="12" t="s">
        <v>11</v>
      </c>
      <c r="U416" s="12" t="s">
        <v>1436</v>
      </c>
      <c r="V416" s="12" t="s">
        <v>606</v>
      </c>
      <c r="W416" s="12" t="s">
        <v>7415</v>
      </c>
      <c r="X416" s="12">
        <v>0.45400000000000001</v>
      </c>
      <c r="Y416" s="12">
        <v>401630</v>
      </c>
      <c r="Z416" s="12">
        <v>3.3639999999999998E-3</v>
      </c>
      <c r="AA416" s="12">
        <v>0.64940705892345918</v>
      </c>
      <c r="AB416" s="12" t="s">
        <v>4267</v>
      </c>
      <c r="AC416" s="12" t="s">
        <v>21</v>
      </c>
      <c r="AD416" s="12">
        <v>6.9000000000000006E-2</v>
      </c>
      <c r="AE416" s="12">
        <v>1</v>
      </c>
      <c r="AF416" s="12" t="s">
        <v>45</v>
      </c>
    </row>
    <row r="417" spans="1:41" x14ac:dyDescent="0.2">
      <c r="A417" s="12" t="s">
        <v>5157</v>
      </c>
      <c r="B417" s="12" t="s">
        <v>5157</v>
      </c>
      <c r="C417" s="12" t="s">
        <v>7439</v>
      </c>
      <c r="D417" s="12" t="s">
        <v>13</v>
      </c>
      <c r="E417" s="12" t="s">
        <v>8110</v>
      </c>
      <c r="F417" s="12" t="s">
        <v>5159</v>
      </c>
      <c r="G417" s="12" t="s">
        <v>5453</v>
      </c>
      <c r="H417" s="12" t="s">
        <v>6616</v>
      </c>
      <c r="I417" s="12">
        <v>3738</v>
      </c>
      <c r="J417" s="12" t="s">
        <v>5159</v>
      </c>
      <c r="K417" s="12" t="s">
        <v>6652</v>
      </c>
      <c r="L417" s="12" t="s">
        <v>5060</v>
      </c>
      <c r="M417" s="12" t="s">
        <v>5124</v>
      </c>
      <c r="N417" s="12" t="s">
        <v>5785</v>
      </c>
      <c r="O417" s="12" t="s">
        <v>5127</v>
      </c>
      <c r="P417" s="12" t="s">
        <v>1152</v>
      </c>
      <c r="Q417" s="12" t="s">
        <v>6653</v>
      </c>
      <c r="R417" s="12">
        <v>48.781766670000003</v>
      </c>
      <c r="S417" s="12">
        <v>76.453033329999997</v>
      </c>
      <c r="T417" s="12" t="s">
        <v>11</v>
      </c>
      <c r="U417" s="12" t="s">
        <v>1302</v>
      </c>
      <c r="V417" s="12" t="s">
        <v>755</v>
      </c>
      <c r="W417" s="12" t="s">
        <v>7415</v>
      </c>
      <c r="X417" s="12">
        <v>3.1110000000000002</v>
      </c>
      <c r="Y417" s="12">
        <v>778899</v>
      </c>
      <c r="Z417" s="12">
        <v>5.5170000000000002E-3</v>
      </c>
      <c r="AA417" s="12">
        <v>4.9032547052847972</v>
      </c>
      <c r="AB417" s="12" t="s">
        <v>5158</v>
      </c>
      <c r="AC417" s="12" t="s">
        <v>21</v>
      </c>
      <c r="AD417" s="12">
        <v>7.9000000000000001E-2</v>
      </c>
      <c r="AE417" s="12">
        <v>0.98199999999999998</v>
      </c>
      <c r="AF417" s="12" t="s">
        <v>436</v>
      </c>
    </row>
    <row r="418" spans="1:41" x14ac:dyDescent="0.2">
      <c r="A418" s="12" t="s">
        <v>5153</v>
      </c>
      <c r="B418" s="12" t="s">
        <v>5153</v>
      </c>
      <c r="C418" s="12" t="s">
        <v>5154</v>
      </c>
      <c r="D418" s="12" t="s">
        <v>105</v>
      </c>
      <c r="E418" s="12" t="s">
        <v>8110</v>
      </c>
      <c r="F418" s="12" t="s">
        <v>5156</v>
      </c>
      <c r="G418" s="12" t="s">
        <v>5453</v>
      </c>
      <c r="H418" s="12" t="s">
        <v>6625</v>
      </c>
      <c r="I418" s="12">
        <v>3737</v>
      </c>
      <c r="J418" s="12" t="s">
        <v>5156</v>
      </c>
      <c r="K418" s="12" t="s">
        <v>6652</v>
      </c>
      <c r="L418" s="12" t="s">
        <v>5060</v>
      </c>
      <c r="M418" s="12" t="s">
        <v>5059</v>
      </c>
      <c r="N418" s="12" t="s">
        <v>5785</v>
      </c>
      <c r="O418" s="12" t="s">
        <v>3913</v>
      </c>
      <c r="P418" s="12" t="s">
        <v>18</v>
      </c>
      <c r="Q418" s="12" t="s">
        <v>6653</v>
      </c>
      <c r="R418" s="12">
        <v>52.816666669999996</v>
      </c>
      <c r="S418" s="12">
        <v>60.466666670000002</v>
      </c>
      <c r="T418" s="12" t="s">
        <v>11</v>
      </c>
      <c r="U418" s="12" t="s">
        <v>2459</v>
      </c>
      <c r="V418" s="12" t="s">
        <v>755</v>
      </c>
      <c r="W418" s="12" t="s">
        <v>7415</v>
      </c>
      <c r="X418" s="12">
        <v>2.08</v>
      </c>
      <c r="Y418" s="12">
        <v>840565</v>
      </c>
      <c r="Z418" s="12">
        <v>9.8300000000000002E-3</v>
      </c>
      <c r="AA418" s="12">
        <v>5.0820968017946058</v>
      </c>
      <c r="AB418" s="12" t="s">
        <v>5155</v>
      </c>
      <c r="AC418" s="12" t="s">
        <v>21</v>
      </c>
      <c r="AD418" s="12">
        <v>0.05</v>
      </c>
      <c r="AE418" s="12">
        <v>0.999</v>
      </c>
      <c r="AF418" s="12" t="s">
        <v>317</v>
      </c>
    </row>
    <row r="419" spans="1:41" x14ac:dyDescent="0.2">
      <c r="A419" s="12" t="s">
        <v>5150</v>
      </c>
      <c r="B419" s="12" t="s">
        <v>5150</v>
      </c>
      <c r="C419" s="12" t="s">
        <v>7602</v>
      </c>
      <c r="D419" s="12" t="s">
        <v>13</v>
      </c>
      <c r="E419" s="12" t="s">
        <v>8110</v>
      </c>
      <c r="F419" s="12" t="s">
        <v>5152</v>
      </c>
      <c r="G419" s="12" t="s">
        <v>5453</v>
      </c>
      <c r="H419" s="12" t="s">
        <v>6621</v>
      </c>
      <c r="I419" s="12">
        <v>3735</v>
      </c>
      <c r="J419" s="12" t="s">
        <v>5152</v>
      </c>
      <c r="K419" s="12" t="s">
        <v>6652</v>
      </c>
      <c r="L419" s="12" t="s">
        <v>5060</v>
      </c>
      <c r="M419" s="12" t="s">
        <v>5109</v>
      </c>
      <c r="N419" s="12" t="s">
        <v>5785</v>
      </c>
      <c r="O419" s="12" t="s">
        <v>4218</v>
      </c>
      <c r="P419" s="12" t="s">
        <v>1152</v>
      </c>
      <c r="Q419" s="12" t="s">
        <v>6653</v>
      </c>
      <c r="R419" s="12">
        <v>50.09</v>
      </c>
      <c r="S419" s="12">
        <v>74.44</v>
      </c>
      <c r="T419" s="12" t="s">
        <v>11</v>
      </c>
      <c r="U419" s="12" t="s">
        <v>36</v>
      </c>
      <c r="V419" s="12" t="s">
        <v>606</v>
      </c>
      <c r="W419" s="12" t="s">
        <v>7415</v>
      </c>
      <c r="X419" s="12">
        <v>3.7774770000000002</v>
      </c>
      <c r="Y419" s="12">
        <v>843409</v>
      </c>
      <c r="Z419" s="12">
        <v>4.7759999999999999E-3</v>
      </c>
      <c r="AA419" s="12">
        <v>4.16010842761664</v>
      </c>
      <c r="AB419" s="12" t="s">
        <v>5151</v>
      </c>
      <c r="AC419" s="12" t="s">
        <v>21</v>
      </c>
      <c r="AD419" s="12">
        <v>0.09</v>
      </c>
      <c r="AE419" s="12">
        <v>0.997</v>
      </c>
      <c r="AF419" s="12" t="s">
        <v>82</v>
      </c>
    </row>
    <row r="420" spans="1:41" x14ac:dyDescent="0.2">
      <c r="A420" s="12" t="s">
        <v>4224</v>
      </c>
      <c r="B420" s="12" t="s">
        <v>4224</v>
      </c>
      <c r="C420" s="12" t="s">
        <v>7605</v>
      </c>
      <c r="D420" s="12" t="s">
        <v>13</v>
      </c>
      <c r="E420" s="12" t="s">
        <v>8110</v>
      </c>
      <c r="F420" s="12" t="s">
        <v>4226</v>
      </c>
      <c r="G420" s="12" t="s">
        <v>5453</v>
      </c>
      <c r="H420" s="12" t="s">
        <v>6621</v>
      </c>
      <c r="I420" s="12">
        <v>3734</v>
      </c>
      <c r="J420" s="12" t="s">
        <v>4226</v>
      </c>
      <c r="K420" s="12" t="s">
        <v>6652</v>
      </c>
      <c r="L420" s="12" t="s">
        <v>4177</v>
      </c>
      <c r="M420" s="12" t="s">
        <v>4215</v>
      </c>
      <c r="N420" s="12" t="s">
        <v>5785</v>
      </c>
      <c r="O420" s="12" t="s">
        <v>4218</v>
      </c>
      <c r="P420" s="12" t="s">
        <v>1152</v>
      </c>
      <c r="Q420" s="12" t="s">
        <v>6653</v>
      </c>
      <c r="R420" s="12">
        <v>50.09</v>
      </c>
      <c r="S420" s="12">
        <v>74.44</v>
      </c>
      <c r="T420" s="12" t="s">
        <v>25</v>
      </c>
      <c r="U420" s="12" t="s">
        <v>1293</v>
      </c>
      <c r="V420" s="12" t="s">
        <v>6639</v>
      </c>
      <c r="W420" s="12" t="s">
        <v>6639</v>
      </c>
      <c r="X420" s="12">
        <v>4.1004009999999997</v>
      </c>
      <c r="Y420" s="12">
        <v>836234</v>
      </c>
      <c r="Z420" s="12" t="s">
        <v>6639</v>
      </c>
      <c r="AA420" s="12" t="s">
        <v>6639</v>
      </c>
      <c r="AB420" s="12" t="s">
        <v>4225</v>
      </c>
      <c r="AC420" s="12" t="s">
        <v>21</v>
      </c>
      <c r="AD420" s="12">
        <v>7.2999999999999995E-2</v>
      </c>
      <c r="AE420" s="12">
        <v>0.99299999999999999</v>
      </c>
      <c r="AF420" s="12" t="s">
        <v>45</v>
      </c>
    </row>
    <row r="421" spans="1:41" x14ac:dyDescent="0.2">
      <c r="A421" s="12" t="s">
        <v>3795</v>
      </c>
      <c r="B421" s="12" t="s">
        <v>3795</v>
      </c>
      <c r="C421" s="12" t="s">
        <v>7610</v>
      </c>
      <c r="D421" s="12" t="s">
        <v>13</v>
      </c>
      <c r="E421" s="12" t="s">
        <v>8110</v>
      </c>
      <c r="F421" s="12" t="s">
        <v>3798</v>
      </c>
      <c r="G421" s="12" t="s">
        <v>5453</v>
      </c>
      <c r="H421" s="12" t="s">
        <v>6621</v>
      </c>
      <c r="I421" s="12">
        <v>3732</v>
      </c>
      <c r="J421" s="12" t="s">
        <v>3798</v>
      </c>
      <c r="K421" s="12" t="s">
        <v>6652</v>
      </c>
      <c r="L421" s="12" t="s">
        <v>3796</v>
      </c>
      <c r="M421" s="12" t="s">
        <v>3796</v>
      </c>
      <c r="N421" s="12" t="s">
        <v>5785</v>
      </c>
      <c r="O421" s="12" t="s">
        <v>3799</v>
      </c>
      <c r="P421" s="12" t="s">
        <v>1152</v>
      </c>
      <c r="Q421" s="12" t="s">
        <v>6653</v>
      </c>
      <c r="R421" s="12">
        <v>49.12</v>
      </c>
      <c r="S421" s="12">
        <v>75.81</v>
      </c>
      <c r="T421" s="12" t="s">
        <v>11</v>
      </c>
      <c r="U421" s="12" t="s">
        <v>36</v>
      </c>
      <c r="V421" s="12" t="s">
        <v>755</v>
      </c>
      <c r="W421" s="12" t="s">
        <v>7415</v>
      </c>
      <c r="X421" s="12">
        <v>3.7842210000000001</v>
      </c>
      <c r="Y421" s="12">
        <v>886521</v>
      </c>
      <c r="Z421" s="12">
        <v>4.6959999999999997E-3</v>
      </c>
      <c r="AA421" s="12">
        <v>4.6224066635102536</v>
      </c>
      <c r="AB421" s="12" t="s">
        <v>3797</v>
      </c>
      <c r="AC421" s="12" t="s">
        <v>21</v>
      </c>
      <c r="AD421" s="12">
        <v>7.2999999999999995E-2</v>
      </c>
      <c r="AE421" s="12">
        <v>0.98399999999999999</v>
      </c>
      <c r="AF421" s="12" t="s">
        <v>82</v>
      </c>
    </row>
    <row r="422" spans="1:41" x14ac:dyDescent="0.2">
      <c r="A422" s="12" t="s">
        <v>5146</v>
      </c>
      <c r="B422" s="12" t="s">
        <v>5146</v>
      </c>
      <c r="C422" s="12" t="s">
        <v>7607</v>
      </c>
      <c r="D422" s="12" t="s">
        <v>13</v>
      </c>
      <c r="E422" s="12" t="s">
        <v>8110</v>
      </c>
      <c r="F422" s="12" t="s">
        <v>5148</v>
      </c>
      <c r="G422" s="12" t="s">
        <v>5453</v>
      </c>
      <c r="H422" s="12" t="s">
        <v>6621</v>
      </c>
      <c r="I422" s="12">
        <v>3732</v>
      </c>
      <c r="J422" s="12" t="s">
        <v>5148</v>
      </c>
      <c r="K422" s="12" t="s">
        <v>6652</v>
      </c>
      <c r="L422" s="12" t="s">
        <v>5060</v>
      </c>
      <c r="M422" s="12" t="s">
        <v>5109</v>
      </c>
      <c r="N422" s="12" t="s">
        <v>5785</v>
      </c>
      <c r="O422" s="12" t="s">
        <v>4218</v>
      </c>
      <c r="P422" s="12" t="s">
        <v>1152</v>
      </c>
      <c r="Q422" s="12" t="s">
        <v>6653</v>
      </c>
      <c r="R422" s="12">
        <v>50.09</v>
      </c>
      <c r="S422" s="12">
        <v>74.44</v>
      </c>
      <c r="T422" s="12" t="s">
        <v>11</v>
      </c>
      <c r="U422" s="12" t="s">
        <v>5149</v>
      </c>
      <c r="V422" s="12" t="s">
        <v>606</v>
      </c>
      <c r="W422" s="12" t="s">
        <v>7415</v>
      </c>
      <c r="X422" s="12">
        <v>4.0871370000000002</v>
      </c>
      <c r="Y422" s="12">
        <v>863097</v>
      </c>
      <c r="Z422" s="12">
        <v>3.65E-3</v>
      </c>
      <c r="AA422" s="12">
        <v>4.1782728210679272</v>
      </c>
      <c r="AB422" s="12" t="s">
        <v>5147</v>
      </c>
      <c r="AC422" s="12" t="s">
        <v>21</v>
      </c>
      <c r="AD422" s="12">
        <v>8.6999999999999994E-2</v>
      </c>
      <c r="AE422" s="12">
        <v>0.99299999999999999</v>
      </c>
      <c r="AF422" s="12" t="s">
        <v>59</v>
      </c>
    </row>
    <row r="423" spans="1:41" x14ac:dyDescent="0.2">
      <c r="A423" s="12" t="s">
        <v>1317</v>
      </c>
      <c r="B423" s="12" t="s">
        <v>1317</v>
      </c>
      <c r="C423" s="12" t="s">
        <v>1318</v>
      </c>
      <c r="D423" s="12" t="s">
        <v>143</v>
      </c>
      <c r="E423" s="12" t="s">
        <v>8110</v>
      </c>
      <c r="F423" s="12" t="s">
        <v>1320</v>
      </c>
      <c r="G423" s="12" t="s">
        <v>5453</v>
      </c>
      <c r="H423" s="12" t="s">
        <v>6643</v>
      </c>
      <c r="I423" s="12">
        <v>3728</v>
      </c>
      <c r="J423" s="12" t="s">
        <v>1320</v>
      </c>
      <c r="K423" s="12" t="s">
        <v>6652</v>
      </c>
      <c r="L423" s="12" t="s">
        <v>1229</v>
      </c>
      <c r="M423" s="12" t="s">
        <v>1255</v>
      </c>
      <c r="N423" s="12" t="s">
        <v>5785</v>
      </c>
      <c r="O423" s="12" t="s">
        <v>5806</v>
      </c>
      <c r="P423" s="12" t="s">
        <v>1152</v>
      </c>
      <c r="Q423" s="12" t="s">
        <v>6653</v>
      </c>
      <c r="R423" s="16">
        <v>42.68943333</v>
      </c>
      <c r="S423" s="16">
        <v>73.117483329999999</v>
      </c>
      <c r="T423" s="12" t="s">
        <v>25</v>
      </c>
      <c r="U423" s="12" t="s">
        <v>1321</v>
      </c>
      <c r="V423" s="12" t="s">
        <v>6639</v>
      </c>
      <c r="W423" s="12" t="s">
        <v>6639</v>
      </c>
      <c r="X423" s="12">
        <v>0.59399999999999997</v>
      </c>
      <c r="Y423" s="12">
        <v>397566</v>
      </c>
      <c r="Z423" s="12" t="s">
        <v>6639</v>
      </c>
      <c r="AA423" s="12" t="s">
        <v>6639</v>
      </c>
      <c r="AB423" s="12" t="s">
        <v>1319</v>
      </c>
      <c r="AC423" s="12" t="s">
        <v>21</v>
      </c>
      <c r="AD423" s="12">
        <v>4.5999999999999999E-2</v>
      </c>
      <c r="AE423" s="12">
        <v>0.96</v>
      </c>
      <c r="AF423" s="12" t="s">
        <v>45</v>
      </c>
    </row>
    <row r="424" spans="1:41" x14ac:dyDescent="0.2">
      <c r="A424" s="12" t="s">
        <v>5140</v>
      </c>
      <c r="B424" s="12" t="s">
        <v>5140</v>
      </c>
      <c r="C424" s="12" t="s">
        <v>7603</v>
      </c>
      <c r="D424" s="12" t="s">
        <v>13</v>
      </c>
      <c r="E424" s="12" t="s">
        <v>8110</v>
      </c>
      <c r="F424" s="12" t="s">
        <v>5142</v>
      </c>
      <c r="G424" s="12" t="s">
        <v>5453</v>
      </c>
      <c r="H424" s="12" t="s">
        <v>6621</v>
      </c>
      <c r="I424" s="12">
        <v>3728</v>
      </c>
      <c r="J424" s="12" t="s">
        <v>5142</v>
      </c>
      <c r="K424" s="12" t="s">
        <v>6652</v>
      </c>
      <c r="L424" s="12" t="s">
        <v>5060</v>
      </c>
      <c r="M424" s="12" t="s">
        <v>5109</v>
      </c>
      <c r="N424" s="12" t="s">
        <v>5785</v>
      </c>
      <c r="O424" s="12" t="s">
        <v>4218</v>
      </c>
      <c r="P424" s="12" t="s">
        <v>1152</v>
      </c>
      <c r="Q424" s="12" t="s">
        <v>6653</v>
      </c>
      <c r="R424" s="12">
        <v>50.09</v>
      </c>
      <c r="S424" s="12">
        <v>74.44</v>
      </c>
      <c r="T424" s="12" t="s">
        <v>25</v>
      </c>
      <c r="U424" s="12" t="s">
        <v>1293</v>
      </c>
      <c r="V424" s="12" t="s">
        <v>6639</v>
      </c>
      <c r="W424" s="12" t="s">
        <v>6639</v>
      </c>
      <c r="X424" s="12">
        <v>4.0988899999999999</v>
      </c>
      <c r="Y424" s="12">
        <v>824759</v>
      </c>
      <c r="Z424" s="12" t="s">
        <v>6639</v>
      </c>
      <c r="AA424" s="12" t="s">
        <v>6639</v>
      </c>
      <c r="AB424" s="12" t="s">
        <v>5141</v>
      </c>
      <c r="AC424" s="12" t="s">
        <v>21</v>
      </c>
      <c r="AD424" s="12">
        <v>7.0000000000000007E-2</v>
      </c>
      <c r="AE424" s="12">
        <v>0.997</v>
      </c>
      <c r="AF424" s="12" t="s">
        <v>45</v>
      </c>
    </row>
    <row r="425" spans="1:41" x14ac:dyDescent="0.2">
      <c r="A425" s="12" t="s">
        <v>5143</v>
      </c>
      <c r="B425" s="12" t="s">
        <v>5143</v>
      </c>
      <c r="C425" s="12" t="s">
        <v>6811</v>
      </c>
      <c r="D425" s="12" t="s">
        <v>13</v>
      </c>
      <c r="E425" s="12" t="s">
        <v>8110</v>
      </c>
      <c r="F425" s="12" t="s">
        <v>5145</v>
      </c>
      <c r="G425" s="12" t="s">
        <v>5453</v>
      </c>
      <c r="H425" s="12" t="s">
        <v>6621</v>
      </c>
      <c r="I425" s="12">
        <v>3728</v>
      </c>
      <c r="J425" s="12" t="s">
        <v>5145</v>
      </c>
      <c r="K425" s="12" t="s">
        <v>6652</v>
      </c>
      <c r="L425" s="12" t="s">
        <v>5060</v>
      </c>
      <c r="M425" s="12" t="s">
        <v>5109</v>
      </c>
      <c r="N425" s="12" t="s">
        <v>5785</v>
      </c>
      <c r="O425" s="12" t="s">
        <v>4218</v>
      </c>
      <c r="P425" s="12" t="s">
        <v>1152</v>
      </c>
      <c r="Q425" s="12" t="s">
        <v>6653</v>
      </c>
      <c r="R425" s="12">
        <v>50.09</v>
      </c>
      <c r="S425" s="12">
        <v>74.44</v>
      </c>
      <c r="T425" s="12" t="s">
        <v>25</v>
      </c>
      <c r="U425" s="12" t="s">
        <v>36</v>
      </c>
      <c r="V425" s="12" t="s">
        <v>6639</v>
      </c>
      <c r="W425" s="12" t="s">
        <v>6639</v>
      </c>
      <c r="X425" s="12">
        <v>4.0873189999999999</v>
      </c>
      <c r="Y425" s="12">
        <v>858101</v>
      </c>
      <c r="Z425" s="12" t="s">
        <v>6639</v>
      </c>
      <c r="AA425" s="12" t="s">
        <v>6639</v>
      </c>
      <c r="AB425" s="12" t="s">
        <v>5144</v>
      </c>
      <c r="AC425" s="12" t="s">
        <v>21</v>
      </c>
      <c r="AD425" s="12">
        <v>9.1999999999999998E-2</v>
      </c>
      <c r="AE425" s="12">
        <v>0.98699999999999999</v>
      </c>
      <c r="AF425" s="12" t="s">
        <v>45</v>
      </c>
    </row>
    <row r="426" spans="1:41" x14ac:dyDescent="0.2">
      <c r="A426" s="12" t="s">
        <v>3914</v>
      </c>
      <c r="B426" s="12" t="s">
        <v>3918</v>
      </c>
      <c r="C426" s="62" t="s">
        <v>6741</v>
      </c>
      <c r="D426" s="12" t="s">
        <v>105</v>
      </c>
      <c r="E426" s="12" t="s">
        <v>8110</v>
      </c>
      <c r="F426" s="12" t="s">
        <v>3916</v>
      </c>
      <c r="G426" s="12" t="s">
        <v>5453</v>
      </c>
      <c r="H426" s="12" t="s">
        <v>6625</v>
      </c>
      <c r="I426" s="12">
        <v>3721</v>
      </c>
      <c r="J426" s="12" t="s">
        <v>3916</v>
      </c>
      <c r="K426" s="12" t="s">
        <v>6652</v>
      </c>
      <c r="L426" s="12" t="s">
        <v>3911</v>
      </c>
      <c r="M426" s="12" t="s">
        <v>3911</v>
      </c>
      <c r="N426" s="12" t="s">
        <v>5785</v>
      </c>
      <c r="O426" s="12" t="s">
        <v>3913</v>
      </c>
      <c r="P426" s="12" t="s">
        <v>18</v>
      </c>
      <c r="Q426" s="12" t="s">
        <v>6653</v>
      </c>
      <c r="R426" s="12">
        <v>52.816666669999996</v>
      </c>
      <c r="S426" s="12">
        <v>60.466666670000002</v>
      </c>
      <c r="T426" s="12" t="s">
        <v>11</v>
      </c>
      <c r="U426" s="12" t="s">
        <v>3917</v>
      </c>
      <c r="V426" s="12" t="s">
        <v>1159</v>
      </c>
      <c r="W426" s="12" t="s">
        <v>7415</v>
      </c>
      <c r="X426" s="12">
        <v>1.0289999999999999</v>
      </c>
      <c r="Y426" s="12">
        <v>679080</v>
      </c>
      <c r="Z426" s="12">
        <v>1.0251E-2</v>
      </c>
      <c r="AA426" s="12">
        <v>2.9499654096339638</v>
      </c>
      <c r="AB426" s="12" t="s">
        <v>3915</v>
      </c>
      <c r="AC426" s="12" t="s">
        <v>58</v>
      </c>
      <c r="AD426" s="12" t="s">
        <v>7797</v>
      </c>
      <c r="AE426" s="12" t="s">
        <v>7700</v>
      </c>
      <c r="AF426" s="12" t="s">
        <v>317</v>
      </c>
    </row>
    <row r="427" spans="1:41" x14ac:dyDescent="0.2">
      <c r="A427" s="12" t="s">
        <v>5288</v>
      </c>
      <c r="B427" s="12" t="s">
        <v>5288</v>
      </c>
      <c r="C427" s="12" t="s">
        <v>6902</v>
      </c>
      <c r="D427" s="12" t="s">
        <v>105</v>
      </c>
      <c r="E427" s="12" t="s">
        <v>8110</v>
      </c>
      <c r="F427" s="12" t="s">
        <v>5460</v>
      </c>
      <c r="G427" s="12" t="s">
        <v>5454</v>
      </c>
      <c r="H427" s="12" t="s">
        <v>6626</v>
      </c>
      <c r="I427" s="12">
        <v>3719</v>
      </c>
      <c r="J427" s="12" t="s">
        <v>5290</v>
      </c>
      <c r="K427" s="12" t="s">
        <v>6652</v>
      </c>
      <c r="L427" s="12" t="s">
        <v>5060</v>
      </c>
      <c r="M427" s="12" t="s">
        <v>5267</v>
      </c>
      <c r="N427" s="12" t="s">
        <v>5785</v>
      </c>
      <c r="O427" s="12" t="s">
        <v>4249</v>
      </c>
      <c r="P427" s="12" t="s">
        <v>18</v>
      </c>
      <c r="Q427" s="12" t="s">
        <v>6653</v>
      </c>
      <c r="R427" s="12">
        <v>53.03</v>
      </c>
      <c r="S427" s="12">
        <v>50.39</v>
      </c>
      <c r="T427" s="12" t="s">
        <v>25</v>
      </c>
      <c r="U427" s="12" t="s">
        <v>2459</v>
      </c>
      <c r="V427" s="12" t="s">
        <v>6639</v>
      </c>
      <c r="W427" s="12" t="s">
        <v>6639</v>
      </c>
      <c r="X427" s="12">
        <v>0.46568399999999999</v>
      </c>
      <c r="Y427" s="12">
        <v>406361</v>
      </c>
      <c r="Z427" s="12" t="s">
        <v>6639</v>
      </c>
      <c r="AA427" s="12" t="s">
        <v>6639</v>
      </c>
      <c r="AB427" s="12" t="s">
        <v>5289</v>
      </c>
      <c r="AC427" s="12" t="s">
        <v>340</v>
      </c>
      <c r="AD427" s="12" t="s">
        <v>7839</v>
      </c>
      <c r="AE427" s="12" t="s">
        <v>7749</v>
      </c>
      <c r="AF427" s="12" t="s">
        <v>45</v>
      </c>
    </row>
    <row r="428" spans="1:41" x14ac:dyDescent="0.2">
      <c r="A428" s="12" t="s">
        <v>5134</v>
      </c>
      <c r="B428" s="12" t="s">
        <v>5134</v>
      </c>
      <c r="C428" s="12" t="s">
        <v>5136</v>
      </c>
      <c r="D428" s="12" t="s">
        <v>143</v>
      </c>
      <c r="E428" s="12" t="s">
        <v>8110</v>
      </c>
      <c r="F428" s="12" t="s">
        <v>5138</v>
      </c>
      <c r="G428" s="12" t="s">
        <v>5453</v>
      </c>
      <c r="H428" s="12" t="s">
        <v>6643</v>
      </c>
      <c r="I428" s="12">
        <v>3717</v>
      </c>
      <c r="J428" s="12" t="s">
        <v>5138</v>
      </c>
      <c r="K428" s="12" t="s">
        <v>6652</v>
      </c>
      <c r="L428" s="12" t="s">
        <v>5060</v>
      </c>
      <c r="M428" s="12" t="s">
        <v>5135</v>
      </c>
      <c r="N428" s="12" t="s">
        <v>5785</v>
      </c>
      <c r="O428" s="12" t="s">
        <v>5139</v>
      </c>
      <c r="P428" s="12" t="s">
        <v>1152</v>
      </c>
      <c r="Q428" s="12" t="s">
        <v>6653</v>
      </c>
      <c r="R428" s="12">
        <v>47.777983329999998</v>
      </c>
      <c r="S428" s="12">
        <v>72.009683330000001</v>
      </c>
      <c r="T428" s="12" t="s">
        <v>11</v>
      </c>
      <c r="U428" s="12" t="s">
        <v>1311</v>
      </c>
      <c r="V428" s="12" t="s">
        <v>1352</v>
      </c>
      <c r="W428" s="12" t="s">
        <v>7415</v>
      </c>
      <c r="X428" s="12">
        <v>1.877</v>
      </c>
      <c r="Y428" s="12">
        <v>769075</v>
      </c>
      <c r="Z428" s="12">
        <v>7.6010000000000001E-3</v>
      </c>
      <c r="AA428" s="12">
        <v>4.0850546975979283</v>
      </c>
      <c r="AB428" s="12" t="s">
        <v>5137</v>
      </c>
      <c r="AC428" s="12" t="s">
        <v>21</v>
      </c>
      <c r="AD428" s="12">
        <v>4.2999999999999997E-2</v>
      </c>
      <c r="AE428" s="12">
        <v>0.997</v>
      </c>
      <c r="AF428" s="12" t="s">
        <v>152</v>
      </c>
    </row>
    <row r="429" spans="1:41" x14ac:dyDescent="0.2">
      <c r="A429" s="12" t="s">
        <v>5128</v>
      </c>
      <c r="B429" s="12" t="s">
        <v>5128</v>
      </c>
      <c r="C429" s="12" t="s">
        <v>7600</v>
      </c>
      <c r="D429" s="12" t="s">
        <v>13</v>
      </c>
      <c r="E429" s="12" t="s">
        <v>8110</v>
      </c>
      <c r="F429" s="12" t="s">
        <v>5130</v>
      </c>
      <c r="G429" s="12" t="s">
        <v>5453</v>
      </c>
      <c r="H429" s="12" t="s">
        <v>6621</v>
      </c>
      <c r="I429" s="12">
        <v>3713</v>
      </c>
      <c r="J429" s="12" t="s">
        <v>5130</v>
      </c>
      <c r="K429" s="12" t="s">
        <v>6652</v>
      </c>
      <c r="L429" s="12" t="s">
        <v>5060</v>
      </c>
      <c r="M429" s="12" t="s">
        <v>5119</v>
      </c>
      <c r="N429" s="12" t="s">
        <v>5785</v>
      </c>
      <c r="O429" s="12" t="s">
        <v>5122</v>
      </c>
      <c r="P429" s="12" t="s">
        <v>1152</v>
      </c>
      <c r="Q429" s="12" t="s">
        <v>6653</v>
      </c>
      <c r="R429" s="12">
        <v>52.61</v>
      </c>
      <c r="S429" s="12">
        <v>62.69</v>
      </c>
      <c r="T429" s="12" t="s">
        <v>25</v>
      </c>
      <c r="U429" s="12" t="s">
        <v>36</v>
      </c>
      <c r="V429" s="12" t="s">
        <v>6639</v>
      </c>
      <c r="W429" s="12" t="s">
        <v>6639</v>
      </c>
      <c r="X429" s="12">
        <v>0.254859</v>
      </c>
      <c r="Y429" s="12">
        <v>244356</v>
      </c>
      <c r="Z429" s="12" t="s">
        <v>6639</v>
      </c>
      <c r="AA429" s="12" t="s">
        <v>6639</v>
      </c>
      <c r="AB429" s="12" t="s">
        <v>5129</v>
      </c>
      <c r="AC429" s="12" t="s">
        <v>21</v>
      </c>
      <c r="AD429" s="12">
        <v>0.14599999999999999</v>
      </c>
      <c r="AE429" s="12">
        <v>0.998</v>
      </c>
      <c r="AF429" s="12" t="s">
        <v>45</v>
      </c>
    </row>
    <row r="430" spans="1:41" x14ac:dyDescent="0.2">
      <c r="A430" s="12" t="s">
        <v>5131</v>
      </c>
      <c r="B430" s="12" t="s">
        <v>5131</v>
      </c>
      <c r="C430" s="12" t="s">
        <v>7604</v>
      </c>
      <c r="D430" s="12" t="s">
        <v>13</v>
      </c>
      <c r="E430" s="12" t="s">
        <v>8110</v>
      </c>
      <c r="F430" s="12" t="s">
        <v>5133</v>
      </c>
      <c r="G430" s="12" t="s">
        <v>5453</v>
      </c>
      <c r="H430" s="12" t="s">
        <v>6621</v>
      </c>
      <c r="I430" s="12">
        <v>3713</v>
      </c>
      <c r="J430" s="12" t="s">
        <v>5133</v>
      </c>
      <c r="K430" s="12" t="s">
        <v>6652</v>
      </c>
      <c r="L430" s="12" t="s">
        <v>5060</v>
      </c>
      <c r="M430" s="12" t="s">
        <v>5109</v>
      </c>
      <c r="N430" s="12" t="s">
        <v>5785</v>
      </c>
      <c r="O430" s="12" t="s">
        <v>4218</v>
      </c>
      <c r="P430" s="12" t="s">
        <v>1152</v>
      </c>
      <c r="Q430" s="12" t="s">
        <v>6653</v>
      </c>
      <c r="R430" s="12">
        <v>50.09</v>
      </c>
      <c r="S430" s="12">
        <v>74.44</v>
      </c>
      <c r="T430" s="12" t="s">
        <v>25</v>
      </c>
      <c r="U430" s="12" t="s">
        <v>36</v>
      </c>
      <c r="V430" s="12" t="s">
        <v>6639</v>
      </c>
      <c r="W430" s="12" t="s">
        <v>6639</v>
      </c>
      <c r="X430" s="12">
        <v>4.431851</v>
      </c>
      <c r="Y430" s="12">
        <v>846916</v>
      </c>
      <c r="Z430" s="12" t="s">
        <v>6639</v>
      </c>
      <c r="AA430" s="12" t="s">
        <v>6639</v>
      </c>
      <c r="AB430" s="12" t="s">
        <v>5132</v>
      </c>
      <c r="AC430" s="12" t="s">
        <v>21</v>
      </c>
      <c r="AD430" s="12">
        <v>6.9000000000000006E-2</v>
      </c>
      <c r="AE430" s="12">
        <v>0.996</v>
      </c>
      <c r="AF430" s="12" t="s">
        <v>45</v>
      </c>
      <c r="AG430" s="12"/>
      <c r="AH430" s="12"/>
      <c r="AI430" s="12"/>
      <c r="AJ430" s="12"/>
      <c r="AK430" s="12"/>
      <c r="AL430" s="12"/>
      <c r="AM430" s="12"/>
      <c r="AN430" s="12"/>
      <c r="AO430" s="12"/>
    </row>
    <row r="431" spans="1:41" x14ac:dyDescent="0.2">
      <c r="A431" s="12" t="s">
        <v>4181</v>
      </c>
      <c r="B431" s="12" t="s">
        <v>4181</v>
      </c>
      <c r="C431" s="12" t="s">
        <v>7016</v>
      </c>
      <c r="D431" s="12" t="s">
        <v>118</v>
      </c>
      <c r="E431" s="12" t="s">
        <v>8110</v>
      </c>
      <c r="F431" s="12" t="s">
        <v>4183</v>
      </c>
      <c r="G431" s="12" t="s">
        <v>5453</v>
      </c>
      <c r="H431" s="12" t="s">
        <v>6616</v>
      </c>
      <c r="I431" s="12">
        <v>3704</v>
      </c>
      <c r="J431" s="12" t="s">
        <v>4183</v>
      </c>
      <c r="K431" s="12" t="s">
        <v>6652</v>
      </c>
      <c r="L431" s="12" t="s">
        <v>4177</v>
      </c>
      <c r="M431" s="12" t="s">
        <v>4176</v>
      </c>
      <c r="N431" s="12" t="s">
        <v>5785</v>
      </c>
      <c r="O431" s="12" t="s">
        <v>1491</v>
      </c>
      <c r="P431" s="12" t="s">
        <v>1152</v>
      </c>
      <c r="Q431" s="12" t="s">
        <v>6653</v>
      </c>
      <c r="R431" s="12">
        <v>45.132377779999999</v>
      </c>
      <c r="S431" s="12">
        <v>79.364394439999998</v>
      </c>
      <c r="T431" s="12" t="s">
        <v>11</v>
      </c>
      <c r="U431" s="12" t="s">
        <v>4184</v>
      </c>
      <c r="V431" s="12" t="s">
        <v>755</v>
      </c>
      <c r="W431" s="12" t="s">
        <v>7415</v>
      </c>
      <c r="X431" s="12">
        <v>2.1139999999999999</v>
      </c>
      <c r="Y431" s="12">
        <v>872974</v>
      </c>
      <c r="Z431" s="12">
        <v>6.149E-3</v>
      </c>
      <c r="AA431" s="12">
        <v>3.5372175805868942</v>
      </c>
      <c r="AB431" s="12" t="s">
        <v>4182</v>
      </c>
      <c r="AC431" s="12" t="s">
        <v>21</v>
      </c>
      <c r="AD431" s="12" t="s">
        <v>17</v>
      </c>
      <c r="AE431" s="12" t="s">
        <v>17</v>
      </c>
      <c r="AF431" s="12" t="s">
        <v>436</v>
      </c>
    </row>
    <row r="432" spans="1:41" x14ac:dyDescent="0.2">
      <c r="A432" s="12" t="s">
        <v>4185</v>
      </c>
      <c r="B432" s="12" t="s">
        <v>4185</v>
      </c>
      <c r="C432" s="12" t="s">
        <v>7018</v>
      </c>
      <c r="D432" s="12" t="s">
        <v>118</v>
      </c>
      <c r="E432" s="12" t="s">
        <v>8110</v>
      </c>
      <c r="F432" s="12" t="s">
        <v>5458</v>
      </c>
      <c r="G432" s="12" t="s">
        <v>5453</v>
      </c>
      <c r="H432" s="12" t="s">
        <v>6616</v>
      </c>
      <c r="I432" s="12">
        <v>3700</v>
      </c>
      <c r="J432" s="12" t="s">
        <v>5807</v>
      </c>
      <c r="K432" s="12" t="s">
        <v>6652</v>
      </c>
      <c r="L432" s="12" t="s">
        <v>4177</v>
      </c>
      <c r="M432" s="12" t="s">
        <v>4176</v>
      </c>
      <c r="N432" s="12" t="s">
        <v>5785</v>
      </c>
      <c r="O432" s="12" t="s">
        <v>1491</v>
      </c>
      <c r="P432" s="12" t="s">
        <v>1152</v>
      </c>
      <c r="Q432" s="12" t="s">
        <v>6653</v>
      </c>
      <c r="R432" s="12">
        <v>45.132377779999999</v>
      </c>
      <c r="S432" s="12">
        <v>79.364394439999998</v>
      </c>
      <c r="T432" s="12" t="s">
        <v>25</v>
      </c>
      <c r="U432" s="12" t="s">
        <v>17</v>
      </c>
      <c r="V432" s="12" t="s">
        <v>6639</v>
      </c>
      <c r="W432" s="12" t="s">
        <v>6639</v>
      </c>
      <c r="X432" s="12">
        <v>0.350632</v>
      </c>
      <c r="Y432" s="12">
        <v>323601</v>
      </c>
      <c r="Z432" s="12" t="s">
        <v>6639</v>
      </c>
      <c r="AA432" s="12" t="s">
        <v>6639</v>
      </c>
      <c r="AB432" s="12" t="s">
        <v>4186</v>
      </c>
      <c r="AC432" s="12" t="s">
        <v>340</v>
      </c>
      <c r="AD432" s="12" t="s">
        <v>7828</v>
      </c>
      <c r="AE432" s="12" t="s">
        <v>7744</v>
      </c>
      <c r="AF432" s="12" t="s">
        <v>45</v>
      </c>
    </row>
    <row r="433" spans="1:32" x14ac:dyDescent="0.2">
      <c r="A433" s="12" t="s">
        <v>5123</v>
      </c>
      <c r="B433" s="12" t="s">
        <v>5123</v>
      </c>
      <c r="C433" s="12" t="s">
        <v>7438</v>
      </c>
      <c r="D433" s="12" t="s">
        <v>13</v>
      </c>
      <c r="E433" s="12" t="s">
        <v>8110</v>
      </c>
      <c r="F433" s="12" t="s">
        <v>5126</v>
      </c>
      <c r="G433" s="12" t="s">
        <v>5453</v>
      </c>
      <c r="H433" s="12" t="s">
        <v>6616</v>
      </c>
      <c r="I433" s="12">
        <v>3700</v>
      </c>
      <c r="J433" s="12" t="s">
        <v>5126</v>
      </c>
      <c r="K433" s="12" t="s">
        <v>6652</v>
      </c>
      <c r="L433" s="12" t="s">
        <v>5060</v>
      </c>
      <c r="M433" s="12" t="s">
        <v>5124</v>
      </c>
      <c r="N433" s="12" t="s">
        <v>5785</v>
      </c>
      <c r="O433" s="12" t="s">
        <v>5127</v>
      </c>
      <c r="P433" s="12" t="s">
        <v>1152</v>
      </c>
      <c r="Q433" s="12" t="s">
        <v>6653</v>
      </c>
      <c r="R433" s="12">
        <v>48.781766670000003</v>
      </c>
      <c r="S433" s="12">
        <v>76.453033329999997</v>
      </c>
      <c r="T433" s="12" t="s">
        <v>11</v>
      </c>
      <c r="U433" s="12" t="s">
        <v>98</v>
      </c>
      <c r="V433" s="12" t="s">
        <v>755</v>
      </c>
      <c r="W433" s="12" t="s">
        <v>7415</v>
      </c>
      <c r="X433" s="12">
        <v>1.085</v>
      </c>
      <c r="Y433" s="12">
        <v>499717</v>
      </c>
      <c r="Z433" s="12">
        <v>4.3400000000000001E-3</v>
      </c>
      <c r="AA433" s="12">
        <v>1.9419769504339468</v>
      </c>
      <c r="AB433" s="12" t="s">
        <v>5125</v>
      </c>
      <c r="AC433" s="12" t="s">
        <v>21</v>
      </c>
      <c r="AD433" s="12">
        <v>7.1999999999999995E-2</v>
      </c>
      <c r="AE433" s="12">
        <v>0.99299999999999999</v>
      </c>
      <c r="AF433" s="12" t="s">
        <v>45</v>
      </c>
    </row>
    <row r="434" spans="1:32" x14ac:dyDescent="0.2">
      <c r="A434" s="12" t="s">
        <v>5311</v>
      </c>
      <c r="B434" s="12" t="s">
        <v>5311</v>
      </c>
      <c r="C434" s="12" t="s">
        <v>6898</v>
      </c>
      <c r="D434" s="12" t="s">
        <v>105</v>
      </c>
      <c r="E434" s="12" t="s">
        <v>8110</v>
      </c>
      <c r="F434" s="12" t="s">
        <v>5458</v>
      </c>
      <c r="G434" s="12" t="s">
        <v>5454</v>
      </c>
      <c r="H434" s="12" t="s">
        <v>6626</v>
      </c>
      <c r="I434" s="12">
        <v>3675</v>
      </c>
      <c r="J434" s="12" t="s">
        <v>5305</v>
      </c>
      <c r="K434" s="12" t="s">
        <v>6652</v>
      </c>
      <c r="L434" s="12" t="s">
        <v>5060</v>
      </c>
      <c r="M434" s="12" t="s">
        <v>5267</v>
      </c>
      <c r="N434" s="12" t="s">
        <v>5785</v>
      </c>
      <c r="O434" s="12" t="s">
        <v>5310</v>
      </c>
      <c r="P434" s="12" t="s">
        <v>18</v>
      </c>
      <c r="Q434" s="12" t="s">
        <v>6653</v>
      </c>
      <c r="R434" s="12">
        <v>53.08</v>
      </c>
      <c r="S434" s="12">
        <v>50.36</v>
      </c>
      <c r="T434" s="12" t="s">
        <v>25</v>
      </c>
      <c r="U434" s="12" t="s">
        <v>605</v>
      </c>
      <c r="V434" s="12" t="s">
        <v>6639</v>
      </c>
      <c r="W434" s="12" t="s">
        <v>6639</v>
      </c>
      <c r="X434" s="12">
        <v>0.26568399999999998</v>
      </c>
      <c r="Y434" s="12">
        <v>253515</v>
      </c>
      <c r="Z434" s="12" t="s">
        <v>6639</v>
      </c>
      <c r="AA434" s="12" t="s">
        <v>6639</v>
      </c>
      <c r="AB434" s="12" t="s">
        <v>5312</v>
      </c>
      <c r="AC434" s="12" t="s">
        <v>340</v>
      </c>
      <c r="AD434" s="12" t="s">
        <v>7830</v>
      </c>
      <c r="AE434" s="12" t="s">
        <v>7734</v>
      </c>
      <c r="AF434" s="12" t="s">
        <v>45</v>
      </c>
    </row>
    <row r="435" spans="1:32" x14ac:dyDescent="0.2">
      <c r="A435" s="12" t="s">
        <v>5353</v>
      </c>
      <c r="B435" s="12" t="s">
        <v>5353</v>
      </c>
      <c r="C435" s="12" t="s">
        <v>5354</v>
      </c>
      <c r="D435" s="12" t="s">
        <v>105</v>
      </c>
      <c r="E435" s="12" t="s">
        <v>8110</v>
      </c>
      <c r="F435" s="12" t="s">
        <v>5458</v>
      </c>
      <c r="G435" s="12" t="s">
        <v>273</v>
      </c>
      <c r="H435" s="12" t="s">
        <v>6614</v>
      </c>
      <c r="I435" s="12">
        <v>3675</v>
      </c>
      <c r="J435" s="12" t="s">
        <v>5305</v>
      </c>
      <c r="K435" s="12" t="s">
        <v>6652</v>
      </c>
      <c r="L435" s="12" t="s">
        <v>5060</v>
      </c>
      <c r="M435" s="12" t="s">
        <v>5267</v>
      </c>
      <c r="N435" s="12" t="s">
        <v>5785</v>
      </c>
      <c r="O435" s="12" t="s">
        <v>5351</v>
      </c>
      <c r="P435" s="12" t="s">
        <v>18</v>
      </c>
      <c r="Q435" s="12" t="s">
        <v>6653</v>
      </c>
      <c r="R435" s="12">
        <v>53.14</v>
      </c>
      <c r="S435" s="12">
        <v>50.01</v>
      </c>
      <c r="T435" s="12" t="s">
        <v>25</v>
      </c>
      <c r="U435" s="12" t="s">
        <v>94</v>
      </c>
      <c r="V435" s="12" t="s">
        <v>6639</v>
      </c>
      <c r="W435" s="12" t="s">
        <v>6639</v>
      </c>
      <c r="X435" s="12">
        <v>0.424653</v>
      </c>
      <c r="Y435" s="12">
        <v>384315</v>
      </c>
      <c r="Z435" s="12" t="s">
        <v>6639</v>
      </c>
      <c r="AA435" s="12" t="s">
        <v>6639</v>
      </c>
      <c r="AB435" s="12" t="s">
        <v>5355</v>
      </c>
      <c r="AC435" s="12" t="s">
        <v>58</v>
      </c>
      <c r="AD435" s="12" t="s">
        <v>7916</v>
      </c>
      <c r="AE435" s="12" t="s">
        <v>7747</v>
      </c>
      <c r="AF435" s="12" t="s">
        <v>45</v>
      </c>
    </row>
    <row r="436" spans="1:32" x14ac:dyDescent="0.2">
      <c r="A436" s="12" t="s">
        <v>5348</v>
      </c>
      <c r="B436" s="12" t="s">
        <v>5348</v>
      </c>
      <c r="C436" s="12" t="s">
        <v>5349</v>
      </c>
      <c r="D436" s="12" t="s">
        <v>105</v>
      </c>
      <c r="E436" s="12" t="s">
        <v>8110</v>
      </c>
      <c r="F436" s="12" t="s">
        <v>5458</v>
      </c>
      <c r="G436" s="12" t="s">
        <v>273</v>
      </c>
      <c r="H436" s="12" t="s">
        <v>6614</v>
      </c>
      <c r="I436" s="12">
        <v>3675</v>
      </c>
      <c r="J436" s="12" t="s">
        <v>5305</v>
      </c>
      <c r="K436" s="12" t="s">
        <v>6652</v>
      </c>
      <c r="L436" s="12" t="s">
        <v>5060</v>
      </c>
      <c r="M436" s="12" t="s">
        <v>5267</v>
      </c>
      <c r="N436" s="12" t="s">
        <v>5785</v>
      </c>
      <c r="O436" s="12" t="s">
        <v>5351</v>
      </c>
      <c r="P436" s="12" t="s">
        <v>18</v>
      </c>
      <c r="Q436" s="12" t="s">
        <v>6653</v>
      </c>
      <c r="R436" s="12">
        <v>53.14</v>
      </c>
      <c r="S436" s="12">
        <v>50.01</v>
      </c>
      <c r="T436" s="12" t="s">
        <v>25</v>
      </c>
      <c r="U436" s="12" t="s">
        <v>5352</v>
      </c>
      <c r="V436" s="12" t="s">
        <v>6639</v>
      </c>
      <c r="W436" s="12" t="s">
        <v>6639</v>
      </c>
      <c r="X436" s="12">
        <v>0.51300000000000001</v>
      </c>
      <c r="Y436" s="12">
        <v>451400</v>
      </c>
      <c r="Z436" s="12" t="s">
        <v>6639</v>
      </c>
      <c r="AA436" s="12" t="s">
        <v>6639</v>
      </c>
      <c r="AB436" s="12" t="s">
        <v>5350</v>
      </c>
      <c r="AC436" s="12" t="s">
        <v>21</v>
      </c>
      <c r="AD436" s="12">
        <v>0.10299999999999999</v>
      </c>
      <c r="AE436" s="12">
        <v>0.996</v>
      </c>
      <c r="AF436" s="12" t="s">
        <v>45</v>
      </c>
    </row>
    <row r="437" spans="1:32" x14ac:dyDescent="0.2">
      <c r="A437" s="12" t="s">
        <v>5303</v>
      </c>
      <c r="B437" s="12" t="s">
        <v>5303</v>
      </c>
      <c r="C437" s="12" t="s">
        <v>6908</v>
      </c>
      <c r="D437" s="12" t="s">
        <v>105</v>
      </c>
      <c r="E437" s="12" t="s">
        <v>8110</v>
      </c>
      <c r="F437" s="12" t="s">
        <v>5458</v>
      </c>
      <c r="G437" s="12" t="s">
        <v>5454</v>
      </c>
      <c r="H437" s="12" t="s">
        <v>6626</v>
      </c>
      <c r="I437" s="12">
        <v>3675</v>
      </c>
      <c r="J437" s="12" t="s">
        <v>5305</v>
      </c>
      <c r="K437" s="12" t="s">
        <v>6652</v>
      </c>
      <c r="L437" s="12" t="s">
        <v>5060</v>
      </c>
      <c r="M437" s="12" t="s">
        <v>5267</v>
      </c>
      <c r="N437" s="12" t="s">
        <v>5785</v>
      </c>
      <c r="O437" s="12" t="s">
        <v>5306</v>
      </c>
      <c r="P437" s="12" t="s">
        <v>18</v>
      </c>
      <c r="Q437" s="12" t="s">
        <v>6653</v>
      </c>
      <c r="R437" s="12">
        <v>53.12</v>
      </c>
      <c r="S437" s="12">
        <v>48.37</v>
      </c>
      <c r="T437" s="12" t="s">
        <v>11</v>
      </c>
      <c r="U437" s="12" t="s">
        <v>5307</v>
      </c>
      <c r="V437" s="12" t="s">
        <v>1352</v>
      </c>
      <c r="W437" s="12" t="s">
        <v>7160</v>
      </c>
      <c r="X437" s="12">
        <v>0.81809399999999999</v>
      </c>
      <c r="Y437" s="12">
        <v>619183</v>
      </c>
      <c r="Z437" s="12">
        <v>1.5252E-2</v>
      </c>
      <c r="AA437" s="12">
        <v>2.6447108730354976</v>
      </c>
      <c r="AB437" s="12" t="s">
        <v>5304</v>
      </c>
      <c r="AC437" s="12" t="s">
        <v>340</v>
      </c>
      <c r="AD437" s="12" t="s">
        <v>7825</v>
      </c>
      <c r="AE437" s="12" t="s">
        <v>7762</v>
      </c>
      <c r="AF437" s="12" t="s">
        <v>375</v>
      </c>
    </row>
    <row r="438" spans="1:32" x14ac:dyDescent="0.2">
      <c r="A438" s="12" t="s">
        <v>5308</v>
      </c>
      <c r="B438" s="12" t="s">
        <v>5308</v>
      </c>
      <c r="C438" s="12" t="s">
        <v>6899</v>
      </c>
      <c r="D438" s="12" t="s">
        <v>105</v>
      </c>
      <c r="E438" s="12" t="s">
        <v>8110</v>
      </c>
      <c r="F438" s="12" t="s">
        <v>5458</v>
      </c>
      <c r="G438" s="12" t="s">
        <v>5454</v>
      </c>
      <c r="H438" s="12" t="s">
        <v>6626</v>
      </c>
      <c r="I438" s="12">
        <v>3675</v>
      </c>
      <c r="J438" s="12" t="s">
        <v>5305</v>
      </c>
      <c r="K438" s="12" t="s">
        <v>6652</v>
      </c>
      <c r="L438" s="12" t="s">
        <v>5060</v>
      </c>
      <c r="M438" s="12" t="s">
        <v>5267</v>
      </c>
      <c r="N438" s="12" t="s">
        <v>5785</v>
      </c>
      <c r="O438" s="12" t="s">
        <v>5310</v>
      </c>
      <c r="P438" s="12" t="s">
        <v>18</v>
      </c>
      <c r="Q438" s="12" t="s">
        <v>6653</v>
      </c>
      <c r="R438" s="12">
        <v>53.08</v>
      </c>
      <c r="S438" s="12">
        <v>50.36</v>
      </c>
      <c r="T438" s="12" t="s">
        <v>11</v>
      </c>
      <c r="U438" s="12" t="s">
        <v>1253</v>
      </c>
      <c r="V438" s="12" t="s">
        <v>755</v>
      </c>
      <c r="W438" s="12" t="s">
        <v>7160</v>
      </c>
      <c r="X438" s="12">
        <v>4.4943410000000004</v>
      </c>
      <c r="Y438" s="12">
        <v>978891</v>
      </c>
      <c r="Z438" s="12">
        <v>4.555E-3</v>
      </c>
      <c r="AA438" s="12">
        <v>4.6459855879589114</v>
      </c>
      <c r="AB438" s="12" t="s">
        <v>5309</v>
      </c>
      <c r="AC438" s="12" t="s">
        <v>340</v>
      </c>
      <c r="AD438" s="12" t="s">
        <v>7820</v>
      </c>
      <c r="AE438" s="12" t="s">
        <v>7784</v>
      </c>
      <c r="AF438" s="12" t="s">
        <v>82</v>
      </c>
    </row>
    <row r="439" spans="1:32" x14ac:dyDescent="0.2">
      <c r="A439" s="12" t="s">
        <v>5382</v>
      </c>
      <c r="B439" s="12" t="s">
        <v>5382</v>
      </c>
      <c r="C439" s="12" t="s">
        <v>6900</v>
      </c>
      <c r="D439" s="12" t="s">
        <v>105</v>
      </c>
      <c r="E439" s="12" t="s">
        <v>8110</v>
      </c>
      <c r="F439" s="12" t="s">
        <v>5458</v>
      </c>
      <c r="G439" s="12" t="s">
        <v>5454</v>
      </c>
      <c r="H439" s="12" t="s">
        <v>6626</v>
      </c>
      <c r="I439" s="12">
        <v>3675</v>
      </c>
      <c r="J439" s="12" t="s">
        <v>5305</v>
      </c>
      <c r="K439" s="12" t="s">
        <v>6652</v>
      </c>
      <c r="L439" s="12" t="s">
        <v>5384</v>
      </c>
      <c r="M439" s="12" t="s">
        <v>5383</v>
      </c>
      <c r="N439" s="12" t="s">
        <v>24</v>
      </c>
      <c r="O439" s="12" t="s">
        <v>5310</v>
      </c>
      <c r="P439" s="12" t="s">
        <v>18</v>
      </c>
      <c r="Q439" s="12" t="s">
        <v>6653</v>
      </c>
      <c r="R439" s="12">
        <v>53.08</v>
      </c>
      <c r="S439" s="12">
        <v>50.36</v>
      </c>
      <c r="T439" s="12" t="s">
        <v>25</v>
      </c>
      <c r="U439" s="12" t="s">
        <v>1253</v>
      </c>
      <c r="V439" s="12" t="s">
        <v>6639</v>
      </c>
      <c r="W439" s="12" t="s">
        <v>6639</v>
      </c>
      <c r="X439" s="12">
        <v>0.18365899999999999</v>
      </c>
      <c r="Y439" s="12">
        <v>190316</v>
      </c>
      <c r="Z439" s="12" t="s">
        <v>6639</v>
      </c>
      <c r="AA439" s="12" t="s">
        <v>6639</v>
      </c>
      <c r="AB439" s="12" t="s">
        <v>5385</v>
      </c>
      <c r="AC439" s="12" t="s">
        <v>340</v>
      </c>
      <c r="AD439" s="12" t="s">
        <v>7835</v>
      </c>
      <c r="AE439" s="12" t="s">
        <v>7705</v>
      </c>
      <c r="AF439" s="12" t="s">
        <v>45</v>
      </c>
    </row>
    <row r="440" spans="1:32" x14ac:dyDescent="0.2">
      <c r="A440" s="12" t="s">
        <v>5115</v>
      </c>
      <c r="B440" s="12" t="s">
        <v>5115</v>
      </c>
      <c r="C440" s="12" t="s">
        <v>6817</v>
      </c>
      <c r="D440" s="12" t="s">
        <v>13</v>
      </c>
      <c r="E440" s="12" t="s">
        <v>8110</v>
      </c>
      <c r="F440" s="12" t="s">
        <v>5117</v>
      </c>
      <c r="G440" s="12" t="s">
        <v>5453</v>
      </c>
      <c r="H440" s="12" t="s">
        <v>6616</v>
      </c>
      <c r="I440" s="12">
        <v>3663</v>
      </c>
      <c r="J440" s="12" t="s">
        <v>5117</v>
      </c>
      <c r="K440" s="12" t="s">
        <v>6652</v>
      </c>
      <c r="L440" s="12" t="s">
        <v>5060</v>
      </c>
      <c r="M440" s="12" t="s">
        <v>5099</v>
      </c>
      <c r="N440" s="12" t="s">
        <v>5785</v>
      </c>
      <c r="O440" s="12" t="s">
        <v>4135</v>
      </c>
      <c r="P440" s="12" t="s">
        <v>1152</v>
      </c>
      <c r="Q440" s="12" t="s">
        <v>6653</v>
      </c>
      <c r="R440" s="12">
        <v>48.741750000000003</v>
      </c>
      <c r="S440" s="12">
        <v>76.995733329999993</v>
      </c>
      <c r="T440" s="12" t="s">
        <v>25</v>
      </c>
      <c r="U440" s="12" t="s">
        <v>2674</v>
      </c>
      <c r="V440" s="12" t="s">
        <v>6639</v>
      </c>
      <c r="W440" s="12" t="s">
        <v>6639</v>
      </c>
      <c r="X440" s="12">
        <v>4.234</v>
      </c>
      <c r="Y440" s="12">
        <v>773829</v>
      </c>
      <c r="Z440" s="12" t="s">
        <v>6639</v>
      </c>
      <c r="AA440" s="12" t="s">
        <v>6639</v>
      </c>
      <c r="AB440" s="12" t="s">
        <v>5116</v>
      </c>
      <c r="AC440" s="12" t="s">
        <v>21</v>
      </c>
      <c r="AD440" s="12" t="s">
        <v>17</v>
      </c>
      <c r="AE440" s="12">
        <v>0.99299999999999999</v>
      </c>
      <c r="AF440" s="12" t="s">
        <v>45</v>
      </c>
    </row>
    <row r="441" spans="1:32" x14ac:dyDescent="0.2">
      <c r="A441" s="12" t="s">
        <v>5112</v>
      </c>
      <c r="B441" s="12" t="s">
        <v>5112</v>
      </c>
      <c r="C441" s="12" t="s">
        <v>6815</v>
      </c>
      <c r="D441" s="12" t="s">
        <v>13</v>
      </c>
      <c r="E441" s="12" t="s">
        <v>8110</v>
      </c>
      <c r="F441" s="12" t="s">
        <v>5114</v>
      </c>
      <c r="G441" s="12" t="s">
        <v>5453</v>
      </c>
      <c r="H441" s="12" t="s">
        <v>6616</v>
      </c>
      <c r="I441" s="12">
        <v>3663</v>
      </c>
      <c r="J441" s="12" t="s">
        <v>5114</v>
      </c>
      <c r="K441" s="12" t="s">
        <v>6652</v>
      </c>
      <c r="L441" s="12" t="s">
        <v>5060</v>
      </c>
      <c r="M441" s="12" t="s">
        <v>5099</v>
      </c>
      <c r="N441" s="12" t="s">
        <v>5785</v>
      </c>
      <c r="O441" s="12" t="s">
        <v>4135</v>
      </c>
      <c r="P441" s="12" t="s">
        <v>1152</v>
      </c>
      <c r="Q441" s="12" t="s">
        <v>6653</v>
      </c>
      <c r="R441" s="12">
        <v>48.741750000000003</v>
      </c>
      <c r="S441" s="12">
        <v>76.995733329999993</v>
      </c>
      <c r="T441" s="12" t="s">
        <v>25</v>
      </c>
      <c r="U441" s="12" t="s">
        <v>4180</v>
      </c>
      <c r="V441" s="12" t="s">
        <v>6639</v>
      </c>
      <c r="W441" s="12" t="s">
        <v>6639</v>
      </c>
      <c r="X441" s="12">
        <v>5.1520000000000001</v>
      </c>
      <c r="Y441" s="12">
        <v>863091</v>
      </c>
      <c r="Z441" s="12" t="s">
        <v>6639</v>
      </c>
      <c r="AA441" s="12" t="s">
        <v>6639</v>
      </c>
      <c r="AB441" s="12" t="s">
        <v>5113</v>
      </c>
      <c r="AC441" s="12" t="s">
        <v>58</v>
      </c>
      <c r="AD441" s="12" t="s">
        <v>7923</v>
      </c>
      <c r="AE441" s="12" t="s">
        <v>7770</v>
      </c>
      <c r="AF441" s="12" t="s">
        <v>45</v>
      </c>
    </row>
    <row r="442" spans="1:32" x14ac:dyDescent="0.2">
      <c r="A442" s="12" t="s">
        <v>5118</v>
      </c>
      <c r="B442" s="12" t="s">
        <v>5118</v>
      </c>
      <c r="C442" s="12" t="s">
        <v>7601</v>
      </c>
      <c r="D442" s="12" t="s">
        <v>13</v>
      </c>
      <c r="E442" s="12" t="s">
        <v>8110</v>
      </c>
      <c r="F442" s="12" t="s">
        <v>5121</v>
      </c>
      <c r="G442" s="12" t="s">
        <v>5453</v>
      </c>
      <c r="H442" s="12" t="s">
        <v>6621</v>
      </c>
      <c r="I442" s="12">
        <v>3663</v>
      </c>
      <c r="J442" s="12" t="s">
        <v>5121</v>
      </c>
      <c r="K442" s="12" t="s">
        <v>6652</v>
      </c>
      <c r="L442" s="12" t="s">
        <v>5060</v>
      </c>
      <c r="M442" s="12" t="s">
        <v>5119</v>
      </c>
      <c r="N442" s="12" t="s">
        <v>5785</v>
      </c>
      <c r="O442" s="12" t="s">
        <v>5122</v>
      </c>
      <c r="P442" s="12" t="s">
        <v>1152</v>
      </c>
      <c r="Q442" s="12" t="s">
        <v>6653</v>
      </c>
      <c r="R442" s="16">
        <v>52.61</v>
      </c>
      <c r="S442" s="16">
        <v>62.69</v>
      </c>
      <c r="T442" s="12" t="s">
        <v>25</v>
      </c>
      <c r="U442" s="12" t="s">
        <v>1253</v>
      </c>
      <c r="V442" s="12" t="s">
        <v>6639</v>
      </c>
      <c r="W442" s="12" t="s">
        <v>6639</v>
      </c>
      <c r="X442" s="12">
        <v>1.3155539999999999</v>
      </c>
      <c r="Y442" s="12">
        <v>711231</v>
      </c>
      <c r="Z442" s="12" t="s">
        <v>6639</v>
      </c>
      <c r="AA442" s="12" t="s">
        <v>6639</v>
      </c>
      <c r="AB442" s="12" t="s">
        <v>5120</v>
      </c>
      <c r="AC442" s="12" t="s">
        <v>21</v>
      </c>
      <c r="AD442" s="12">
        <v>9.2999999999999999E-2</v>
      </c>
      <c r="AE442" s="12">
        <v>0.99099999999999999</v>
      </c>
      <c r="AF442" s="12" t="s">
        <v>45</v>
      </c>
    </row>
    <row r="443" spans="1:32" x14ac:dyDescent="0.2">
      <c r="A443" s="12" t="s">
        <v>4220</v>
      </c>
      <c r="B443" s="12" t="s">
        <v>4220</v>
      </c>
      <c r="C443" s="12" t="s">
        <v>6822</v>
      </c>
      <c r="D443" s="12" t="s">
        <v>13</v>
      </c>
      <c r="E443" s="12" t="s">
        <v>8110</v>
      </c>
      <c r="F443" s="12" t="s">
        <v>4222</v>
      </c>
      <c r="G443" s="12" t="s">
        <v>5453</v>
      </c>
      <c r="H443" s="12" t="s">
        <v>6616</v>
      </c>
      <c r="I443" s="12">
        <v>3648</v>
      </c>
      <c r="J443" s="12" t="s">
        <v>4222</v>
      </c>
      <c r="K443" s="12" t="s">
        <v>6652</v>
      </c>
      <c r="L443" s="12" t="s">
        <v>4177</v>
      </c>
      <c r="M443" s="12" t="s">
        <v>4205</v>
      </c>
      <c r="N443" s="12" t="s">
        <v>5785</v>
      </c>
      <c r="O443" s="12" t="s">
        <v>4135</v>
      </c>
      <c r="P443" s="12" t="s">
        <v>1152</v>
      </c>
      <c r="Q443" s="12" t="s">
        <v>6653</v>
      </c>
      <c r="R443" s="12">
        <v>48.741750000000003</v>
      </c>
      <c r="S443" s="12">
        <v>76.995733329999993</v>
      </c>
      <c r="T443" s="12" t="s">
        <v>25</v>
      </c>
      <c r="U443" s="12" t="s">
        <v>4223</v>
      </c>
      <c r="V443" s="12" t="s">
        <v>6639</v>
      </c>
      <c r="W443" s="12" t="s">
        <v>6639</v>
      </c>
      <c r="X443" s="12">
        <v>0.29472300000000001</v>
      </c>
      <c r="Y443" s="12">
        <v>263269</v>
      </c>
      <c r="Z443" s="12" t="s">
        <v>6639</v>
      </c>
      <c r="AA443" s="12" t="s">
        <v>6639</v>
      </c>
      <c r="AB443" s="12" t="s">
        <v>4221</v>
      </c>
      <c r="AC443" s="12" t="s">
        <v>200</v>
      </c>
      <c r="AD443" s="12" t="s">
        <v>7954</v>
      </c>
      <c r="AE443" s="12" t="s">
        <v>8067</v>
      </c>
      <c r="AF443" s="12" t="s">
        <v>8089</v>
      </c>
    </row>
    <row r="444" spans="1:32" x14ac:dyDescent="0.2">
      <c r="A444" s="12" t="s">
        <v>4214</v>
      </c>
      <c r="B444" s="12" t="s">
        <v>4214</v>
      </c>
      <c r="C444" s="12" t="s">
        <v>7608</v>
      </c>
      <c r="D444" s="12" t="s">
        <v>13</v>
      </c>
      <c r="E444" s="12" t="s">
        <v>8110</v>
      </c>
      <c r="F444" s="12" t="s">
        <v>4217</v>
      </c>
      <c r="G444" s="12" t="s">
        <v>5453</v>
      </c>
      <c r="H444" s="12" t="s">
        <v>6621</v>
      </c>
      <c r="I444" s="12">
        <v>3646</v>
      </c>
      <c r="J444" s="12" t="s">
        <v>4217</v>
      </c>
      <c r="K444" s="12" t="s">
        <v>6652</v>
      </c>
      <c r="L444" s="12" t="s">
        <v>4177</v>
      </c>
      <c r="M444" s="12" t="s">
        <v>4215</v>
      </c>
      <c r="N444" s="12" t="s">
        <v>5785</v>
      </c>
      <c r="O444" s="12" t="s">
        <v>4218</v>
      </c>
      <c r="P444" s="12" t="s">
        <v>1152</v>
      </c>
      <c r="Q444" s="12" t="s">
        <v>6653</v>
      </c>
      <c r="R444" s="12">
        <v>50.09</v>
      </c>
      <c r="S444" s="12">
        <v>74.44</v>
      </c>
      <c r="T444" s="12" t="s">
        <v>25</v>
      </c>
      <c r="U444" s="12" t="s">
        <v>4219</v>
      </c>
      <c r="V444" s="12" t="s">
        <v>6639</v>
      </c>
      <c r="W444" s="12" t="s">
        <v>6639</v>
      </c>
      <c r="X444" s="12">
        <v>4.3173690000000002</v>
      </c>
      <c r="Y444" s="12">
        <v>851892</v>
      </c>
      <c r="Z444" s="12" t="s">
        <v>6639</v>
      </c>
      <c r="AA444" s="12" t="s">
        <v>6639</v>
      </c>
      <c r="AB444" s="12" t="s">
        <v>4216</v>
      </c>
      <c r="AC444" s="12" t="s">
        <v>21</v>
      </c>
      <c r="AD444" s="12">
        <v>8.3000000000000004E-2</v>
      </c>
      <c r="AE444" s="12">
        <v>0.99399999999999999</v>
      </c>
      <c r="AF444" s="12" t="s">
        <v>45</v>
      </c>
    </row>
    <row r="445" spans="1:32" x14ac:dyDescent="0.2">
      <c r="A445" s="12" t="s">
        <v>5102</v>
      </c>
      <c r="B445" s="12" t="s">
        <v>5102</v>
      </c>
      <c r="C445" s="12" t="s">
        <v>6818</v>
      </c>
      <c r="D445" s="12" t="s">
        <v>143</v>
      </c>
      <c r="E445" s="12" t="s">
        <v>8110</v>
      </c>
      <c r="F445" s="12" t="s">
        <v>5104</v>
      </c>
      <c r="G445" s="12" t="s">
        <v>5453</v>
      </c>
      <c r="H445" s="12" t="s">
        <v>6616</v>
      </c>
      <c r="I445" s="12">
        <v>3641</v>
      </c>
      <c r="J445" s="12" t="s">
        <v>5104</v>
      </c>
      <c r="K445" s="12" t="s">
        <v>6652</v>
      </c>
      <c r="L445" s="12" t="s">
        <v>5060</v>
      </c>
      <c r="M445" s="12" t="s">
        <v>5099</v>
      </c>
      <c r="N445" s="12" t="s">
        <v>5785</v>
      </c>
      <c r="O445" s="12" t="s">
        <v>4135</v>
      </c>
      <c r="P445" s="12" t="s">
        <v>1152</v>
      </c>
      <c r="Q445" s="12" t="s">
        <v>6653</v>
      </c>
      <c r="R445" s="12">
        <v>48.741750000000003</v>
      </c>
      <c r="S445" s="12">
        <v>76.995733329999993</v>
      </c>
      <c r="T445" s="12" t="s">
        <v>11</v>
      </c>
      <c r="U445" s="12" t="s">
        <v>36</v>
      </c>
      <c r="V445" s="12" t="s">
        <v>7409</v>
      </c>
      <c r="W445" s="12" t="s">
        <v>7160</v>
      </c>
      <c r="X445" s="12">
        <v>0.19956299999999999</v>
      </c>
      <c r="Y445" s="12">
        <v>208845</v>
      </c>
      <c r="Z445" s="12" t="s">
        <v>8052</v>
      </c>
      <c r="AA445" s="12" t="s">
        <v>8052</v>
      </c>
      <c r="AB445" s="12" t="s">
        <v>5103</v>
      </c>
      <c r="AC445" s="12" t="s">
        <v>340</v>
      </c>
      <c r="AD445" s="12" t="s">
        <v>7853</v>
      </c>
      <c r="AE445" s="12" t="s">
        <v>7727</v>
      </c>
      <c r="AF445" s="12" t="s">
        <v>45</v>
      </c>
    </row>
    <row r="446" spans="1:32" x14ac:dyDescent="0.2">
      <c r="A446" s="12" t="s">
        <v>5105</v>
      </c>
      <c r="B446" s="12" t="s">
        <v>5105</v>
      </c>
      <c r="C446" s="12" t="s">
        <v>6819</v>
      </c>
      <c r="D446" s="12" t="s">
        <v>13</v>
      </c>
      <c r="E446" s="12" t="s">
        <v>8110</v>
      </c>
      <c r="F446" s="12" t="s">
        <v>5107</v>
      </c>
      <c r="G446" s="12" t="s">
        <v>5453</v>
      </c>
      <c r="H446" s="12" t="s">
        <v>6616</v>
      </c>
      <c r="I446" s="12">
        <v>3641</v>
      </c>
      <c r="J446" s="12" t="s">
        <v>5107</v>
      </c>
      <c r="K446" s="12" t="s">
        <v>6652</v>
      </c>
      <c r="L446" s="12" t="s">
        <v>5060</v>
      </c>
      <c r="M446" s="12" t="s">
        <v>5099</v>
      </c>
      <c r="N446" s="12" t="s">
        <v>5785</v>
      </c>
      <c r="O446" s="12" t="s">
        <v>4135</v>
      </c>
      <c r="P446" s="12" t="s">
        <v>1152</v>
      </c>
      <c r="Q446" s="12" t="s">
        <v>6653</v>
      </c>
      <c r="R446" s="156">
        <v>48.741750000000003</v>
      </c>
      <c r="S446" s="156">
        <v>76.995733329999993</v>
      </c>
      <c r="T446" s="12" t="s">
        <v>25</v>
      </c>
      <c r="U446" s="12" t="s">
        <v>1344</v>
      </c>
      <c r="V446" s="12" t="s">
        <v>6639</v>
      </c>
      <c r="W446" s="12" t="s">
        <v>6639</v>
      </c>
      <c r="X446" s="12">
        <v>2.395</v>
      </c>
      <c r="Y446" s="12">
        <v>727580</v>
      </c>
      <c r="Z446" s="12" t="s">
        <v>6639</v>
      </c>
      <c r="AA446" s="12" t="s">
        <v>6639</v>
      </c>
      <c r="AB446" s="12" t="s">
        <v>5106</v>
      </c>
      <c r="AC446" s="12" t="s">
        <v>21</v>
      </c>
      <c r="AD446" s="12" t="s">
        <v>17</v>
      </c>
      <c r="AE446" s="12">
        <v>0.98099999999999998</v>
      </c>
      <c r="AF446" s="12" t="s">
        <v>45</v>
      </c>
    </row>
    <row r="447" spans="1:32" x14ac:dyDescent="0.2">
      <c r="A447" s="12" t="s">
        <v>5108</v>
      </c>
      <c r="B447" s="12" t="s">
        <v>5108</v>
      </c>
      <c r="C447" s="12" t="s">
        <v>7606</v>
      </c>
      <c r="D447" s="12" t="s">
        <v>13</v>
      </c>
      <c r="E447" s="12" t="s">
        <v>8110</v>
      </c>
      <c r="F447" s="12" t="s">
        <v>5111</v>
      </c>
      <c r="G447" s="12" t="s">
        <v>5453</v>
      </c>
      <c r="H447" s="12" t="s">
        <v>6621</v>
      </c>
      <c r="I447" s="12">
        <v>3641</v>
      </c>
      <c r="J447" s="12" t="s">
        <v>5111</v>
      </c>
      <c r="K447" s="12" t="s">
        <v>6652</v>
      </c>
      <c r="L447" s="12" t="s">
        <v>5060</v>
      </c>
      <c r="M447" s="12" t="s">
        <v>5109</v>
      </c>
      <c r="N447" s="12" t="s">
        <v>5785</v>
      </c>
      <c r="O447" s="12" t="s">
        <v>4218</v>
      </c>
      <c r="P447" s="12" t="s">
        <v>1152</v>
      </c>
      <c r="Q447" s="12" t="s">
        <v>6653</v>
      </c>
      <c r="R447" s="156">
        <v>50.09</v>
      </c>
      <c r="S447" s="156">
        <v>74.44</v>
      </c>
      <c r="T447" s="12" t="s">
        <v>11</v>
      </c>
      <c r="U447" s="12" t="s">
        <v>2734</v>
      </c>
      <c r="V447" s="12" t="s">
        <v>606</v>
      </c>
      <c r="W447" s="12" t="s">
        <v>7415</v>
      </c>
      <c r="X447" s="12">
        <v>4.0579749999999999</v>
      </c>
      <c r="Y447" s="12">
        <v>854228</v>
      </c>
      <c r="Z447" s="12">
        <v>2.3839999999999998E-3</v>
      </c>
      <c r="AA447" s="12">
        <v>2.584893811174374</v>
      </c>
      <c r="AB447" s="12" t="s">
        <v>5110</v>
      </c>
      <c r="AC447" s="12" t="s">
        <v>21</v>
      </c>
      <c r="AD447" s="12">
        <v>8.2000000000000003E-2</v>
      </c>
      <c r="AE447" s="12">
        <v>0.98699999999999999</v>
      </c>
      <c r="AF447" s="12" t="s">
        <v>5337</v>
      </c>
    </row>
    <row r="448" spans="1:32" x14ac:dyDescent="0.2">
      <c r="A448" s="12" t="s">
        <v>4130</v>
      </c>
      <c r="B448" s="12" t="s">
        <v>4130</v>
      </c>
      <c r="C448" s="12" t="s">
        <v>6823</v>
      </c>
      <c r="D448" s="12" t="s">
        <v>13</v>
      </c>
      <c r="E448" s="12" t="s">
        <v>8110</v>
      </c>
      <c r="F448" s="12" t="s">
        <v>4134</v>
      </c>
      <c r="G448" s="12" t="s">
        <v>5453</v>
      </c>
      <c r="H448" s="12" t="s">
        <v>6616</v>
      </c>
      <c r="I448" s="12">
        <v>3638</v>
      </c>
      <c r="J448" s="12" t="s">
        <v>4134</v>
      </c>
      <c r="K448" s="12" t="s">
        <v>6652</v>
      </c>
      <c r="L448" s="12" t="s">
        <v>4132</v>
      </c>
      <c r="M448" s="12" t="s">
        <v>4131</v>
      </c>
      <c r="N448" s="12" t="s">
        <v>24</v>
      </c>
      <c r="O448" s="12" t="s">
        <v>4135</v>
      </c>
      <c r="P448" s="12" t="s">
        <v>1152</v>
      </c>
      <c r="Q448" s="12" t="s">
        <v>6653</v>
      </c>
      <c r="R448" s="12">
        <v>48.741750000000003</v>
      </c>
      <c r="S448" s="12">
        <v>76.995733329999993</v>
      </c>
      <c r="T448" s="12" t="s">
        <v>11</v>
      </c>
      <c r="U448" s="12" t="s">
        <v>17</v>
      </c>
      <c r="V448" s="12" t="s">
        <v>253</v>
      </c>
      <c r="W448" s="12" t="s">
        <v>7415</v>
      </c>
      <c r="X448" s="12">
        <v>6.0000000000000001E-3</v>
      </c>
      <c r="Y448" s="12">
        <v>7159</v>
      </c>
      <c r="Z448" s="12" t="s">
        <v>8052</v>
      </c>
      <c r="AA448" s="12" t="s">
        <v>8052</v>
      </c>
      <c r="AB448" s="12" t="s">
        <v>4133</v>
      </c>
      <c r="AC448" s="12" t="s">
        <v>21</v>
      </c>
      <c r="AD448" s="12">
        <v>0.10100000000000001</v>
      </c>
      <c r="AE448" s="12" t="s">
        <v>7796</v>
      </c>
      <c r="AF448" s="12" t="s">
        <v>45</v>
      </c>
    </row>
    <row r="449" spans="1:41" x14ac:dyDescent="0.2">
      <c r="A449" s="12" t="s">
        <v>5098</v>
      </c>
      <c r="B449" s="12" t="s">
        <v>5098</v>
      </c>
      <c r="C449" s="12" t="s">
        <v>6825</v>
      </c>
      <c r="D449" s="12" t="s">
        <v>26</v>
      </c>
      <c r="E449" s="12" t="s">
        <v>8110</v>
      </c>
      <c r="F449" s="12" t="s">
        <v>5101</v>
      </c>
      <c r="G449" s="12" t="s">
        <v>5453</v>
      </c>
      <c r="H449" s="12" t="s">
        <v>6616</v>
      </c>
      <c r="I449" s="12">
        <v>3637</v>
      </c>
      <c r="J449" s="12" t="s">
        <v>5101</v>
      </c>
      <c r="K449" s="12" t="s">
        <v>6652</v>
      </c>
      <c r="L449" s="12" t="s">
        <v>5060</v>
      </c>
      <c r="M449" s="12" t="s">
        <v>5099</v>
      </c>
      <c r="N449" s="12" t="s">
        <v>5785</v>
      </c>
      <c r="O449" s="12" t="s">
        <v>4135</v>
      </c>
      <c r="P449" s="12" t="s">
        <v>1152</v>
      </c>
      <c r="Q449" s="12" t="s">
        <v>6653</v>
      </c>
      <c r="R449" s="156">
        <v>48.741750000000003</v>
      </c>
      <c r="S449" s="156">
        <v>76.995733329999993</v>
      </c>
      <c r="T449" s="12" t="s">
        <v>11</v>
      </c>
      <c r="U449" s="12" t="s">
        <v>1321</v>
      </c>
      <c r="V449" s="12" t="s">
        <v>392</v>
      </c>
      <c r="W449" s="12" t="s">
        <v>7415</v>
      </c>
      <c r="X449" s="12">
        <v>0.183085</v>
      </c>
      <c r="Y449" s="12">
        <v>195944</v>
      </c>
      <c r="Z449" s="12" t="s">
        <v>8052</v>
      </c>
      <c r="AA449" s="12" t="s">
        <v>8052</v>
      </c>
      <c r="AB449" s="12" t="s">
        <v>5100</v>
      </c>
      <c r="AC449" s="12" t="s">
        <v>340</v>
      </c>
      <c r="AD449" s="12" t="s">
        <v>7836</v>
      </c>
      <c r="AE449" s="12" t="s">
        <v>7741</v>
      </c>
      <c r="AF449" s="12" t="s">
        <v>45</v>
      </c>
    </row>
    <row r="450" spans="1:41" x14ac:dyDescent="0.2">
      <c r="A450" s="12" t="s">
        <v>3749</v>
      </c>
      <c r="B450" s="12" t="s">
        <v>3750</v>
      </c>
      <c r="C450" s="12" t="s">
        <v>3751</v>
      </c>
      <c r="D450" s="12" t="s">
        <v>143</v>
      </c>
      <c r="E450" s="12" t="s">
        <v>7678</v>
      </c>
      <c r="F450" s="12" t="s">
        <v>5460</v>
      </c>
      <c r="G450" s="12" t="s">
        <v>141</v>
      </c>
      <c r="H450" s="12" t="s">
        <v>6614</v>
      </c>
      <c r="I450" s="12">
        <v>3636</v>
      </c>
      <c r="J450" s="12" t="s">
        <v>3752</v>
      </c>
      <c r="K450" s="12" t="s">
        <v>6652</v>
      </c>
      <c r="L450" s="12" t="s">
        <v>3740</v>
      </c>
      <c r="M450" s="12" t="s">
        <v>3740</v>
      </c>
      <c r="N450" s="12" t="s">
        <v>5785</v>
      </c>
      <c r="O450" s="12" t="s">
        <v>3743</v>
      </c>
      <c r="P450" s="12" t="s">
        <v>18</v>
      </c>
      <c r="Q450" s="12" t="s">
        <v>6653</v>
      </c>
      <c r="R450" s="12">
        <v>53.456000000000003</v>
      </c>
      <c r="S450" s="12">
        <v>85.447000000000003</v>
      </c>
      <c r="T450" s="12" t="s">
        <v>25</v>
      </c>
      <c r="U450" s="12" t="s">
        <v>3753</v>
      </c>
      <c r="V450" s="12" t="s">
        <v>6639</v>
      </c>
      <c r="W450" s="12" t="s">
        <v>6639</v>
      </c>
      <c r="X450" s="12">
        <v>5.2770000000000001</v>
      </c>
      <c r="Y450" s="12">
        <v>1122100</v>
      </c>
      <c r="Z450" s="12" t="s">
        <v>6639</v>
      </c>
      <c r="AA450" s="12" t="s">
        <v>6639</v>
      </c>
      <c r="AB450" s="12" t="s">
        <v>17</v>
      </c>
      <c r="AC450" s="12" t="s">
        <v>144</v>
      </c>
      <c r="AD450" s="12" t="s">
        <v>17</v>
      </c>
      <c r="AE450" s="12" t="s">
        <v>17</v>
      </c>
      <c r="AF450" s="12" t="s">
        <v>45</v>
      </c>
    </row>
    <row r="451" spans="1:41" x14ac:dyDescent="0.2">
      <c r="A451" s="12" t="s">
        <v>1312</v>
      </c>
      <c r="B451" s="12" t="s">
        <v>1312</v>
      </c>
      <c r="C451" s="12" t="s">
        <v>7002</v>
      </c>
      <c r="D451" s="12" t="s">
        <v>13</v>
      </c>
      <c r="E451" s="12" t="s">
        <v>8110</v>
      </c>
      <c r="F451" s="12" t="s">
        <v>1315</v>
      </c>
      <c r="G451" s="12" t="s">
        <v>5453</v>
      </c>
      <c r="H451" s="12" t="s">
        <v>6616</v>
      </c>
      <c r="I451" s="12">
        <v>3634</v>
      </c>
      <c r="J451" s="12" t="s">
        <v>1315</v>
      </c>
      <c r="K451" s="12" t="s">
        <v>6652</v>
      </c>
      <c r="L451" s="12" t="s">
        <v>1229</v>
      </c>
      <c r="M451" s="12" t="s">
        <v>1313</v>
      </c>
      <c r="N451" s="12" t="s">
        <v>5785</v>
      </c>
      <c r="O451" s="12" t="s">
        <v>7148</v>
      </c>
      <c r="P451" s="12" t="s">
        <v>1152</v>
      </c>
      <c r="Q451" s="12" t="s">
        <v>6653</v>
      </c>
      <c r="R451" s="16">
        <v>43.246549999999999</v>
      </c>
      <c r="S451" s="16">
        <v>77.813813999999994</v>
      </c>
      <c r="T451" s="12" t="s">
        <v>25</v>
      </c>
      <c r="U451" s="12" t="s">
        <v>1316</v>
      </c>
      <c r="V451" s="12" t="s">
        <v>6639</v>
      </c>
      <c r="W451" s="12" t="s">
        <v>6639</v>
      </c>
      <c r="X451" s="12">
        <v>3.5009999999999999</v>
      </c>
      <c r="Y451" s="12">
        <v>730820</v>
      </c>
      <c r="Z451" s="12" t="s">
        <v>6639</v>
      </c>
      <c r="AA451" s="12" t="s">
        <v>6639</v>
      </c>
      <c r="AB451" s="12" t="s">
        <v>1314</v>
      </c>
      <c r="AC451" s="12" t="s">
        <v>21</v>
      </c>
      <c r="AD451" s="12">
        <v>8.8999999999999996E-2</v>
      </c>
      <c r="AE451" s="12">
        <v>0.99299999999999999</v>
      </c>
      <c r="AF451" s="12" t="s">
        <v>45</v>
      </c>
    </row>
    <row r="452" spans="1:41" x14ac:dyDescent="0.2">
      <c r="A452" s="12" t="s">
        <v>4157</v>
      </c>
      <c r="B452" s="12" t="s">
        <v>4157</v>
      </c>
      <c r="C452" s="12" t="s">
        <v>6875</v>
      </c>
      <c r="D452" s="12" t="s">
        <v>13</v>
      </c>
      <c r="E452" s="12" t="s">
        <v>8110</v>
      </c>
      <c r="F452" s="12" t="s">
        <v>7403</v>
      </c>
      <c r="G452" s="12" t="s">
        <v>5453</v>
      </c>
      <c r="H452" s="12" t="s">
        <v>6623</v>
      </c>
      <c r="I452" s="12">
        <v>3631</v>
      </c>
      <c r="J452" s="12" t="s">
        <v>7403</v>
      </c>
      <c r="K452" s="12" t="s">
        <v>6652</v>
      </c>
      <c r="L452" s="12" t="s">
        <v>4138</v>
      </c>
      <c r="M452" s="12" t="s">
        <v>4158</v>
      </c>
      <c r="N452" s="12" t="s">
        <v>5785</v>
      </c>
      <c r="O452" s="12" t="s">
        <v>4161</v>
      </c>
      <c r="P452" s="12" t="s">
        <v>865</v>
      </c>
      <c r="Q452" s="12" t="s">
        <v>6653</v>
      </c>
      <c r="R452" s="16">
        <v>40.54</v>
      </c>
      <c r="S452" s="16">
        <v>64.989999999999995</v>
      </c>
      <c r="T452" s="12" t="s">
        <v>11</v>
      </c>
      <c r="U452" s="12" t="s">
        <v>933</v>
      </c>
      <c r="V452" s="12" t="s">
        <v>2408</v>
      </c>
      <c r="W452" s="12" t="s">
        <v>7415</v>
      </c>
      <c r="X452" s="12">
        <v>0.707453</v>
      </c>
      <c r="Y452" s="12">
        <v>551548</v>
      </c>
      <c r="Z452" s="12">
        <v>1.3015000000000001E-2</v>
      </c>
      <c r="AA452" s="12">
        <v>2.2756261468832317</v>
      </c>
      <c r="AB452" s="12" t="s">
        <v>4159</v>
      </c>
      <c r="AC452" s="12" t="s">
        <v>21</v>
      </c>
      <c r="AD452" s="12">
        <v>7.1999999999999995E-2</v>
      </c>
      <c r="AE452" s="12">
        <v>0.97299999999999998</v>
      </c>
      <c r="AF452" s="12" t="s">
        <v>561</v>
      </c>
    </row>
    <row r="453" spans="1:41" x14ac:dyDescent="0.2">
      <c r="A453" s="12" t="s">
        <v>1308</v>
      </c>
      <c r="B453" s="12" t="s">
        <v>1308</v>
      </c>
      <c r="C453" s="12" t="s">
        <v>6865</v>
      </c>
      <c r="D453" s="12" t="s">
        <v>13</v>
      </c>
      <c r="E453" s="12" t="s">
        <v>8110</v>
      </c>
      <c r="F453" s="12" t="s">
        <v>1310</v>
      </c>
      <c r="G453" s="12" t="s">
        <v>5453</v>
      </c>
      <c r="H453" s="12" t="s">
        <v>6616</v>
      </c>
      <c r="I453" s="12">
        <v>3629</v>
      </c>
      <c r="J453" s="12" t="s">
        <v>1310</v>
      </c>
      <c r="K453" s="12" t="s">
        <v>6652</v>
      </c>
      <c r="L453" s="12" t="s">
        <v>1229</v>
      </c>
      <c r="M453" s="12" t="s">
        <v>1268</v>
      </c>
      <c r="N453" s="12" t="s">
        <v>5785</v>
      </c>
      <c r="O453" s="12" t="s">
        <v>1271</v>
      </c>
      <c r="P453" s="12" t="s">
        <v>1152</v>
      </c>
      <c r="Q453" s="12" t="s">
        <v>6653</v>
      </c>
      <c r="R453" s="12">
        <v>46.947850000000003</v>
      </c>
      <c r="S453" s="12">
        <v>79.988083329999995</v>
      </c>
      <c r="T453" s="12" t="s">
        <v>25</v>
      </c>
      <c r="U453" s="12" t="s">
        <v>1311</v>
      </c>
      <c r="V453" s="12" t="s">
        <v>6639</v>
      </c>
      <c r="W453" s="12" t="s">
        <v>6639</v>
      </c>
      <c r="X453" s="12">
        <v>4.2709999999999999</v>
      </c>
      <c r="Y453" s="12">
        <v>771240</v>
      </c>
      <c r="Z453" s="12" t="s">
        <v>6639</v>
      </c>
      <c r="AA453" s="12" t="s">
        <v>6639</v>
      </c>
      <c r="AB453" s="12" t="s">
        <v>1309</v>
      </c>
      <c r="AC453" s="12" t="s">
        <v>21</v>
      </c>
      <c r="AD453" s="12">
        <v>8.1000000000000003E-2</v>
      </c>
      <c r="AE453" s="12">
        <v>0.995</v>
      </c>
      <c r="AF453" s="12" t="s">
        <v>45</v>
      </c>
    </row>
    <row r="454" spans="1:41" x14ac:dyDescent="0.2">
      <c r="A454" s="12" t="s">
        <v>4209</v>
      </c>
      <c r="B454" s="12" t="s">
        <v>4209</v>
      </c>
      <c r="C454" s="12" t="s">
        <v>4211</v>
      </c>
      <c r="D454" s="12" t="s">
        <v>143</v>
      </c>
      <c r="E454" s="12" t="s">
        <v>8110</v>
      </c>
      <c r="F454" s="12" t="s">
        <v>4213</v>
      </c>
      <c r="G454" s="12" t="s">
        <v>5453</v>
      </c>
      <c r="H454" s="12" t="s">
        <v>6643</v>
      </c>
      <c r="I454" s="12">
        <v>3626</v>
      </c>
      <c r="J454" s="12" t="s">
        <v>4213</v>
      </c>
      <c r="K454" s="12" t="s">
        <v>6652</v>
      </c>
      <c r="L454" s="12" t="s">
        <v>4177</v>
      </c>
      <c r="M454" s="12" t="s">
        <v>4210</v>
      </c>
      <c r="N454" s="12" t="s">
        <v>5785</v>
      </c>
      <c r="O454" s="12" t="s">
        <v>5806</v>
      </c>
      <c r="P454" s="12" t="s">
        <v>1152</v>
      </c>
      <c r="Q454" s="12" t="s">
        <v>6653</v>
      </c>
      <c r="R454" s="156">
        <v>42.68943333</v>
      </c>
      <c r="S454" s="158">
        <v>73.117483329999999</v>
      </c>
      <c r="T454" s="12" t="s">
        <v>11</v>
      </c>
      <c r="U454" s="12" t="s">
        <v>875</v>
      </c>
      <c r="V454" s="12" t="s">
        <v>755</v>
      </c>
      <c r="W454" s="12" t="s">
        <v>7415</v>
      </c>
      <c r="X454" s="12">
        <v>0.26400000000000001</v>
      </c>
      <c r="Y454" s="12">
        <v>238218</v>
      </c>
      <c r="Z454" s="12" t="s">
        <v>8052</v>
      </c>
      <c r="AA454" s="12" t="s">
        <v>8052</v>
      </c>
      <c r="AB454" s="12" t="s">
        <v>4212</v>
      </c>
      <c r="AC454" s="12" t="s">
        <v>21</v>
      </c>
      <c r="AD454" s="12">
        <v>0.04</v>
      </c>
      <c r="AE454" s="12">
        <v>1</v>
      </c>
      <c r="AF454" s="12" t="s">
        <v>45</v>
      </c>
      <c r="AG454" s="12"/>
      <c r="AH454" s="12"/>
      <c r="AI454" s="12"/>
      <c r="AJ454" s="12"/>
      <c r="AK454" s="12"/>
      <c r="AL454" s="12"/>
      <c r="AM454" s="12"/>
      <c r="AN454" s="12"/>
      <c r="AO454" s="12"/>
    </row>
    <row r="455" spans="1:41" x14ac:dyDescent="0.2">
      <c r="A455" s="12" t="s">
        <v>1348</v>
      </c>
      <c r="B455" s="12" t="s">
        <v>1348</v>
      </c>
      <c r="C455" s="12" t="s">
        <v>1349</v>
      </c>
      <c r="D455" s="12" t="s">
        <v>13</v>
      </c>
      <c r="E455" s="12" t="s">
        <v>8110</v>
      </c>
      <c r="F455" s="12" t="s">
        <v>5458</v>
      </c>
      <c r="G455" s="12" t="s">
        <v>5453</v>
      </c>
      <c r="H455" s="12" t="s">
        <v>6612</v>
      </c>
      <c r="I455" s="12">
        <v>3600</v>
      </c>
      <c r="J455" s="12" t="s">
        <v>1343</v>
      </c>
      <c r="K455" s="12" t="s">
        <v>6652</v>
      </c>
      <c r="L455" s="12" t="s">
        <v>1229</v>
      </c>
      <c r="M455" s="12" t="s">
        <v>1228</v>
      </c>
      <c r="N455" s="12" t="s">
        <v>5785</v>
      </c>
      <c r="O455" s="12" t="s">
        <v>1232</v>
      </c>
      <c r="P455" s="12" t="s">
        <v>18</v>
      </c>
      <c r="Q455" s="12" t="s">
        <v>6653</v>
      </c>
      <c r="R455" s="12">
        <v>55.192399999999999</v>
      </c>
      <c r="S455" s="12">
        <v>89.305300000000003</v>
      </c>
      <c r="T455" s="12" t="s">
        <v>11</v>
      </c>
      <c r="U455" s="12" t="s">
        <v>1351</v>
      </c>
      <c r="V455" s="12" t="s">
        <v>1352</v>
      </c>
      <c r="W455" s="12" t="s">
        <v>7415</v>
      </c>
      <c r="X455" s="12">
        <v>1.9319999999999999</v>
      </c>
      <c r="Y455" s="12">
        <v>774254</v>
      </c>
      <c r="Z455" s="12">
        <v>9.2379999999999997E-3</v>
      </c>
      <c r="AA455" s="12">
        <v>4.9432103363287965</v>
      </c>
      <c r="AB455" s="12" t="s">
        <v>1350</v>
      </c>
      <c r="AC455" s="12" t="s">
        <v>21</v>
      </c>
      <c r="AD455" s="12">
        <v>7.5999999999999998E-2</v>
      </c>
      <c r="AE455" s="12">
        <v>0.99199999999999999</v>
      </c>
      <c r="AF455" s="12" t="s">
        <v>111</v>
      </c>
    </row>
    <row r="456" spans="1:41" x14ac:dyDescent="0.2">
      <c r="A456" s="12" t="s">
        <v>1353</v>
      </c>
      <c r="B456" s="12" t="s">
        <v>1353</v>
      </c>
      <c r="C456" s="12" t="s">
        <v>1354</v>
      </c>
      <c r="D456" s="12" t="s">
        <v>13</v>
      </c>
      <c r="E456" s="12" t="s">
        <v>8110</v>
      </c>
      <c r="F456" s="12" t="s">
        <v>5458</v>
      </c>
      <c r="G456" s="12" t="s">
        <v>5453</v>
      </c>
      <c r="H456" s="12" t="s">
        <v>6612</v>
      </c>
      <c r="I456" s="12">
        <v>3600</v>
      </c>
      <c r="J456" s="12" t="s">
        <v>1343</v>
      </c>
      <c r="K456" s="12" t="s">
        <v>6652</v>
      </c>
      <c r="L456" s="12" t="s">
        <v>1229</v>
      </c>
      <c r="M456" s="12" t="s">
        <v>1228</v>
      </c>
      <c r="N456" s="12" t="s">
        <v>5785</v>
      </c>
      <c r="O456" s="12" t="s">
        <v>1232</v>
      </c>
      <c r="P456" s="12" t="s">
        <v>18</v>
      </c>
      <c r="Q456" s="12" t="s">
        <v>6653</v>
      </c>
      <c r="R456" s="12">
        <v>55.192399999999999</v>
      </c>
      <c r="S456" s="12">
        <v>89.305300000000003</v>
      </c>
      <c r="T456" s="12" t="s">
        <v>11</v>
      </c>
      <c r="U456" s="12" t="s">
        <v>1117</v>
      </c>
      <c r="V456" s="12" t="s">
        <v>606</v>
      </c>
      <c r="W456" s="12" t="s">
        <v>7415</v>
      </c>
      <c r="X456" s="12">
        <v>2.1880000000000002</v>
      </c>
      <c r="Y456" s="12">
        <v>777732</v>
      </c>
      <c r="Z456" s="12">
        <v>4.2059999999999997E-3</v>
      </c>
      <c r="AA456" s="12">
        <v>3.3086170358378442</v>
      </c>
      <c r="AB456" s="12" t="s">
        <v>1355</v>
      </c>
      <c r="AC456" s="12" t="s">
        <v>21</v>
      </c>
      <c r="AD456" s="12">
        <v>7.6999999999999999E-2</v>
      </c>
      <c r="AE456" s="12">
        <v>0.99</v>
      </c>
      <c r="AF456" s="12" t="s">
        <v>59</v>
      </c>
    </row>
    <row r="457" spans="1:41" x14ac:dyDescent="0.2">
      <c r="A457" s="12" t="s">
        <v>1362</v>
      </c>
      <c r="B457" s="12" t="s">
        <v>1362</v>
      </c>
      <c r="C457" s="12" t="s">
        <v>1363</v>
      </c>
      <c r="D457" s="12" t="s">
        <v>13</v>
      </c>
      <c r="E457" s="12" t="s">
        <v>8110</v>
      </c>
      <c r="F457" s="12" t="s">
        <v>5458</v>
      </c>
      <c r="G457" s="12" t="s">
        <v>5453</v>
      </c>
      <c r="H457" s="12" t="s">
        <v>6612</v>
      </c>
      <c r="I457" s="12">
        <v>3600</v>
      </c>
      <c r="J457" s="12" t="s">
        <v>1343</v>
      </c>
      <c r="K457" s="12" t="s">
        <v>6652</v>
      </c>
      <c r="L457" s="12" t="s">
        <v>1229</v>
      </c>
      <c r="M457" s="12" t="s">
        <v>1228</v>
      </c>
      <c r="N457" s="12" t="s">
        <v>5785</v>
      </c>
      <c r="O457" s="12" t="s">
        <v>1232</v>
      </c>
      <c r="P457" s="12" t="s">
        <v>18</v>
      </c>
      <c r="Q457" s="12" t="s">
        <v>6653</v>
      </c>
      <c r="R457" s="16">
        <v>55.192399999999999</v>
      </c>
      <c r="S457" s="16">
        <v>89.305300000000003</v>
      </c>
      <c r="T457" s="12" t="s">
        <v>11</v>
      </c>
      <c r="U457" s="12" t="s">
        <v>1293</v>
      </c>
      <c r="V457" s="12" t="s">
        <v>1365</v>
      </c>
      <c r="W457" s="12" t="s">
        <v>7415</v>
      </c>
      <c r="X457" s="12">
        <v>3.4830000000000001</v>
      </c>
      <c r="Y457" s="12">
        <v>789432</v>
      </c>
      <c r="Z457" s="12">
        <v>4.1590000000000004E-3</v>
      </c>
      <c r="AA457" s="12">
        <v>4.2602761363689909</v>
      </c>
      <c r="AB457" s="12" t="s">
        <v>1364</v>
      </c>
      <c r="AC457" s="12" t="s">
        <v>21</v>
      </c>
      <c r="AD457" s="12">
        <v>4.5999999999999999E-2</v>
      </c>
      <c r="AE457" s="12">
        <v>0.995</v>
      </c>
      <c r="AF457" s="12" t="s">
        <v>59</v>
      </c>
    </row>
    <row r="458" spans="1:41" x14ac:dyDescent="0.2">
      <c r="A458" s="12" t="s">
        <v>1345</v>
      </c>
      <c r="B458" s="12" t="s">
        <v>1345</v>
      </c>
      <c r="C458" s="12" t="s">
        <v>1346</v>
      </c>
      <c r="D458" s="12" t="s">
        <v>13</v>
      </c>
      <c r="E458" s="12" t="s">
        <v>8110</v>
      </c>
      <c r="F458" s="12" t="s">
        <v>5458</v>
      </c>
      <c r="G458" s="12" t="s">
        <v>5453</v>
      </c>
      <c r="H458" s="12" t="s">
        <v>6612</v>
      </c>
      <c r="I458" s="12">
        <v>3600</v>
      </c>
      <c r="J458" s="12" t="s">
        <v>1343</v>
      </c>
      <c r="K458" s="12" t="s">
        <v>6652</v>
      </c>
      <c r="L458" s="12" t="s">
        <v>1229</v>
      </c>
      <c r="M458" s="12" t="s">
        <v>1228</v>
      </c>
      <c r="N458" s="12" t="s">
        <v>5785</v>
      </c>
      <c r="O458" s="12" t="s">
        <v>1232</v>
      </c>
      <c r="P458" s="12" t="s">
        <v>18</v>
      </c>
      <c r="Q458" s="12" t="s">
        <v>6653</v>
      </c>
      <c r="R458" s="16">
        <v>55.192399999999999</v>
      </c>
      <c r="S458" s="16">
        <v>89.305300000000003</v>
      </c>
      <c r="T458" s="12" t="s">
        <v>25</v>
      </c>
      <c r="U458" s="12" t="s">
        <v>1121</v>
      </c>
      <c r="V458" s="12" t="s">
        <v>6639</v>
      </c>
      <c r="W458" s="12" t="s">
        <v>6639</v>
      </c>
      <c r="X458" s="12">
        <v>3.367</v>
      </c>
      <c r="Y458" s="12">
        <v>792629</v>
      </c>
      <c r="Z458" s="12" t="s">
        <v>6639</v>
      </c>
      <c r="AA458" s="12" t="s">
        <v>6639</v>
      </c>
      <c r="AB458" s="12" t="s">
        <v>1347</v>
      </c>
      <c r="AC458" s="12" t="s">
        <v>21</v>
      </c>
      <c r="AD458" s="12">
        <v>7.2999999999999995E-2</v>
      </c>
      <c r="AE458" s="12">
        <v>0.99399999999999999</v>
      </c>
      <c r="AF458" s="12" t="s">
        <v>45</v>
      </c>
    </row>
    <row r="459" spans="1:41" x14ac:dyDescent="0.2">
      <c r="A459" s="12" t="s">
        <v>1359</v>
      </c>
      <c r="B459" s="12" t="s">
        <v>1359</v>
      </c>
      <c r="C459" s="12" t="s">
        <v>1360</v>
      </c>
      <c r="D459" s="12" t="s">
        <v>13</v>
      </c>
      <c r="E459" s="12" t="s">
        <v>8110</v>
      </c>
      <c r="F459" s="12" t="s">
        <v>5458</v>
      </c>
      <c r="G459" s="12" t="s">
        <v>5453</v>
      </c>
      <c r="H459" s="12" t="s">
        <v>6612</v>
      </c>
      <c r="I459" s="12">
        <v>3600</v>
      </c>
      <c r="J459" s="12" t="s">
        <v>1343</v>
      </c>
      <c r="K459" s="12" t="s">
        <v>6652</v>
      </c>
      <c r="L459" s="12" t="s">
        <v>1229</v>
      </c>
      <c r="M459" s="12" t="s">
        <v>1228</v>
      </c>
      <c r="N459" s="12" t="s">
        <v>5785</v>
      </c>
      <c r="O459" s="12" t="s">
        <v>1232</v>
      </c>
      <c r="P459" s="12" t="s">
        <v>18</v>
      </c>
      <c r="Q459" s="12" t="s">
        <v>6653</v>
      </c>
      <c r="R459" s="16">
        <v>55.192399999999999</v>
      </c>
      <c r="S459" s="16">
        <v>89.305300000000003</v>
      </c>
      <c r="T459" s="12" t="s">
        <v>25</v>
      </c>
      <c r="U459" s="12" t="s">
        <v>36</v>
      </c>
      <c r="V459" s="12" t="s">
        <v>6639</v>
      </c>
      <c r="W459" s="12" t="s">
        <v>6639</v>
      </c>
      <c r="X459" s="12">
        <v>3.7789999999999999</v>
      </c>
      <c r="Y459" s="12">
        <v>801039</v>
      </c>
      <c r="Z459" s="12" t="s">
        <v>6639</v>
      </c>
      <c r="AA459" s="12" t="s">
        <v>6639</v>
      </c>
      <c r="AB459" s="12" t="s">
        <v>1361</v>
      </c>
      <c r="AC459" s="12" t="s">
        <v>21</v>
      </c>
      <c r="AD459" s="12">
        <v>5.6000000000000001E-2</v>
      </c>
      <c r="AE459" s="12">
        <v>0.996</v>
      </c>
      <c r="AF459" s="12" t="s">
        <v>45</v>
      </c>
    </row>
    <row r="460" spans="1:41" x14ac:dyDescent="0.2">
      <c r="A460" s="12" t="s">
        <v>1356</v>
      </c>
      <c r="B460" s="12" t="s">
        <v>1356</v>
      </c>
      <c r="C460" s="12" t="s">
        <v>1357</v>
      </c>
      <c r="D460" s="12" t="s">
        <v>13</v>
      </c>
      <c r="E460" s="12" t="s">
        <v>8110</v>
      </c>
      <c r="F460" s="12" t="s">
        <v>5458</v>
      </c>
      <c r="G460" s="12" t="s">
        <v>5453</v>
      </c>
      <c r="H460" s="12" t="s">
        <v>6612</v>
      </c>
      <c r="I460" s="12">
        <v>3600</v>
      </c>
      <c r="J460" s="12" t="s">
        <v>1343</v>
      </c>
      <c r="K460" s="12" t="s">
        <v>6652</v>
      </c>
      <c r="L460" s="12" t="s">
        <v>1229</v>
      </c>
      <c r="M460" s="12" t="s">
        <v>1228</v>
      </c>
      <c r="N460" s="12" t="s">
        <v>5785</v>
      </c>
      <c r="O460" s="12" t="s">
        <v>1232</v>
      </c>
      <c r="P460" s="12" t="s">
        <v>18</v>
      </c>
      <c r="Q460" s="12" t="s">
        <v>6653</v>
      </c>
      <c r="R460" s="12">
        <v>55.192399999999999</v>
      </c>
      <c r="S460" s="12">
        <v>89.305300000000003</v>
      </c>
      <c r="T460" s="12" t="s">
        <v>11</v>
      </c>
      <c r="U460" s="12" t="s">
        <v>1321</v>
      </c>
      <c r="V460" s="12" t="s">
        <v>739</v>
      </c>
      <c r="W460" s="12" t="s">
        <v>7415</v>
      </c>
      <c r="X460" s="12">
        <v>2.7589999999999999</v>
      </c>
      <c r="Y460" s="12">
        <v>811090</v>
      </c>
      <c r="Z460" s="12">
        <v>4.1469999999999996E-3</v>
      </c>
      <c r="AA460" s="12">
        <v>3.8785536651724208</v>
      </c>
      <c r="AB460" s="12" t="s">
        <v>1358</v>
      </c>
      <c r="AC460" s="12" t="s">
        <v>21</v>
      </c>
      <c r="AD460" s="12" t="s">
        <v>17</v>
      </c>
      <c r="AE460" s="12">
        <v>0.99</v>
      </c>
      <c r="AF460" s="12" t="s">
        <v>59</v>
      </c>
    </row>
    <row r="461" spans="1:41" x14ac:dyDescent="0.2">
      <c r="A461" s="12" t="s">
        <v>1340</v>
      </c>
      <c r="B461" s="12" t="s">
        <v>1340</v>
      </c>
      <c r="C461" s="12" t="s">
        <v>1341</v>
      </c>
      <c r="D461" s="12" t="s">
        <v>13</v>
      </c>
      <c r="E461" s="12" t="s">
        <v>8110</v>
      </c>
      <c r="F461" s="12" t="s">
        <v>5458</v>
      </c>
      <c r="G461" s="12" t="s">
        <v>5453</v>
      </c>
      <c r="H461" s="12" t="s">
        <v>6612</v>
      </c>
      <c r="I461" s="12">
        <v>3600</v>
      </c>
      <c r="J461" s="12" t="s">
        <v>1343</v>
      </c>
      <c r="K461" s="12" t="s">
        <v>6652</v>
      </c>
      <c r="L461" s="12" t="s">
        <v>1229</v>
      </c>
      <c r="M461" s="12" t="s">
        <v>1228</v>
      </c>
      <c r="N461" s="12" t="s">
        <v>5785</v>
      </c>
      <c r="O461" s="12" t="s">
        <v>1232</v>
      </c>
      <c r="P461" s="12" t="s">
        <v>18</v>
      </c>
      <c r="Q461" s="12" t="s">
        <v>6653</v>
      </c>
      <c r="R461" s="12">
        <v>55.192399999999999</v>
      </c>
      <c r="S461" s="12">
        <v>89.305300000000003</v>
      </c>
      <c r="T461" s="12" t="s">
        <v>11</v>
      </c>
      <c r="U461" s="12" t="s">
        <v>1344</v>
      </c>
      <c r="V461" s="12" t="s">
        <v>17</v>
      </c>
      <c r="W461" s="12" t="s">
        <v>17</v>
      </c>
      <c r="X461" s="12">
        <v>4.5999999999999996</v>
      </c>
      <c r="Y461" s="12">
        <v>822898</v>
      </c>
      <c r="Z461" s="12">
        <v>3.0839999999999999E-3</v>
      </c>
      <c r="AA461" s="12">
        <v>3.8152942329180219</v>
      </c>
      <c r="AB461" s="12" t="s">
        <v>1342</v>
      </c>
      <c r="AC461" s="12" t="s">
        <v>21</v>
      </c>
      <c r="AD461" s="12">
        <v>4.9000000000000002E-2</v>
      </c>
      <c r="AE461" s="12">
        <v>0.98</v>
      </c>
      <c r="AF461" s="12" t="s">
        <v>427</v>
      </c>
    </row>
    <row r="462" spans="1:41" x14ac:dyDescent="0.2">
      <c r="A462" s="12" t="s">
        <v>1381</v>
      </c>
      <c r="B462" s="12" t="s">
        <v>1381</v>
      </c>
      <c r="C462" s="12" t="s">
        <v>1382</v>
      </c>
      <c r="D462" s="12" t="s">
        <v>13</v>
      </c>
      <c r="E462" s="12" t="s">
        <v>8110</v>
      </c>
      <c r="F462" s="12" t="s">
        <v>5458</v>
      </c>
      <c r="G462" s="12" t="s">
        <v>5453</v>
      </c>
      <c r="H462" s="12" t="s">
        <v>6612</v>
      </c>
      <c r="I462" s="12">
        <v>3600</v>
      </c>
      <c r="J462" s="12" t="s">
        <v>1343</v>
      </c>
      <c r="K462" s="12" t="s">
        <v>6652</v>
      </c>
      <c r="L462" s="12" t="s">
        <v>7129</v>
      </c>
      <c r="M462" s="12" t="s">
        <v>7130</v>
      </c>
      <c r="N462" s="12" t="s">
        <v>24</v>
      </c>
      <c r="O462" s="12" t="s">
        <v>1232</v>
      </c>
      <c r="P462" s="12" t="s">
        <v>18</v>
      </c>
      <c r="Q462" s="12" t="s">
        <v>6653</v>
      </c>
      <c r="R462" s="12">
        <v>55.192399999999999</v>
      </c>
      <c r="S462" s="12">
        <v>89.305300000000003</v>
      </c>
      <c r="T462" s="12" t="s">
        <v>11</v>
      </c>
      <c r="U462" s="12" t="s">
        <v>1311</v>
      </c>
      <c r="V462" s="12" t="s">
        <v>606</v>
      </c>
      <c r="W462" s="12" t="s">
        <v>7415</v>
      </c>
      <c r="X462" s="12">
        <v>1.18</v>
      </c>
      <c r="Y462" s="12">
        <v>676099</v>
      </c>
      <c r="Z462" s="12">
        <v>1.0401000000000001E-2</v>
      </c>
      <c r="AA462" s="12">
        <v>3.5649884611732965</v>
      </c>
      <c r="AB462" s="12" t="s">
        <v>1383</v>
      </c>
      <c r="AC462" s="12" t="s">
        <v>21</v>
      </c>
      <c r="AD462" s="12">
        <v>7.9000000000000001E-2</v>
      </c>
      <c r="AE462" s="12">
        <v>0.97399999999999998</v>
      </c>
      <c r="AF462" s="12" t="s">
        <v>8079</v>
      </c>
    </row>
    <row r="463" spans="1:41" x14ac:dyDescent="0.2">
      <c r="A463" s="12" t="s">
        <v>4204</v>
      </c>
      <c r="B463" s="12" t="s">
        <v>4204</v>
      </c>
      <c r="C463" s="12" t="s">
        <v>6821</v>
      </c>
      <c r="D463" s="12" t="s">
        <v>26</v>
      </c>
      <c r="E463" s="12" t="s">
        <v>8110</v>
      </c>
      <c r="F463" s="12" t="s">
        <v>4207</v>
      </c>
      <c r="G463" s="12" t="s">
        <v>5453</v>
      </c>
      <c r="H463" s="12" t="s">
        <v>6616</v>
      </c>
      <c r="I463" s="12">
        <v>3596</v>
      </c>
      <c r="J463" s="12" t="s">
        <v>4207</v>
      </c>
      <c r="K463" s="12" t="s">
        <v>6652</v>
      </c>
      <c r="L463" s="12" t="s">
        <v>4177</v>
      </c>
      <c r="M463" s="12" t="s">
        <v>4205</v>
      </c>
      <c r="N463" s="12" t="s">
        <v>5785</v>
      </c>
      <c r="O463" s="12" t="s">
        <v>4135</v>
      </c>
      <c r="P463" s="12" t="s">
        <v>1152</v>
      </c>
      <c r="Q463" s="12" t="s">
        <v>6653</v>
      </c>
      <c r="R463" s="12">
        <v>48.741750000000003</v>
      </c>
      <c r="S463" s="12">
        <v>76.995733329999993</v>
      </c>
      <c r="T463" s="12" t="s">
        <v>25</v>
      </c>
      <c r="U463" s="12" t="s">
        <v>4208</v>
      </c>
      <c r="V463" s="12" t="s">
        <v>6639</v>
      </c>
      <c r="W463" s="12" t="s">
        <v>6639</v>
      </c>
      <c r="X463" s="12">
        <v>0.32800000000000001</v>
      </c>
      <c r="Y463" s="12">
        <v>307396</v>
      </c>
      <c r="Z463" s="12" t="s">
        <v>6639</v>
      </c>
      <c r="AA463" s="12" t="s">
        <v>6639</v>
      </c>
      <c r="AB463" s="12" t="s">
        <v>4206</v>
      </c>
      <c r="AC463" s="12" t="s">
        <v>21</v>
      </c>
      <c r="AD463" s="12">
        <v>6.7000000000000004E-2</v>
      </c>
      <c r="AE463" s="12">
        <v>0.998</v>
      </c>
      <c r="AF463" s="12" t="s">
        <v>45</v>
      </c>
    </row>
    <row r="464" spans="1:41" x14ac:dyDescent="0.2">
      <c r="A464" s="12" t="s">
        <v>5094</v>
      </c>
      <c r="B464" s="12" t="s">
        <v>5094</v>
      </c>
      <c r="C464" s="12" t="s">
        <v>7614</v>
      </c>
      <c r="D464" s="12" t="s">
        <v>13</v>
      </c>
      <c r="E464" s="12" t="s">
        <v>8110</v>
      </c>
      <c r="F464" s="12" t="s">
        <v>5097</v>
      </c>
      <c r="G464" s="12" t="s">
        <v>5453</v>
      </c>
      <c r="H464" s="12" t="s">
        <v>7595</v>
      </c>
      <c r="I464" s="12">
        <v>3596</v>
      </c>
      <c r="J464" s="12" t="s">
        <v>5097</v>
      </c>
      <c r="K464" s="12" t="s">
        <v>6652</v>
      </c>
      <c r="L464" s="12" t="s">
        <v>5060</v>
      </c>
      <c r="M464" s="12" t="s">
        <v>5095</v>
      </c>
      <c r="N464" s="12" t="s">
        <v>5785</v>
      </c>
      <c r="O464" s="12" t="s">
        <v>4112</v>
      </c>
      <c r="P464" s="12" t="s">
        <v>18</v>
      </c>
      <c r="Q464" s="12" t="s">
        <v>6653</v>
      </c>
      <c r="R464" s="12">
        <v>55.51</v>
      </c>
      <c r="S464" s="12">
        <v>77.05</v>
      </c>
      <c r="T464" s="12" t="s">
        <v>25</v>
      </c>
      <c r="U464" s="12" t="s">
        <v>1013</v>
      </c>
      <c r="V464" s="12" t="s">
        <v>6639</v>
      </c>
      <c r="W464" s="12" t="s">
        <v>6639</v>
      </c>
      <c r="X464" s="12">
        <v>2.5225999999999998E-2</v>
      </c>
      <c r="Y464" s="12">
        <v>29317</v>
      </c>
      <c r="Z464" s="12" t="s">
        <v>6639</v>
      </c>
      <c r="AA464" s="12" t="s">
        <v>6639</v>
      </c>
      <c r="AB464" s="12" t="s">
        <v>5096</v>
      </c>
      <c r="AC464" s="12" t="s">
        <v>21</v>
      </c>
      <c r="AD464" s="12">
        <v>0.17</v>
      </c>
      <c r="AE464" s="12">
        <v>0.73899999999999999</v>
      </c>
      <c r="AF464" s="12" t="s">
        <v>8073</v>
      </c>
    </row>
    <row r="465" spans="1:32" x14ac:dyDescent="0.2">
      <c r="A465" s="12" t="s">
        <v>1227</v>
      </c>
      <c r="B465" s="12" t="s">
        <v>1227</v>
      </c>
      <c r="C465" s="12" t="s">
        <v>6730</v>
      </c>
      <c r="D465" s="12" t="s">
        <v>13</v>
      </c>
      <c r="E465" s="12" t="s">
        <v>8110</v>
      </c>
      <c r="F465" s="12" t="s">
        <v>5465</v>
      </c>
      <c r="G465" s="12" t="s">
        <v>5453</v>
      </c>
      <c r="H465" s="12" t="s">
        <v>6612</v>
      </c>
      <c r="I465" s="12">
        <v>3587</v>
      </c>
      <c r="J465" s="12" t="s">
        <v>1231</v>
      </c>
      <c r="K465" s="12" t="s">
        <v>6652</v>
      </c>
      <c r="L465" s="12" t="s">
        <v>1229</v>
      </c>
      <c r="M465" s="12" t="s">
        <v>1228</v>
      </c>
      <c r="N465" s="12" t="s">
        <v>5785</v>
      </c>
      <c r="O465" s="12" t="s">
        <v>1232</v>
      </c>
      <c r="P465" s="12" t="s">
        <v>18</v>
      </c>
      <c r="Q465" s="12" t="s">
        <v>6653</v>
      </c>
      <c r="R465" s="12">
        <v>55.192399999999999</v>
      </c>
      <c r="S465" s="12">
        <v>89.305300000000003</v>
      </c>
      <c r="T465" s="12" t="s">
        <v>25</v>
      </c>
      <c r="U465" s="12" t="s">
        <v>1233</v>
      </c>
      <c r="V465" s="12" t="s">
        <v>6639</v>
      </c>
      <c r="W465" s="12" t="s">
        <v>6639</v>
      </c>
      <c r="X465" s="12">
        <v>4.1494419999999996</v>
      </c>
      <c r="Y465" s="12">
        <v>832816</v>
      </c>
      <c r="Z465" s="12" t="s">
        <v>6639</v>
      </c>
      <c r="AA465" s="12" t="s">
        <v>6639</v>
      </c>
      <c r="AB465" s="12" t="s">
        <v>1230</v>
      </c>
      <c r="AC465" s="12" t="s">
        <v>21</v>
      </c>
      <c r="AD465" s="12">
        <v>9.6000000000000002E-2</v>
      </c>
      <c r="AE465" s="12">
        <v>0.99099999999999999</v>
      </c>
      <c r="AF465" s="12" t="s">
        <v>45</v>
      </c>
    </row>
    <row r="466" spans="1:32" x14ac:dyDescent="0.2">
      <c r="A466" s="12" t="s">
        <v>5090</v>
      </c>
      <c r="B466" s="12" t="s">
        <v>5090</v>
      </c>
      <c r="C466" s="12" t="s">
        <v>6824</v>
      </c>
      <c r="D466" s="12" t="s">
        <v>143</v>
      </c>
      <c r="E466" s="12" t="s">
        <v>8110</v>
      </c>
      <c r="F466" s="12" t="s">
        <v>5093</v>
      </c>
      <c r="G466" s="12" t="s">
        <v>5453</v>
      </c>
      <c r="H466" s="12" t="s">
        <v>6643</v>
      </c>
      <c r="I466" s="12">
        <v>3587</v>
      </c>
      <c r="J466" s="12" t="s">
        <v>5093</v>
      </c>
      <c r="K466" s="12" t="s">
        <v>6652</v>
      </c>
      <c r="L466" s="12" t="s">
        <v>5060</v>
      </c>
      <c r="M466" s="12" t="s">
        <v>5091</v>
      </c>
      <c r="N466" s="12" t="s">
        <v>5785</v>
      </c>
      <c r="O466" s="12" t="s">
        <v>7149</v>
      </c>
      <c r="P466" s="12" t="s">
        <v>1152</v>
      </c>
      <c r="Q466" s="12" t="s">
        <v>6653</v>
      </c>
      <c r="R466" s="16">
        <v>50.291944444444439</v>
      </c>
      <c r="S466" s="16">
        <v>51.386944444444445</v>
      </c>
      <c r="T466" s="12" t="s">
        <v>25</v>
      </c>
      <c r="U466" s="12" t="s">
        <v>875</v>
      </c>
      <c r="V466" s="12" t="s">
        <v>6639</v>
      </c>
      <c r="W466" s="12" t="s">
        <v>6639</v>
      </c>
      <c r="X466" s="12">
        <v>0.51700000000000002</v>
      </c>
      <c r="Y466" s="12">
        <v>379892</v>
      </c>
      <c r="Z466" s="12" t="s">
        <v>6639</v>
      </c>
      <c r="AA466" s="12" t="s">
        <v>6639</v>
      </c>
      <c r="AB466" s="12" t="s">
        <v>5092</v>
      </c>
      <c r="AC466" s="12" t="s">
        <v>21</v>
      </c>
      <c r="AD466" s="12">
        <v>4.5999999999999999E-2</v>
      </c>
      <c r="AE466" s="12">
        <v>0.999</v>
      </c>
      <c r="AF466" s="12" t="s">
        <v>45</v>
      </c>
    </row>
    <row r="467" spans="1:32" x14ac:dyDescent="0.2">
      <c r="A467" s="12" t="s">
        <v>5397</v>
      </c>
      <c r="B467" s="12" t="s">
        <v>5397</v>
      </c>
      <c r="C467" s="12" t="s">
        <v>7440</v>
      </c>
      <c r="D467" s="12" t="s">
        <v>13</v>
      </c>
      <c r="E467" s="12" t="s">
        <v>8110</v>
      </c>
      <c r="F467" s="12" t="s">
        <v>5401</v>
      </c>
      <c r="G467" s="12" t="s">
        <v>5453</v>
      </c>
      <c r="H467" s="12" t="s">
        <v>6616</v>
      </c>
      <c r="I467" s="12">
        <v>3587</v>
      </c>
      <c r="J467" s="12" t="s">
        <v>5401</v>
      </c>
      <c r="K467" s="12" t="s">
        <v>6652</v>
      </c>
      <c r="L467" s="12" t="s">
        <v>5399</v>
      </c>
      <c r="M467" s="12" t="s">
        <v>5398</v>
      </c>
      <c r="N467" s="12" t="s">
        <v>24</v>
      </c>
      <c r="O467" s="12" t="s">
        <v>5127</v>
      </c>
      <c r="P467" s="12" t="s">
        <v>1152</v>
      </c>
      <c r="Q467" s="12" t="s">
        <v>6653</v>
      </c>
      <c r="R467" s="12">
        <v>48.781766670000003</v>
      </c>
      <c r="S467" s="12">
        <v>76.453033329999997</v>
      </c>
      <c r="T467" s="12" t="s">
        <v>11</v>
      </c>
      <c r="U467" s="12" t="s">
        <v>1380</v>
      </c>
      <c r="V467" s="12" t="s">
        <v>755</v>
      </c>
      <c r="W467" s="12" t="s">
        <v>7415</v>
      </c>
      <c r="X467" s="12">
        <v>2.1070000000000002</v>
      </c>
      <c r="Y467" s="12">
        <v>713982</v>
      </c>
      <c r="Z467" s="12">
        <v>8.1390000000000004E-3</v>
      </c>
      <c r="AA467" s="12">
        <v>4.0220458915485651</v>
      </c>
      <c r="AB467" s="12" t="s">
        <v>5400</v>
      </c>
      <c r="AC467" s="12" t="s">
        <v>21</v>
      </c>
      <c r="AD467" s="12">
        <v>0.09</v>
      </c>
      <c r="AE467" s="12">
        <v>0.99199999999999999</v>
      </c>
      <c r="AF467" s="12" t="s">
        <v>152</v>
      </c>
    </row>
    <row r="468" spans="1:32" x14ac:dyDescent="0.2">
      <c r="A468" s="12" t="s">
        <v>3744</v>
      </c>
      <c r="B468" s="12" t="s">
        <v>3745</v>
      </c>
      <c r="C468" s="12" t="s">
        <v>3746</v>
      </c>
      <c r="D468" s="12" t="s">
        <v>143</v>
      </c>
      <c r="E468" s="12" t="s">
        <v>7678</v>
      </c>
      <c r="F468" s="12" t="s">
        <v>5460</v>
      </c>
      <c r="G468" s="12" t="s">
        <v>141</v>
      </c>
      <c r="H468" s="12" t="s">
        <v>6614</v>
      </c>
      <c r="I468" s="12">
        <v>3569</v>
      </c>
      <c r="J468" s="12" t="s">
        <v>3747</v>
      </c>
      <c r="K468" s="12" t="s">
        <v>6652</v>
      </c>
      <c r="L468" s="12" t="s">
        <v>3740</v>
      </c>
      <c r="M468" s="12" t="s">
        <v>3740</v>
      </c>
      <c r="N468" s="12" t="s">
        <v>5785</v>
      </c>
      <c r="O468" s="12" t="s">
        <v>3743</v>
      </c>
      <c r="P468" s="12" t="s">
        <v>18</v>
      </c>
      <c r="Q468" s="12" t="s">
        <v>6653</v>
      </c>
      <c r="R468" s="12">
        <v>53.456000000000003</v>
      </c>
      <c r="S468" s="12">
        <v>85.447000000000003</v>
      </c>
      <c r="T468" s="12" t="s">
        <v>25</v>
      </c>
      <c r="U468" s="12" t="s">
        <v>3748</v>
      </c>
      <c r="V468" s="12" t="s">
        <v>6639</v>
      </c>
      <c r="W468" s="12" t="s">
        <v>6639</v>
      </c>
      <c r="X468" s="12">
        <v>0.879</v>
      </c>
      <c r="Y468" s="12">
        <v>653791</v>
      </c>
      <c r="Z468" s="12" t="s">
        <v>6639</v>
      </c>
      <c r="AA468" s="12" t="s">
        <v>6639</v>
      </c>
      <c r="AB468" s="12" t="s">
        <v>17</v>
      </c>
      <c r="AC468" s="12" t="s">
        <v>144</v>
      </c>
      <c r="AD468" s="12" t="s">
        <v>17</v>
      </c>
      <c r="AE468" s="12" t="s">
        <v>17</v>
      </c>
      <c r="AF468" s="12" t="s">
        <v>45</v>
      </c>
    </row>
    <row r="469" spans="1:32" x14ac:dyDescent="0.2">
      <c r="A469" s="12" t="s">
        <v>5087</v>
      </c>
      <c r="B469" s="12" t="s">
        <v>5087</v>
      </c>
      <c r="C469" s="12" t="s">
        <v>7556</v>
      </c>
      <c r="D469" s="12" t="s">
        <v>13</v>
      </c>
      <c r="E469" s="12" t="s">
        <v>8110</v>
      </c>
      <c r="F469" s="12" t="s">
        <v>5089</v>
      </c>
      <c r="G469" s="12" t="s">
        <v>5453</v>
      </c>
      <c r="H469" s="12" t="s">
        <v>6616</v>
      </c>
      <c r="I469" s="12">
        <v>3560</v>
      </c>
      <c r="J469" s="12" t="s">
        <v>5089</v>
      </c>
      <c r="K469" s="12" t="s">
        <v>6652</v>
      </c>
      <c r="L469" s="12" t="s">
        <v>5060</v>
      </c>
      <c r="M469" s="12" t="s">
        <v>5076</v>
      </c>
      <c r="N469" s="12" t="s">
        <v>5785</v>
      </c>
      <c r="O469" s="12" t="s">
        <v>5080</v>
      </c>
      <c r="P469" s="12" t="s">
        <v>1152</v>
      </c>
      <c r="Q469" s="12" t="s">
        <v>6653</v>
      </c>
      <c r="R469" s="12">
        <v>46.965866669999997</v>
      </c>
      <c r="S469" s="12">
        <v>80.034733329999995</v>
      </c>
      <c r="T469" s="12" t="s">
        <v>25</v>
      </c>
      <c r="U469" s="12" t="s">
        <v>36</v>
      </c>
      <c r="V469" s="12" t="s">
        <v>6639</v>
      </c>
      <c r="W469" s="12" t="s">
        <v>6639</v>
      </c>
      <c r="X469" s="12">
        <v>4.2460000000000004</v>
      </c>
      <c r="Y469" s="12">
        <v>806683</v>
      </c>
      <c r="Z469" s="12" t="s">
        <v>6639</v>
      </c>
      <c r="AA469" s="12" t="s">
        <v>6639</v>
      </c>
      <c r="AB469" s="12" t="s">
        <v>5088</v>
      </c>
      <c r="AC469" s="12" t="s">
        <v>21</v>
      </c>
      <c r="AD469" s="12">
        <v>0.111</v>
      </c>
      <c r="AE469" s="12">
        <v>0.996</v>
      </c>
      <c r="AF469" s="12" t="s">
        <v>45</v>
      </c>
    </row>
    <row r="470" spans="1:32" x14ac:dyDescent="0.2">
      <c r="A470" s="12" t="s">
        <v>1298</v>
      </c>
      <c r="B470" s="12" t="s">
        <v>1298</v>
      </c>
      <c r="C470" s="12" t="s">
        <v>1299</v>
      </c>
      <c r="D470" s="12" t="s">
        <v>40</v>
      </c>
      <c r="E470" s="12" t="s">
        <v>8110</v>
      </c>
      <c r="F470" s="12" t="s">
        <v>1301</v>
      </c>
      <c r="G470" s="12" t="s">
        <v>5453</v>
      </c>
      <c r="H470" s="12" t="s">
        <v>6619</v>
      </c>
      <c r="I470" s="12">
        <v>3558</v>
      </c>
      <c r="J470" s="12" t="s">
        <v>1301</v>
      </c>
      <c r="K470" s="12" t="s">
        <v>6652</v>
      </c>
      <c r="L470" s="12" t="s">
        <v>1229</v>
      </c>
      <c r="M470" s="12" t="s">
        <v>1228</v>
      </c>
      <c r="N470" s="12" t="s">
        <v>5785</v>
      </c>
      <c r="O470" s="12" t="s">
        <v>1243</v>
      </c>
      <c r="P470" s="12" t="s">
        <v>18</v>
      </c>
      <c r="Q470" s="12" t="s">
        <v>6653</v>
      </c>
      <c r="R470" s="12">
        <v>53.873133330000002</v>
      </c>
      <c r="S470" s="12">
        <v>91.460466670000002</v>
      </c>
      <c r="T470" s="12" t="s">
        <v>11</v>
      </c>
      <c r="U470" s="12" t="s">
        <v>1302</v>
      </c>
      <c r="V470" s="12" t="s">
        <v>755</v>
      </c>
      <c r="W470" s="12" t="s">
        <v>7415</v>
      </c>
      <c r="X470" s="12">
        <v>1.6419999999999999</v>
      </c>
      <c r="Y470" s="12">
        <v>717312</v>
      </c>
      <c r="Z470" s="12">
        <v>2.581E-3</v>
      </c>
      <c r="AA470" s="12">
        <v>1.9500438212094653</v>
      </c>
      <c r="AB470" s="12" t="s">
        <v>1300</v>
      </c>
      <c r="AC470" s="12" t="s">
        <v>21</v>
      </c>
      <c r="AD470" s="12">
        <v>4.3999999999999997E-2</v>
      </c>
      <c r="AE470" s="12">
        <v>0.98899999999999999</v>
      </c>
      <c r="AF470" s="12" t="s">
        <v>45</v>
      </c>
    </row>
    <row r="471" spans="1:32" x14ac:dyDescent="0.2">
      <c r="A471" s="12" t="s">
        <v>1303</v>
      </c>
      <c r="B471" s="12" t="s">
        <v>1303</v>
      </c>
      <c r="C471" s="12" t="s">
        <v>1304</v>
      </c>
      <c r="D471" s="12" t="s">
        <v>143</v>
      </c>
      <c r="E471" s="12" t="s">
        <v>8110</v>
      </c>
      <c r="F471" s="12" t="s">
        <v>1306</v>
      </c>
      <c r="G471" s="12" t="s">
        <v>5453</v>
      </c>
      <c r="H471" s="12" t="s">
        <v>6643</v>
      </c>
      <c r="I471" s="12">
        <v>3558</v>
      </c>
      <c r="J471" s="12" t="s">
        <v>1306</v>
      </c>
      <c r="K471" s="12" t="s">
        <v>6652</v>
      </c>
      <c r="L471" s="12" t="s">
        <v>1229</v>
      </c>
      <c r="M471" s="12" t="s">
        <v>1255</v>
      </c>
      <c r="N471" s="12" t="s">
        <v>5785</v>
      </c>
      <c r="O471" s="12" t="s">
        <v>5806</v>
      </c>
      <c r="P471" s="12" t="s">
        <v>1152</v>
      </c>
      <c r="Q471" s="12" t="s">
        <v>6653</v>
      </c>
      <c r="R471" s="12">
        <v>42.68943333</v>
      </c>
      <c r="S471" s="12">
        <v>73.117483329999999</v>
      </c>
      <c r="T471" s="12" t="s">
        <v>11</v>
      </c>
      <c r="U471" s="12" t="s">
        <v>1307</v>
      </c>
      <c r="V471" s="12" t="s">
        <v>755</v>
      </c>
      <c r="W471" s="12" t="s">
        <v>7415</v>
      </c>
      <c r="X471" s="12">
        <v>0.33900000000000002</v>
      </c>
      <c r="Y471" s="12">
        <v>302934</v>
      </c>
      <c r="Z471" s="12">
        <v>2.7469999999999999E-3</v>
      </c>
      <c r="AA471" s="12">
        <v>0.41424889527344572</v>
      </c>
      <c r="AB471" s="12" t="s">
        <v>1305</v>
      </c>
      <c r="AC471" s="12" t="s">
        <v>21</v>
      </c>
      <c r="AD471" s="12">
        <v>7.5999999999999998E-2</v>
      </c>
      <c r="AE471" s="12">
        <v>0.997</v>
      </c>
      <c r="AF471" s="12" t="s">
        <v>45</v>
      </c>
    </row>
    <row r="472" spans="1:32" x14ac:dyDescent="0.2">
      <c r="A472" s="12" t="s">
        <v>3754</v>
      </c>
      <c r="B472" s="12" t="s">
        <v>3755</v>
      </c>
      <c r="C472" s="12" t="s">
        <v>3756</v>
      </c>
      <c r="D472" s="12" t="s">
        <v>143</v>
      </c>
      <c r="E472" s="12" t="s">
        <v>7678</v>
      </c>
      <c r="F472" s="12" t="s">
        <v>5458</v>
      </c>
      <c r="G472" s="12" t="s">
        <v>141</v>
      </c>
      <c r="H472" s="12" t="s">
        <v>6614</v>
      </c>
      <c r="I472" s="12">
        <v>3550</v>
      </c>
      <c r="J472" s="12" t="s">
        <v>3757</v>
      </c>
      <c r="K472" s="12" t="s">
        <v>6652</v>
      </c>
      <c r="L472" s="12" t="s">
        <v>3740</v>
      </c>
      <c r="M472" s="12" t="s">
        <v>3740</v>
      </c>
      <c r="N472" s="12" t="s">
        <v>5785</v>
      </c>
      <c r="O472" s="12" t="s">
        <v>3743</v>
      </c>
      <c r="P472" s="12" t="s">
        <v>18</v>
      </c>
      <c r="Q472" s="12" t="s">
        <v>6653</v>
      </c>
      <c r="R472" s="12">
        <v>53.456000000000003</v>
      </c>
      <c r="S472" s="12">
        <v>85.447000000000003</v>
      </c>
      <c r="T472" s="12" t="s">
        <v>25</v>
      </c>
      <c r="U472" s="12" t="s">
        <v>81</v>
      </c>
      <c r="V472" s="12" t="s">
        <v>6639</v>
      </c>
      <c r="W472" s="12" t="s">
        <v>6639</v>
      </c>
      <c r="X472" s="12">
        <v>1.8180000000000001</v>
      </c>
      <c r="Y472" s="12">
        <v>871809</v>
      </c>
      <c r="Z472" s="12" t="s">
        <v>6639</v>
      </c>
      <c r="AA472" s="12" t="s">
        <v>6639</v>
      </c>
      <c r="AB472" s="12" t="s">
        <v>17</v>
      </c>
      <c r="AC472" s="12" t="s">
        <v>144</v>
      </c>
      <c r="AD472" s="12" t="s">
        <v>17</v>
      </c>
      <c r="AE472" s="12" t="s">
        <v>17</v>
      </c>
      <c r="AF472" s="12" t="s">
        <v>45</v>
      </c>
    </row>
    <row r="473" spans="1:32" x14ac:dyDescent="0.2">
      <c r="A473" s="12" t="s">
        <v>1294</v>
      </c>
      <c r="B473" s="12" t="s">
        <v>1294</v>
      </c>
      <c r="C473" s="12" t="s">
        <v>6864</v>
      </c>
      <c r="D473" s="12" t="s">
        <v>13</v>
      </c>
      <c r="E473" s="12" t="s">
        <v>8110</v>
      </c>
      <c r="F473" s="12" t="s">
        <v>1296</v>
      </c>
      <c r="G473" s="12" t="s">
        <v>5453</v>
      </c>
      <c r="H473" s="12" t="s">
        <v>6616</v>
      </c>
      <c r="I473" s="12">
        <v>3534</v>
      </c>
      <c r="J473" s="12" t="s">
        <v>1296</v>
      </c>
      <c r="K473" s="12" t="s">
        <v>6652</v>
      </c>
      <c r="L473" s="12" t="s">
        <v>1229</v>
      </c>
      <c r="M473" s="12" t="s">
        <v>1268</v>
      </c>
      <c r="N473" s="12" t="s">
        <v>5785</v>
      </c>
      <c r="O473" s="12" t="s">
        <v>1271</v>
      </c>
      <c r="P473" s="12" t="s">
        <v>1152</v>
      </c>
      <c r="Q473" s="12" t="s">
        <v>6653</v>
      </c>
      <c r="R473" s="12">
        <v>46.947850000000003</v>
      </c>
      <c r="S473" s="12">
        <v>79.988083329999995</v>
      </c>
      <c r="T473" s="12" t="s">
        <v>25</v>
      </c>
      <c r="U473" s="12" t="s">
        <v>1297</v>
      </c>
      <c r="V473" s="12" t="s">
        <v>6639</v>
      </c>
      <c r="W473" s="12" t="s">
        <v>6639</v>
      </c>
      <c r="X473" s="12">
        <v>3.6509999999999998</v>
      </c>
      <c r="Y473" s="12">
        <v>737799</v>
      </c>
      <c r="Z473" s="12" t="s">
        <v>6639</v>
      </c>
      <c r="AA473" s="12" t="s">
        <v>6639</v>
      </c>
      <c r="AB473" s="12" t="s">
        <v>1295</v>
      </c>
      <c r="AC473" s="12" t="s">
        <v>21</v>
      </c>
      <c r="AD473" s="12">
        <v>8.1000000000000003E-2</v>
      </c>
      <c r="AE473" s="12">
        <v>0.98899999999999999</v>
      </c>
      <c r="AF473" s="12" t="s">
        <v>45</v>
      </c>
    </row>
    <row r="474" spans="1:32" x14ac:dyDescent="0.2">
      <c r="A474" s="12" t="s">
        <v>5084</v>
      </c>
      <c r="B474" s="12" t="s">
        <v>5084</v>
      </c>
      <c r="C474" s="12" t="s">
        <v>7557</v>
      </c>
      <c r="D474" s="12" t="s">
        <v>13</v>
      </c>
      <c r="E474" s="12" t="s">
        <v>8110</v>
      </c>
      <c r="F474" s="12" t="s">
        <v>5086</v>
      </c>
      <c r="G474" s="12" t="s">
        <v>5453</v>
      </c>
      <c r="H474" s="12" t="s">
        <v>6616</v>
      </c>
      <c r="I474" s="12">
        <v>3534</v>
      </c>
      <c r="J474" s="12" t="s">
        <v>5086</v>
      </c>
      <c r="K474" s="12" t="s">
        <v>6652</v>
      </c>
      <c r="L474" s="12" t="s">
        <v>5060</v>
      </c>
      <c r="M474" s="12" t="s">
        <v>5076</v>
      </c>
      <c r="N474" s="12" t="s">
        <v>5785</v>
      </c>
      <c r="O474" s="12" t="s">
        <v>5080</v>
      </c>
      <c r="P474" s="12" t="s">
        <v>1152</v>
      </c>
      <c r="Q474" s="12" t="s">
        <v>6653</v>
      </c>
      <c r="R474" s="12">
        <v>46.965866669999997</v>
      </c>
      <c r="S474" s="12">
        <v>80.034733329999995</v>
      </c>
      <c r="T474" s="12" t="s">
        <v>11</v>
      </c>
      <c r="U474" s="12" t="s">
        <v>1334</v>
      </c>
      <c r="V474" s="12" t="s">
        <v>1352</v>
      </c>
      <c r="W474" s="12" t="s">
        <v>7415</v>
      </c>
      <c r="X474" s="12">
        <v>3.964</v>
      </c>
      <c r="Y474" s="12">
        <v>804977</v>
      </c>
      <c r="Z474" s="12">
        <v>3.7810000000000001E-3</v>
      </c>
      <c r="AA474" s="12">
        <v>4.0269122561273818</v>
      </c>
      <c r="AB474" s="12" t="s">
        <v>5085</v>
      </c>
      <c r="AC474" s="12" t="s">
        <v>21</v>
      </c>
      <c r="AD474" s="12">
        <v>0.115</v>
      </c>
      <c r="AE474" s="12">
        <v>0.99199999999999999</v>
      </c>
      <c r="AF474" s="12" t="s">
        <v>59</v>
      </c>
    </row>
    <row r="475" spans="1:32" x14ac:dyDescent="0.2">
      <c r="A475" s="12" t="s">
        <v>1289</v>
      </c>
      <c r="B475" s="12" t="s">
        <v>1289</v>
      </c>
      <c r="C475" s="12" t="s">
        <v>1290</v>
      </c>
      <c r="D475" s="12" t="s">
        <v>100</v>
      </c>
      <c r="E475" s="12" t="s">
        <v>8110</v>
      </c>
      <c r="F475" s="12" t="s">
        <v>1292</v>
      </c>
      <c r="G475" s="12" t="s">
        <v>5453</v>
      </c>
      <c r="H475" s="12" t="s">
        <v>6619</v>
      </c>
      <c r="I475" s="12">
        <v>3521</v>
      </c>
      <c r="J475" s="12" t="s">
        <v>1292</v>
      </c>
      <c r="K475" s="12" t="s">
        <v>6652</v>
      </c>
      <c r="L475" s="12" t="s">
        <v>1229</v>
      </c>
      <c r="M475" s="12" t="s">
        <v>1228</v>
      </c>
      <c r="N475" s="12" t="s">
        <v>5785</v>
      </c>
      <c r="O475" s="12" t="s">
        <v>1238</v>
      </c>
      <c r="P475" s="12" t="s">
        <v>18</v>
      </c>
      <c r="Q475" s="12" t="s">
        <v>6653</v>
      </c>
      <c r="R475" s="12">
        <v>54.179316669999999</v>
      </c>
      <c r="S475" s="12">
        <v>91.578866669999996</v>
      </c>
      <c r="T475" s="12" t="s">
        <v>25</v>
      </c>
      <c r="U475" s="12" t="s">
        <v>1293</v>
      </c>
      <c r="V475" s="12" t="s">
        <v>6639</v>
      </c>
      <c r="W475" s="12" t="s">
        <v>6639</v>
      </c>
      <c r="X475" s="12">
        <v>0.36299999999999999</v>
      </c>
      <c r="Y475" s="12">
        <v>326313</v>
      </c>
      <c r="Z475" s="12" t="s">
        <v>6639</v>
      </c>
      <c r="AA475" s="12" t="s">
        <v>6639</v>
      </c>
      <c r="AB475" s="12" t="s">
        <v>1291</v>
      </c>
      <c r="AC475" s="12" t="s">
        <v>21</v>
      </c>
      <c r="AD475" s="12">
        <v>4.9000000000000002E-2</v>
      </c>
      <c r="AE475" s="12">
        <v>0.99399999999999999</v>
      </c>
      <c r="AF475" s="12" t="s">
        <v>45</v>
      </c>
    </row>
    <row r="476" spans="1:32" x14ac:dyDescent="0.2">
      <c r="A476" s="12" t="s">
        <v>4147</v>
      </c>
      <c r="B476" s="12" t="s">
        <v>4147</v>
      </c>
      <c r="C476" s="12" t="s">
        <v>6861</v>
      </c>
      <c r="D476" s="12" t="s">
        <v>13</v>
      </c>
      <c r="E476" s="12" t="s">
        <v>8110</v>
      </c>
      <c r="F476" s="12" t="s">
        <v>4150</v>
      </c>
      <c r="G476" s="12" t="s">
        <v>5453</v>
      </c>
      <c r="H476" s="12" t="s">
        <v>6616</v>
      </c>
      <c r="I476" s="12">
        <v>3516</v>
      </c>
      <c r="J476" s="12" t="s">
        <v>4150</v>
      </c>
      <c r="K476" s="12" t="s">
        <v>6652</v>
      </c>
      <c r="L476" s="12" t="s">
        <v>4138</v>
      </c>
      <c r="M476" s="12" t="s">
        <v>4148</v>
      </c>
      <c r="N476" s="12" t="s">
        <v>5785</v>
      </c>
      <c r="O476" s="12" t="s">
        <v>7148</v>
      </c>
      <c r="P476" s="12" t="s">
        <v>1152</v>
      </c>
      <c r="Q476" s="12" t="s">
        <v>6653</v>
      </c>
      <c r="R476" s="12">
        <v>43.246549999999999</v>
      </c>
      <c r="S476" s="12">
        <v>77.813813999999994</v>
      </c>
      <c r="T476" s="12" t="s">
        <v>11</v>
      </c>
      <c r="U476" s="12" t="s">
        <v>1558</v>
      </c>
      <c r="V476" s="12" t="s">
        <v>1201</v>
      </c>
      <c r="W476" s="12" t="s">
        <v>7415</v>
      </c>
      <c r="X476" s="12">
        <v>4.4809999999999999</v>
      </c>
      <c r="Y476" s="12">
        <v>792744</v>
      </c>
      <c r="Z476" s="12">
        <v>5.2950000000000002E-3</v>
      </c>
      <c r="AA476" s="12">
        <v>4.8295519325048462</v>
      </c>
      <c r="AB476" s="12" t="s">
        <v>4149</v>
      </c>
      <c r="AC476" s="12" t="s">
        <v>21</v>
      </c>
      <c r="AD476" s="12" t="s">
        <v>17</v>
      </c>
      <c r="AE476" s="12">
        <v>0.996</v>
      </c>
      <c r="AF476" s="12" t="s">
        <v>82</v>
      </c>
    </row>
    <row r="477" spans="1:32" x14ac:dyDescent="0.2">
      <c r="A477" s="12" t="s">
        <v>5081</v>
      </c>
      <c r="B477" s="12" t="s">
        <v>5081</v>
      </c>
      <c r="C477" s="12" t="s">
        <v>7558</v>
      </c>
      <c r="D477" s="12" t="s">
        <v>13</v>
      </c>
      <c r="E477" s="12" t="s">
        <v>8110</v>
      </c>
      <c r="F477" s="12" t="s">
        <v>5083</v>
      </c>
      <c r="G477" s="12" t="s">
        <v>5453</v>
      </c>
      <c r="H477" s="12" t="s">
        <v>6616</v>
      </c>
      <c r="I477" s="12">
        <v>3516</v>
      </c>
      <c r="J477" s="12" t="s">
        <v>5083</v>
      </c>
      <c r="K477" s="12" t="s">
        <v>6652</v>
      </c>
      <c r="L477" s="12" t="s">
        <v>5060</v>
      </c>
      <c r="M477" s="12" t="s">
        <v>5076</v>
      </c>
      <c r="N477" s="12" t="s">
        <v>5785</v>
      </c>
      <c r="O477" s="12" t="s">
        <v>5080</v>
      </c>
      <c r="P477" s="12" t="s">
        <v>1152</v>
      </c>
      <c r="Q477" s="12" t="s">
        <v>6653</v>
      </c>
      <c r="R477" s="16">
        <v>46.965866669999997</v>
      </c>
      <c r="S477" s="16">
        <v>80.034733329999995</v>
      </c>
      <c r="T477" s="12" t="s">
        <v>11</v>
      </c>
      <c r="U477" s="12" t="s">
        <v>4184</v>
      </c>
      <c r="V477" s="12" t="s">
        <v>1266</v>
      </c>
      <c r="W477" s="12" t="s">
        <v>7415</v>
      </c>
      <c r="X477" s="12">
        <v>5.0289999999999999</v>
      </c>
      <c r="Y477" s="12">
        <v>802159</v>
      </c>
      <c r="Z477" s="12">
        <v>2.2160000000000001E-3</v>
      </c>
      <c r="AA477" s="12">
        <v>2.6773726130637177</v>
      </c>
      <c r="AB477" s="12" t="s">
        <v>5082</v>
      </c>
      <c r="AC477" s="12" t="s">
        <v>21</v>
      </c>
      <c r="AD477" s="12">
        <v>8.3000000000000004E-2</v>
      </c>
      <c r="AE477" s="12">
        <v>0.997</v>
      </c>
      <c r="AF477" s="12" t="s">
        <v>45</v>
      </c>
    </row>
    <row r="478" spans="1:32" x14ac:dyDescent="0.2">
      <c r="A478" s="12" t="s">
        <v>4144</v>
      </c>
      <c r="B478" s="12" t="s">
        <v>4144</v>
      </c>
      <c r="C478" s="12" t="s">
        <v>6866</v>
      </c>
      <c r="D478" s="12" t="s">
        <v>13</v>
      </c>
      <c r="E478" s="12" t="s">
        <v>8110</v>
      </c>
      <c r="F478" s="12" t="s">
        <v>4146</v>
      </c>
      <c r="G478" s="12" t="s">
        <v>5453</v>
      </c>
      <c r="H478" s="12" t="s">
        <v>6616</v>
      </c>
      <c r="I478" s="12">
        <v>3513</v>
      </c>
      <c r="J478" s="12" t="s">
        <v>4146</v>
      </c>
      <c r="K478" s="12" t="s">
        <v>6652</v>
      </c>
      <c r="L478" s="12" t="s">
        <v>4138</v>
      </c>
      <c r="M478" s="12" t="s">
        <v>4137</v>
      </c>
      <c r="N478" s="12" t="s">
        <v>5785</v>
      </c>
      <c r="O478" s="12" t="s">
        <v>4141</v>
      </c>
      <c r="P478" s="12" t="s">
        <v>3789</v>
      </c>
      <c r="Q478" s="12" t="s">
        <v>6653</v>
      </c>
      <c r="R478" s="12">
        <v>39.44805556</v>
      </c>
      <c r="S478" s="12">
        <v>68.031388890000002</v>
      </c>
      <c r="T478" s="12" t="s">
        <v>25</v>
      </c>
      <c r="U478" s="12" t="s">
        <v>1293</v>
      </c>
      <c r="V478" s="12" t="s">
        <v>6639</v>
      </c>
      <c r="W478" s="12" t="s">
        <v>6639</v>
      </c>
      <c r="X478" s="12">
        <v>3.2349999999999999</v>
      </c>
      <c r="Y478" s="12">
        <v>758945</v>
      </c>
      <c r="Z478" s="12" t="s">
        <v>6639</v>
      </c>
      <c r="AA478" s="12" t="s">
        <v>6639</v>
      </c>
      <c r="AB478" s="12" t="s">
        <v>4145</v>
      </c>
      <c r="AC478" s="12" t="s">
        <v>21</v>
      </c>
      <c r="AD478" s="12">
        <v>0.128</v>
      </c>
      <c r="AE478" s="12">
        <v>0.99099999999999999</v>
      </c>
      <c r="AF478" s="12" t="s">
        <v>45</v>
      </c>
    </row>
    <row r="479" spans="1:32" x14ac:dyDescent="0.2">
      <c r="A479" s="12" t="s">
        <v>5075</v>
      </c>
      <c r="B479" s="12" t="s">
        <v>5075</v>
      </c>
      <c r="C479" s="12" t="s">
        <v>5077</v>
      </c>
      <c r="D479" s="12" t="s">
        <v>13</v>
      </c>
      <c r="E479" s="12" t="s">
        <v>8110</v>
      </c>
      <c r="F479" s="12" t="s">
        <v>5079</v>
      </c>
      <c r="G479" s="12" t="s">
        <v>5453</v>
      </c>
      <c r="H479" s="12" t="s">
        <v>6616</v>
      </c>
      <c r="I479" s="12">
        <v>3512</v>
      </c>
      <c r="J479" s="12" t="s">
        <v>5079</v>
      </c>
      <c r="K479" s="12" t="s">
        <v>6652</v>
      </c>
      <c r="L479" s="12" t="s">
        <v>5060</v>
      </c>
      <c r="M479" s="12" t="s">
        <v>5076</v>
      </c>
      <c r="N479" s="12" t="s">
        <v>5785</v>
      </c>
      <c r="O479" s="12" t="s">
        <v>5080</v>
      </c>
      <c r="P479" s="12" t="s">
        <v>1152</v>
      </c>
      <c r="Q479" s="12" t="s">
        <v>6653</v>
      </c>
      <c r="R479" s="12">
        <v>46.965866669999997</v>
      </c>
      <c r="S479" s="12">
        <v>80.034733329999995</v>
      </c>
      <c r="T479" s="12" t="s">
        <v>11</v>
      </c>
      <c r="U479" s="12" t="s">
        <v>5064</v>
      </c>
      <c r="V479" s="12" t="s">
        <v>606</v>
      </c>
      <c r="W479" s="12" t="s">
        <v>7415</v>
      </c>
      <c r="X479" s="12">
        <v>4.5410000000000004</v>
      </c>
      <c r="Y479" s="12">
        <v>801882</v>
      </c>
      <c r="Z479" s="12">
        <v>5.9069999999999999E-3</v>
      </c>
      <c r="AA479" s="12">
        <v>4.8137768386190887</v>
      </c>
      <c r="AB479" s="12" t="s">
        <v>5078</v>
      </c>
      <c r="AC479" s="12" t="s">
        <v>21</v>
      </c>
      <c r="AD479" s="12">
        <v>8.4000000000000005E-2</v>
      </c>
      <c r="AE479" s="12">
        <v>0.998</v>
      </c>
      <c r="AF479" s="12" t="s">
        <v>436</v>
      </c>
    </row>
    <row r="480" spans="1:32" x14ac:dyDescent="0.2">
      <c r="A480" s="12" t="s">
        <v>1244</v>
      </c>
      <c r="B480" s="12" t="s">
        <v>1244</v>
      </c>
      <c r="C480" s="12" t="s">
        <v>1245</v>
      </c>
      <c r="D480" s="12" t="s">
        <v>40</v>
      </c>
      <c r="E480" s="12" t="s">
        <v>8110</v>
      </c>
      <c r="F480" s="12" t="s">
        <v>1247</v>
      </c>
      <c r="G480" s="12" t="s">
        <v>5453</v>
      </c>
      <c r="H480" s="12" t="s">
        <v>6619</v>
      </c>
      <c r="I480" s="12">
        <v>3509</v>
      </c>
      <c r="J480" s="12" t="s">
        <v>1247</v>
      </c>
      <c r="K480" s="12" t="s">
        <v>6652</v>
      </c>
      <c r="L480" s="12" t="s">
        <v>1229</v>
      </c>
      <c r="M480" s="12" t="s">
        <v>1228</v>
      </c>
      <c r="N480" s="12" t="s">
        <v>5785</v>
      </c>
      <c r="O480" s="12" t="s">
        <v>1243</v>
      </c>
      <c r="P480" s="12" t="s">
        <v>18</v>
      </c>
      <c r="Q480" s="12" t="s">
        <v>6653</v>
      </c>
      <c r="R480" s="12">
        <v>53.873133330000002</v>
      </c>
      <c r="S480" s="12">
        <v>91.460466670000002</v>
      </c>
      <c r="T480" s="12" t="s">
        <v>11</v>
      </c>
      <c r="U480" s="12" t="s">
        <v>36</v>
      </c>
      <c r="V480" s="12" t="s">
        <v>606</v>
      </c>
      <c r="W480" s="12" t="s">
        <v>7415</v>
      </c>
      <c r="X480" s="12">
        <v>0.47699999999999998</v>
      </c>
      <c r="Y480" s="12">
        <v>417553</v>
      </c>
      <c r="Z480" s="12">
        <v>1.1180000000000001E-3</v>
      </c>
      <c r="AA480" s="12">
        <v>0.29841368304142801</v>
      </c>
      <c r="AB480" s="12" t="s">
        <v>1246</v>
      </c>
      <c r="AC480" s="12" t="s">
        <v>21</v>
      </c>
      <c r="AD480" s="12">
        <v>8.5999999999999993E-2</v>
      </c>
      <c r="AE480" s="12">
        <v>0.996</v>
      </c>
      <c r="AF480" s="12" t="s">
        <v>45</v>
      </c>
    </row>
    <row r="481" spans="1:32" x14ac:dyDescent="0.2">
      <c r="A481" s="12" t="s">
        <v>1286</v>
      </c>
      <c r="B481" s="12" t="s">
        <v>1286</v>
      </c>
      <c r="C481" s="12" t="s">
        <v>6780</v>
      </c>
      <c r="D481" s="12" t="s">
        <v>13</v>
      </c>
      <c r="E481" s="12" t="s">
        <v>8110</v>
      </c>
      <c r="F481" s="12" t="s">
        <v>1288</v>
      </c>
      <c r="G481" s="12" t="s">
        <v>5453</v>
      </c>
      <c r="H481" s="12" t="s">
        <v>6612</v>
      </c>
      <c r="I481" s="12">
        <v>3509</v>
      </c>
      <c r="J481" s="12" t="s">
        <v>1288</v>
      </c>
      <c r="K481" s="12" t="s">
        <v>6652</v>
      </c>
      <c r="L481" s="12" t="s">
        <v>1229</v>
      </c>
      <c r="M481" s="12" t="s">
        <v>1228</v>
      </c>
      <c r="N481" s="12" t="s">
        <v>5785</v>
      </c>
      <c r="O481" s="12" t="s">
        <v>1232</v>
      </c>
      <c r="P481" s="12" t="s">
        <v>18</v>
      </c>
      <c r="Q481" s="12" t="s">
        <v>6653</v>
      </c>
      <c r="R481" s="12">
        <v>55.192399999999999</v>
      </c>
      <c r="S481" s="12">
        <v>89.305300000000003</v>
      </c>
      <c r="T481" s="12" t="s">
        <v>11</v>
      </c>
      <c r="U481" s="12" t="s">
        <v>407</v>
      </c>
      <c r="V481" s="12" t="s">
        <v>606</v>
      </c>
      <c r="W481" s="12" t="s">
        <v>7415</v>
      </c>
      <c r="X481" s="12">
        <v>3.933119</v>
      </c>
      <c r="Y481" s="12">
        <v>848573</v>
      </c>
      <c r="Z481" s="12">
        <v>4.7390000000000002E-3</v>
      </c>
      <c r="AA481" s="12">
        <v>4.3825821260193498</v>
      </c>
      <c r="AB481" s="12" t="s">
        <v>1287</v>
      </c>
      <c r="AC481" s="12" t="s">
        <v>21</v>
      </c>
      <c r="AD481" s="12">
        <v>7.6999999999999999E-2</v>
      </c>
      <c r="AE481" s="12">
        <v>0.97499999999999998</v>
      </c>
      <c r="AF481" s="12" t="s">
        <v>82</v>
      </c>
    </row>
    <row r="482" spans="1:32" x14ac:dyDescent="0.2">
      <c r="A482" s="12" t="s">
        <v>1283</v>
      </c>
      <c r="B482" s="12" t="s">
        <v>1283</v>
      </c>
      <c r="C482" s="12" t="s">
        <v>7003</v>
      </c>
      <c r="D482" s="12" t="s">
        <v>13</v>
      </c>
      <c r="E482" s="12" t="s">
        <v>8110</v>
      </c>
      <c r="F482" s="12" t="s">
        <v>1285</v>
      </c>
      <c r="G482" s="12" t="s">
        <v>5453</v>
      </c>
      <c r="H482" s="12" t="s">
        <v>6616</v>
      </c>
      <c r="I482" s="12">
        <v>3508</v>
      </c>
      <c r="J482" s="12" t="s">
        <v>1285</v>
      </c>
      <c r="K482" s="12" t="s">
        <v>6652</v>
      </c>
      <c r="L482" s="12" t="s">
        <v>1229</v>
      </c>
      <c r="M482" s="12" t="s">
        <v>1255</v>
      </c>
      <c r="N482" s="12" t="s">
        <v>5785</v>
      </c>
      <c r="O482" s="12" t="s">
        <v>5806</v>
      </c>
      <c r="P482" s="12" t="s">
        <v>1152</v>
      </c>
      <c r="Q482" s="12" t="s">
        <v>6653</v>
      </c>
      <c r="R482" s="12">
        <v>42.68943333</v>
      </c>
      <c r="S482" s="12">
        <v>73.117483329999999</v>
      </c>
      <c r="T482" s="12" t="s">
        <v>25</v>
      </c>
      <c r="U482" s="12" t="s">
        <v>57</v>
      </c>
      <c r="V482" s="12" t="s">
        <v>6639</v>
      </c>
      <c r="W482" s="12" t="s">
        <v>6639</v>
      </c>
      <c r="X482" s="12">
        <v>5.027272</v>
      </c>
      <c r="Y482" s="12">
        <v>848198</v>
      </c>
      <c r="Z482" s="12" t="s">
        <v>6639</v>
      </c>
      <c r="AA482" s="12" t="s">
        <v>6639</v>
      </c>
      <c r="AB482" s="12" t="s">
        <v>1284</v>
      </c>
      <c r="AC482" s="12" t="s">
        <v>58</v>
      </c>
      <c r="AD482" s="12" t="s">
        <v>7913</v>
      </c>
      <c r="AE482" s="12" t="s">
        <v>7769</v>
      </c>
      <c r="AF482" s="12" t="s">
        <v>45</v>
      </c>
    </row>
    <row r="483" spans="1:32" x14ac:dyDescent="0.2">
      <c r="A483" s="12" t="s">
        <v>1278</v>
      </c>
      <c r="B483" s="12" t="s">
        <v>1278</v>
      </c>
      <c r="C483" s="12" t="s">
        <v>6862</v>
      </c>
      <c r="D483" s="12" t="s">
        <v>13</v>
      </c>
      <c r="E483" s="12" t="s">
        <v>8110</v>
      </c>
      <c r="F483" s="12" t="s">
        <v>1280</v>
      </c>
      <c r="G483" s="12" t="s">
        <v>5453</v>
      </c>
      <c r="H483" s="12" t="s">
        <v>6616</v>
      </c>
      <c r="I483" s="12">
        <v>3507</v>
      </c>
      <c r="J483" s="12" t="s">
        <v>1280</v>
      </c>
      <c r="K483" s="12" t="s">
        <v>6652</v>
      </c>
      <c r="L483" s="12" t="s">
        <v>1229</v>
      </c>
      <c r="M483" s="12" t="s">
        <v>1268</v>
      </c>
      <c r="N483" s="12" t="s">
        <v>5785</v>
      </c>
      <c r="O483" s="12" t="s">
        <v>1271</v>
      </c>
      <c r="P483" s="12" t="s">
        <v>1152</v>
      </c>
      <c r="Q483" s="12" t="s">
        <v>6653</v>
      </c>
      <c r="R483" s="12">
        <v>46.947850000000003</v>
      </c>
      <c r="S483" s="12">
        <v>79.988083329999995</v>
      </c>
      <c r="T483" s="12" t="s">
        <v>11</v>
      </c>
      <c r="U483" s="12" t="s">
        <v>1281</v>
      </c>
      <c r="V483" s="12" t="s">
        <v>1282</v>
      </c>
      <c r="W483" s="12" t="s">
        <v>7415</v>
      </c>
      <c r="X483" s="12">
        <v>0.84099999999999997</v>
      </c>
      <c r="Y483" s="12">
        <v>518037</v>
      </c>
      <c r="Z483" s="12">
        <v>8.6289999999999995E-3</v>
      </c>
      <c r="AA483" s="12">
        <v>2.294671569979239</v>
      </c>
      <c r="AB483" s="12" t="s">
        <v>1279</v>
      </c>
      <c r="AC483" s="12" t="s">
        <v>21</v>
      </c>
      <c r="AD483" s="12">
        <v>0.14499999999999999</v>
      </c>
      <c r="AE483" s="12">
        <v>0.99099999999999999</v>
      </c>
      <c r="AF483" s="12" t="s">
        <v>111</v>
      </c>
    </row>
    <row r="484" spans="1:32" x14ac:dyDescent="0.2">
      <c r="A484" s="12" t="s">
        <v>1239</v>
      </c>
      <c r="B484" s="12" t="s">
        <v>1239</v>
      </c>
      <c r="C484" s="12" t="s">
        <v>1240</v>
      </c>
      <c r="D484" s="12" t="s">
        <v>40</v>
      </c>
      <c r="E484" s="12" t="s">
        <v>8110</v>
      </c>
      <c r="F484" s="12" t="s">
        <v>1242</v>
      </c>
      <c r="G484" s="12" t="s">
        <v>5453</v>
      </c>
      <c r="H484" s="12" t="s">
        <v>6619</v>
      </c>
      <c r="I484" s="12">
        <v>3507</v>
      </c>
      <c r="J484" s="12" t="s">
        <v>1242</v>
      </c>
      <c r="K484" s="12" t="s">
        <v>6652</v>
      </c>
      <c r="L484" s="12" t="s">
        <v>1229</v>
      </c>
      <c r="M484" s="12" t="s">
        <v>1228</v>
      </c>
      <c r="N484" s="12" t="s">
        <v>5785</v>
      </c>
      <c r="O484" s="12" t="s">
        <v>1243</v>
      </c>
      <c r="P484" s="12" t="s">
        <v>18</v>
      </c>
      <c r="Q484" s="12" t="s">
        <v>6653</v>
      </c>
      <c r="R484" s="12">
        <v>53.873133330000002</v>
      </c>
      <c r="S484" s="12">
        <v>91.460466670000002</v>
      </c>
      <c r="T484" s="12" t="s">
        <v>11</v>
      </c>
      <c r="U484" s="12" t="s">
        <v>605</v>
      </c>
      <c r="V484" s="12" t="s">
        <v>392</v>
      </c>
      <c r="W484" s="12" t="s">
        <v>7415</v>
      </c>
      <c r="X484" s="12">
        <v>0.107</v>
      </c>
      <c r="Y484" s="12">
        <v>118752</v>
      </c>
      <c r="Z484" s="12" t="s">
        <v>8052</v>
      </c>
      <c r="AA484" s="12" t="s">
        <v>8052</v>
      </c>
      <c r="AB484" s="12" t="s">
        <v>1241</v>
      </c>
      <c r="AC484" s="12" t="s">
        <v>21</v>
      </c>
      <c r="AD484" s="12" t="s">
        <v>17</v>
      </c>
      <c r="AE484" s="12">
        <v>0.93400000000000005</v>
      </c>
      <c r="AF484" s="12" t="s">
        <v>7659</v>
      </c>
    </row>
    <row r="485" spans="1:32" x14ac:dyDescent="0.2">
      <c r="A485" s="12" t="s">
        <v>1273</v>
      </c>
      <c r="B485" s="12" t="s">
        <v>1273</v>
      </c>
      <c r="C485" s="12" t="s">
        <v>1274</v>
      </c>
      <c r="D485" s="12" t="s">
        <v>40</v>
      </c>
      <c r="E485" s="12" t="s">
        <v>8110</v>
      </c>
      <c r="F485" s="12" t="s">
        <v>1276</v>
      </c>
      <c r="G485" s="12" t="s">
        <v>5453</v>
      </c>
      <c r="H485" s="12" t="s">
        <v>6619</v>
      </c>
      <c r="I485" s="12">
        <v>3507</v>
      </c>
      <c r="J485" s="12" t="s">
        <v>1276</v>
      </c>
      <c r="K485" s="12" t="s">
        <v>6652</v>
      </c>
      <c r="L485" s="12" t="s">
        <v>1229</v>
      </c>
      <c r="M485" s="12" t="s">
        <v>1228</v>
      </c>
      <c r="N485" s="12" t="s">
        <v>5785</v>
      </c>
      <c r="O485" s="12" t="s">
        <v>1238</v>
      </c>
      <c r="P485" s="12" t="s">
        <v>18</v>
      </c>
      <c r="Q485" s="12" t="s">
        <v>6653</v>
      </c>
      <c r="R485" s="12">
        <v>54.179316669999999</v>
      </c>
      <c r="S485" s="12">
        <v>91.578866669999996</v>
      </c>
      <c r="T485" s="12" t="s">
        <v>25</v>
      </c>
      <c r="U485" s="12" t="s">
        <v>1277</v>
      </c>
      <c r="V485" s="12" t="s">
        <v>6639</v>
      </c>
      <c r="W485" s="12" t="s">
        <v>6639</v>
      </c>
      <c r="X485" s="12">
        <v>0.115</v>
      </c>
      <c r="Y485" s="12">
        <v>125632</v>
      </c>
      <c r="Z485" s="12" t="s">
        <v>6639</v>
      </c>
      <c r="AA485" s="12" t="s">
        <v>6639</v>
      </c>
      <c r="AB485" s="12" t="s">
        <v>1275</v>
      </c>
      <c r="AC485" s="12" t="s">
        <v>21</v>
      </c>
      <c r="AD485" s="12">
        <v>6.8000000000000005E-2</v>
      </c>
      <c r="AE485" s="12">
        <v>0.98199999999999998</v>
      </c>
      <c r="AF485" s="12" t="s">
        <v>45</v>
      </c>
    </row>
    <row r="486" spans="1:32" x14ac:dyDescent="0.2">
      <c r="A486" s="12" t="s">
        <v>5402</v>
      </c>
      <c r="B486" s="12" t="s">
        <v>5402</v>
      </c>
      <c r="C486" s="12" t="s">
        <v>6820</v>
      </c>
      <c r="D486" s="12" t="s">
        <v>143</v>
      </c>
      <c r="E486" s="12" t="s">
        <v>8110</v>
      </c>
      <c r="F486" s="12" t="s">
        <v>5458</v>
      </c>
      <c r="G486" s="12" t="s">
        <v>5453</v>
      </c>
      <c r="H486" s="12" t="s">
        <v>6616</v>
      </c>
      <c r="I486" s="12">
        <v>3500</v>
      </c>
      <c r="J486" s="12" t="s">
        <v>5406</v>
      </c>
      <c r="K486" s="12" t="s">
        <v>6652</v>
      </c>
      <c r="L486" s="12" t="s">
        <v>5404</v>
      </c>
      <c r="M486" s="12" t="s">
        <v>5403</v>
      </c>
      <c r="N486" s="12" t="s">
        <v>24</v>
      </c>
      <c r="O486" s="12" t="s">
        <v>4135</v>
      </c>
      <c r="P486" s="12" t="s">
        <v>1152</v>
      </c>
      <c r="Q486" s="12" t="s">
        <v>6653</v>
      </c>
      <c r="R486" s="12">
        <v>48.741750000000003</v>
      </c>
      <c r="S486" s="12">
        <v>76.995733329999993</v>
      </c>
      <c r="T486" s="12" t="s">
        <v>11</v>
      </c>
      <c r="U486" s="12" t="s">
        <v>17</v>
      </c>
      <c r="V486" s="12" t="s">
        <v>253</v>
      </c>
      <c r="W486" s="12" t="s">
        <v>7415</v>
      </c>
      <c r="X486" s="12">
        <v>5.2659999999999998E-3</v>
      </c>
      <c r="Y486" s="12">
        <v>6302</v>
      </c>
      <c r="Z486" s="12" t="s">
        <v>8052</v>
      </c>
      <c r="AA486" s="12" t="s">
        <v>8052</v>
      </c>
      <c r="AB486" s="12" t="s">
        <v>5405</v>
      </c>
      <c r="AC486" s="12" t="s">
        <v>21</v>
      </c>
      <c r="AD486" s="12">
        <v>5.1999999999999998E-2</v>
      </c>
      <c r="AE486" s="12" t="s">
        <v>7796</v>
      </c>
      <c r="AF486" s="12" t="s">
        <v>45</v>
      </c>
    </row>
    <row r="487" spans="1:32" x14ac:dyDescent="0.2">
      <c r="A487" s="12" t="s">
        <v>1234</v>
      </c>
      <c r="B487" s="12" t="s">
        <v>1234</v>
      </c>
      <c r="C487" s="12" t="s">
        <v>1235</v>
      </c>
      <c r="D487" s="12" t="s">
        <v>40</v>
      </c>
      <c r="E487" s="12" t="s">
        <v>8110</v>
      </c>
      <c r="F487" s="12" t="s">
        <v>1237</v>
      </c>
      <c r="G487" s="12" t="s">
        <v>5453</v>
      </c>
      <c r="H487" s="12" t="s">
        <v>6619</v>
      </c>
      <c r="I487" s="12">
        <v>3485</v>
      </c>
      <c r="J487" s="12" t="s">
        <v>1237</v>
      </c>
      <c r="K487" s="12" t="s">
        <v>6652</v>
      </c>
      <c r="L487" s="12" t="s">
        <v>1229</v>
      </c>
      <c r="M487" s="12" t="s">
        <v>1228</v>
      </c>
      <c r="N487" s="12" t="s">
        <v>5785</v>
      </c>
      <c r="O487" s="12" t="s">
        <v>1238</v>
      </c>
      <c r="P487" s="12" t="s">
        <v>18</v>
      </c>
      <c r="Q487" s="12" t="s">
        <v>6653</v>
      </c>
      <c r="R487" s="12">
        <v>54.179316669999999</v>
      </c>
      <c r="S487" s="12">
        <v>91.578866669999996</v>
      </c>
      <c r="T487" s="12" t="s">
        <v>11</v>
      </c>
      <c r="U487" s="12" t="s">
        <v>605</v>
      </c>
      <c r="V487" s="12" t="s">
        <v>606</v>
      </c>
      <c r="W487" s="12" t="s">
        <v>7415</v>
      </c>
      <c r="X487" s="12">
        <v>0.495</v>
      </c>
      <c r="Y487" s="12">
        <v>404194</v>
      </c>
      <c r="Z487" s="12">
        <v>1.1934E-2</v>
      </c>
      <c r="AA487" s="12">
        <v>1.7892603895621979</v>
      </c>
      <c r="AB487" s="12" t="s">
        <v>1236</v>
      </c>
      <c r="AC487" s="12" t="s">
        <v>21</v>
      </c>
      <c r="AD487" s="12">
        <v>5.2999999999999999E-2</v>
      </c>
      <c r="AE487" s="12">
        <v>0.98599999999999999</v>
      </c>
      <c r="AF487" s="12" t="s">
        <v>45</v>
      </c>
    </row>
    <row r="488" spans="1:32" x14ac:dyDescent="0.2">
      <c r="A488" s="12" t="s">
        <v>1267</v>
      </c>
      <c r="B488" s="12" t="s">
        <v>1267</v>
      </c>
      <c r="C488" s="12" t="s">
        <v>6863</v>
      </c>
      <c r="D488" s="12" t="s">
        <v>13</v>
      </c>
      <c r="E488" s="12" t="s">
        <v>8110</v>
      </c>
      <c r="F488" s="12" t="s">
        <v>1270</v>
      </c>
      <c r="G488" s="12" t="s">
        <v>5453</v>
      </c>
      <c r="H488" s="12" t="s">
        <v>6616</v>
      </c>
      <c r="I488" s="12">
        <v>3482</v>
      </c>
      <c r="J488" s="12" t="s">
        <v>1270</v>
      </c>
      <c r="K488" s="12" t="s">
        <v>6652</v>
      </c>
      <c r="L488" s="12" t="s">
        <v>1229</v>
      </c>
      <c r="M488" s="12" t="s">
        <v>1268</v>
      </c>
      <c r="N488" s="12" t="s">
        <v>5785</v>
      </c>
      <c r="O488" s="12" t="s">
        <v>1271</v>
      </c>
      <c r="P488" s="12" t="s">
        <v>1152</v>
      </c>
      <c r="Q488" s="12" t="s">
        <v>6653</v>
      </c>
      <c r="R488" s="12">
        <v>46.947850000000003</v>
      </c>
      <c r="S488" s="12">
        <v>79.988083329999995</v>
      </c>
      <c r="T488" s="12" t="s">
        <v>11</v>
      </c>
      <c r="U488" s="12" t="s">
        <v>1272</v>
      </c>
      <c r="V488" s="12" t="s">
        <v>606</v>
      </c>
      <c r="W488" s="12" t="s">
        <v>7415</v>
      </c>
      <c r="X488" s="12">
        <v>2.431</v>
      </c>
      <c r="Y488" s="12">
        <v>731426</v>
      </c>
      <c r="Z488" s="12">
        <v>6.1069999999999996E-3</v>
      </c>
      <c r="AA488" s="12">
        <v>3.6736353650716498</v>
      </c>
      <c r="AB488" s="12" t="s">
        <v>1269</v>
      </c>
      <c r="AC488" s="12" t="s">
        <v>21</v>
      </c>
      <c r="AD488" s="12" t="s">
        <v>17</v>
      </c>
      <c r="AE488" s="12">
        <v>0.99199999999999999</v>
      </c>
      <c r="AF488" s="12" t="s">
        <v>436</v>
      </c>
    </row>
    <row r="489" spans="1:32" x14ac:dyDescent="0.2">
      <c r="A489" s="12" t="s">
        <v>1262</v>
      </c>
      <c r="B489" s="12" t="s">
        <v>1262</v>
      </c>
      <c r="C489" s="12" t="s">
        <v>7005</v>
      </c>
      <c r="D489" s="12" t="s">
        <v>13</v>
      </c>
      <c r="E489" s="12" t="s">
        <v>8110</v>
      </c>
      <c r="F489" s="12" t="s">
        <v>1264</v>
      </c>
      <c r="G489" s="12" t="s">
        <v>5453</v>
      </c>
      <c r="H489" s="12" t="s">
        <v>6616</v>
      </c>
      <c r="I489" s="12">
        <v>3480</v>
      </c>
      <c r="J489" s="12" t="s">
        <v>1264</v>
      </c>
      <c r="K489" s="12" t="s">
        <v>6652</v>
      </c>
      <c r="L489" s="12" t="s">
        <v>1229</v>
      </c>
      <c r="M489" s="12" t="s">
        <v>1255</v>
      </c>
      <c r="N489" s="12" t="s">
        <v>5785</v>
      </c>
      <c r="O489" s="12" t="s">
        <v>5806</v>
      </c>
      <c r="P489" s="12" t="s">
        <v>1152</v>
      </c>
      <c r="Q489" s="12" t="s">
        <v>6653</v>
      </c>
      <c r="R489" s="12">
        <v>42.68943333</v>
      </c>
      <c r="S489" s="12">
        <v>73.117483329999999</v>
      </c>
      <c r="T489" s="12" t="s">
        <v>11</v>
      </c>
      <c r="U489" s="12" t="s">
        <v>1265</v>
      </c>
      <c r="V489" s="12" t="s">
        <v>1266</v>
      </c>
      <c r="W489" s="12" t="s">
        <v>7415</v>
      </c>
      <c r="X489" s="12">
        <v>0.11600000000000001</v>
      </c>
      <c r="Y489" s="12">
        <v>123356</v>
      </c>
      <c r="Z489" s="12" t="s">
        <v>8052</v>
      </c>
      <c r="AA489" s="12" t="s">
        <v>8052</v>
      </c>
      <c r="AB489" s="12" t="s">
        <v>1263</v>
      </c>
      <c r="AC489" s="12" t="s">
        <v>21</v>
      </c>
      <c r="AD489" s="12" t="s">
        <v>17</v>
      </c>
      <c r="AE489" s="12">
        <v>0.996</v>
      </c>
      <c r="AF489" s="12" t="s">
        <v>45</v>
      </c>
    </row>
    <row r="490" spans="1:32" x14ac:dyDescent="0.2">
      <c r="A490" s="12" t="s">
        <v>4155</v>
      </c>
      <c r="B490" s="12" t="s">
        <v>4155</v>
      </c>
      <c r="C490" s="12" t="s">
        <v>7561</v>
      </c>
      <c r="D490" s="12" t="s">
        <v>13</v>
      </c>
      <c r="E490" s="12" t="s">
        <v>8110</v>
      </c>
      <c r="F490" s="12" t="s">
        <v>5458</v>
      </c>
      <c r="G490" s="12" t="s">
        <v>5453</v>
      </c>
      <c r="H490" s="12" t="s">
        <v>6616</v>
      </c>
      <c r="I490" s="12">
        <v>3475</v>
      </c>
      <c r="J490" s="12" t="s">
        <v>5805</v>
      </c>
      <c r="K490" s="12" t="s">
        <v>6652</v>
      </c>
      <c r="L490" s="12" t="s">
        <v>4138</v>
      </c>
      <c r="M490" s="12" t="s">
        <v>4137</v>
      </c>
      <c r="N490" s="12" t="s">
        <v>5785</v>
      </c>
      <c r="O490" s="12" t="s">
        <v>4141</v>
      </c>
      <c r="P490" s="12" t="s">
        <v>3789</v>
      </c>
      <c r="Q490" s="12" t="s">
        <v>6653</v>
      </c>
      <c r="R490" s="12">
        <v>39.44805556</v>
      </c>
      <c r="S490" s="12">
        <v>68.031388890000002</v>
      </c>
      <c r="T490" s="12" t="s">
        <v>25</v>
      </c>
      <c r="U490" s="12" t="s">
        <v>1281</v>
      </c>
      <c r="V490" s="12" t="s">
        <v>6639</v>
      </c>
      <c r="W490" s="12" t="s">
        <v>6639</v>
      </c>
      <c r="X490" s="12">
        <v>2.452</v>
      </c>
      <c r="Y490" s="12">
        <v>829426</v>
      </c>
      <c r="Z490" s="12" t="s">
        <v>6639</v>
      </c>
      <c r="AA490" s="12" t="s">
        <v>6639</v>
      </c>
      <c r="AB490" s="12" t="s">
        <v>4156</v>
      </c>
      <c r="AC490" s="12" t="s">
        <v>21</v>
      </c>
      <c r="AD490" s="12">
        <v>8.5999999999999993E-2</v>
      </c>
      <c r="AE490" s="12">
        <v>0.98699999999999999</v>
      </c>
      <c r="AF490" s="12" t="s">
        <v>45</v>
      </c>
    </row>
    <row r="491" spans="1:32" x14ac:dyDescent="0.2">
      <c r="A491" s="12" t="s">
        <v>5266</v>
      </c>
      <c r="B491" s="12" t="s">
        <v>5266</v>
      </c>
      <c r="C491" s="12" t="s">
        <v>6910</v>
      </c>
      <c r="D491" s="12" t="s">
        <v>105</v>
      </c>
      <c r="E491" s="12" t="s">
        <v>8110</v>
      </c>
      <c r="F491" s="12" t="s">
        <v>5458</v>
      </c>
      <c r="G491" s="12" t="s">
        <v>5453</v>
      </c>
      <c r="H491" s="12" t="s">
        <v>6626</v>
      </c>
      <c r="I491" s="12">
        <v>3475</v>
      </c>
      <c r="J491" s="12" t="s">
        <v>5269</v>
      </c>
      <c r="K491" s="12" t="s">
        <v>6652</v>
      </c>
      <c r="L491" s="12" t="s">
        <v>5060</v>
      </c>
      <c r="M491" s="12" t="s">
        <v>5267</v>
      </c>
      <c r="N491" s="12" t="s">
        <v>5785</v>
      </c>
      <c r="O491" s="12" t="s">
        <v>5270</v>
      </c>
      <c r="P491" s="12" t="s">
        <v>18</v>
      </c>
      <c r="Q491" s="12" t="s">
        <v>6653</v>
      </c>
      <c r="R491" s="12">
        <v>48.1</v>
      </c>
      <c r="S491" s="12">
        <v>54.44</v>
      </c>
      <c r="T491" s="12" t="s">
        <v>11</v>
      </c>
      <c r="U491" s="12" t="s">
        <v>2581</v>
      </c>
      <c r="V491" s="12" t="s">
        <v>1619</v>
      </c>
      <c r="W491" s="12" t="s">
        <v>7415</v>
      </c>
      <c r="X491" s="12">
        <v>0.03</v>
      </c>
      <c r="Y491" s="12">
        <v>35413</v>
      </c>
      <c r="Z491" s="12" t="s">
        <v>8052</v>
      </c>
      <c r="AA491" s="12" t="s">
        <v>8052</v>
      </c>
      <c r="AB491" s="12" t="s">
        <v>5268</v>
      </c>
      <c r="AC491" s="12" t="s">
        <v>21</v>
      </c>
      <c r="AD491" s="12">
        <v>4.9000000000000002E-2</v>
      </c>
      <c r="AE491" s="12">
        <v>0.96399999999999997</v>
      </c>
      <c r="AF491" s="12" t="s">
        <v>45</v>
      </c>
    </row>
    <row r="492" spans="1:32" x14ac:dyDescent="0.2">
      <c r="A492" s="12" t="s">
        <v>5297</v>
      </c>
      <c r="B492" s="12" t="s">
        <v>5297</v>
      </c>
      <c r="C492" s="12" t="s">
        <v>6904</v>
      </c>
      <c r="D492" s="12" t="s">
        <v>105</v>
      </c>
      <c r="E492" s="12" t="s">
        <v>8110</v>
      </c>
      <c r="F492" s="12" t="s">
        <v>5458</v>
      </c>
      <c r="G492" s="12" t="s">
        <v>5454</v>
      </c>
      <c r="H492" s="12" t="s">
        <v>6626</v>
      </c>
      <c r="I492" s="12">
        <v>3475</v>
      </c>
      <c r="J492" s="12" t="s">
        <v>5269</v>
      </c>
      <c r="K492" s="12" t="s">
        <v>6652</v>
      </c>
      <c r="L492" s="12" t="s">
        <v>5060</v>
      </c>
      <c r="M492" s="12" t="s">
        <v>5267</v>
      </c>
      <c r="N492" s="12" t="s">
        <v>5785</v>
      </c>
      <c r="O492" s="12" t="s">
        <v>4249</v>
      </c>
      <c r="P492" s="12" t="s">
        <v>18</v>
      </c>
      <c r="Q492" s="12" t="s">
        <v>6653</v>
      </c>
      <c r="R492" s="12">
        <v>53.03</v>
      </c>
      <c r="S492" s="12">
        <v>50.39</v>
      </c>
      <c r="T492" s="12" t="s">
        <v>11</v>
      </c>
      <c r="U492" s="12" t="s">
        <v>5299</v>
      </c>
      <c r="V492" s="12" t="s">
        <v>1375</v>
      </c>
      <c r="W492" s="12" t="s">
        <v>7160</v>
      </c>
      <c r="X492" s="12">
        <v>0.692967</v>
      </c>
      <c r="Y492" s="12">
        <v>550931</v>
      </c>
      <c r="Z492" s="12">
        <v>4.7070000000000002E-3</v>
      </c>
      <c r="AA492" s="12">
        <v>1.1948298668375188</v>
      </c>
      <c r="AB492" s="12" t="s">
        <v>5298</v>
      </c>
      <c r="AC492" s="12" t="s">
        <v>340</v>
      </c>
      <c r="AD492" s="12" t="s">
        <v>7834</v>
      </c>
      <c r="AE492" s="12" t="s">
        <v>7719</v>
      </c>
      <c r="AF492" s="12" t="s">
        <v>45</v>
      </c>
    </row>
    <row r="493" spans="1:32" x14ac:dyDescent="0.2">
      <c r="A493" s="12" t="s">
        <v>5294</v>
      </c>
      <c r="B493" s="12" t="s">
        <v>5294</v>
      </c>
      <c r="C493" s="12" t="s">
        <v>6903</v>
      </c>
      <c r="D493" s="12" t="s">
        <v>105</v>
      </c>
      <c r="E493" s="12" t="s">
        <v>8110</v>
      </c>
      <c r="F493" s="12" t="s">
        <v>5458</v>
      </c>
      <c r="G493" s="12" t="s">
        <v>5454</v>
      </c>
      <c r="H493" s="12" t="s">
        <v>6626</v>
      </c>
      <c r="I493" s="12">
        <v>3475</v>
      </c>
      <c r="J493" s="12" t="s">
        <v>5269</v>
      </c>
      <c r="K493" s="12" t="s">
        <v>6652</v>
      </c>
      <c r="L493" s="12" t="s">
        <v>5060</v>
      </c>
      <c r="M493" s="12" t="s">
        <v>5267</v>
      </c>
      <c r="N493" s="12" t="s">
        <v>5785</v>
      </c>
      <c r="O493" s="12" t="s">
        <v>4249</v>
      </c>
      <c r="P493" s="12" t="s">
        <v>18</v>
      </c>
      <c r="Q493" s="12" t="s">
        <v>6653</v>
      </c>
      <c r="R493" s="12">
        <v>53.03</v>
      </c>
      <c r="S493" s="12">
        <v>50.39</v>
      </c>
      <c r="T493" s="12" t="s">
        <v>25</v>
      </c>
      <c r="U493" s="12" t="s">
        <v>5296</v>
      </c>
      <c r="V493" s="12" t="s">
        <v>6639</v>
      </c>
      <c r="W493" s="12" t="s">
        <v>6639</v>
      </c>
      <c r="X493" s="12">
        <v>2.202642</v>
      </c>
      <c r="Y493" s="12">
        <v>866715</v>
      </c>
      <c r="Z493" s="12" t="s">
        <v>6639</v>
      </c>
      <c r="AA493" s="12" t="s">
        <v>6639</v>
      </c>
      <c r="AB493" s="12" t="s">
        <v>5295</v>
      </c>
      <c r="AC493" s="12" t="s">
        <v>340</v>
      </c>
      <c r="AD493" s="12" t="s">
        <v>7832</v>
      </c>
      <c r="AE493" s="12" t="s">
        <v>7772</v>
      </c>
      <c r="AF493" s="12" t="s">
        <v>45</v>
      </c>
    </row>
    <row r="494" spans="1:32" x14ac:dyDescent="0.2">
      <c r="A494" s="12" t="s">
        <v>5300</v>
      </c>
      <c r="B494" s="12" t="s">
        <v>5300</v>
      </c>
      <c r="C494" s="12" t="s">
        <v>6897</v>
      </c>
      <c r="D494" s="12" t="s">
        <v>105</v>
      </c>
      <c r="E494" s="12" t="s">
        <v>8110</v>
      </c>
      <c r="F494" s="12" t="s">
        <v>5458</v>
      </c>
      <c r="G494" s="12" t="s">
        <v>5454</v>
      </c>
      <c r="H494" s="12" t="s">
        <v>6626</v>
      </c>
      <c r="I494" s="12">
        <v>3475</v>
      </c>
      <c r="J494" s="12" t="s">
        <v>5269</v>
      </c>
      <c r="K494" s="12" t="s">
        <v>6652</v>
      </c>
      <c r="L494" s="12" t="s">
        <v>5060</v>
      </c>
      <c r="M494" s="12" t="s">
        <v>5267</v>
      </c>
      <c r="N494" s="12" t="s">
        <v>5785</v>
      </c>
      <c r="O494" s="12" t="s">
        <v>5302</v>
      </c>
      <c r="P494" s="12" t="s">
        <v>18</v>
      </c>
      <c r="Q494" s="12" t="s">
        <v>6653</v>
      </c>
      <c r="R494" s="12">
        <v>52.54</v>
      </c>
      <c r="S494" s="12">
        <v>50.5</v>
      </c>
      <c r="T494" s="12" t="s">
        <v>25</v>
      </c>
      <c r="U494" s="12" t="s">
        <v>36</v>
      </c>
      <c r="V494" s="12" t="s">
        <v>6639</v>
      </c>
      <c r="W494" s="12" t="s">
        <v>6639</v>
      </c>
      <c r="X494" s="12">
        <v>2.2978079999999999</v>
      </c>
      <c r="Y494" s="12">
        <v>876789</v>
      </c>
      <c r="Z494" s="12" t="s">
        <v>6639</v>
      </c>
      <c r="AA494" s="12" t="s">
        <v>6639</v>
      </c>
      <c r="AB494" s="12" t="s">
        <v>5301</v>
      </c>
      <c r="AC494" s="12" t="s">
        <v>340</v>
      </c>
      <c r="AD494" s="12" t="s">
        <v>7833</v>
      </c>
      <c r="AE494" s="12" t="s">
        <v>7749</v>
      </c>
      <c r="AF494" s="12" t="s">
        <v>45</v>
      </c>
    </row>
    <row r="495" spans="1:32" x14ac:dyDescent="0.2">
      <c r="A495" s="12" t="s">
        <v>5291</v>
      </c>
      <c r="B495" s="12" t="s">
        <v>5291</v>
      </c>
      <c r="C495" s="12" t="s">
        <v>6909</v>
      </c>
      <c r="D495" s="12" t="s">
        <v>105</v>
      </c>
      <c r="E495" s="12" t="s">
        <v>8110</v>
      </c>
      <c r="F495" s="12" t="s">
        <v>5458</v>
      </c>
      <c r="G495" s="12" t="s">
        <v>5454</v>
      </c>
      <c r="H495" s="12" t="s">
        <v>6626</v>
      </c>
      <c r="I495" s="12">
        <v>3475</v>
      </c>
      <c r="J495" s="12" t="s">
        <v>5269</v>
      </c>
      <c r="K495" s="12" t="s">
        <v>6652</v>
      </c>
      <c r="L495" s="12" t="s">
        <v>5060</v>
      </c>
      <c r="M495" s="12" t="s">
        <v>5267</v>
      </c>
      <c r="N495" s="12" t="s">
        <v>5785</v>
      </c>
      <c r="O495" s="12" t="s">
        <v>5270</v>
      </c>
      <c r="P495" s="12" t="s">
        <v>18</v>
      </c>
      <c r="Q495" s="12" t="s">
        <v>6653</v>
      </c>
      <c r="R495" s="12">
        <v>48.1</v>
      </c>
      <c r="S495" s="12">
        <v>54.44</v>
      </c>
      <c r="T495" s="12" t="s">
        <v>11</v>
      </c>
      <c r="U495" s="12" t="s">
        <v>5293</v>
      </c>
      <c r="V495" s="12" t="s">
        <v>1352</v>
      </c>
      <c r="W495" s="12" t="s">
        <v>7160</v>
      </c>
      <c r="X495" s="12">
        <v>8.6495370000000005</v>
      </c>
      <c r="Y495" s="12">
        <v>1112239</v>
      </c>
      <c r="Z495" s="12">
        <v>5.5079999999999999E-3</v>
      </c>
      <c r="AA495" s="12">
        <v>8.2856634405029048</v>
      </c>
      <c r="AB495" s="12" t="s">
        <v>5292</v>
      </c>
      <c r="AC495" s="12" t="s">
        <v>219</v>
      </c>
      <c r="AD495" s="12" t="s">
        <v>7806</v>
      </c>
      <c r="AE495" s="12" t="s">
        <v>7792</v>
      </c>
      <c r="AF495" s="12" t="s">
        <v>436</v>
      </c>
    </row>
    <row r="496" spans="1:32" x14ac:dyDescent="0.2">
      <c r="A496" s="12" t="s">
        <v>1259</v>
      </c>
      <c r="B496" s="12" t="s">
        <v>1259</v>
      </c>
      <c r="C496" s="12" t="s">
        <v>7006</v>
      </c>
      <c r="D496" s="12" t="s">
        <v>26</v>
      </c>
      <c r="E496" s="12" t="s">
        <v>8110</v>
      </c>
      <c r="F496" s="12" t="s">
        <v>1261</v>
      </c>
      <c r="G496" s="12" t="s">
        <v>5453</v>
      </c>
      <c r="H496" s="12" t="s">
        <v>6616</v>
      </c>
      <c r="I496" s="12">
        <v>3473</v>
      </c>
      <c r="J496" s="12" t="s">
        <v>1261</v>
      </c>
      <c r="K496" s="12" t="s">
        <v>6652</v>
      </c>
      <c r="L496" s="12" t="s">
        <v>1229</v>
      </c>
      <c r="M496" s="12" t="s">
        <v>1255</v>
      </c>
      <c r="N496" s="12" t="s">
        <v>5785</v>
      </c>
      <c r="O496" s="12" t="s">
        <v>5806</v>
      </c>
      <c r="P496" s="12" t="s">
        <v>1152</v>
      </c>
      <c r="Q496" s="12" t="s">
        <v>6653</v>
      </c>
      <c r="R496" s="16">
        <v>42.68943333</v>
      </c>
      <c r="S496" s="16">
        <v>73.117483329999999</v>
      </c>
      <c r="T496" s="12" t="s">
        <v>25</v>
      </c>
      <c r="U496" s="12" t="s">
        <v>36</v>
      </c>
      <c r="V496" s="12" t="s">
        <v>6639</v>
      </c>
      <c r="W496" s="12" t="s">
        <v>6639</v>
      </c>
      <c r="X496" s="12">
        <v>1.08389</v>
      </c>
      <c r="Y496" s="12">
        <v>662193</v>
      </c>
      <c r="Z496" s="12" t="s">
        <v>6639</v>
      </c>
      <c r="AA496" s="12" t="s">
        <v>6639</v>
      </c>
      <c r="AB496" s="12" t="s">
        <v>1260</v>
      </c>
      <c r="AC496" s="12" t="s">
        <v>21</v>
      </c>
      <c r="AD496" s="12">
        <v>3.9E-2</v>
      </c>
      <c r="AE496" s="12">
        <v>0.999</v>
      </c>
      <c r="AF496" s="12" t="s">
        <v>45</v>
      </c>
    </row>
    <row r="497" spans="1:32" x14ac:dyDescent="0.2">
      <c r="A497" s="12" t="s">
        <v>2414</v>
      </c>
      <c r="B497" s="12" t="s">
        <v>2416</v>
      </c>
      <c r="C497" s="12" t="s">
        <v>2418</v>
      </c>
      <c r="D497" s="12" t="s">
        <v>17</v>
      </c>
      <c r="E497" s="12" t="s">
        <v>7678</v>
      </c>
      <c r="F497" s="12" t="s">
        <v>5460</v>
      </c>
      <c r="G497" s="12" t="s">
        <v>2415</v>
      </c>
      <c r="H497" s="12" t="s">
        <v>6614</v>
      </c>
      <c r="I497" s="12">
        <v>3468</v>
      </c>
      <c r="J497" s="12" t="s">
        <v>2419</v>
      </c>
      <c r="K497" s="12" t="s">
        <v>6652</v>
      </c>
      <c r="L497" s="12" t="s">
        <v>2417</v>
      </c>
      <c r="M497" s="12" t="s">
        <v>2417</v>
      </c>
      <c r="N497" s="12" t="s">
        <v>5785</v>
      </c>
      <c r="O497" s="12" t="s">
        <v>2420</v>
      </c>
      <c r="P497" s="12" t="s">
        <v>1152</v>
      </c>
      <c r="Q497" s="12" t="s">
        <v>6653</v>
      </c>
      <c r="R497" s="12">
        <v>52.490833333300003</v>
      </c>
      <c r="S497" s="12">
        <v>76.839444444400002</v>
      </c>
      <c r="T497" s="12" t="s">
        <v>25</v>
      </c>
      <c r="U497" s="12" t="s">
        <v>1281</v>
      </c>
      <c r="V497" s="12" t="s">
        <v>6639</v>
      </c>
      <c r="W497" s="12" t="s">
        <v>6639</v>
      </c>
      <c r="X497" s="12">
        <v>0.58199999999999996</v>
      </c>
      <c r="Y497" s="12">
        <v>390029</v>
      </c>
      <c r="Z497" s="12" t="s">
        <v>6639</v>
      </c>
      <c r="AA497" s="12" t="s">
        <v>6639</v>
      </c>
      <c r="AB497" s="12" t="s">
        <v>17</v>
      </c>
      <c r="AC497" s="12" t="s">
        <v>144</v>
      </c>
      <c r="AD497" s="12" t="s">
        <v>17</v>
      </c>
      <c r="AE497" s="12" t="s">
        <v>17</v>
      </c>
      <c r="AF497" s="12" t="s">
        <v>45</v>
      </c>
    </row>
    <row r="498" spans="1:32" x14ac:dyDescent="0.2">
      <c r="A498" s="12" t="s">
        <v>4754</v>
      </c>
      <c r="B498" s="12" t="s">
        <v>4754</v>
      </c>
      <c r="C498" s="12" t="s">
        <v>6785</v>
      </c>
      <c r="D498" s="12" t="s">
        <v>13</v>
      </c>
      <c r="E498" s="12" t="s">
        <v>8110</v>
      </c>
      <c r="F498" s="12" t="s">
        <v>4756</v>
      </c>
      <c r="G498" s="12" t="s">
        <v>5453</v>
      </c>
      <c r="H498" s="12" t="s">
        <v>6612</v>
      </c>
      <c r="I498" s="12">
        <v>3468</v>
      </c>
      <c r="J498" s="12" t="s">
        <v>4756</v>
      </c>
      <c r="K498" s="12" t="s">
        <v>6652</v>
      </c>
      <c r="L498" s="12" t="s">
        <v>5060</v>
      </c>
      <c r="M498" s="12" t="s">
        <v>6997</v>
      </c>
      <c r="N498" s="12" t="s">
        <v>5785</v>
      </c>
      <c r="O498" s="12" t="s">
        <v>6776</v>
      </c>
      <c r="P498" s="12" t="s">
        <v>1152</v>
      </c>
      <c r="Q498" s="12" t="s">
        <v>6653</v>
      </c>
      <c r="R498" s="16">
        <v>49.709893999999998</v>
      </c>
      <c r="S498" s="16">
        <v>73.882838000000007</v>
      </c>
      <c r="T498" s="12" t="s">
        <v>25</v>
      </c>
      <c r="U498" s="12" t="s">
        <v>1321</v>
      </c>
      <c r="V498" s="12" t="s">
        <v>6639</v>
      </c>
      <c r="W498" s="12" t="s">
        <v>6639</v>
      </c>
      <c r="X498" s="12">
        <v>3.8282639999999999</v>
      </c>
      <c r="Y498" s="12">
        <v>831975</v>
      </c>
      <c r="Z498" s="12" t="s">
        <v>6639</v>
      </c>
      <c r="AA498" s="12" t="s">
        <v>6639</v>
      </c>
      <c r="AB498" s="12" t="s">
        <v>4755</v>
      </c>
      <c r="AC498" s="12" t="s">
        <v>21</v>
      </c>
      <c r="AD498" s="12">
        <v>6.5000000000000002E-2</v>
      </c>
      <c r="AE498" s="12">
        <v>0.98299999999999998</v>
      </c>
      <c r="AF498" s="12" t="s">
        <v>45</v>
      </c>
    </row>
    <row r="499" spans="1:32" x14ac:dyDescent="0.2">
      <c r="A499" s="12" t="s">
        <v>1335</v>
      </c>
      <c r="B499" s="12" t="s">
        <v>1335</v>
      </c>
      <c r="C499" s="12" t="s">
        <v>7456</v>
      </c>
      <c r="D499" s="12" t="s">
        <v>13</v>
      </c>
      <c r="E499" s="12" t="s">
        <v>8110</v>
      </c>
      <c r="F499" s="12" t="s">
        <v>5458</v>
      </c>
      <c r="G499" s="12" t="s">
        <v>5453</v>
      </c>
      <c r="H499" s="12" t="s">
        <v>7595</v>
      </c>
      <c r="I499" s="12">
        <v>3450</v>
      </c>
      <c r="J499" s="12" t="s">
        <v>1337</v>
      </c>
      <c r="K499" s="12" t="s">
        <v>6652</v>
      </c>
      <c r="L499" s="12" t="s">
        <v>1229</v>
      </c>
      <c r="M499" s="12" t="s">
        <v>7039</v>
      </c>
      <c r="N499" s="12" t="s">
        <v>5785</v>
      </c>
      <c r="O499" s="12" t="s">
        <v>7038</v>
      </c>
      <c r="P499" s="12" t="s">
        <v>1152</v>
      </c>
      <c r="Q499" s="12" t="s">
        <v>6653</v>
      </c>
      <c r="R499" s="12">
        <v>50.82</v>
      </c>
      <c r="S499" s="12">
        <v>75.599999999999994</v>
      </c>
      <c r="T499" s="12" t="s">
        <v>11</v>
      </c>
      <c r="U499" s="12" t="s">
        <v>1338</v>
      </c>
      <c r="V499" s="12" t="s">
        <v>1339</v>
      </c>
      <c r="W499" s="12" t="s">
        <v>7415</v>
      </c>
      <c r="X499" s="12">
        <v>4.7611819999999998</v>
      </c>
      <c r="Y499" s="12">
        <v>844185</v>
      </c>
      <c r="Z499" s="12">
        <v>5.535E-3</v>
      </c>
      <c r="AA499" s="12">
        <v>5.5658436793333932</v>
      </c>
      <c r="AB499" s="12" t="s">
        <v>1336</v>
      </c>
      <c r="AC499" s="12" t="s">
        <v>21</v>
      </c>
      <c r="AD499" s="12">
        <v>0.09</v>
      </c>
      <c r="AE499" s="12">
        <v>1</v>
      </c>
      <c r="AF499" s="12" t="s">
        <v>436</v>
      </c>
    </row>
    <row r="500" spans="1:32" x14ac:dyDescent="0.2">
      <c r="A500" s="12" t="s">
        <v>4151</v>
      </c>
      <c r="B500" s="12" t="s">
        <v>4151</v>
      </c>
      <c r="C500" s="12" t="s">
        <v>7013</v>
      </c>
      <c r="D500" s="12" t="s">
        <v>13</v>
      </c>
      <c r="E500" s="12" t="s">
        <v>8110</v>
      </c>
      <c r="F500" s="12" t="s">
        <v>5458</v>
      </c>
      <c r="G500" s="12" t="s">
        <v>5453</v>
      </c>
      <c r="H500" s="12" t="s">
        <v>6615</v>
      </c>
      <c r="I500" s="12">
        <v>3450</v>
      </c>
      <c r="J500" s="12" t="s">
        <v>1337</v>
      </c>
      <c r="K500" s="12" t="s">
        <v>6652</v>
      </c>
      <c r="L500" s="12" t="s">
        <v>4138</v>
      </c>
      <c r="M500" s="12" t="s">
        <v>4152</v>
      </c>
      <c r="N500" s="12" t="s">
        <v>5785</v>
      </c>
      <c r="O500" s="12" t="s">
        <v>1252</v>
      </c>
      <c r="P500" s="12" t="s">
        <v>1152</v>
      </c>
      <c r="Q500" s="12" t="s">
        <v>6653</v>
      </c>
      <c r="R500" s="12">
        <v>48.214399999999998</v>
      </c>
      <c r="S500" s="12">
        <v>67.020499999999998</v>
      </c>
      <c r="T500" s="12" t="s">
        <v>11</v>
      </c>
      <c r="U500" s="12" t="s">
        <v>4154</v>
      </c>
      <c r="V500" s="12" t="s">
        <v>500</v>
      </c>
      <c r="W500" s="12" t="s">
        <v>7160</v>
      </c>
      <c r="X500" s="12">
        <v>0.48299999999999998</v>
      </c>
      <c r="Y500" s="12">
        <v>369196</v>
      </c>
      <c r="Z500" s="12">
        <v>3.7929999999999999E-3</v>
      </c>
      <c r="AA500" s="12">
        <v>1.0939953413623111</v>
      </c>
      <c r="AB500" s="12" t="s">
        <v>4153</v>
      </c>
      <c r="AC500" s="12" t="s">
        <v>21</v>
      </c>
      <c r="AD500" s="12">
        <v>0.106</v>
      </c>
      <c r="AE500" s="12">
        <v>0.998</v>
      </c>
      <c r="AF500" s="12" t="s">
        <v>45</v>
      </c>
    </row>
    <row r="501" spans="1:32" x14ac:dyDescent="0.2">
      <c r="A501" s="12" t="s">
        <v>1254</v>
      </c>
      <c r="B501" s="12" t="s">
        <v>1254</v>
      </c>
      <c r="C501" s="12" t="s">
        <v>7004</v>
      </c>
      <c r="D501" s="12" t="s">
        <v>13</v>
      </c>
      <c r="E501" s="12" t="s">
        <v>8110</v>
      </c>
      <c r="F501" s="12" t="s">
        <v>1257</v>
      </c>
      <c r="G501" s="12" t="s">
        <v>5453</v>
      </c>
      <c r="H501" s="12" t="s">
        <v>6616</v>
      </c>
      <c r="I501" s="12">
        <v>3433</v>
      </c>
      <c r="J501" s="12" t="s">
        <v>1257</v>
      </c>
      <c r="K501" s="12" t="s">
        <v>6652</v>
      </c>
      <c r="L501" s="12" t="s">
        <v>1229</v>
      </c>
      <c r="M501" s="12" t="s">
        <v>1255</v>
      </c>
      <c r="N501" s="12" t="s">
        <v>5785</v>
      </c>
      <c r="O501" s="12" t="s">
        <v>5806</v>
      </c>
      <c r="P501" s="12" t="s">
        <v>1152</v>
      </c>
      <c r="Q501" s="12" t="s">
        <v>6653</v>
      </c>
      <c r="R501" s="12">
        <v>42.68943333</v>
      </c>
      <c r="S501" s="12">
        <v>73.117483329999999</v>
      </c>
      <c r="T501" s="12" t="s">
        <v>11</v>
      </c>
      <c r="U501" s="12" t="s">
        <v>1258</v>
      </c>
      <c r="V501" s="12" t="s">
        <v>755</v>
      </c>
      <c r="W501" s="12" t="s">
        <v>7160</v>
      </c>
      <c r="X501" s="12">
        <v>4.3339999999999996</v>
      </c>
      <c r="Y501" s="12">
        <v>851851</v>
      </c>
      <c r="Z501" s="12">
        <v>4.8529999999999997E-3</v>
      </c>
      <c r="AA501" s="12">
        <v>5.0742839409526077</v>
      </c>
      <c r="AB501" s="12" t="s">
        <v>1256</v>
      </c>
      <c r="AC501" s="12" t="s">
        <v>21</v>
      </c>
      <c r="AD501" s="12">
        <v>7.1999999999999995E-2</v>
      </c>
      <c r="AE501" s="12">
        <v>0.99399999999999999</v>
      </c>
      <c r="AF501" s="12" t="s">
        <v>82</v>
      </c>
    </row>
    <row r="502" spans="1:32" x14ac:dyDescent="0.2">
      <c r="A502" s="12" t="s">
        <v>4136</v>
      </c>
      <c r="B502" s="12" t="s">
        <v>4136</v>
      </c>
      <c r="C502" s="12" t="s">
        <v>7562</v>
      </c>
      <c r="D502" s="12" t="s">
        <v>13</v>
      </c>
      <c r="E502" s="12" t="s">
        <v>8110</v>
      </c>
      <c r="F502" s="12" t="s">
        <v>4140</v>
      </c>
      <c r="G502" s="12" t="s">
        <v>5453</v>
      </c>
      <c r="H502" s="12" t="s">
        <v>6616</v>
      </c>
      <c r="I502" s="12">
        <v>3426</v>
      </c>
      <c r="J502" s="12" t="s">
        <v>4140</v>
      </c>
      <c r="K502" s="12" t="s">
        <v>6652</v>
      </c>
      <c r="L502" s="12" t="s">
        <v>4138</v>
      </c>
      <c r="M502" s="12" t="s">
        <v>4137</v>
      </c>
      <c r="N502" s="12" t="s">
        <v>5785</v>
      </c>
      <c r="O502" s="12" t="s">
        <v>4141</v>
      </c>
      <c r="P502" s="12" t="s">
        <v>3789</v>
      </c>
      <c r="Q502" s="12" t="s">
        <v>6653</v>
      </c>
      <c r="R502" s="16">
        <v>39.44805556</v>
      </c>
      <c r="S502" s="16">
        <v>68.031388890000002</v>
      </c>
      <c r="T502" s="12" t="s">
        <v>25</v>
      </c>
      <c r="U502" s="12" t="s">
        <v>4142</v>
      </c>
      <c r="V502" s="12" t="s">
        <v>6639</v>
      </c>
      <c r="W502" s="12" t="s">
        <v>6639</v>
      </c>
      <c r="X502" s="12">
        <v>3.3540000000000001</v>
      </c>
      <c r="Y502" s="12">
        <v>755420</v>
      </c>
      <c r="Z502" s="12" t="s">
        <v>6639</v>
      </c>
      <c r="AA502" s="12" t="s">
        <v>6639</v>
      </c>
      <c r="AB502" s="12" t="s">
        <v>4139</v>
      </c>
      <c r="AC502" s="12" t="s">
        <v>21</v>
      </c>
      <c r="AD502" s="12">
        <v>7.0999999999999994E-2</v>
      </c>
      <c r="AE502" s="12">
        <v>0.89100000000000001</v>
      </c>
      <c r="AF502" s="12" t="s">
        <v>4143</v>
      </c>
    </row>
    <row r="503" spans="1:32" x14ac:dyDescent="0.2">
      <c r="A503" s="12" t="s">
        <v>4170</v>
      </c>
      <c r="B503" s="12" t="s">
        <v>4170</v>
      </c>
      <c r="C503" s="12" t="s">
        <v>6779</v>
      </c>
      <c r="D503" s="12" t="s">
        <v>13</v>
      </c>
      <c r="E503" s="12" t="s">
        <v>8110</v>
      </c>
      <c r="F503" s="12" t="s">
        <v>4174</v>
      </c>
      <c r="G503" s="12" t="s">
        <v>5453</v>
      </c>
      <c r="H503" s="12" t="s">
        <v>6612</v>
      </c>
      <c r="I503" s="12">
        <v>3402</v>
      </c>
      <c r="J503" s="12" t="s">
        <v>4174</v>
      </c>
      <c r="K503" s="12" t="s">
        <v>6652</v>
      </c>
      <c r="L503" s="12" t="s">
        <v>4172</v>
      </c>
      <c r="M503" s="12" t="s">
        <v>4171</v>
      </c>
      <c r="N503" s="12" t="s">
        <v>5785</v>
      </c>
      <c r="O503" s="12" t="s">
        <v>1232</v>
      </c>
      <c r="P503" s="12" t="s">
        <v>18</v>
      </c>
      <c r="Q503" s="12" t="s">
        <v>6653</v>
      </c>
      <c r="R503" s="16">
        <v>55.192399999999999</v>
      </c>
      <c r="S503" s="16">
        <v>89.305300000000003</v>
      </c>
      <c r="T503" s="12" t="s">
        <v>11</v>
      </c>
      <c r="U503" s="12" t="s">
        <v>36</v>
      </c>
      <c r="V503" s="12" t="s">
        <v>69</v>
      </c>
      <c r="W503" s="12" t="s">
        <v>7415</v>
      </c>
      <c r="X503" s="12">
        <v>4.139634</v>
      </c>
      <c r="Y503" s="12">
        <v>855416</v>
      </c>
      <c r="Z503" s="12">
        <v>2.7680000000000001E-3</v>
      </c>
      <c r="AA503" s="12">
        <v>3.2436197483944786</v>
      </c>
      <c r="AB503" s="12" t="s">
        <v>4173</v>
      </c>
      <c r="AC503" s="12" t="s">
        <v>21</v>
      </c>
      <c r="AD503" s="12">
        <v>4.4999999999999998E-2</v>
      </c>
      <c r="AE503" s="12">
        <v>0.999</v>
      </c>
      <c r="AF503" s="12" t="s">
        <v>427</v>
      </c>
    </row>
    <row r="504" spans="1:32" x14ac:dyDescent="0.2">
      <c r="A504" s="12" t="s">
        <v>1376</v>
      </c>
      <c r="B504" s="12" t="s">
        <v>1376</v>
      </c>
      <c r="C504" s="12" t="s">
        <v>7652</v>
      </c>
      <c r="D504" s="12" t="s">
        <v>13</v>
      </c>
      <c r="E504" s="12" t="s">
        <v>8108</v>
      </c>
      <c r="F504" s="12" t="s">
        <v>5458</v>
      </c>
      <c r="G504" s="12" t="s">
        <v>5453</v>
      </c>
      <c r="H504" s="12" t="s">
        <v>7627</v>
      </c>
      <c r="I504" s="12">
        <v>3400</v>
      </c>
      <c r="J504" s="12" t="s">
        <v>1378</v>
      </c>
      <c r="K504" s="12" t="s">
        <v>6652</v>
      </c>
      <c r="L504" s="12" t="s">
        <v>1229</v>
      </c>
      <c r="M504" s="12" t="s">
        <v>1228</v>
      </c>
      <c r="N504" s="12" t="s">
        <v>5785</v>
      </c>
      <c r="O504" s="12" t="s">
        <v>1379</v>
      </c>
      <c r="P504" s="12" t="s">
        <v>18</v>
      </c>
      <c r="Q504" s="12" t="s">
        <v>6653</v>
      </c>
      <c r="R504" s="12">
        <v>53.824194444444444</v>
      </c>
      <c r="S504" s="12">
        <v>84.612333333333325</v>
      </c>
      <c r="T504" s="12" t="s">
        <v>25</v>
      </c>
      <c r="U504" s="12" t="s">
        <v>1380</v>
      </c>
      <c r="V504" s="12" t="s">
        <v>6639</v>
      </c>
      <c r="W504" s="12" t="s">
        <v>6639</v>
      </c>
      <c r="X504" s="12">
        <v>8.8377999999999998E-2</v>
      </c>
      <c r="Y504" s="12">
        <v>97901</v>
      </c>
      <c r="Z504" s="12" t="s">
        <v>6639</v>
      </c>
      <c r="AA504" s="12" t="s">
        <v>6639</v>
      </c>
      <c r="AB504" s="12" t="s">
        <v>1377</v>
      </c>
      <c r="AC504" s="12" t="s">
        <v>21</v>
      </c>
      <c r="AD504" s="12">
        <v>0.04</v>
      </c>
      <c r="AE504" s="12" t="s">
        <v>17</v>
      </c>
      <c r="AF504" s="12" t="s">
        <v>45</v>
      </c>
    </row>
    <row r="505" spans="1:32" x14ac:dyDescent="0.2">
      <c r="A505" s="12" t="s">
        <v>4773</v>
      </c>
      <c r="B505" s="12" t="s">
        <v>4773</v>
      </c>
      <c r="C505" s="12" t="s">
        <v>6867</v>
      </c>
      <c r="D505" s="12" t="s">
        <v>13</v>
      </c>
      <c r="E505" s="12" t="s">
        <v>8109</v>
      </c>
      <c r="F505" s="12" t="s">
        <v>7408</v>
      </c>
      <c r="G505" s="12" t="s">
        <v>5453</v>
      </c>
      <c r="H505" s="12" t="s">
        <v>6623</v>
      </c>
      <c r="I505" s="12">
        <v>3358</v>
      </c>
      <c r="J505" s="12" t="s">
        <v>7408</v>
      </c>
      <c r="K505" s="12" t="s">
        <v>6652</v>
      </c>
      <c r="L505" s="12" t="s">
        <v>4138</v>
      </c>
      <c r="M505" s="12" t="s">
        <v>4158</v>
      </c>
      <c r="N505" s="12" t="s">
        <v>5785</v>
      </c>
      <c r="O505" s="12" t="s">
        <v>4161</v>
      </c>
      <c r="P505" s="12" t="s">
        <v>865</v>
      </c>
      <c r="Q505" s="12" t="s">
        <v>6653</v>
      </c>
      <c r="R505" s="16">
        <v>40.54</v>
      </c>
      <c r="S505" s="16">
        <v>64.989999999999995</v>
      </c>
      <c r="T505" s="12" t="s">
        <v>11</v>
      </c>
      <c r="U505" s="12" t="s">
        <v>4774</v>
      </c>
      <c r="V505" s="12" t="s">
        <v>606</v>
      </c>
      <c r="W505" s="12" t="s">
        <v>7415</v>
      </c>
      <c r="X505" s="12">
        <v>3.1550889999999998</v>
      </c>
      <c r="Y505" s="12">
        <v>805590</v>
      </c>
      <c r="Z505" s="12">
        <v>2.2499999999999998E-3</v>
      </c>
      <c r="AA505" s="12">
        <v>2.4527994181305699</v>
      </c>
      <c r="AB505" s="12" t="s">
        <v>4772</v>
      </c>
      <c r="AC505" s="12" t="s">
        <v>21</v>
      </c>
      <c r="AD505" s="12">
        <v>0.105</v>
      </c>
      <c r="AE505" s="12">
        <v>0.98799999999999999</v>
      </c>
      <c r="AF505" s="12" t="s">
        <v>5337</v>
      </c>
    </row>
    <row r="506" spans="1:32" x14ac:dyDescent="0.2">
      <c r="A506" s="12" t="s">
        <v>4175</v>
      </c>
      <c r="B506" s="12" t="s">
        <v>4175</v>
      </c>
      <c r="C506" s="12" t="s">
        <v>7015</v>
      </c>
      <c r="D506" s="12" t="s">
        <v>118</v>
      </c>
      <c r="E506" s="12" t="s">
        <v>8110</v>
      </c>
      <c r="F506" s="12" t="s">
        <v>4179</v>
      </c>
      <c r="G506" s="12" t="s">
        <v>5453</v>
      </c>
      <c r="H506" s="12" t="s">
        <v>6616</v>
      </c>
      <c r="I506" s="12">
        <v>3348</v>
      </c>
      <c r="J506" s="12" t="s">
        <v>4179</v>
      </c>
      <c r="K506" s="12" t="s">
        <v>6652</v>
      </c>
      <c r="L506" s="12" t="s">
        <v>4177</v>
      </c>
      <c r="M506" s="12" t="s">
        <v>4176</v>
      </c>
      <c r="N506" s="12" t="s">
        <v>5785</v>
      </c>
      <c r="O506" s="12" t="s">
        <v>1491</v>
      </c>
      <c r="P506" s="12" t="s">
        <v>1152</v>
      </c>
      <c r="Q506" s="12" t="s">
        <v>6653</v>
      </c>
      <c r="R506" s="12">
        <v>45.132377779999999</v>
      </c>
      <c r="S506" s="12">
        <v>79.364394439999998</v>
      </c>
      <c r="T506" s="12" t="s">
        <v>25</v>
      </c>
      <c r="U506" s="12" t="s">
        <v>4180</v>
      </c>
      <c r="V506" s="12" t="s">
        <v>6639</v>
      </c>
      <c r="W506" s="12" t="s">
        <v>6639</v>
      </c>
      <c r="X506" s="12">
        <v>0.32700000000000001</v>
      </c>
      <c r="Y506" s="12">
        <v>296774</v>
      </c>
      <c r="Z506" s="12" t="s">
        <v>6639</v>
      </c>
      <c r="AA506" s="12" t="s">
        <v>6639</v>
      </c>
      <c r="AB506" s="12" t="s">
        <v>4178</v>
      </c>
      <c r="AC506" s="12" t="s">
        <v>58</v>
      </c>
      <c r="AD506" s="12" t="s">
        <v>7884</v>
      </c>
      <c r="AE506" s="12" t="s">
        <v>7738</v>
      </c>
      <c r="AF506" s="12" t="s">
        <v>45</v>
      </c>
    </row>
    <row r="507" spans="1:32" x14ac:dyDescent="0.2">
      <c r="A507" s="12" t="s">
        <v>3738</v>
      </c>
      <c r="B507" s="12" t="s">
        <v>3739</v>
      </c>
      <c r="C507" s="12" t="s">
        <v>3741</v>
      </c>
      <c r="D507" s="12" t="s">
        <v>143</v>
      </c>
      <c r="E507" s="12" t="s">
        <v>7678</v>
      </c>
      <c r="F507" s="12" t="s">
        <v>5460</v>
      </c>
      <c r="G507" s="12" t="s">
        <v>141</v>
      </c>
      <c r="H507" s="12" t="s">
        <v>6614</v>
      </c>
      <c r="I507" s="12">
        <v>3322</v>
      </c>
      <c r="J507" s="12" t="s">
        <v>3742</v>
      </c>
      <c r="K507" s="12" t="s">
        <v>6652</v>
      </c>
      <c r="L507" s="12" t="s">
        <v>3740</v>
      </c>
      <c r="M507" s="12" t="s">
        <v>3740</v>
      </c>
      <c r="N507" s="12" t="s">
        <v>5785</v>
      </c>
      <c r="O507" s="12" t="s">
        <v>3743</v>
      </c>
      <c r="P507" s="12" t="s">
        <v>18</v>
      </c>
      <c r="Q507" s="12" t="s">
        <v>6653</v>
      </c>
      <c r="R507" s="12">
        <v>53.456000000000003</v>
      </c>
      <c r="S507" s="12">
        <v>85.447000000000003</v>
      </c>
      <c r="T507" s="12" t="s">
        <v>11</v>
      </c>
      <c r="U507" s="12" t="s">
        <v>2792</v>
      </c>
      <c r="V507" s="12" t="s">
        <v>1459</v>
      </c>
      <c r="W507" s="12" t="s">
        <v>7160</v>
      </c>
      <c r="X507" s="12">
        <v>0.30299999999999999</v>
      </c>
      <c r="Y507" s="12">
        <v>304204</v>
      </c>
      <c r="Z507" s="12" t="s">
        <v>17</v>
      </c>
      <c r="AA507" s="12" t="s">
        <v>17</v>
      </c>
      <c r="AB507" s="12" t="s">
        <v>17</v>
      </c>
      <c r="AC507" s="12" t="s">
        <v>144</v>
      </c>
      <c r="AD507" s="12" t="s">
        <v>17</v>
      </c>
      <c r="AE507" s="12" t="s">
        <v>17</v>
      </c>
      <c r="AF507" s="12" t="s">
        <v>45</v>
      </c>
    </row>
    <row r="508" spans="1:32" x14ac:dyDescent="0.2">
      <c r="A508" s="12" t="s">
        <v>5274</v>
      </c>
      <c r="B508" s="12" t="s">
        <v>5274</v>
      </c>
      <c r="C508" s="12" t="s">
        <v>7014</v>
      </c>
      <c r="D508" s="12" t="s">
        <v>143</v>
      </c>
      <c r="E508" s="12" t="s">
        <v>8108</v>
      </c>
      <c r="F508" s="12" t="s">
        <v>5458</v>
      </c>
      <c r="G508" s="12" t="s">
        <v>5453</v>
      </c>
      <c r="H508" s="12" t="s">
        <v>6616</v>
      </c>
      <c r="I508" s="12">
        <v>3250</v>
      </c>
      <c r="J508" s="12" t="s">
        <v>5276</v>
      </c>
      <c r="K508" s="12" t="s">
        <v>6652</v>
      </c>
      <c r="L508" s="12" t="s">
        <v>5060</v>
      </c>
      <c r="M508" s="12" t="s">
        <v>5076</v>
      </c>
      <c r="N508" s="12" t="s">
        <v>5785</v>
      </c>
      <c r="O508" s="12" t="s">
        <v>5080</v>
      </c>
      <c r="P508" s="12" t="s">
        <v>1152</v>
      </c>
      <c r="Q508" s="12" t="s">
        <v>6653</v>
      </c>
      <c r="R508" s="16">
        <v>46.965866669999997</v>
      </c>
      <c r="S508" s="16">
        <v>80.034733329999995</v>
      </c>
      <c r="T508" s="12" t="s">
        <v>11</v>
      </c>
      <c r="U508" s="12" t="s">
        <v>1321</v>
      </c>
      <c r="V508" s="12" t="s">
        <v>1459</v>
      </c>
      <c r="W508" s="12" t="s">
        <v>7415</v>
      </c>
      <c r="X508" s="12">
        <v>1.0376300000000001</v>
      </c>
      <c r="Y508" s="12">
        <v>597074</v>
      </c>
      <c r="Z508" s="12">
        <v>6.195E-3</v>
      </c>
      <c r="AA508" s="12">
        <v>2.5075459119715786</v>
      </c>
      <c r="AB508" s="12" t="s">
        <v>5275</v>
      </c>
      <c r="AC508" s="12" t="s">
        <v>21</v>
      </c>
      <c r="AD508" s="12">
        <v>4.5999999999999999E-2</v>
      </c>
      <c r="AE508" s="12">
        <v>0.99299999999999999</v>
      </c>
      <c r="AF508" s="12" t="s">
        <v>436</v>
      </c>
    </row>
    <row r="509" spans="1:32" x14ac:dyDescent="0.2">
      <c r="A509" s="12" t="s">
        <v>1248</v>
      </c>
      <c r="B509" s="12" t="s">
        <v>1248</v>
      </c>
      <c r="C509" s="12" t="s">
        <v>7000</v>
      </c>
      <c r="D509" s="12" t="s">
        <v>13</v>
      </c>
      <c r="E509" s="12" t="s">
        <v>8110</v>
      </c>
      <c r="F509" s="12" t="s">
        <v>1251</v>
      </c>
      <c r="G509" s="12" t="s">
        <v>5453</v>
      </c>
      <c r="H509" s="12" t="s">
        <v>6615</v>
      </c>
      <c r="I509" s="12">
        <v>3238</v>
      </c>
      <c r="J509" s="12" t="s">
        <v>1251</v>
      </c>
      <c r="K509" s="12" t="s">
        <v>6652</v>
      </c>
      <c r="L509" s="12" t="s">
        <v>1229</v>
      </c>
      <c r="M509" s="12" t="s">
        <v>1249</v>
      </c>
      <c r="N509" s="12" t="s">
        <v>5785</v>
      </c>
      <c r="O509" s="12" t="s">
        <v>1252</v>
      </c>
      <c r="P509" s="12" t="s">
        <v>1152</v>
      </c>
      <c r="Q509" s="12" t="s">
        <v>6653</v>
      </c>
      <c r="R509" s="16">
        <v>48.214399999999998</v>
      </c>
      <c r="S509" s="16">
        <v>67.020499999999998</v>
      </c>
      <c r="T509" s="12" t="s">
        <v>11</v>
      </c>
      <c r="U509" s="12" t="s">
        <v>1253</v>
      </c>
      <c r="V509" s="12" t="s">
        <v>755</v>
      </c>
      <c r="W509" s="12" t="s">
        <v>7415</v>
      </c>
      <c r="X509" s="12">
        <v>4.5990000000000002</v>
      </c>
      <c r="Y509" s="12">
        <v>792678</v>
      </c>
      <c r="Z509" s="12">
        <v>4.875E-3</v>
      </c>
      <c r="AA509" s="12">
        <v>4.5362213787693673</v>
      </c>
      <c r="AB509" s="12" t="s">
        <v>1250</v>
      </c>
      <c r="AC509" s="12" t="s">
        <v>21</v>
      </c>
      <c r="AD509" s="12">
        <v>5.7000000000000002E-2</v>
      </c>
      <c r="AE509" s="12">
        <v>0.995</v>
      </c>
      <c r="AF509" s="12" t="s">
        <v>82</v>
      </c>
    </row>
    <row r="510" spans="1:32" x14ac:dyDescent="0.2">
      <c r="A510" s="12" t="s">
        <v>1366</v>
      </c>
      <c r="B510" s="12" t="s">
        <v>1366</v>
      </c>
      <c r="C510" s="12" t="s">
        <v>7609</v>
      </c>
      <c r="D510" s="12" t="s">
        <v>13</v>
      </c>
      <c r="E510" s="12" t="s">
        <v>8110</v>
      </c>
      <c r="F510" s="12" t="s">
        <v>5458</v>
      </c>
      <c r="G510" s="12" t="s">
        <v>5453</v>
      </c>
      <c r="H510" s="12" t="s">
        <v>7595</v>
      </c>
      <c r="I510" s="12">
        <v>3100</v>
      </c>
      <c r="J510" s="12" t="s">
        <v>1368</v>
      </c>
      <c r="K510" s="12" t="s">
        <v>6652</v>
      </c>
      <c r="L510" s="12" t="s">
        <v>1229</v>
      </c>
      <c r="M510" s="12" t="s">
        <v>7039</v>
      </c>
      <c r="N510" s="12" t="s">
        <v>5785</v>
      </c>
      <c r="O510" s="12" t="s">
        <v>7038</v>
      </c>
      <c r="P510" s="12" t="s">
        <v>1152</v>
      </c>
      <c r="Q510" s="12" t="s">
        <v>6653</v>
      </c>
      <c r="R510" s="12">
        <v>50.82</v>
      </c>
      <c r="S510" s="12">
        <v>75.599999999999994</v>
      </c>
      <c r="T510" s="12" t="s">
        <v>25</v>
      </c>
      <c r="U510" s="12" t="s">
        <v>1117</v>
      </c>
      <c r="V510" s="12" t="s">
        <v>6639</v>
      </c>
      <c r="W510" s="12" t="s">
        <v>6639</v>
      </c>
      <c r="X510" s="12">
        <v>3.756894</v>
      </c>
      <c r="Y510" s="12">
        <v>814690</v>
      </c>
      <c r="Z510" s="12" t="s">
        <v>6639</v>
      </c>
      <c r="AA510" s="12" t="s">
        <v>6639</v>
      </c>
      <c r="AB510" s="12" t="s">
        <v>1367</v>
      </c>
      <c r="AC510" s="12" t="s">
        <v>21</v>
      </c>
      <c r="AD510" s="12">
        <v>0.11899999999999999</v>
      </c>
      <c r="AE510" s="12">
        <v>0.99099999999999999</v>
      </c>
      <c r="AF510" s="12" t="s">
        <v>45</v>
      </c>
    </row>
    <row r="511" spans="1:32" x14ac:dyDescent="0.2">
      <c r="A511" s="12" t="s">
        <v>1369</v>
      </c>
      <c r="B511" s="12" t="s">
        <v>1369</v>
      </c>
      <c r="C511" s="12" t="s">
        <v>7611</v>
      </c>
      <c r="D511" s="12" t="s">
        <v>13</v>
      </c>
      <c r="E511" s="12" t="s">
        <v>8110</v>
      </c>
      <c r="F511" s="12" t="s">
        <v>5458</v>
      </c>
      <c r="G511" s="12" t="s">
        <v>5453</v>
      </c>
      <c r="H511" s="12" t="s">
        <v>7595</v>
      </c>
      <c r="I511" s="12">
        <v>3100</v>
      </c>
      <c r="J511" s="12" t="s">
        <v>1368</v>
      </c>
      <c r="K511" s="12" t="s">
        <v>6652</v>
      </c>
      <c r="L511" s="12" t="s">
        <v>1229</v>
      </c>
      <c r="M511" s="12" t="s">
        <v>7039</v>
      </c>
      <c r="N511" s="12" t="s">
        <v>5785</v>
      </c>
      <c r="O511" s="12" t="s">
        <v>7038</v>
      </c>
      <c r="P511" s="12" t="s">
        <v>1152</v>
      </c>
      <c r="Q511" s="12" t="s">
        <v>6653</v>
      </c>
      <c r="R511" s="16">
        <v>50.82</v>
      </c>
      <c r="S511" s="16">
        <v>75.599999999999994</v>
      </c>
      <c r="T511" s="12" t="s">
        <v>11</v>
      </c>
      <c r="U511" s="12" t="s">
        <v>1281</v>
      </c>
      <c r="V511" s="12" t="s">
        <v>755</v>
      </c>
      <c r="W511" s="12" t="s">
        <v>7415</v>
      </c>
      <c r="X511" s="12">
        <v>4.6696160000000004</v>
      </c>
      <c r="Y511" s="12">
        <v>838551</v>
      </c>
      <c r="Z511" s="12">
        <v>4.1879999999999999E-3</v>
      </c>
      <c r="AA511" s="12">
        <v>4.7769125928791834</v>
      </c>
      <c r="AB511" s="12" t="s">
        <v>1370</v>
      </c>
      <c r="AC511" s="12" t="s">
        <v>21</v>
      </c>
      <c r="AD511" s="12">
        <v>0.124</v>
      </c>
      <c r="AE511" s="12">
        <v>0.995</v>
      </c>
      <c r="AF511" s="12" t="s">
        <v>59</v>
      </c>
    </row>
    <row r="512" spans="1:32" x14ac:dyDescent="0.2">
      <c r="A512" s="12" t="s">
        <v>1327</v>
      </c>
      <c r="B512" s="12" t="s">
        <v>1327</v>
      </c>
      <c r="C512" s="12" t="s">
        <v>7043</v>
      </c>
      <c r="D512" s="12" t="s">
        <v>13</v>
      </c>
      <c r="E512" s="12" t="s">
        <v>8110</v>
      </c>
      <c r="F512" s="12" t="s">
        <v>5458</v>
      </c>
      <c r="G512" s="12" t="s">
        <v>5453</v>
      </c>
      <c r="H512" s="12" t="s">
        <v>6616</v>
      </c>
      <c r="I512" s="12">
        <v>3050</v>
      </c>
      <c r="J512" s="12" t="s">
        <v>1330</v>
      </c>
      <c r="K512" s="12" t="s">
        <v>6652</v>
      </c>
      <c r="L512" s="12" t="s">
        <v>1229</v>
      </c>
      <c r="M512" s="12" t="s">
        <v>1328</v>
      </c>
      <c r="N512" s="12" t="s">
        <v>5785</v>
      </c>
      <c r="O512" s="12" t="s">
        <v>1331</v>
      </c>
      <c r="P512" s="12" t="s">
        <v>865</v>
      </c>
      <c r="Q512" s="12" t="s">
        <v>6653</v>
      </c>
      <c r="R512" s="12">
        <v>40.37722222</v>
      </c>
      <c r="S512" s="12">
        <v>71.855000000000004</v>
      </c>
      <c r="T512" s="12" t="s">
        <v>11</v>
      </c>
      <c r="U512" s="12" t="s">
        <v>1311</v>
      </c>
      <c r="V512" s="12" t="s">
        <v>606</v>
      </c>
      <c r="W512" s="12" t="s">
        <v>7415</v>
      </c>
      <c r="X512" s="12">
        <v>0.63500000000000001</v>
      </c>
      <c r="Y512" s="12">
        <v>421725</v>
      </c>
      <c r="Z512" s="12">
        <v>2.0036000000000002E-2</v>
      </c>
      <c r="AA512" s="12">
        <v>3.0855423338071399</v>
      </c>
      <c r="AB512" s="12" t="s">
        <v>1329</v>
      </c>
      <c r="AC512" s="12" t="s">
        <v>21</v>
      </c>
      <c r="AD512" s="12">
        <v>0.13300000000000001</v>
      </c>
      <c r="AE512" s="12">
        <v>0.98799999999999999</v>
      </c>
      <c r="AF512" s="12" t="s">
        <v>7667</v>
      </c>
    </row>
    <row r="513" spans="1:32" x14ac:dyDescent="0.2">
      <c r="A513" s="12" t="s">
        <v>1332</v>
      </c>
      <c r="B513" s="12" t="s">
        <v>1332</v>
      </c>
      <c r="C513" s="12" t="s">
        <v>7001</v>
      </c>
      <c r="D513" s="12" t="s">
        <v>13</v>
      </c>
      <c r="E513" s="12" t="s">
        <v>8110</v>
      </c>
      <c r="F513" s="12" t="s">
        <v>5458</v>
      </c>
      <c r="G513" s="12" t="s">
        <v>5453</v>
      </c>
      <c r="H513" s="12" t="s">
        <v>6616</v>
      </c>
      <c r="I513" s="12">
        <v>3050</v>
      </c>
      <c r="J513" s="12" t="s">
        <v>1330</v>
      </c>
      <c r="K513" s="12" t="s">
        <v>6652</v>
      </c>
      <c r="L513" s="12" t="s">
        <v>1229</v>
      </c>
      <c r="M513" s="12" t="s">
        <v>1328</v>
      </c>
      <c r="N513" s="12" t="s">
        <v>5785</v>
      </c>
      <c r="O513" s="12" t="s">
        <v>1331</v>
      </c>
      <c r="P513" s="12" t="s">
        <v>865</v>
      </c>
      <c r="Q513" s="12" t="s">
        <v>6653</v>
      </c>
      <c r="R513" s="16">
        <v>40.37722222</v>
      </c>
      <c r="S513" s="16">
        <v>71.855000000000004</v>
      </c>
      <c r="T513" s="12" t="s">
        <v>11</v>
      </c>
      <c r="U513" s="12" t="s">
        <v>1334</v>
      </c>
      <c r="V513" s="12" t="s">
        <v>606</v>
      </c>
      <c r="W513" s="12" t="s">
        <v>7415</v>
      </c>
      <c r="X513" s="12">
        <v>2.4860000000000002</v>
      </c>
      <c r="Y513" s="12">
        <v>732809</v>
      </c>
      <c r="Z513" s="12">
        <v>5.2009999999999999E-3</v>
      </c>
      <c r="AA513" s="12">
        <v>3.6245973637517959</v>
      </c>
      <c r="AB513" s="12" t="s">
        <v>1333</v>
      </c>
      <c r="AC513" s="12" t="s">
        <v>21</v>
      </c>
      <c r="AD513" s="12">
        <v>0.10100000000000001</v>
      </c>
      <c r="AE513" s="12">
        <v>0.97599999999999998</v>
      </c>
      <c r="AF513" s="12" t="s">
        <v>45</v>
      </c>
    </row>
    <row r="514" spans="1:32" x14ac:dyDescent="0.2">
      <c r="A514" s="12" t="s">
        <v>3021</v>
      </c>
      <c r="B514" s="12" t="s">
        <v>3021</v>
      </c>
      <c r="C514" s="12" t="s">
        <v>7007</v>
      </c>
      <c r="D514" s="12" t="s">
        <v>13</v>
      </c>
      <c r="E514" s="12" t="s">
        <v>8110</v>
      </c>
      <c r="F514" s="12" t="s">
        <v>5458</v>
      </c>
      <c r="G514" s="12" t="s">
        <v>5453</v>
      </c>
      <c r="H514" s="12" t="s">
        <v>6616</v>
      </c>
      <c r="I514" s="12">
        <v>3000</v>
      </c>
      <c r="J514" s="12" t="s">
        <v>3024</v>
      </c>
      <c r="K514" s="12" t="s">
        <v>6652</v>
      </c>
      <c r="L514" s="12" t="s">
        <v>3022</v>
      </c>
      <c r="M514" s="12" t="s">
        <v>3022</v>
      </c>
      <c r="N514" s="12" t="s">
        <v>24</v>
      </c>
      <c r="O514" s="12" t="s">
        <v>3025</v>
      </c>
      <c r="P514" s="12" t="s">
        <v>1152</v>
      </c>
      <c r="Q514" s="12" t="s">
        <v>6653</v>
      </c>
      <c r="R514" s="12" t="s">
        <v>17</v>
      </c>
      <c r="S514" s="12" t="s">
        <v>17</v>
      </c>
      <c r="T514" s="12" t="s">
        <v>11</v>
      </c>
      <c r="U514" s="12" t="s">
        <v>17</v>
      </c>
      <c r="V514" s="12" t="s">
        <v>383</v>
      </c>
      <c r="W514" s="12" t="s">
        <v>7415</v>
      </c>
      <c r="X514" s="12">
        <v>3.1029999999999999E-3</v>
      </c>
      <c r="Y514" s="12">
        <v>3737</v>
      </c>
      <c r="Z514" s="12" t="s">
        <v>8052</v>
      </c>
      <c r="AA514" s="12" t="s">
        <v>8052</v>
      </c>
      <c r="AB514" s="12" t="s">
        <v>3023</v>
      </c>
      <c r="AC514" s="12" t="s">
        <v>21</v>
      </c>
      <c r="AD514" s="12">
        <v>2.7E-2</v>
      </c>
      <c r="AE514" s="12" t="s">
        <v>7796</v>
      </c>
      <c r="AF514" s="12" t="s">
        <v>7799</v>
      </c>
    </row>
    <row r="515" spans="1:32" x14ac:dyDescent="0.2">
      <c r="A515" s="12" t="s">
        <v>5414</v>
      </c>
      <c r="B515" s="12" t="s">
        <v>5414</v>
      </c>
      <c r="C515" s="12" t="s">
        <v>7447</v>
      </c>
      <c r="D515" s="12" t="s">
        <v>13</v>
      </c>
      <c r="E515" s="12" t="s">
        <v>8110</v>
      </c>
      <c r="F515" s="12" t="s">
        <v>5469</v>
      </c>
      <c r="G515" s="12" t="s">
        <v>5453</v>
      </c>
      <c r="H515" s="12" t="s">
        <v>7448</v>
      </c>
      <c r="I515" s="12">
        <v>8166</v>
      </c>
      <c r="J515" s="12" t="s">
        <v>5417</v>
      </c>
      <c r="K515" s="12" t="s">
        <v>1573</v>
      </c>
      <c r="L515" s="12" t="s">
        <v>5409</v>
      </c>
      <c r="M515" s="12" t="s">
        <v>5415</v>
      </c>
      <c r="N515" s="12" t="s">
        <v>5785</v>
      </c>
      <c r="O515" s="12" t="s">
        <v>5418</v>
      </c>
      <c r="P515" s="12" t="s">
        <v>18</v>
      </c>
      <c r="Q515" s="12" t="s">
        <v>6653</v>
      </c>
      <c r="R515" s="12">
        <v>56.036222219999999</v>
      </c>
      <c r="S515" s="12">
        <v>69.338861109999996</v>
      </c>
      <c r="T515" s="12" t="s">
        <v>25</v>
      </c>
      <c r="U515" s="12" t="s">
        <v>5419</v>
      </c>
      <c r="V515" s="12" t="s">
        <v>6639</v>
      </c>
      <c r="W515" s="12" t="s">
        <v>6639</v>
      </c>
      <c r="X515" s="12">
        <v>5.3460000000000001</v>
      </c>
      <c r="Y515" s="12">
        <v>805830</v>
      </c>
      <c r="Z515" s="12" t="s">
        <v>6639</v>
      </c>
      <c r="AA515" s="12" t="s">
        <v>6639</v>
      </c>
      <c r="AB515" s="12" t="s">
        <v>5416</v>
      </c>
      <c r="AC515" s="12" t="s">
        <v>21</v>
      </c>
      <c r="AD515" s="12">
        <v>5.2999999999999999E-2</v>
      </c>
      <c r="AE515" s="12">
        <v>0.997</v>
      </c>
      <c r="AF515" s="12" t="s">
        <v>45</v>
      </c>
    </row>
    <row r="516" spans="1:32" x14ac:dyDescent="0.2">
      <c r="A516" s="12" t="s">
        <v>1525</v>
      </c>
      <c r="B516" s="12" t="s">
        <v>1525</v>
      </c>
      <c r="C516" s="12" t="s">
        <v>1527</v>
      </c>
      <c r="D516" s="12" t="s">
        <v>105</v>
      </c>
      <c r="E516" s="12" t="s">
        <v>8110</v>
      </c>
      <c r="F516" s="12" t="s">
        <v>5460</v>
      </c>
      <c r="G516" s="12" t="s">
        <v>1517</v>
      </c>
      <c r="H516" s="12" t="s">
        <v>6614</v>
      </c>
      <c r="I516" s="12">
        <v>7549</v>
      </c>
      <c r="J516" s="12" t="s">
        <v>1529</v>
      </c>
      <c r="K516" s="12" t="s">
        <v>1573</v>
      </c>
      <c r="L516" s="12" t="s">
        <v>1512</v>
      </c>
      <c r="M516" s="12" t="s">
        <v>1526</v>
      </c>
      <c r="N516" s="12" t="s">
        <v>5785</v>
      </c>
      <c r="O516" s="12" t="s">
        <v>1530</v>
      </c>
      <c r="P516" s="12" t="s">
        <v>18</v>
      </c>
      <c r="Q516" s="12" t="s">
        <v>6653</v>
      </c>
      <c r="R516" s="12">
        <v>53.680622999999997</v>
      </c>
      <c r="S516" s="12">
        <v>50.675348999999997</v>
      </c>
      <c r="T516" s="12" t="s">
        <v>11</v>
      </c>
      <c r="U516" s="12" t="s">
        <v>1531</v>
      </c>
      <c r="V516" s="12" t="s">
        <v>495</v>
      </c>
      <c r="W516" s="12" t="s">
        <v>7160</v>
      </c>
      <c r="X516" s="12">
        <v>0.59799999999999998</v>
      </c>
      <c r="Y516" s="12">
        <v>477876</v>
      </c>
      <c r="Z516" s="12" t="s">
        <v>17</v>
      </c>
      <c r="AA516" s="12" t="s">
        <v>17</v>
      </c>
      <c r="AB516" s="12" t="s">
        <v>1528</v>
      </c>
      <c r="AC516" s="12" t="s">
        <v>21</v>
      </c>
      <c r="AD516" s="12" t="s">
        <v>17</v>
      </c>
      <c r="AE516" s="12">
        <v>0.995</v>
      </c>
      <c r="AF516" s="12" t="s">
        <v>45</v>
      </c>
    </row>
    <row r="517" spans="1:32" x14ac:dyDescent="0.2">
      <c r="A517" s="12" t="s">
        <v>2587</v>
      </c>
      <c r="B517" s="12" t="s">
        <v>2587</v>
      </c>
      <c r="C517" s="12" t="s">
        <v>2588</v>
      </c>
      <c r="D517" s="12" t="s">
        <v>105</v>
      </c>
      <c r="E517" s="12" t="s">
        <v>8110</v>
      </c>
      <c r="F517" s="12" t="s">
        <v>2590</v>
      </c>
      <c r="G517" s="12" t="s">
        <v>273</v>
      </c>
      <c r="H517" s="12" t="s">
        <v>6614</v>
      </c>
      <c r="I517" s="12">
        <v>6906</v>
      </c>
      <c r="J517" s="12" t="s">
        <v>2590</v>
      </c>
      <c r="K517" s="12" t="s">
        <v>1573</v>
      </c>
      <c r="L517" s="12" t="s">
        <v>2576</v>
      </c>
      <c r="M517" s="12" t="s">
        <v>2576</v>
      </c>
      <c r="N517" s="12" t="s">
        <v>5785</v>
      </c>
      <c r="O517" s="12" t="s">
        <v>2580</v>
      </c>
      <c r="P517" s="12" t="s">
        <v>18</v>
      </c>
      <c r="Q517" s="12" t="s">
        <v>6653</v>
      </c>
      <c r="R517" s="12">
        <v>52.22</v>
      </c>
      <c r="S517" s="12">
        <v>48.1</v>
      </c>
      <c r="T517" s="12" t="s">
        <v>11</v>
      </c>
      <c r="U517" s="12" t="s">
        <v>5758</v>
      </c>
      <c r="V517" s="12" t="s">
        <v>2591</v>
      </c>
      <c r="W517" s="12" t="s">
        <v>7160</v>
      </c>
      <c r="X517" s="12">
        <v>5.2999999999999999E-2</v>
      </c>
      <c r="Y517" s="12">
        <v>61851</v>
      </c>
      <c r="Z517" s="12" t="s">
        <v>17</v>
      </c>
      <c r="AA517" s="12" t="s">
        <v>17</v>
      </c>
      <c r="AB517" s="12" t="s">
        <v>2589</v>
      </c>
      <c r="AC517" s="12" t="s">
        <v>21</v>
      </c>
      <c r="AD517" s="12" t="s">
        <v>17</v>
      </c>
      <c r="AE517" s="12">
        <v>0.99099999999999999</v>
      </c>
      <c r="AF517" s="12" t="s">
        <v>45</v>
      </c>
    </row>
    <row r="518" spans="1:32" x14ac:dyDescent="0.2">
      <c r="A518" s="12" t="s">
        <v>2582</v>
      </c>
      <c r="B518" s="12" t="s">
        <v>2582</v>
      </c>
      <c r="C518" s="12" t="s">
        <v>2583</v>
      </c>
      <c r="D518" s="12" t="s">
        <v>105</v>
      </c>
      <c r="E518" s="12" t="s">
        <v>8110</v>
      </c>
      <c r="F518" s="12" t="s">
        <v>2585</v>
      </c>
      <c r="G518" s="12" t="s">
        <v>273</v>
      </c>
      <c r="H518" s="12" t="s">
        <v>6614</v>
      </c>
      <c r="I518" s="12">
        <v>6807</v>
      </c>
      <c r="J518" s="12" t="s">
        <v>2585</v>
      </c>
      <c r="K518" s="12" t="s">
        <v>1573</v>
      </c>
      <c r="L518" s="12" t="s">
        <v>2576</v>
      </c>
      <c r="M518" s="12" t="s">
        <v>2576</v>
      </c>
      <c r="N518" s="12" t="s">
        <v>5785</v>
      </c>
      <c r="O518" s="12" t="s">
        <v>2580</v>
      </c>
      <c r="P518" s="12" t="s">
        <v>18</v>
      </c>
      <c r="Q518" s="12" t="s">
        <v>6653</v>
      </c>
      <c r="R518" s="12">
        <v>52.22</v>
      </c>
      <c r="S518" s="12">
        <v>48.1</v>
      </c>
      <c r="T518" s="12" t="s">
        <v>11</v>
      </c>
      <c r="U518" s="12" t="s">
        <v>422</v>
      </c>
      <c r="V518" s="12" t="s">
        <v>435</v>
      </c>
      <c r="W518" s="12" t="s">
        <v>7160</v>
      </c>
      <c r="X518" s="12">
        <v>0.72299999999999998</v>
      </c>
      <c r="Y518" s="12">
        <v>569453</v>
      </c>
      <c r="Z518" s="12" t="s">
        <v>17</v>
      </c>
      <c r="AA518" s="12" t="s">
        <v>17</v>
      </c>
      <c r="AB518" s="12" t="s">
        <v>2584</v>
      </c>
      <c r="AC518" s="12" t="s">
        <v>2586</v>
      </c>
      <c r="AD518" s="12" t="s">
        <v>7935</v>
      </c>
      <c r="AE518" s="12" t="s">
        <v>8054</v>
      </c>
      <c r="AF518" s="12" t="s">
        <v>45</v>
      </c>
    </row>
    <row r="519" spans="1:32" x14ac:dyDescent="0.2">
      <c r="A519" s="12" t="s">
        <v>5420</v>
      </c>
      <c r="B519" s="12" t="s">
        <v>5420</v>
      </c>
      <c r="C519" s="12" t="s">
        <v>7458</v>
      </c>
      <c r="D519" s="12" t="s">
        <v>13</v>
      </c>
      <c r="E519" s="12" t="s">
        <v>8110</v>
      </c>
      <c r="F519" s="12" t="s">
        <v>5422</v>
      </c>
      <c r="G519" s="12" t="s">
        <v>5453</v>
      </c>
      <c r="H519" s="12" t="s">
        <v>7448</v>
      </c>
      <c r="I519" s="12">
        <v>6591</v>
      </c>
      <c r="J519" s="12" t="s">
        <v>5422</v>
      </c>
      <c r="K519" s="12" t="s">
        <v>1573</v>
      </c>
      <c r="L519" s="12" t="s">
        <v>5409</v>
      </c>
      <c r="M519" s="12" t="s">
        <v>5415</v>
      </c>
      <c r="N519" s="12" t="s">
        <v>5785</v>
      </c>
      <c r="O519" s="12" t="s">
        <v>5418</v>
      </c>
      <c r="P519" s="12" t="s">
        <v>18</v>
      </c>
      <c r="Q519" s="12" t="s">
        <v>6653</v>
      </c>
      <c r="R519" s="12">
        <v>56.036222219999999</v>
      </c>
      <c r="S519" s="12">
        <v>69.338861109999996</v>
      </c>
      <c r="T519" s="12" t="s">
        <v>25</v>
      </c>
      <c r="U519" s="12" t="s">
        <v>1126</v>
      </c>
      <c r="V519" s="12" t="s">
        <v>6639</v>
      </c>
      <c r="W519" s="12" t="s">
        <v>6639</v>
      </c>
      <c r="X519" s="12">
        <v>2.7E-2</v>
      </c>
      <c r="Y519" s="12">
        <v>31796</v>
      </c>
      <c r="Z519" s="12" t="s">
        <v>6639</v>
      </c>
      <c r="AA519" s="12" t="s">
        <v>6639</v>
      </c>
      <c r="AB519" s="12" t="s">
        <v>5421</v>
      </c>
      <c r="AC519" s="12" t="s">
        <v>21</v>
      </c>
      <c r="AD519" s="12">
        <v>0.04</v>
      </c>
      <c r="AE519" s="12">
        <v>0.81699999999999995</v>
      </c>
      <c r="AF519" s="12" t="s">
        <v>7666</v>
      </c>
    </row>
    <row r="520" spans="1:32" x14ac:dyDescent="0.2">
      <c r="A520" s="12" t="s">
        <v>2575</v>
      </c>
      <c r="B520" s="12" t="s">
        <v>2575</v>
      </c>
      <c r="C520" s="12" t="s">
        <v>2577</v>
      </c>
      <c r="D520" s="12" t="s">
        <v>105</v>
      </c>
      <c r="E520" s="12" t="s">
        <v>8110</v>
      </c>
      <c r="F520" s="12" t="s">
        <v>2579</v>
      </c>
      <c r="G520" s="12" t="s">
        <v>273</v>
      </c>
      <c r="H520" s="12" t="s">
        <v>6614</v>
      </c>
      <c r="I520" s="12">
        <v>6566</v>
      </c>
      <c r="J520" s="12" t="s">
        <v>2579</v>
      </c>
      <c r="K520" s="12" t="s">
        <v>1573</v>
      </c>
      <c r="L520" s="12" t="s">
        <v>2576</v>
      </c>
      <c r="M520" s="12" t="s">
        <v>2576</v>
      </c>
      <c r="N520" s="12" t="s">
        <v>5785</v>
      </c>
      <c r="O520" s="12" t="s">
        <v>2580</v>
      </c>
      <c r="P520" s="12" t="s">
        <v>18</v>
      </c>
      <c r="Q520" s="12" t="s">
        <v>6653</v>
      </c>
      <c r="R520" s="12">
        <v>52.22</v>
      </c>
      <c r="S520" s="12">
        <v>48.1</v>
      </c>
      <c r="T520" s="12" t="s">
        <v>11</v>
      </c>
      <c r="U520" s="12" t="s">
        <v>2581</v>
      </c>
      <c r="V520" s="12" t="s">
        <v>1282</v>
      </c>
      <c r="W520" s="12" t="s">
        <v>7160</v>
      </c>
      <c r="X520" s="12">
        <v>0.47599999999999998</v>
      </c>
      <c r="Y520" s="12">
        <v>431545</v>
      </c>
      <c r="Z520" s="12" t="s">
        <v>17</v>
      </c>
      <c r="AA520" s="12" t="s">
        <v>17</v>
      </c>
      <c r="AB520" s="12" t="s">
        <v>2578</v>
      </c>
      <c r="AC520" s="12" t="s">
        <v>21</v>
      </c>
      <c r="AD520" s="12" t="s">
        <v>17</v>
      </c>
      <c r="AE520" s="12">
        <v>0.97099999999999997</v>
      </c>
      <c r="AF520" s="12" t="s">
        <v>45</v>
      </c>
    </row>
    <row r="521" spans="1:32" x14ac:dyDescent="0.2">
      <c r="A521" s="12" t="s">
        <v>1509</v>
      </c>
      <c r="B521" s="12" t="s">
        <v>1509</v>
      </c>
      <c r="C521" s="12" t="s">
        <v>1509</v>
      </c>
      <c r="D521" s="12" t="s">
        <v>17</v>
      </c>
      <c r="E521" s="12" t="s">
        <v>8110</v>
      </c>
      <c r="F521" s="12" t="s">
        <v>5458</v>
      </c>
      <c r="G521" s="12" t="s">
        <v>1510</v>
      </c>
      <c r="H521" s="12" t="s">
        <v>6614</v>
      </c>
      <c r="I521" s="12">
        <v>6250</v>
      </c>
      <c r="J521" s="12" t="s">
        <v>1513</v>
      </c>
      <c r="K521" s="12" t="s">
        <v>1573</v>
      </c>
      <c r="L521" s="12" t="s">
        <v>1512</v>
      </c>
      <c r="M521" s="12" t="s">
        <v>1511</v>
      </c>
      <c r="N521" s="12" t="s">
        <v>5785</v>
      </c>
      <c r="O521" s="12" t="s">
        <v>1514</v>
      </c>
      <c r="P521" s="12" t="s">
        <v>18</v>
      </c>
      <c r="Q521" s="12" t="s">
        <v>6653</v>
      </c>
      <c r="R521" s="12">
        <v>61.264000000000003</v>
      </c>
      <c r="S521" s="12">
        <v>38.905000000000001</v>
      </c>
      <c r="T521" s="12" t="s">
        <v>11</v>
      </c>
      <c r="U521" s="12" t="s">
        <v>1515</v>
      </c>
      <c r="V521" s="12" t="s">
        <v>262</v>
      </c>
      <c r="W521" s="12" t="s">
        <v>7160</v>
      </c>
      <c r="X521" s="12">
        <v>6.4000000000000001E-2</v>
      </c>
      <c r="Y521" s="12">
        <v>66188</v>
      </c>
      <c r="Z521" s="12" t="s">
        <v>17</v>
      </c>
      <c r="AA521" s="12" t="s">
        <v>17</v>
      </c>
      <c r="AB521" s="12" t="s">
        <v>17</v>
      </c>
      <c r="AC521" s="12" t="s">
        <v>21</v>
      </c>
      <c r="AD521" s="12" t="s">
        <v>17</v>
      </c>
      <c r="AE521" s="12" t="s">
        <v>17</v>
      </c>
      <c r="AF521" s="12" t="s">
        <v>45</v>
      </c>
    </row>
    <row r="522" spans="1:32" x14ac:dyDescent="0.2">
      <c r="A522" s="12" t="s">
        <v>5407</v>
      </c>
      <c r="B522" s="12" t="s">
        <v>5407</v>
      </c>
      <c r="C522" s="12" t="s">
        <v>7457</v>
      </c>
      <c r="D522" s="12" t="s">
        <v>13</v>
      </c>
      <c r="E522" s="12" t="s">
        <v>8110</v>
      </c>
      <c r="F522" s="12" t="s">
        <v>5411</v>
      </c>
      <c r="G522" s="12" t="s">
        <v>5453</v>
      </c>
      <c r="H522" s="12" t="s">
        <v>7448</v>
      </c>
      <c r="I522" s="12">
        <v>6057</v>
      </c>
      <c r="J522" s="12" t="s">
        <v>5411</v>
      </c>
      <c r="K522" s="12" t="s">
        <v>1573</v>
      </c>
      <c r="L522" s="12" t="s">
        <v>5409</v>
      </c>
      <c r="M522" s="12" t="s">
        <v>5408</v>
      </c>
      <c r="N522" s="12" t="s">
        <v>5785</v>
      </c>
      <c r="O522" s="12" t="s">
        <v>5412</v>
      </c>
      <c r="P522" s="12" t="s">
        <v>18</v>
      </c>
      <c r="Q522" s="12" t="s">
        <v>6653</v>
      </c>
      <c r="R522" s="12">
        <v>57.358888890000003</v>
      </c>
      <c r="S522" s="12">
        <v>65.364999999999995</v>
      </c>
      <c r="T522" s="12" t="s">
        <v>25</v>
      </c>
      <c r="U522" s="12" t="s">
        <v>5413</v>
      </c>
      <c r="V522" s="12" t="s">
        <v>6639</v>
      </c>
      <c r="W522" s="12" t="s">
        <v>6639</v>
      </c>
      <c r="X522" s="12">
        <v>1.7609999999999999</v>
      </c>
      <c r="Y522" s="12">
        <v>625559</v>
      </c>
      <c r="Z522" s="12" t="s">
        <v>6639</v>
      </c>
      <c r="AA522" s="12" t="s">
        <v>6639</v>
      </c>
      <c r="AB522" s="12" t="s">
        <v>5410</v>
      </c>
      <c r="AC522" s="12" t="s">
        <v>21</v>
      </c>
      <c r="AD522" s="12">
        <v>8.4000000000000005E-2</v>
      </c>
      <c r="AE522" s="12">
        <v>0.997</v>
      </c>
      <c r="AF522" s="12" t="s">
        <v>45</v>
      </c>
    </row>
    <row r="523" spans="1:32" x14ac:dyDescent="0.2">
      <c r="A523" s="12" t="s">
        <v>1160</v>
      </c>
      <c r="B523" s="12" t="s">
        <v>1161</v>
      </c>
      <c r="C523" s="12" t="s">
        <v>1162</v>
      </c>
      <c r="D523" s="12" t="s">
        <v>17</v>
      </c>
      <c r="E523" s="12" t="s">
        <v>7678</v>
      </c>
      <c r="F523" s="12" t="s">
        <v>5460</v>
      </c>
      <c r="G523" s="12" t="s">
        <v>222</v>
      </c>
      <c r="H523" s="12" t="s">
        <v>6614</v>
      </c>
      <c r="I523" s="12">
        <v>5450</v>
      </c>
      <c r="J523" s="12" t="s">
        <v>1163</v>
      </c>
      <c r="K523" s="12" t="s">
        <v>1573</v>
      </c>
      <c r="L523" s="12" t="s">
        <v>1148</v>
      </c>
      <c r="M523" s="12" t="s">
        <v>1148</v>
      </c>
      <c r="N523" s="12" t="s">
        <v>5785</v>
      </c>
      <c r="O523" s="12" t="s">
        <v>1151</v>
      </c>
      <c r="P523" s="12" t="s">
        <v>1152</v>
      </c>
      <c r="Q523" s="12" t="s">
        <v>6653</v>
      </c>
      <c r="R523" s="12">
        <v>53.305982999999998</v>
      </c>
      <c r="S523" s="12">
        <v>67.648166000000003</v>
      </c>
      <c r="T523" s="12" t="s">
        <v>25</v>
      </c>
      <c r="U523" s="12" t="s">
        <v>1164</v>
      </c>
      <c r="V523" s="12" t="s">
        <v>6639</v>
      </c>
      <c r="W523" s="12" t="s">
        <v>6639</v>
      </c>
      <c r="X523" s="12">
        <v>13.6</v>
      </c>
      <c r="Y523" s="12">
        <v>1149684</v>
      </c>
      <c r="Z523" s="12" t="s">
        <v>6639</v>
      </c>
      <c r="AA523" s="12" t="s">
        <v>6639</v>
      </c>
      <c r="AB523" s="12" t="s">
        <v>17</v>
      </c>
      <c r="AC523" s="12" t="s">
        <v>144</v>
      </c>
      <c r="AD523" s="12" t="s">
        <v>17</v>
      </c>
      <c r="AE523" s="12" t="s">
        <v>17</v>
      </c>
      <c r="AF523" s="12" t="s">
        <v>45</v>
      </c>
    </row>
    <row r="524" spans="1:32" x14ac:dyDescent="0.2">
      <c r="A524" s="12" t="s">
        <v>1154</v>
      </c>
      <c r="B524" s="12" t="s">
        <v>1155</v>
      </c>
      <c r="C524" s="12" t="s">
        <v>1156</v>
      </c>
      <c r="D524" s="12" t="s">
        <v>17</v>
      </c>
      <c r="E524" s="12" t="s">
        <v>7678</v>
      </c>
      <c r="F524" s="12" t="s">
        <v>5460</v>
      </c>
      <c r="G524" s="12" t="s">
        <v>222</v>
      </c>
      <c r="H524" s="12" t="s">
        <v>6614</v>
      </c>
      <c r="I524" s="12">
        <v>5264</v>
      </c>
      <c r="J524" s="12" t="s">
        <v>1157</v>
      </c>
      <c r="K524" s="12" t="s">
        <v>1573</v>
      </c>
      <c r="L524" s="12" t="s">
        <v>1148</v>
      </c>
      <c r="M524" s="12" t="s">
        <v>1148</v>
      </c>
      <c r="N524" s="12" t="s">
        <v>5785</v>
      </c>
      <c r="O524" s="12" t="s">
        <v>1151</v>
      </c>
      <c r="P524" s="12" t="s">
        <v>1152</v>
      </c>
      <c r="Q524" s="12" t="s">
        <v>6653</v>
      </c>
      <c r="R524" s="12">
        <v>53.305982999999998</v>
      </c>
      <c r="S524" s="12">
        <v>67.648166000000003</v>
      </c>
      <c r="T524" s="12" t="s">
        <v>11</v>
      </c>
      <c r="U524" s="12" t="s">
        <v>1158</v>
      </c>
      <c r="V524" s="12" t="s">
        <v>1159</v>
      </c>
      <c r="W524" s="12" t="s">
        <v>7415</v>
      </c>
      <c r="X524" s="12">
        <v>3.7</v>
      </c>
      <c r="Y524" s="12">
        <v>1114698</v>
      </c>
      <c r="Z524" s="12" t="s">
        <v>17</v>
      </c>
      <c r="AA524" s="12" t="s">
        <v>17</v>
      </c>
      <c r="AB524" s="12" t="s">
        <v>17</v>
      </c>
      <c r="AC524" s="12" t="s">
        <v>144</v>
      </c>
      <c r="AD524" s="12" t="s">
        <v>17</v>
      </c>
      <c r="AE524" s="12" t="s">
        <v>17</v>
      </c>
      <c r="AF524" s="12" t="s">
        <v>45</v>
      </c>
    </row>
    <row r="525" spans="1:32" x14ac:dyDescent="0.2">
      <c r="A525" s="12" t="s">
        <v>1146</v>
      </c>
      <c r="B525" s="12" t="s">
        <v>1147</v>
      </c>
      <c r="C525" s="12" t="s">
        <v>1149</v>
      </c>
      <c r="D525" s="12" t="s">
        <v>17</v>
      </c>
      <c r="E525" s="12" t="s">
        <v>7678</v>
      </c>
      <c r="F525" s="12" t="s">
        <v>5460</v>
      </c>
      <c r="G525" s="12" t="s">
        <v>222</v>
      </c>
      <c r="H525" s="12" t="s">
        <v>6614</v>
      </c>
      <c r="I525" s="12">
        <v>5135</v>
      </c>
      <c r="J525" s="12" t="s">
        <v>1150</v>
      </c>
      <c r="K525" s="12" t="s">
        <v>1573</v>
      </c>
      <c r="L525" s="12" t="s">
        <v>1148</v>
      </c>
      <c r="M525" s="12" t="s">
        <v>1148</v>
      </c>
      <c r="N525" s="12" t="s">
        <v>5785</v>
      </c>
      <c r="O525" s="12" t="s">
        <v>1151</v>
      </c>
      <c r="P525" s="12" t="s">
        <v>1152</v>
      </c>
      <c r="Q525" s="12" t="s">
        <v>6653</v>
      </c>
      <c r="R525" s="12">
        <v>53.305982999999998</v>
      </c>
      <c r="S525" s="12">
        <v>67.648166000000003</v>
      </c>
      <c r="T525" s="12" t="s">
        <v>11</v>
      </c>
      <c r="U525" s="12" t="s">
        <v>875</v>
      </c>
      <c r="V525" s="12" t="s">
        <v>1153</v>
      </c>
      <c r="W525" s="12" t="s">
        <v>7415</v>
      </c>
      <c r="X525" s="12">
        <v>3</v>
      </c>
      <c r="Y525" s="12">
        <v>1065924</v>
      </c>
      <c r="Z525" s="12" t="s">
        <v>17</v>
      </c>
      <c r="AA525" s="12" t="s">
        <v>17</v>
      </c>
      <c r="AB525" s="12" t="s">
        <v>17</v>
      </c>
      <c r="AC525" s="12" t="s">
        <v>144</v>
      </c>
      <c r="AD525" s="12" t="s">
        <v>17</v>
      </c>
      <c r="AE525" s="12" t="s">
        <v>17</v>
      </c>
      <c r="AF525" s="12" t="s">
        <v>45</v>
      </c>
    </row>
    <row r="526" spans="1:32" x14ac:dyDescent="0.2">
      <c r="A526" s="12" t="s">
        <v>2367</v>
      </c>
      <c r="B526" s="12" t="s">
        <v>2368</v>
      </c>
      <c r="C526" s="12" t="s">
        <v>17</v>
      </c>
      <c r="D526" s="12" t="s">
        <v>17</v>
      </c>
      <c r="E526" s="12" t="s">
        <v>7676</v>
      </c>
      <c r="F526" s="12" t="s">
        <v>5458</v>
      </c>
      <c r="G526" s="12" t="s">
        <v>222</v>
      </c>
      <c r="H526" s="12" t="s">
        <v>6614</v>
      </c>
      <c r="I526" s="12">
        <v>0</v>
      </c>
      <c r="J526" s="12" t="s">
        <v>164</v>
      </c>
      <c r="K526" s="12" t="s">
        <v>6646</v>
      </c>
      <c r="L526" s="12" t="s">
        <v>2366</v>
      </c>
      <c r="M526" s="12" t="s">
        <v>2366</v>
      </c>
      <c r="N526" s="12" t="s">
        <v>5785</v>
      </c>
      <c r="O526" s="12" t="s">
        <v>17</v>
      </c>
      <c r="P526" s="12" t="s">
        <v>17</v>
      </c>
      <c r="Q526" s="12" t="s">
        <v>6653</v>
      </c>
      <c r="R526" s="12" t="s">
        <v>17</v>
      </c>
      <c r="S526" s="12" t="s">
        <v>17</v>
      </c>
      <c r="T526" s="12" t="s">
        <v>1126</v>
      </c>
      <c r="U526" s="12" t="s">
        <v>17</v>
      </c>
      <c r="V526" s="12" t="s">
        <v>7414</v>
      </c>
      <c r="W526" s="12" t="s">
        <v>7414</v>
      </c>
      <c r="X526" s="12" t="s">
        <v>17</v>
      </c>
      <c r="Y526" s="12">
        <v>1181641</v>
      </c>
      <c r="Z526" s="12" t="s">
        <v>6613</v>
      </c>
      <c r="AA526" s="12" t="s">
        <v>6613</v>
      </c>
      <c r="AB526" s="12" t="s">
        <v>6613</v>
      </c>
      <c r="AC526" s="12" t="s">
        <v>6613</v>
      </c>
      <c r="AD526" s="12" t="s">
        <v>6613</v>
      </c>
      <c r="AE526" s="12" t="s">
        <v>6613</v>
      </c>
      <c r="AF526" s="12" t="s">
        <v>45</v>
      </c>
    </row>
    <row r="527" spans="1:32" x14ac:dyDescent="0.2">
      <c r="A527" s="12" t="s">
        <v>2364</v>
      </c>
      <c r="B527" s="12" t="s">
        <v>2365</v>
      </c>
      <c r="C527" s="12" t="s">
        <v>17</v>
      </c>
      <c r="D527" s="12" t="s">
        <v>17</v>
      </c>
      <c r="E527" s="12" t="s">
        <v>7676</v>
      </c>
      <c r="F527" s="12" t="s">
        <v>5458</v>
      </c>
      <c r="G527" s="12" t="s">
        <v>222</v>
      </c>
      <c r="H527" s="12" t="s">
        <v>6614</v>
      </c>
      <c r="I527" s="12">
        <v>0</v>
      </c>
      <c r="J527" s="12" t="s">
        <v>164</v>
      </c>
      <c r="K527" s="12" t="s">
        <v>6646</v>
      </c>
      <c r="L527" s="12" t="s">
        <v>2366</v>
      </c>
      <c r="M527" s="12" t="s">
        <v>2366</v>
      </c>
      <c r="N527" s="12" t="s">
        <v>5785</v>
      </c>
      <c r="O527" s="12" t="s">
        <v>17</v>
      </c>
      <c r="P527" s="12" t="s">
        <v>17</v>
      </c>
      <c r="Q527" s="12" t="s">
        <v>6653</v>
      </c>
      <c r="R527" s="12" t="s">
        <v>17</v>
      </c>
      <c r="S527" s="12" t="s">
        <v>17</v>
      </c>
      <c r="T527" s="12" t="s">
        <v>1126</v>
      </c>
      <c r="U527" s="12" t="s">
        <v>17</v>
      </c>
      <c r="V527" s="12" t="s">
        <v>7414</v>
      </c>
      <c r="W527" s="12" t="s">
        <v>7414</v>
      </c>
      <c r="X527" s="12" t="s">
        <v>17</v>
      </c>
      <c r="Y527" s="12">
        <v>1181719</v>
      </c>
      <c r="Z527" s="12" t="s">
        <v>6613</v>
      </c>
      <c r="AA527" s="12" t="s">
        <v>6613</v>
      </c>
      <c r="AB527" s="12" t="s">
        <v>6613</v>
      </c>
      <c r="AC527" s="12" t="s">
        <v>6613</v>
      </c>
      <c r="AD527" s="12" t="s">
        <v>6613</v>
      </c>
      <c r="AE527" s="12" t="s">
        <v>6613</v>
      </c>
      <c r="AF527" s="12" t="s">
        <v>45</v>
      </c>
    </row>
    <row r="528" spans="1:32" x14ac:dyDescent="0.2">
      <c r="A528" s="12" t="s">
        <v>2386</v>
      </c>
      <c r="B528" s="12" t="s">
        <v>2387</v>
      </c>
      <c r="C528" s="12" t="s">
        <v>17</v>
      </c>
      <c r="D528" s="12" t="s">
        <v>17</v>
      </c>
      <c r="E528" s="12" t="s">
        <v>7676</v>
      </c>
      <c r="F528" s="12" t="s">
        <v>5458</v>
      </c>
      <c r="G528" s="12" t="s">
        <v>222</v>
      </c>
      <c r="H528" s="12" t="s">
        <v>6614</v>
      </c>
      <c r="I528" s="12">
        <v>0</v>
      </c>
      <c r="J528" s="12" t="s">
        <v>164</v>
      </c>
      <c r="K528" s="12" t="s">
        <v>6646</v>
      </c>
      <c r="L528" s="12" t="s">
        <v>2388</v>
      </c>
      <c r="M528" s="12" t="s">
        <v>2388</v>
      </c>
      <c r="N528" s="12" t="s">
        <v>5785</v>
      </c>
      <c r="O528" s="12" t="s">
        <v>17</v>
      </c>
      <c r="P528" s="12" t="s">
        <v>17</v>
      </c>
      <c r="Q528" s="12" t="s">
        <v>6653</v>
      </c>
      <c r="R528" s="12" t="s">
        <v>17</v>
      </c>
      <c r="S528" s="12" t="s">
        <v>17</v>
      </c>
      <c r="T528" s="12" t="s">
        <v>1126</v>
      </c>
      <c r="U528" s="12" t="s">
        <v>17</v>
      </c>
      <c r="V528" s="12" t="s">
        <v>7414</v>
      </c>
      <c r="W528" s="12" t="s">
        <v>7414</v>
      </c>
      <c r="X528" s="12" t="s">
        <v>17</v>
      </c>
      <c r="Y528" s="12">
        <v>1181605</v>
      </c>
      <c r="Z528" s="12" t="s">
        <v>6613</v>
      </c>
      <c r="AA528" s="12" t="s">
        <v>6613</v>
      </c>
      <c r="AB528" s="12" t="s">
        <v>6613</v>
      </c>
      <c r="AC528" s="12" t="s">
        <v>6613</v>
      </c>
      <c r="AD528" s="12" t="s">
        <v>6613</v>
      </c>
      <c r="AE528" s="12" t="s">
        <v>6613</v>
      </c>
      <c r="AF528" s="12" t="s">
        <v>45</v>
      </c>
    </row>
    <row r="529" spans="1:32" x14ac:dyDescent="0.2">
      <c r="A529" s="12" t="s">
        <v>2391</v>
      </c>
      <c r="B529" s="12" t="s">
        <v>2392</v>
      </c>
      <c r="C529" s="12" t="s">
        <v>17</v>
      </c>
      <c r="D529" s="12" t="s">
        <v>17</v>
      </c>
      <c r="E529" s="12" t="s">
        <v>7676</v>
      </c>
      <c r="F529" s="12" t="s">
        <v>5458</v>
      </c>
      <c r="G529" s="12" t="s">
        <v>222</v>
      </c>
      <c r="H529" s="12" t="s">
        <v>6614</v>
      </c>
      <c r="I529" s="12">
        <v>0</v>
      </c>
      <c r="J529" s="12" t="s">
        <v>164</v>
      </c>
      <c r="K529" s="12" t="s">
        <v>6646</v>
      </c>
      <c r="L529" s="12" t="s">
        <v>2388</v>
      </c>
      <c r="M529" s="12" t="s">
        <v>2388</v>
      </c>
      <c r="N529" s="12" t="s">
        <v>5785</v>
      </c>
      <c r="O529" s="12" t="s">
        <v>17</v>
      </c>
      <c r="P529" s="12" t="s">
        <v>17</v>
      </c>
      <c r="Q529" s="12" t="s">
        <v>6653</v>
      </c>
      <c r="R529" s="12" t="s">
        <v>17</v>
      </c>
      <c r="S529" s="12" t="s">
        <v>17</v>
      </c>
      <c r="T529" s="12" t="s">
        <v>1126</v>
      </c>
      <c r="U529" s="12" t="s">
        <v>17</v>
      </c>
      <c r="V529" s="12" t="s">
        <v>7414</v>
      </c>
      <c r="W529" s="12" t="s">
        <v>7414</v>
      </c>
      <c r="X529" s="12" t="s">
        <v>17</v>
      </c>
      <c r="Y529" s="12">
        <v>1181756</v>
      </c>
      <c r="Z529" s="12" t="s">
        <v>6613</v>
      </c>
      <c r="AA529" s="12" t="s">
        <v>6613</v>
      </c>
      <c r="AB529" s="12" t="s">
        <v>6613</v>
      </c>
      <c r="AC529" s="12" t="s">
        <v>6613</v>
      </c>
      <c r="AD529" s="12" t="s">
        <v>6613</v>
      </c>
      <c r="AE529" s="12" t="s">
        <v>6613</v>
      </c>
      <c r="AF529" s="12" t="s">
        <v>45</v>
      </c>
    </row>
    <row r="530" spans="1:32" x14ac:dyDescent="0.2">
      <c r="A530" s="12" t="s">
        <v>2389</v>
      </c>
      <c r="B530" s="12" t="s">
        <v>2390</v>
      </c>
      <c r="C530" s="12" t="s">
        <v>17</v>
      </c>
      <c r="D530" s="12" t="s">
        <v>17</v>
      </c>
      <c r="E530" s="12" t="s">
        <v>7676</v>
      </c>
      <c r="F530" s="12" t="s">
        <v>5458</v>
      </c>
      <c r="G530" s="12" t="s">
        <v>222</v>
      </c>
      <c r="H530" s="12" t="s">
        <v>6614</v>
      </c>
      <c r="I530" s="12">
        <v>0</v>
      </c>
      <c r="J530" s="12" t="s">
        <v>164</v>
      </c>
      <c r="K530" s="12" t="s">
        <v>6646</v>
      </c>
      <c r="L530" s="12" t="s">
        <v>2388</v>
      </c>
      <c r="M530" s="12" t="s">
        <v>2388</v>
      </c>
      <c r="N530" s="12" t="s">
        <v>5785</v>
      </c>
      <c r="O530" s="12" t="s">
        <v>17</v>
      </c>
      <c r="P530" s="12" t="s">
        <v>17</v>
      </c>
      <c r="Q530" s="12" t="s">
        <v>6653</v>
      </c>
      <c r="R530" s="12" t="s">
        <v>17</v>
      </c>
      <c r="S530" s="12" t="s">
        <v>17</v>
      </c>
      <c r="T530" s="12" t="s">
        <v>1126</v>
      </c>
      <c r="U530" s="12" t="s">
        <v>17</v>
      </c>
      <c r="V530" s="12" t="s">
        <v>7414</v>
      </c>
      <c r="W530" s="12" t="s">
        <v>7414</v>
      </c>
      <c r="X530" s="12" t="s">
        <v>17</v>
      </c>
      <c r="Y530" s="12">
        <v>1181878</v>
      </c>
      <c r="Z530" s="12" t="s">
        <v>6613</v>
      </c>
      <c r="AA530" s="12" t="s">
        <v>6613</v>
      </c>
      <c r="AB530" s="12" t="s">
        <v>6613</v>
      </c>
      <c r="AC530" s="12" t="s">
        <v>6613</v>
      </c>
      <c r="AD530" s="12" t="s">
        <v>6613</v>
      </c>
      <c r="AE530" s="12" t="s">
        <v>6613</v>
      </c>
      <c r="AF530" s="12" t="s">
        <v>45</v>
      </c>
    </row>
    <row r="531" spans="1:32" x14ac:dyDescent="0.2">
      <c r="A531" s="12" t="s">
        <v>2409</v>
      </c>
      <c r="B531" s="12" t="s">
        <v>2410</v>
      </c>
      <c r="C531" s="12" t="s">
        <v>17</v>
      </c>
      <c r="D531" s="12" t="s">
        <v>17</v>
      </c>
      <c r="E531" s="12" t="s">
        <v>7676</v>
      </c>
      <c r="F531" s="12" t="s">
        <v>5458</v>
      </c>
      <c r="G531" s="12" t="s">
        <v>222</v>
      </c>
      <c r="H531" s="12" t="s">
        <v>6614</v>
      </c>
      <c r="I531" s="12">
        <v>0</v>
      </c>
      <c r="J531" s="12" t="s">
        <v>164</v>
      </c>
      <c r="K531" s="12" t="s">
        <v>6646</v>
      </c>
      <c r="L531" s="12" t="s">
        <v>2411</v>
      </c>
      <c r="M531" s="12" t="s">
        <v>2411</v>
      </c>
      <c r="N531" s="12" t="s">
        <v>5785</v>
      </c>
      <c r="O531" s="12" t="s">
        <v>17</v>
      </c>
      <c r="P531" s="12" t="s">
        <v>17</v>
      </c>
      <c r="Q531" s="12" t="s">
        <v>6653</v>
      </c>
      <c r="R531" s="12" t="s">
        <v>17</v>
      </c>
      <c r="S531" s="12" t="s">
        <v>17</v>
      </c>
      <c r="T531" s="12" t="s">
        <v>1126</v>
      </c>
      <c r="U531" s="12" t="s">
        <v>17</v>
      </c>
      <c r="V531" s="12" t="s">
        <v>7414</v>
      </c>
      <c r="W531" s="12" t="s">
        <v>7414</v>
      </c>
      <c r="X531" s="12" t="s">
        <v>17</v>
      </c>
      <c r="Y531" s="12">
        <v>1181451</v>
      </c>
      <c r="Z531" s="12" t="s">
        <v>6613</v>
      </c>
      <c r="AA531" s="12" t="s">
        <v>6613</v>
      </c>
      <c r="AB531" s="12" t="s">
        <v>6613</v>
      </c>
      <c r="AC531" s="12" t="s">
        <v>6613</v>
      </c>
      <c r="AD531" s="12" t="s">
        <v>6613</v>
      </c>
      <c r="AE531" s="12" t="s">
        <v>6613</v>
      </c>
      <c r="AF531" s="12" t="s">
        <v>45</v>
      </c>
    </row>
    <row r="532" spans="1:32" x14ac:dyDescent="0.2">
      <c r="A532" s="12" t="s">
        <v>2412</v>
      </c>
      <c r="B532" s="12" t="s">
        <v>2413</v>
      </c>
      <c r="C532" s="12" t="s">
        <v>17</v>
      </c>
      <c r="D532" s="12" t="s">
        <v>17</v>
      </c>
      <c r="E532" s="12" t="s">
        <v>7676</v>
      </c>
      <c r="F532" s="12" t="s">
        <v>5458</v>
      </c>
      <c r="G532" s="12" t="s">
        <v>222</v>
      </c>
      <c r="H532" s="12" t="s">
        <v>6614</v>
      </c>
      <c r="I532" s="12">
        <v>0</v>
      </c>
      <c r="J532" s="12" t="s">
        <v>164</v>
      </c>
      <c r="K532" s="12" t="s">
        <v>6646</v>
      </c>
      <c r="L532" s="12" t="s">
        <v>2411</v>
      </c>
      <c r="M532" s="12" t="s">
        <v>2411</v>
      </c>
      <c r="N532" s="12" t="s">
        <v>5785</v>
      </c>
      <c r="O532" s="12" t="s">
        <v>17</v>
      </c>
      <c r="P532" s="12" t="s">
        <v>17</v>
      </c>
      <c r="Q532" s="12" t="s">
        <v>6653</v>
      </c>
      <c r="R532" s="12" t="s">
        <v>17</v>
      </c>
      <c r="S532" s="12" t="s">
        <v>17</v>
      </c>
      <c r="T532" s="12" t="s">
        <v>1126</v>
      </c>
      <c r="U532" s="12" t="s">
        <v>17</v>
      </c>
      <c r="V532" s="12" t="s">
        <v>7414</v>
      </c>
      <c r="W532" s="12" t="s">
        <v>7414</v>
      </c>
      <c r="X532" s="12" t="s">
        <v>17</v>
      </c>
      <c r="Y532" s="12">
        <v>1181859</v>
      </c>
      <c r="Z532" s="12" t="s">
        <v>6613</v>
      </c>
      <c r="AA532" s="12" t="s">
        <v>6613</v>
      </c>
      <c r="AB532" s="12" t="s">
        <v>6613</v>
      </c>
      <c r="AC532" s="12" t="s">
        <v>6613</v>
      </c>
      <c r="AD532" s="12" t="s">
        <v>6613</v>
      </c>
      <c r="AE532" s="12" t="s">
        <v>6613</v>
      </c>
      <c r="AF532" s="12" t="s">
        <v>45</v>
      </c>
    </row>
    <row r="533" spans="1:32" x14ac:dyDescent="0.2">
      <c r="A533" s="12" t="s">
        <v>2565</v>
      </c>
      <c r="B533" s="12" t="s">
        <v>2566</v>
      </c>
      <c r="C533" s="12" t="s">
        <v>17</v>
      </c>
      <c r="D533" s="12" t="s">
        <v>17</v>
      </c>
      <c r="E533" s="12" t="s">
        <v>7676</v>
      </c>
      <c r="F533" s="12" t="s">
        <v>5458</v>
      </c>
      <c r="G533" s="12" t="s">
        <v>222</v>
      </c>
      <c r="H533" s="12" t="s">
        <v>6614</v>
      </c>
      <c r="I533" s="12">
        <v>0</v>
      </c>
      <c r="J533" s="12" t="s">
        <v>164</v>
      </c>
      <c r="K533" s="12" t="s">
        <v>6646</v>
      </c>
      <c r="L533" s="12" t="s">
        <v>2567</v>
      </c>
      <c r="M533" s="12" t="s">
        <v>2567</v>
      </c>
      <c r="N533" s="12" t="s">
        <v>5785</v>
      </c>
      <c r="O533" s="12" t="s">
        <v>17</v>
      </c>
      <c r="P533" s="12" t="s">
        <v>17</v>
      </c>
      <c r="Q533" s="12" t="s">
        <v>6653</v>
      </c>
      <c r="R533" s="12" t="s">
        <v>17</v>
      </c>
      <c r="S533" s="12" t="s">
        <v>17</v>
      </c>
      <c r="T533" s="12" t="s">
        <v>1126</v>
      </c>
      <c r="U533" s="12" t="s">
        <v>17</v>
      </c>
      <c r="V533" s="12" t="s">
        <v>7414</v>
      </c>
      <c r="W533" s="12" t="s">
        <v>7414</v>
      </c>
      <c r="X533" s="12" t="s">
        <v>17</v>
      </c>
      <c r="Y533" s="12">
        <v>1181713</v>
      </c>
      <c r="Z533" s="12" t="s">
        <v>6613</v>
      </c>
      <c r="AA533" s="12" t="s">
        <v>6613</v>
      </c>
      <c r="AB533" s="12" t="s">
        <v>6613</v>
      </c>
      <c r="AC533" s="12" t="s">
        <v>6613</v>
      </c>
      <c r="AD533" s="12" t="s">
        <v>6613</v>
      </c>
      <c r="AE533" s="12" t="s">
        <v>6613</v>
      </c>
      <c r="AF533" s="12" t="s">
        <v>45</v>
      </c>
    </row>
    <row r="534" spans="1:32" x14ac:dyDescent="0.2">
      <c r="A534" s="12" t="s">
        <v>4599</v>
      </c>
      <c r="B534" s="12" t="s">
        <v>4600</v>
      </c>
      <c r="C534" s="12" t="s">
        <v>17</v>
      </c>
      <c r="D534" s="12" t="s">
        <v>17</v>
      </c>
      <c r="E534" s="12" t="s">
        <v>7676</v>
      </c>
      <c r="F534" s="12" t="s">
        <v>5458</v>
      </c>
      <c r="G534" s="12" t="s">
        <v>222</v>
      </c>
      <c r="H534" s="12" t="s">
        <v>6614</v>
      </c>
      <c r="I534" s="12">
        <v>0</v>
      </c>
      <c r="J534" s="12" t="s">
        <v>164</v>
      </c>
      <c r="K534" s="12" t="s">
        <v>6646</v>
      </c>
      <c r="L534" s="12" t="s">
        <v>4598</v>
      </c>
      <c r="M534" s="12" t="s">
        <v>4598</v>
      </c>
      <c r="N534" s="12" t="s">
        <v>5785</v>
      </c>
      <c r="O534" s="12" t="s">
        <v>17</v>
      </c>
      <c r="P534" s="12" t="s">
        <v>17</v>
      </c>
      <c r="Q534" s="12" t="s">
        <v>6653</v>
      </c>
      <c r="R534" s="12" t="s">
        <v>17</v>
      </c>
      <c r="S534" s="12" t="s">
        <v>17</v>
      </c>
      <c r="T534" s="12" t="s">
        <v>1126</v>
      </c>
      <c r="U534" s="12" t="s">
        <v>17</v>
      </c>
      <c r="V534" s="12" t="s">
        <v>7414</v>
      </c>
      <c r="W534" s="12" t="s">
        <v>7414</v>
      </c>
      <c r="X534" s="12" t="s">
        <v>17</v>
      </c>
      <c r="Y534" s="12">
        <v>1181757</v>
      </c>
      <c r="Z534" s="12" t="s">
        <v>6613</v>
      </c>
      <c r="AA534" s="12" t="s">
        <v>6613</v>
      </c>
      <c r="AB534" s="12" t="s">
        <v>6613</v>
      </c>
      <c r="AC534" s="12" t="s">
        <v>6613</v>
      </c>
      <c r="AD534" s="12" t="s">
        <v>6613</v>
      </c>
      <c r="AE534" s="12" t="s">
        <v>6613</v>
      </c>
      <c r="AF534" s="12" t="s">
        <v>45</v>
      </c>
    </row>
    <row r="535" spans="1:32" x14ac:dyDescent="0.2">
      <c r="A535" s="12" t="s">
        <v>4596</v>
      </c>
      <c r="B535" s="12" t="s">
        <v>4597</v>
      </c>
      <c r="C535" s="12" t="s">
        <v>17</v>
      </c>
      <c r="D535" s="12" t="s">
        <v>17</v>
      </c>
      <c r="E535" s="12" t="s">
        <v>7676</v>
      </c>
      <c r="F535" s="12" t="s">
        <v>5458</v>
      </c>
      <c r="G535" s="12" t="s">
        <v>222</v>
      </c>
      <c r="H535" s="12" t="s">
        <v>6614</v>
      </c>
      <c r="I535" s="12">
        <v>0</v>
      </c>
      <c r="J535" s="12" t="s">
        <v>164</v>
      </c>
      <c r="K535" s="12" t="s">
        <v>6646</v>
      </c>
      <c r="L535" s="12" t="s">
        <v>4598</v>
      </c>
      <c r="M535" s="12" t="s">
        <v>4598</v>
      </c>
      <c r="N535" s="12" t="s">
        <v>5785</v>
      </c>
      <c r="O535" s="12" t="s">
        <v>17</v>
      </c>
      <c r="P535" s="12" t="s">
        <v>17</v>
      </c>
      <c r="Q535" s="12" t="s">
        <v>6653</v>
      </c>
      <c r="R535" s="12" t="s">
        <v>17</v>
      </c>
      <c r="S535" s="12" t="s">
        <v>17</v>
      </c>
      <c r="T535" s="12" t="s">
        <v>1126</v>
      </c>
      <c r="U535" s="12" t="s">
        <v>17</v>
      </c>
      <c r="V535" s="12" t="s">
        <v>7414</v>
      </c>
      <c r="W535" s="12" t="s">
        <v>7414</v>
      </c>
      <c r="X535" s="12" t="s">
        <v>17</v>
      </c>
      <c r="Y535" s="12">
        <v>1181807</v>
      </c>
      <c r="Z535" s="12" t="s">
        <v>6613</v>
      </c>
      <c r="AA535" s="12" t="s">
        <v>6613</v>
      </c>
      <c r="AB535" s="12" t="s">
        <v>6613</v>
      </c>
      <c r="AC535" s="12" t="s">
        <v>6613</v>
      </c>
      <c r="AD535" s="12" t="s">
        <v>6613</v>
      </c>
      <c r="AE535" s="12" t="s">
        <v>6613</v>
      </c>
      <c r="AF535" s="12" t="s">
        <v>45</v>
      </c>
    </row>
    <row r="536" spans="1:32" x14ac:dyDescent="0.2">
      <c r="A536" s="12" t="s">
        <v>4811</v>
      </c>
      <c r="B536" s="12" t="s">
        <v>4812</v>
      </c>
      <c r="C536" s="12" t="s">
        <v>17</v>
      </c>
      <c r="D536" s="12" t="s">
        <v>17</v>
      </c>
      <c r="E536" s="12" t="s">
        <v>7676</v>
      </c>
      <c r="F536" s="12" t="s">
        <v>5458</v>
      </c>
      <c r="G536" s="12" t="s">
        <v>222</v>
      </c>
      <c r="H536" s="12" t="s">
        <v>6614</v>
      </c>
      <c r="I536" s="12">
        <v>0</v>
      </c>
      <c r="J536" s="12" t="s">
        <v>164</v>
      </c>
      <c r="K536" s="12" t="s">
        <v>6646</v>
      </c>
      <c r="L536" s="12" t="s">
        <v>4813</v>
      </c>
      <c r="M536" s="12" t="s">
        <v>4813</v>
      </c>
      <c r="N536" s="12" t="s">
        <v>5785</v>
      </c>
      <c r="O536" s="12" t="s">
        <v>17</v>
      </c>
      <c r="P536" s="12" t="s">
        <v>17</v>
      </c>
      <c r="Q536" s="12" t="s">
        <v>6653</v>
      </c>
      <c r="R536" s="12" t="s">
        <v>17</v>
      </c>
      <c r="S536" s="12" t="s">
        <v>17</v>
      </c>
      <c r="T536" s="12" t="s">
        <v>1126</v>
      </c>
      <c r="U536" s="12" t="s">
        <v>17</v>
      </c>
      <c r="V536" s="12" t="s">
        <v>7414</v>
      </c>
      <c r="W536" s="12" t="s">
        <v>7414</v>
      </c>
      <c r="X536" s="12" t="s">
        <v>17</v>
      </c>
      <c r="Y536" s="12">
        <v>1181578</v>
      </c>
      <c r="Z536" s="12" t="s">
        <v>6613</v>
      </c>
      <c r="AA536" s="12" t="s">
        <v>6613</v>
      </c>
      <c r="AB536" s="12" t="s">
        <v>6613</v>
      </c>
      <c r="AC536" s="12" t="s">
        <v>6613</v>
      </c>
      <c r="AD536" s="12" t="s">
        <v>6613</v>
      </c>
      <c r="AE536" s="12" t="s">
        <v>6613</v>
      </c>
      <c r="AF536" s="12" t="s">
        <v>45</v>
      </c>
    </row>
    <row r="537" spans="1:32" x14ac:dyDescent="0.2">
      <c r="A537" s="12" t="s">
        <v>4814</v>
      </c>
      <c r="B537" s="12" t="s">
        <v>4815</v>
      </c>
      <c r="C537" s="12" t="s">
        <v>17</v>
      </c>
      <c r="D537" s="12" t="s">
        <v>17</v>
      </c>
      <c r="E537" s="12" t="s">
        <v>7676</v>
      </c>
      <c r="F537" s="12" t="s">
        <v>5458</v>
      </c>
      <c r="G537" s="12" t="s">
        <v>222</v>
      </c>
      <c r="H537" s="12" t="s">
        <v>6614</v>
      </c>
      <c r="I537" s="12">
        <v>0</v>
      </c>
      <c r="J537" s="12" t="s">
        <v>164</v>
      </c>
      <c r="K537" s="12" t="s">
        <v>6646</v>
      </c>
      <c r="L537" s="12" t="s">
        <v>4813</v>
      </c>
      <c r="M537" s="12" t="s">
        <v>4813</v>
      </c>
      <c r="N537" s="12" t="s">
        <v>5785</v>
      </c>
      <c r="O537" s="12" t="s">
        <v>17</v>
      </c>
      <c r="P537" s="12" t="s">
        <v>17</v>
      </c>
      <c r="Q537" s="12" t="s">
        <v>6653</v>
      </c>
      <c r="R537" s="12" t="s">
        <v>17</v>
      </c>
      <c r="S537" s="12" t="s">
        <v>17</v>
      </c>
      <c r="T537" s="12" t="s">
        <v>1126</v>
      </c>
      <c r="U537" s="12" t="s">
        <v>17</v>
      </c>
      <c r="V537" s="12" t="s">
        <v>7414</v>
      </c>
      <c r="W537" s="12" t="s">
        <v>7414</v>
      </c>
      <c r="X537" s="12" t="s">
        <v>17</v>
      </c>
      <c r="Y537" s="12">
        <v>1181829</v>
      </c>
      <c r="Z537" s="12" t="s">
        <v>6613</v>
      </c>
      <c r="AA537" s="12" t="s">
        <v>6613</v>
      </c>
      <c r="AB537" s="12" t="s">
        <v>6613</v>
      </c>
      <c r="AC537" s="12" t="s">
        <v>6613</v>
      </c>
      <c r="AD537" s="12" t="s">
        <v>6613</v>
      </c>
      <c r="AE537" s="12" t="s">
        <v>6613</v>
      </c>
      <c r="AF537" s="12" t="s">
        <v>45</v>
      </c>
    </row>
    <row r="538" spans="1:32" x14ac:dyDescent="0.2">
      <c r="A538" s="12" t="s">
        <v>4757</v>
      </c>
      <c r="B538" s="12" t="s">
        <v>4759</v>
      </c>
      <c r="C538" s="12" t="s">
        <v>4761</v>
      </c>
      <c r="D538" s="12" t="s">
        <v>105</v>
      </c>
      <c r="E538" s="12" t="s">
        <v>7676</v>
      </c>
      <c r="F538" s="12" t="s">
        <v>5460</v>
      </c>
      <c r="G538" s="12" t="s">
        <v>4758</v>
      </c>
      <c r="H538" s="12" t="s">
        <v>6614</v>
      </c>
      <c r="I538" s="12">
        <v>45020</v>
      </c>
      <c r="J538" s="12" t="s">
        <v>4762</v>
      </c>
      <c r="K538" s="12" t="s">
        <v>6649</v>
      </c>
      <c r="L538" s="12" t="s">
        <v>4760</v>
      </c>
      <c r="M538" s="12" t="s">
        <v>4760</v>
      </c>
      <c r="N538" s="12" t="s">
        <v>5785</v>
      </c>
      <c r="O538" s="12" t="s">
        <v>4763</v>
      </c>
      <c r="P538" s="12" t="s">
        <v>18</v>
      </c>
      <c r="Q538" s="12" t="s">
        <v>6653</v>
      </c>
      <c r="R538" s="12">
        <v>57.7</v>
      </c>
      <c r="S538" s="12">
        <v>71.099999999999994</v>
      </c>
      <c r="T538" s="12" t="s">
        <v>11</v>
      </c>
      <c r="U538" s="12" t="s">
        <v>4764</v>
      </c>
      <c r="V538" s="12" t="s">
        <v>5749</v>
      </c>
      <c r="W538" s="12" t="s">
        <v>7160</v>
      </c>
      <c r="X538" s="12">
        <v>42</v>
      </c>
      <c r="Y538" s="12">
        <v>1147829</v>
      </c>
      <c r="Z538" s="12" t="s">
        <v>17</v>
      </c>
      <c r="AA538" s="12" t="s">
        <v>17</v>
      </c>
      <c r="AB538" s="12" t="s">
        <v>17</v>
      </c>
      <c r="AC538" s="12" t="s">
        <v>21</v>
      </c>
      <c r="AD538" s="12" t="s">
        <v>17</v>
      </c>
      <c r="AE538" s="12" t="s">
        <v>17</v>
      </c>
      <c r="AF538" s="12" t="s">
        <v>45</v>
      </c>
    </row>
    <row r="539" spans="1:32" x14ac:dyDescent="0.2">
      <c r="A539" s="12" t="s">
        <v>2592</v>
      </c>
      <c r="B539" s="12" t="s">
        <v>2592</v>
      </c>
      <c r="C539" s="12" t="s">
        <v>2592</v>
      </c>
      <c r="D539" s="12" t="s">
        <v>105</v>
      </c>
      <c r="E539" s="12" t="s">
        <v>8110</v>
      </c>
      <c r="F539" s="12" t="s">
        <v>5460</v>
      </c>
      <c r="G539" s="12" t="s">
        <v>394</v>
      </c>
      <c r="H539" s="12" t="s">
        <v>6614</v>
      </c>
      <c r="I539" s="12">
        <v>37470</v>
      </c>
      <c r="J539" s="12" t="s">
        <v>2594</v>
      </c>
      <c r="K539" s="12" t="s">
        <v>6649</v>
      </c>
      <c r="L539" s="12" t="s">
        <v>2592</v>
      </c>
      <c r="M539" s="12" t="s">
        <v>2592</v>
      </c>
      <c r="N539" s="12" t="s">
        <v>5785</v>
      </c>
      <c r="O539" s="12" t="s">
        <v>2595</v>
      </c>
      <c r="P539" s="12" t="s">
        <v>18</v>
      </c>
      <c r="Q539" s="12" t="s">
        <v>6653</v>
      </c>
      <c r="R539" s="12">
        <v>51.23</v>
      </c>
      <c r="S539" s="12">
        <v>39.299999999999997</v>
      </c>
      <c r="T539" s="12" t="s">
        <v>11</v>
      </c>
      <c r="U539" s="12" t="s">
        <v>17</v>
      </c>
      <c r="V539" s="12" t="s">
        <v>5750</v>
      </c>
      <c r="W539" s="12" t="s">
        <v>7160</v>
      </c>
      <c r="X539" s="12">
        <v>16.135999999999999</v>
      </c>
      <c r="Y539" s="12">
        <v>1095867</v>
      </c>
      <c r="Z539" s="12" t="s">
        <v>17</v>
      </c>
      <c r="AA539" s="12" t="s">
        <v>17</v>
      </c>
      <c r="AB539" s="12" t="s">
        <v>2593</v>
      </c>
      <c r="AC539" s="12" t="s">
        <v>21</v>
      </c>
      <c r="AD539" s="12" t="s">
        <v>17</v>
      </c>
      <c r="AE539" s="12" t="s">
        <v>17</v>
      </c>
      <c r="AF539" s="12" t="s">
        <v>45</v>
      </c>
    </row>
    <row r="540" spans="1:32" x14ac:dyDescent="0.2">
      <c r="A540" s="12" t="s">
        <v>384</v>
      </c>
      <c r="B540" s="12" t="s">
        <v>386</v>
      </c>
      <c r="C540" s="12" t="s">
        <v>389</v>
      </c>
      <c r="D540" s="12" t="s">
        <v>105</v>
      </c>
      <c r="E540" s="12" t="s">
        <v>7678</v>
      </c>
      <c r="F540" s="12" t="s">
        <v>5460</v>
      </c>
      <c r="G540" s="12" t="s">
        <v>385</v>
      </c>
      <c r="H540" s="12" t="s">
        <v>6614</v>
      </c>
      <c r="I540" s="12">
        <v>24305</v>
      </c>
      <c r="J540" s="12" t="s">
        <v>390</v>
      </c>
      <c r="K540" s="12" t="s">
        <v>6649</v>
      </c>
      <c r="L540" s="12" t="s">
        <v>388</v>
      </c>
      <c r="M540" s="12" t="s">
        <v>387</v>
      </c>
      <c r="N540" s="12" t="s">
        <v>5785</v>
      </c>
      <c r="O540" s="12" t="s">
        <v>391</v>
      </c>
      <c r="P540" s="12" t="s">
        <v>18</v>
      </c>
      <c r="Q540" s="12" t="s">
        <v>6653</v>
      </c>
      <c r="R540" s="12">
        <v>52.9</v>
      </c>
      <c r="S540" s="12">
        <v>103.5</v>
      </c>
      <c r="T540" s="12" t="s">
        <v>11</v>
      </c>
      <c r="U540" s="12" t="s">
        <v>17</v>
      </c>
      <c r="V540" s="12" t="s">
        <v>392</v>
      </c>
      <c r="W540" s="12" t="s">
        <v>7160</v>
      </c>
      <c r="X540" s="12">
        <v>1.206</v>
      </c>
      <c r="Y540" s="12">
        <v>820035</v>
      </c>
      <c r="Z540" s="12" t="s">
        <v>17</v>
      </c>
      <c r="AA540" s="12" t="s">
        <v>17</v>
      </c>
      <c r="AB540" s="12" t="s">
        <v>17</v>
      </c>
      <c r="AC540" s="12" t="s">
        <v>144</v>
      </c>
      <c r="AD540" s="12" t="s">
        <v>17</v>
      </c>
      <c r="AE540" s="12" t="s">
        <v>17</v>
      </c>
      <c r="AF540" s="12" t="s">
        <v>45</v>
      </c>
    </row>
    <row r="541" spans="1:32" x14ac:dyDescent="0.2">
      <c r="A541" s="12" t="s">
        <v>393</v>
      </c>
      <c r="B541" s="12" t="s">
        <v>395</v>
      </c>
      <c r="C541" s="12" t="s">
        <v>395</v>
      </c>
      <c r="D541" s="12" t="s">
        <v>143</v>
      </c>
      <c r="E541" s="12" t="s">
        <v>8110</v>
      </c>
      <c r="F541" s="12" t="s">
        <v>5460</v>
      </c>
      <c r="G541" s="12" t="s">
        <v>394</v>
      </c>
      <c r="H541" s="12" t="s">
        <v>6614</v>
      </c>
      <c r="I541" s="12">
        <v>17930</v>
      </c>
      <c r="J541" s="12" t="s">
        <v>397</v>
      </c>
      <c r="K541" s="12" t="s">
        <v>6649</v>
      </c>
      <c r="L541" s="12" t="s">
        <v>388</v>
      </c>
      <c r="M541" s="12" t="s">
        <v>395</v>
      </c>
      <c r="N541" s="12" t="s">
        <v>24</v>
      </c>
      <c r="O541" s="12" t="s">
        <v>398</v>
      </c>
      <c r="P541" s="12" t="s">
        <v>18</v>
      </c>
      <c r="Q541" s="12" t="s">
        <v>6653</v>
      </c>
      <c r="R541" s="12">
        <v>56.015999999999998</v>
      </c>
      <c r="S541" s="12">
        <v>92.866</v>
      </c>
      <c r="T541" s="12" t="s">
        <v>25</v>
      </c>
      <c r="U541" s="12" t="s">
        <v>399</v>
      </c>
      <c r="V541" s="12" t="s">
        <v>6639</v>
      </c>
      <c r="W541" s="12" t="s">
        <v>6639</v>
      </c>
      <c r="X541" s="12">
        <v>0.17</v>
      </c>
      <c r="Y541" s="12">
        <v>265687</v>
      </c>
      <c r="Z541" s="12" t="s">
        <v>6639</v>
      </c>
      <c r="AA541" s="12" t="s">
        <v>6639</v>
      </c>
      <c r="AB541" s="12" t="s">
        <v>396</v>
      </c>
      <c r="AC541" s="12" t="s">
        <v>144</v>
      </c>
      <c r="AD541" s="12" t="s">
        <v>17</v>
      </c>
      <c r="AE541" s="12" t="s">
        <v>17</v>
      </c>
      <c r="AF541" s="12" t="s">
        <v>45</v>
      </c>
    </row>
    <row r="542" spans="1:32" x14ac:dyDescent="0.2">
      <c r="A542" s="12" t="s">
        <v>2087</v>
      </c>
      <c r="B542" s="12" t="s">
        <v>2087</v>
      </c>
      <c r="C542" s="12" t="s">
        <v>6787</v>
      </c>
      <c r="D542" s="12" t="s">
        <v>13</v>
      </c>
      <c r="E542" s="12" t="s">
        <v>8108</v>
      </c>
      <c r="F542" s="12" t="s">
        <v>2089</v>
      </c>
      <c r="G542" s="12" t="s">
        <v>5453</v>
      </c>
      <c r="H542" s="12" t="s">
        <v>6637</v>
      </c>
      <c r="I542" s="12">
        <v>5125</v>
      </c>
      <c r="J542" s="12" t="s">
        <v>2089</v>
      </c>
      <c r="K542" s="12" t="s">
        <v>6648</v>
      </c>
      <c r="L542" s="12" t="s">
        <v>6673</v>
      </c>
      <c r="M542" s="12" t="s">
        <v>2069</v>
      </c>
      <c r="N542" s="12" t="s">
        <v>5785</v>
      </c>
      <c r="O542" s="12" t="s">
        <v>6786</v>
      </c>
      <c r="P542" s="12" t="s">
        <v>826</v>
      </c>
      <c r="Q542" s="12" t="s">
        <v>6658</v>
      </c>
      <c r="R542" s="12">
        <v>30.649857000000001</v>
      </c>
      <c r="S542" s="12">
        <v>61.400311000000002</v>
      </c>
      <c r="T542" s="12" t="s">
        <v>25</v>
      </c>
      <c r="U542" s="12" t="s">
        <v>1085</v>
      </c>
      <c r="V542" s="12" t="s">
        <v>6639</v>
      </c>
      <c r="W542" s="12" t="s">
        <v>6639</v>
      </c>
      <c r="X542" s="12">
        <v>2.4888E-2</v>
      </c>
      <c r="Y542" s="12">
        <v>28567</v>
      </c>
      <c r="Z542" s="12" t="s">
        <v>6639</v>
      </c>
      <c r="AA542" s="12" t="s">
        <v>6639</v>
      </c>
      <c r="AB542" s="12" t="s">
        <v>2088</v>
      </c>
      <c r="AC542" s="12" t="s">
        <v>21</v>
      </c>
      <c r="AD542" s="12">
        <v>0.108</v>
      </c>
      <c r="AE542" s="12" t="s">
        <v>17</v>
      </c>
      <c r="AF542" s="12" t="s">
        <v>45</v>
      </c>
    </row>
    <row r="543" spans="1:32" x14ac:dyDescent="0.2">
      <c r="A543" s="12" t="s">
        <v>2082</v>
      </c>
      <c r="B543" s="12" t="s">
        <v>2082</v>
      </c>
      <c r="C543" s="12" t="s">
        <v>6807</v>
      </c>
      <c r="D543" s="12" t="s">
        <v>13</v>
      </c>
      <c r="E543" s="12" t="s">
        <v>8110</v>
      </c>
      <c r="F543" s="12" t="s">
        <v>5458</v>
      </c>
      <c r="G543" s="12" t="s">
        <v>5453</v>
      </c>
      <c r="H543" s="12" t="s">
        <v>6637</v>
      </c>
      <c r="I543" s="12">
        <v>5000</v>
      </c>
      <c r="J543" s="12" t="s">
        <v>2084</v>
      </c>
      <c r="K543" s="12" t="s">
        <v>6648</v>
      </c>
      <c r="L543" s="12" t="s">
        <v>6672</v>
      </c>
      <c r="M543" s="12" t="s">
        <v>2069</v>
      </c>
      <c r="N543" s="12" t="s">
        <v>5785</v>
      </c>
      <c r="O543" s="12" t="s">
        <v>6786</v>
      </c>
      <c r="P543" s="12" t="s">
        <v>826</v>
      </c>
      <c r="Q543" s="12" t="s">
        <v>6658</v>
      </c>
      <c r="R543" s="12">
        <v>30.649857000000001</v>
      </c>
      <c r="S543" s="12">
        <v>61.400311000000002</v>
      </c>
      <c r="T543" s="12" t="s">
        <v>11</v>
      </c>
      <c r="U543" s="12" t="s">
        <v>2085</v>
      </c>
      <c r="V543" s="12" t="s">
        <v>2086</v>
      </c>
      <c r="W543" s="12" t="s">
        <v>7415</v>
      </c>
      <c r="X543" s="12">
        <v>1.0764199999999999</v>
      </c>
      <c r="Y543" s="12">
        <v>615135</v>
      </c>
      <c r="Z543" s="12">
        <v>7.7860000000000004E-3</v>
      </c>
      <c r="AA543" s="12">
        <v>2.6951145596762265</v>
      </c>
      <c r="AB543" s="12" t="s">
        <v>2083</v>
      </c>
      <c r="AC543" s="12" t="s">
        <v>21</v>
      </c>
      <c r="AD543" s="12">
        <v>0.13100000000000001</v>
      </c>
      <c r="AE543" s="12">
        <v>0.995</v>
      </c>
      <c r="AF543" s="12" t="s">
        <v>152</v>
      </c>
    </row>
    <row r="544" spans="1:32" x14ac:dyDescent="0.2">
      <c r="A544" s="12" t="s">
        <v>3859</v>
      </c>
      <c r="B544" s="12" t="s">
        <v>3859</v>
      </c>
      <c r="C544" s="12" t="s">
        <v>6797</v>
      </c>
      <c r="D544" s="12" t="s">
        <v>13</v>
      </c>
      <c r="E544" s="12" t="s">
        <v>8108</v>
      </c>
      <c r="F544" s="12" t="s">
        <v>5458</v>
      </c>
      <c r="G544" s="12" t="s">
        <v>5453</v>
      </c>
      <c r="H544" s="12" t="s">
        <v>6637</v>
      </c>
      <c r="I544" s="12">
        <v>5000</v>
      </c>
      <c r="J544" s="12" t="s">
        <v>6991</v>
      </c>
      <c r="K544" s="12" t="s">
        <v>6648</v>
      </c>
      <c r="L544" s="12" t="s">
        <v>3855</v>
      </c>
      <c r="M544" s="12" t="s">
        <v>3855</v>
      </c>
      <c r="N544" s="12" t="s">
        <v>24</v>
      </c>
      <c r="O544" s="12" t="s">
        <v>6786</v>
      </c>
      <c r="P544" s="12" t="s">
        <v>826</v>
      </c>
      <c r="Q544" s="12" t="s">
        <v>6658</v>
      </c>
      <c r="R544" s="12">
        <v>30.649857000000001</v>
      </c>
      <c r="S544" s="12">
        <v>61.400311000000002</v>
      </c>
      <c r="T544" s="12" t="s">
        <v>25</v>
      </c>
      <c r="U544" s="12" t="s">
        <v>3861</v>
      </c>
      <c r="V544" s="12" t="s">
        <v>6639</v>
      </c>
      <c r="W544" s="12" t="s">
        <v>6639</v>
      </c>
      <c r="X544" s="12">
        <v>3.0660000000000001E-3</v>
      </c>
      <c r="Y544" s="12">
        <v>3630</v>
      </c>
      <c r="Z544" s="12" t="s">
        <v>6639</v>
      </c>
      <c r="AA544" s="12" t="s">
        <v>6639</v>
      </c>
      <c r="AB544" s="12" t="s">
        <v>3860</v>
      </c>
      <c r="AC544" s="12" t="s">
        <v>21</v>
      </c>
      <c r="AD544" s="12">
        <v>7.3999999999999996E-2</v>
      </c>
      <c r="AE544" s="12" t="s">
        <v>17</v>
      </c>
      <c r="AF544" s="12" t="s">
        <v>3858</v>
      </c>
    </row>
    <row r="545" spans="1:32" x14ac:dyDescent="0.2">
      <c r="A545" s="12" t="s">
        <v>1125</v>
      </c>
      <c r="B545" s="12" t="s">
        <v>1125</v>
      </c>
      <c r="C545" s="12" t="s">
        <v>6984</v>
      </c>
      <c r="D545" s="12" t="s">
        <v>13</v>
      </c>
      <c r="E545" s="12" t="s">
        <v>8110</v>
      </c>
      <c r="F545" s="12" t="s">
        <v>7404</v>
      </c>
      <c r="G545" s="12" t="s">
        <v>5453</v>
      </c>
      <c r="H545" s="12" t="s">
        <v>6623</v>
      </c>
      <c r="I545" s="12">
        <v>4955</v>
      </c>
      <c r="J545" s="12" t="s">
        <v>7404</v>
      </c>
      <c r="K545" s="12" t="s">
        <v>6648</v>
      </c>
      <c r="L545" s="12" t="s">
        <v>1107</v>
      </c>
      <c r="M545" s="12" t="s">
        <v>7041</v>
      </c>
      <c r="N545" s="12" t="s">
        <v>5785</v>
      </c>
      <c r="O545" s="12" t="s">
        <v>6983</v>
      </c>
      <c r="P545" s="12" t="s">
        <v>932</v>
      </c>
      <c r="Q545" s="12" t="s">
        <v>6658</v>
      </c>
      <c r="R545" s="12">
        <v>37.1907</v>
      </c>
      <c r="S545" s="12">
        <v>61.034300000000002</v>
      </c>
      <c r="T545" s="12" t="s">
        <v>1126</v>
      </c>
      <c r="U545" s="12" t="s">
        <v>306</v>
      </c>
      <c r="V545" s="12" t="s">
        <v>7414</v>
      </c>
      <c r="W545" s="12" t="s">
        <v>7414</v>
      </c>
      <c r="X545" s="12">
        <v>8.3347000000000004E-2</v>
      </c>
      <c r="Y545" s="12">
        <v>94223</v>
      </c>
      <c r="Z545" s="12" t="s">
        <v>6638</v>
      </c>
      <c r="AA545" s="12" t="s">
        <v>6638</v>
      </c>
      <c r="AB545" s="12" t="s">
        <v>1127</v>
      </c>
      <c r="AC545" s="12" t="s">
        <v>21</v>
      </c>
      <c r="AD545" s="12">
        <v>8.4000000000000005E-2</v>
      </c>
      <c r="AE545" s="12">
        <v>0.89600000000000002</v>
      </c>
      <c r="AF545" s="12" t="s">
        <v>8101</v>
      </c>
    </row>
    <row r="546" spans="1:32" x14ac:dyDescent="0.2">
      <c r="A546" s="12" t="s">
        <v>3851</v>
      </c>
      <c r="B546" s="12" t="s">
        <v>3851</v>
      </c>
      <c r="C546" s="12" t="s">
        <v>6802</v>
      </c>
      <c r="D546" s="12" t="s">
        <v>13</v>
      </c>
      <c r="E546" s="12" t="s">
        <v>8108</v>
      </c>
      <c r="F546" s="12" t="s">
        <v>5458</v>
      </c>
      <c r="G546" s="12" t="s">
        <v>5453</v>
      </c>
      <c r="H546" s="12" t="s">
        <v>6637</v>
      </c>
      <c r="I546" s="3">
        <v>4954</v>
      </c>
      <c r="J546" s="3" t="s">
        <v>8164</v>
      </c>
      <c r="K546" s="12" t="s">
        <v>6648</v>
      </c>
      <c r="L546" s="12" t="s">
        <v>3832</v>
      </c>
      <c r="M546" s="12" t="s">
        <v>3832</v>
      </c>
      <c r="N546" s="12" t="s">
        <v>5785</v>
      </c>
      <c r="O546" s="12" t="s">
        <v>6786</v>
      </c>
      <c r="P546" s="12" t="s">
        <v>826</v>
      </c>
      <c r="Q546" s="12" t="s">
        <v>6658</v>
      </c>
      <c r="R546" s="16">
        <v>30.649857000000001</v>
      </c>
      <c r="S546" s="16">
        <v>61.400311000000002</v>
      </c>
      <c r="T546" s="12" t="s">
        <v>25</v>
      </c>
      <c r="U546" s="12" t="s">
        <v>3853</v>
      </c>
      <c r="V546" s="12" t="s">
        <v>6639</v>
      </c>
      <c r="W546" s="12" t="s">
        <v>6639</v>
      </c>
      <c r="X546" s="12">
        <v>5.8539000000000001E-2</v>
      </c>
      <c r="Y546" s="12">
        <v>65767</v>
      </c>
      <c r="Z546" s="12" t="s">
        <v>6639</v>
      </c>
      <c r="AA546" s="12" t="s">
        <v>6639</v>
      </c>
      <c r="AB546" s="12" t="s">
        <v>3852</v>
      </c>
      <c r="AC546" s="12" t="s">
        <v>21</v>
      </c>
      <c r="AD546" s="12">
        <v>3.9E-2</v>
      </c>
      <c r="AE546" s="12" t="s">
        <v>17</v>
      </c>
      <c r="AF546" s="12" t="s">
        <v>45</v>
      </c>
    </row>
    <row r="547" spans="1:32" x14ac:dyDescent="0.2">
      <c r="A547" s="12" t="s">
        <v>3862</v>
      </c>
      <c r="B547" s="12" t="s">
        <v>3862</v>
      </c>
      <c r="C547" s="12" t="s">
        <v>6796</v>
      </c>
      <c r="D547" s="12" t="s">
        <v>13</v>
      </c>
      <c r="E547" s="12" t="s">
        <v>8108</v>
      </c>
      <c r="F547" s="12" t="s">
        <v>5458</v>
      </c>
      <c r="G547" s="12" t="s">
        <v>5453</v>
      </c>
      <c r="H547" s="12" t="s">
        <v>6637</v>
      </c>
      <c r="I547" s="12">
        <v>4900</v>
      </c>
      <c r="J547" s="12" t="s">
        <v>6990</v>
      </c>
      <c r="K547" s="12" t="s">
        <v>6648</v>
      </c>
      <c r="L547" s="12" t="s">
        <v>3863</v>
      </c>
      <c r="M547" s="12" t="s">
        <v>3863</v>
      </c>
      <c r="N547" s="12" t="s">
        <v>24</v>
      </c>
      <c r="O547" s="12" t="s">
        <v>6786</v>
      </c>
      <c r="P547" s="12" t="s">
        <v>826</v>
      </c>
      <c r="Q547" s="12" t="s">
        <v>6658</v>
      </c>
      <c r="R547" s="16">
        <v>30.649857000000001</v>
      </c>
      <c r="S547" s="16">
        <v>61.400311000000002</v>
      </c>
      <c r="T547" s="12" t="s">
        <v>25</v>
      </c>
      <c r="U547" s="12" t="s">
        <v>1029</v>
      </c>
      <c r="V547" s="12" t="s">
        <v>6639</v>
      </c>
      <c r="W547" s="12" t="s">
        <v>6639</v>
      </c>
      <c r="X547" s="12">
        <v>4.4898E-2</v>
      </c>
      <c r="Y547" s="12">
        <v>50196</v>
      </c>
      <c r="Z547" s="12" t="s">
        <v>6639</v>
      </c>
      <c r="AA547" s="12" t="s">
        <v>6639</v>
      </c>
      <c r="AB547" s="12" t="s">
        <v>3864</v>
      </c>
      <c r="AC547" s="12" t="s">
        <v>21</v>
      </c>
      <c r="AD547" s="12">
        <v>9.8000000000000004E-2</v>
      </c>
      <c r="AE547" s="12" t="s">
        <v>17</v>
      </c>
      <c r="AF547" s="12" t="s">
        <v>45</v>
      </c>
    </row>
    <row r="548" spans="1:32" x14ac:dyDescent="0.2">
      <c r="A548" s="12" t="s">
        <v>3839</v>
      </c>
      <c r="B548" s="12" t="s">
        <v>3839</v>
      </c>
      <c r="C548" s="12" t="s">
        <v>6791</v>
      </c>
      <c r="D548" s="12" t="s">
        <v>13</v>
      </c>
      <c r="E548" s="12" t="s">
        <v>8110</v>
      </c>
      <c r="F548" s="12" t="s">
        <v>3841</v>
      </c>
      <c r="G548" s="12" t="s">
        <v>5453</v>
      </c>
      <c r="H548" s="12" t="s">
        <v>6637</v>
      </c>
      <c r="I548" s="12">
        <v>4896</v>
      </c>
      <c r="J548" s="12" t="s">
        <v>3841</v>
      </c>
      <c r="K548" s="12" t="s">
        <v>6648</v>
      </c>
      <c r="L548" s="12" t="s">
        <v>3832</v>
      </c>
      <c r="M548" s="12" t="s">
        <v>3832</v>
      </c>
      <c r="N548" s="12" t="s">
        <v>5785</v>
      </c>
      <c r="O548" s="12" t="s">
        <v>6786</v>
      </c>
      <c r="P548" s="12" t="s">
        <v>826</v>
      </c>
      <c r="Q548" s="12" t="s">
        <v>6658</v>
      </c>
      <c r="R548" s="16">
        <v>30.649857000000001</v>
      </c>
      <c r="S548" s="16">
        <v>61.400311000000002</v>
      </c>
      <c r="T548" s="12" t="s">
        <v>11</v>
      </c>
      <c r="U548" s="12" t="s">
        <v>954</v>
      </c>
      <c r="V548" s="12" t="s">
        <v>628</v>
      </c>
      <c r="W548" s="12" t="s">
        <v>7415</v>
      </c>
      <c r="X548" s="12">
        <v>1.303552</v>
      </c>
      <c r="Y548" s="12">
        <v>646340</v>
      </c>
      <c r="Z548" s="12">
        <v>2.2729999999999998E-3</v>
      </c>
      <c r="AA548" s="12">
        <v>1.3547010151615657</v>
      </c>
      <c r="AB548" s="12" t="s">
        <v>3840</v>
      </c>
      <c r="AC548" s="12" t="s">
        <v>21</v>
      </c>
      <c r="AD548" s="12">
        <v>0.154</v>
      </c>
      <c r="AE548" s="12">
        <v>0.998</v>
      </c>
      <c r="AF548" s="12" t="s">
        <v>45</v>
      </c>
    </row>
    <row r="549" spans="1:32" x14ac:dyDescent="0.2">
      <c r="A549" s="12" t="s">
        <v>3842</v>
      </c>
      <c r="B549" s="12" t="s">
        <v>3842</v>
      </c>
      <c r="C549" s="12" t="s">
        <v>6790</v>
      </c>
      <c r="D549" s="12" t="s">
        <v>13</v>
      </c>
      <c r="E549" s="12" t="s">
        <v>8110</v>
      </c>
      <c r="F549" s="12" t="s">
        <v>5458</v>
      </c>
      <c r="G549" s="12" t="s">
        <v>5453</v>
      </c>
      <c r="H549" s="12" t="s">
        <v>6637</v>
      </c>
      <c r="I549" s="16">
        <v>4850</v>
      </c>
      <c r="J549" s="12" t="s">
        <v>6994</v>
      </c>
      <c r="K549" s="12" t="s">
        <v>6648</v>
      </c>
      <c r="L549" s="12" t="s">
        <v>3832</v>
      </c>
      <c r="M549" s="12" t="s">
        <v>3832</v>
      </c>
      <c r="N549" s="12" t="s">
        <v>5785</v>
      </c>
      <c r="O549" s="12" t="s">
        <v>6786</v>
      </c>
      <c r="P549" s="12" t="s">
        <v>826</v>
      </c>
      <c r="Q549" s="12" t="s">
        <v>6658</v>
      </c>
      <c r="R549" s="12">
        <v>30.649857000000001</v>
      </c>
      <c r="S549" s="12">
        <v>61.400311000000002</v>
      </c>
      <c r="T549" s="12" t="s">
        <v>11</v>
      </c>
      <c r="U549" s="12" t="s">
        <v>1672</v>
      </c>
      <c r="V549" s="12" t="s">
        <v>628</v>
      </c>
      <c r="W549" s="12" t="s">
        <v>7415</v>
      </c>
      <c r="X549" s="12">
        <v>0.16806699999999999</v>
      </c>
      <c r="Y549" s="12">
        <v>173123</v>
      </c>
      <c r="Z549" s="12" t="s">
        <v>8052</v>
      </c>
      <c r="AA549" s="12" t="s">
        <v>8052</v>
      </c>
      <c r="AB549" s="12" t="s">
        <v>3843</v>
      </c>
      <c r="AC549" s="12" t="s">
        <v>21</v>
      </c>
      <c r="AD549" s="12">
        <v>0.13600000000000001</v>
      </c>
      <c r="AE549" s="12">
        <v>0.997</v>
      </c>
      <c r="AF549" s="12" t="s">
        <v>45</v>
      </c>
    </row>
    <row r="550" spans="1:32" x14ac:dyDescent="0.2">
      <c r="A550" s="12" t="s">
        <v>3831</v>
      </c>
      <c r="B550" s="12" t="s">
        <v>3831</v>
      </c>
      <c r="C550" s="12" t="s">
        <v>6794</v>
      </c>
      <c r="D550" s="12" t="s">
        <v>13</v>
      </c>
      <c r="E550" s="12" t="s">
        <v>8108</v>
      </c>
      <c r="F550" s="12" t="s">
        <v>3834</v>
      </c>
      <c r="G550" s="12" t="s">
        <v>5453</v>
      </c>
      <c r="H550" s="12" t="s">
        <v>6637</v>
      </c>
      <c r="I550" s="12">
        <v>4846</v>
      </c>
      <c r="J550" s="12" t="s">
        <v>3834</v>
      </c>
      <c r="K550" s="12" t="s">
        <v>6648</v>
      </c>
      <c r="L550" s="12" t="s">
        <v>3832</v>
      </c>
      <c r="M550" s="12" t="s">
        <v>3832</v>
      </c>
      <c r="N550" s="12" t="s">
        <v>5785</v>
      </c>
      <c r="O550" s="12" t="s">
        <v>6786</v>
      </c>
      <c r="P550" s="12" t="s">
        <v>826</v>
      </c>
      <c r="Q550" s="12" t="s">
        <v>6658</v>
      </c>
      <c r="R550" s="12">
        <v>30.649857000000001</v>
      </c>
      <c r="S550" s="12">
        <v>61.400311000000002</v>
      </c>
      <c r="T550" s="12" t="s">
        <v>11</v>
      </c>
      <c r="U550" s="12" t="s">
        <v>3835</v>
      </c>
      <c r="V550" s="12" t="s">
        <v>894</v>
      </c>
      <c r="W550" s="12" t="s">
        <v>7415</v>
      </c>
      <c r="X550" s="12">
        <v>1.8795409999999999</v>
      </c>
      <c r="Y550" s="12">
        <v>656926</v>
      </c>
      <c r="Z550" s="12">
        <v>3.333E-3</v>
      </c>
      <c r="AA550" s="12">
        <v>2.2829079850408909</v>
      </c>
      <c r="AB550" s="12" t="s">
        <v>3833</v>
      </c>
      <c r="AC550" s="12" t="s">
        <v>21</v>
      </c>
      <c r="AD550" s="12">
        <v>0.14899999999999999</v>
      </c>
      <c r="AE550" s="12" t="s">
        <v>17</v>
      </c>
      <c r="AF550" s="12" t="s">
        <v>427</v>
      </c>
    </row>
    <row r="551" spans="1:32" x14ac:dyDescent="0.2">
      <c r="A551" s="12" t="s">
        <v>2096</v>
      </c>
      <c r="B551" s="12" t="s">
        <v>2096</v>
      </c>
      <c r="C551" s="12" t="s">
        <v>6804</v>
      </c>
      <c r="D551" s="12" t="s">
        <v>13</v>
      </c>
      <c r="E551" s="12" t="s">
        <v>8108</v>
      </c>
      <c r="F551" s="12" t="s">
        <v>5458</v>
      </c>
      <c r="G551" s="12" t="s">
        <v>5453</v>
      </c>
      <c r="H551" s="12" t="s">
        <v>6637</v>
      </c>
      <c r="I551" s="12">
        <v>4800</v>
      </c>
      <c r="J551" s="12" t="s">
        <v>2098</v>
      </c>
      <c r="K551" s="12" t="s">
        <v>6648</v>
      </c>
      <c r="L551" s="12" t="s">
        <v>6674</v>
      </c>
      <c r="M551" s="12" t="s">
        <v>2069</v>
      </c>
      <c r="N551" s="12" t="s">
        <v>5785</v>
      </c>
      <c r="O551" s="12" t="s">
        <v>6786</v>
      </c>
      <c r="P551" s="12" t="s">
        <v>826</v>
      </c>
      <c r="Q551" s="12" t="s">
        <v>6658</v>
      </c>
      <c r="R551" s="12">
        <v>30.649857000000001</v>
      </c>
      <c r="S551" s="12">
        <v>61.400311000000002</v>
      </c>
      <c r="T551" s="12" t="s">
        <v>11</v>
      </c>
      <c r="U551" s="12" t="s">
        <v>1025</v>
      </c>
      <c r="V551" s="12" t="s">
        <v>262</v>
      </c>
      <c r="W551" s="12" t="s">
        <v>7415</v>
      </c>
      <c r="X551" s="12">
        <v>1.7204000000000001E-2</v>
      </c>
      <c r="Y551" s="12">
        <v>20314</v>
      </c>
      <c r="Z551" s="12" t="s">
        <v>8052</v>
      </c>
      <c r="AA551" s="12" t="s">
        <v>8052</v>
      </c>
      <c r="AB551" s="12" t="s">
        <v>2097</v>
      </c>
      <c r="AC551" s="12" t="s">
        <v>21</v>
      </c>
      <c r="AD551" s="12">
        <v>7.0999999999999994E-2</v>
      </c>
      <c r="AE551" s="12" t="s">
        <v>17</v>
      </c>
      <c r="AF551" s="12" t="s">
        <v>45</v>
      </c>
    </row>
    <row r="552" spans="1:32" x14ac:dyDescent="0.2">
      <c r="A552" s="12" t="s">
        <v>3836</v>
      </c>
      <c r="B552" s="12" t="s">
        <v>3836</v>
      </c>
      <c r="C552" s="12" t="s">
        <v>6801</v>
      </c>
      <c r="D552" s="12" t="s">
        <v>13</v>
      </c>
      <c r="E552" s="12" t="s">
        <v>8108</v>
      </c>
      <c r="F552" s="12" t="s">
        <v>8157</v>
      </c>
      <c r="G552" s="12" t="s">
        <v>5453</v>
      </c>
      <c r="H552" s="12" t="s">
        <v>6637</v>
      </c>
      <c r="I552" s="12">
        <v>4754</v>
      </c>
      <c r="J552" s="12" t="s">
        <v>8158</v>
      </c>
      <c r="K552" s="12" t="s">
        <v>6648</v>
      </c>
      <c r="L552" s="12" t="s">
        <v>3832</v>
      </c>
      <c r="M552" s="12" t="s">
        <v>3832</v>
      </c>
      <c r="N552" s="12" t="s">
        <v>5785</v>
      </c>
      <c r="O552" s="12" t="s">
        <v>6786</v>
      </c>
      <c r="P552" s="12" t="s">
        <v>826</v>
      </c>
      <c r="Q552" s="12" t="s">
        <v>6658</v>
      </c>
      <c r="R552" s="12">
        <v>30.649857000000001</v>
      </c>
      <c r="S552" s="12">
        <v>61.400311000000002</v>
      </c>
      <c r="T552" s="12" t="s">
        <v>25</v>
      </c>
      <c r="U552" s="12" t="s">
        <v>3838</v>
      </c>
      <c r="V552" s="12" t="s">
        <v>6639</v>
      </c>
      <c r="W552" s="12" t="s">
        <v>6639</v>
      </c>
      <c r="X552" s="12">
        <v>8.8300000000000003E-2</v>
      </c>
      <c r="Y552" s="12">
        <v>94223</v>
      </c>
      <c r="Z552" s="12" t="s">
        <v>6639</v>
      </c>
      <c r="AA552" s="12" t="s">
        <v>6639</v>
      </c>
      <c r="AB552" s="12" t="s">
        <v>3837</v>
      </c>
      <c r="AC552" s="12" t="s">
        <v>21</v>
      </c>
      <c r="AD552" s="12">
        <v>0.111</v>
      </c>
      <c r="AE552" s="12" t="s">
        <v>17</v>
      </c>
      <c r="AF552" s="12" t="s">
        <v>45</v>
      </c>
    </row>
    <row r="553" spans="1:32" x14ac:dyDescent="0.2">
      <c r="A553" s="12" t="s">
        <v>3865</v>
      </c>
      <c r="B553" s="12" t="s">
        <v>3865</v>
      </c>
      <c r="C553" s="12" t="s">
        <v>6798</v>
      </c>
      <c r="D553" s="12" t="s">
        <v>13</v>
      </c>
      <c r="E553" s="12" t="s">
        <v>8108</v>
      </c>
      <c r="F553" s="12" t="s">
        <v>5458</v>
      </c>
      <c r="G553" s="12" t="s">
        <v>5453</v>
      </c>
      <c r="H553" s="12" t="s">
        <v>6637</v>
      </c>
      <c r="I553" s="12">
        <v>4750</v>
      </c>
      <c r="J553" s="12" t="s">
        <v>3868</v>
      </c>
      <c r="K553" s="12" t="s">
        <v>6648</v>
      </c>
      <c r="L553" s="12" t="s">
        <v>3866</v>
      </c>
      <c r="M553" s="12" t="s">
        <v>3866</v>
      </c>
      <c r="N553" s="12" t="s">
        <v>5785</v>
      </c>
      <c r="O553" s="12" t="s">
        <v>6786</v>
      </c>
      <c r="P553" s="12" t="s">
        <v>826</v>
      </c>
      <c r="Q553" s="12" t="s">
        <v>6658</v>
      </c>
      <c r="R553" s="12">
        <v>30.649857000000001</v>
      </c>
      <c r="S553" s="12">
        <v>61.400311000000002</v>
      </c>
      <c r="T553" s="12" t="s">
        <v>25</v>
      </c>
      <c r="U553" s="12" t="s">
        <v>1652</v>
      </c>
      <c r="V553" s="12" t="s">
        <v>6639</v>
      </c>
      <c r="W553" s="12" t="s">
        <v>6639</v>
      </c>
      <c r="X553" s="12">
        <v>6.3969999999999999E-2</v>
      </c>
      <c r="Y553" s="12">
        <v>69792</v>
      </c>
      <c r="Z553" s="12" t="s">
        <v>6639</v>
      </c>
      <c r="AA553" s="12" t="s">
        <v>6639</v>
      </c>
      <c r="AB553" s="12" t="s">
        <v>3867</v>
      </c>
      <c r="AC553" s="12" t="s">
        <v>21</v>
      </c>
      <c r="AD553" s="12">
        <v>0.113</v>
      </c>
      <c r="AE553" s="12" t="s">
        <v>17</v>
      </c>
      <c r="AF553" s="12" t="s">
        <v>45</v>
      </c>
    </row>
    <row r="554" spans="1:32" x14ac:dyDescent="0.2">
      <c r="A554" s="12" t="s">
        <v>2073</v>
      </c>
      <c r="B554" s="12" t="s">
        <v>2073</v>
      </c>
      <c r="C554" s="12" t="s">
        <v>6789</v>
      </c>
      <c r="D554" s="12" t="s">
        <v>13</v>
      </c>
      <c r="E554" s="12" t="s">
        <v>8108</v>
      </c>
      <c r="F554" s="12" t="s">
        <v>5458</v>
      </c>
      <c r="G554" s="12" t="s">
        <v>5453</v>
      </c>
      <c r="H554" s="12" t="s">
        <v>6637</v>
      </c>
      <c r="I554" s="12">
        <v>4703</v>
      </c>
      <c r="J554" s="12" t="s">
        <v>8163</v>
      </c>
      <c r="K554" s="12" t="s">
        <v>6648</v>
      </c>
      <c r="L554" s="12" t="s">
        <v>6666</v>
      </c>
      <c r="M554" s="12" t="s">
        <v>2069</v>
      </c>
      <c r="N554" s="12" t="s">
        <v>5785</v>
      </c>
      <c r="O554" s="12" t="s">
        <v>6786</v>
      </c>
      <c r="P554" s="12" t="s">
        <v>826</v>
      </c>
      <c r="Q554" s="12" t="s">
        <v>6658</v>
      </c>
      <c r="R554" s="16">
        <v>30.649857000000001</v>
      </c>
      <c r="S554" s="16">
        <v>61.400311000000002</v>
      </c>
      <c r="T554" s="12" t="s">
        <v>11</v>
      </c>
      <c r="U554" s="12" t="s">
        <v>2075</v>
      </c>
      <c r="V554" s="12" t="s">
        <v>1182</v>
      </c>
      <c r="W554" s="12" t="s">
        <v>7415</v>
      </c>
      <c r="X554" s="12">
        <v>0.38644299999999998</v>
      </c>
      <c r="Y554" s="12">
        <v>325684</v>
      </c>
      <c r="Z554" s="12">
        <v>6.1879999999999999E-3</v>
      </c>
      <c r="AA554" s="12">
        <v>0.88257640425992867</v>
      </c>
      <c r="AB554" s="12" t="s">
        <v>2074</v>
      </c>
      <c r="AC554" s="12" t="s">
        <v>21</v>
      </c>
      <c r="AD554" s="12">
        <v>0.13400000000000001</v>
      </c>
      <c r="AE554" s="12" t="s">
        <v>17</v>
      </c>
      <c r="AF554" s="12" t="s">
        <v>45</v>
      </c>
    </row>
    <row r="555" spans="1:32" x14ac:dyDescent="0.2">
      <c r="A555" s="12" t="s">
        <v>1492</v>
      </c>
      <c r="B555" s="12" t="s">
        <v>1493</v>
      </c>
      <c r="C555" s="12" t="s">
        <v>1493</v>
      </c>
      <c r="D555" s="12" t="s">
        <v>13</v>
      </c>
      <c r="E555" s="12" t="s">
        <v>8110</v>
      </c>
      <c r="F555" s="12" t="s">
        <v>5460</v>
      </c>
      <c r="G555" s="12" t="s">
        <v>5453</v>
      </c>
      <c r="H555" s="12" t="s">
        <v>6620</v>
      </c>
      <c r="I555" s="12">
        <v>4605</v>
      </c>
      <c r="J555" s="12" t="s">
        <v>1495</v>
      </c>
      <c r="K555" s="12" t="s">
        <v>6648</v>
      </c>
      <c r="L555" s="12" t="s">
        <v>1494</v>
      </c>
      <c r="M555" s="12" t="s">
        <v>1494</v>
      </c>
      <c r="N555" s="12" t="s">
        <v>5785</v>
      </c>
      <c r="O555" s="12" t="s">
        <v>1496</v>
      </c>
      <c r="P555" s="12" t="s">
        <v>1497</v>
      </c>
      <c r="Q555" s="12" t="s">
        <v>6658</v>
      </c>
      <c r="R555" s="12">
        <v>36.783332999999999</v>
      </c>
      <c r="S555" s="12">
        <v>70</v>
      </c>
      <c r="T555" s="12" t="s">
        <v>11</v>
      </c>
      <c r="U555" s="12" t="s">
        <v>1136</v>
      </c>
      <c r="V555" s="12" t="s">
        <v>1498</v>
      </c>
      <c r="W555" s="12" t="s">
        <v>7415</v>
      </c>
      <c r="X555" s="12">
        <v>3.1E-2</v>
      </c>
      <c r="Y555" s="12">
        <v>36481</v>
      </c>
      <c r="Z555" s="12">
        <v>0.35348400000000002</v>
      </c>
      <c r="AA555" s="12">
        <v>18.850067191399503</v>
      </c>
      <c r="AB555" s="171" t="s">
        <v>8131</v>
      </c>
      <c r="AC555" s="12" t="s">
        <v>144</v>
      </c>
      <c r="AD555" s="12" t="s">
        <v>17</v>
      </c>
      <c r="AE555" s="12" t="s">
        <v>17</v>
      </c>
      <c r="AF555" s="12" t="s">
        <v>45</v>
      </c>
    </row>
    <row r="556" spans="1:32" x14ac:dyDescent="0.2">
      <c r="A556" s="12" t="s">
        <v>2090</v>
      </c>
      <c r="B556" s="12" t="s">
        <v>2090</v>
      </c>
      <c r="C556" s="12" t="s">
        <v>6792</v>
      </c>
      <c r="D556" s="12" t="s">
        <v>13</v>
      </c>
      <c r="E556" s="12" t="s">
        <v>8108</v>
      </c>
      <c r="F556" s="12" t="s">
        <v>5458</v>
      </c>
      <c r="G556" s="12" t="s">
        <v>5453</v>
      </c>
      <c r="H556" s="12" t="s">
        <v>6637</v>
      </c>
      <c r="I556" s="12">
        <v>4600</v>
      </c>
      <c r="J556" s="12" t="s">
        <v>2093</v>
      </c>
      <c r="K556" s="12" t="s">
        <v>6648</v>
      </c>
      <c r="L556" s="12" t="s">
        <v>6668</v>
      </c>
      <c r="M556" s="12" t="s">
        <v>2091</v>
      </c>
      <c r="N556" s="12" t="s">
        <v>24</v>
      </c>
      <c r="O556" s="12" t="s">
        <v>6786</v>
      </c>
      <c r="P556" s="12" t="s">
        <v>826</v>
      </c>
      <c r="Q556" s="12" t="s">
        <v>6658</v>
      </c>
      <c r="R556" s="12">
        <v>30.649857000000001</v>
      </c>
      <c r="S556" s="12">
        <v>61.400311000000002</v>
      </c>
      <c r="T556" s="12" t="s">
        <v>11</v>
      </c>
      <c r="U556" s="12" t="s">
        <v>1136</v>
      </c>
      <c r="V556" s="12" t="s">
        <v>253</v>
      </c>
      <c r="W556" s="12" t="s">
        <v>7415</v>
      </c>
      <c r="X556" s="12">
        <v>4.6080000000000001E-3</v>
      </c>
      <c r="Y556" s="12">
        <v>5481</v>
      </c>
      <c r="Z556" s="12" t="s">
        <v>8052</v>
      </c>
      <c r="AA556" s="12" t="s">
        <v>8052</v>
      </c>
      <c r="AB556" s="12" t="s">
        <v>2092</v>
      </c>
      <c r="AC556" s="12" t="s">
        <v>21</v>
      </c>
      <c r="AD556" s="12">
        <v>5.2999999999999999E-2</v>
      </c>
      <c r="AE556" s="12" t="s">
        <v>17</v>
      </c>
      <c r="AF556" s="12" t="s">
        <v>45</v>
      </c>
    </row>
    <row r="557" spans="1:32" x14ac:dyDescent="0.2">
      <c r="A557" s="12" t="s">
        <v>2094</v>
      </c>
      <c r="B557" s="12" t="s">
        <v>2094</v>
      </c>
      <c r="C557" s="12" t="s">
        <v>6805</v>
      </c>
      <c r="D557" s="12" t="s">
        <v>13</v>
      </c>
      <c r="E557" s="12" t="s">
        <v>8108</v>
      </c>
      <c r="F557" s="12" t="s">
        <v>5458</v>
      </c>
      <c r="G557" s="12" t="s">
        <v>5453</v>
      </c>
      <c r="H557" s="12" t="s">
        <v>6637</v>
      </c>
      <c r="I557" s="12">
        <v>4600</v>
      </c>
      <c r="J557" s="12" t="s">
        <v>2093</v>
      </c>
      <c r="K557" s="12" t="s">
        <v>6648</v>
      </c>
      <c r="L557" s="12" t="s">
        <v>6669</v>
      </c>
      <c r="M557" s="12" t="s">
        <v>2091</v>
      </c>
      <c r="N557" s="12" t="s">
        <v>24</v>
      </c>
      <c r="O557" s="12" t="s">
        <v>6786</v>
      </c>
      <c r="P557" s="12" t="s">
        <v>826</v>
      </c>
      <c r="Q557" s="12" t="s">
        <v>6658</v>
      </c>
      <c r="R557" s="12">
        <v>30.649857000000001</v>
      </c>
      <c r="S557" s="12">
        <v>61.400311000000002</v>
      </c>
      <c r="T557" s="12" t="s">
        <v>25</v>
      </c>
      <c r="U557" s="12" t="s">
        <v>392</v>
      </c>
      <c r="V557" s="12" t="s">
        <v>6639</v>
      </c>
      <c r="W557" s="12" t="s">
        <v>6639</v>
      </c>
      <c r="X557" s="12">
        <v>4.7720000000000002E-3</v>
      </c>
      <c r="Y557" s="12">
        <v>5623</v>
      </c>
      <c r="Z557" s="12" t="s">
        <v>6638</v>
      </c>
      <c r="AA557" s="12" t="s">
        <v>6638</v>
      </c>
      <c r="AB557" s="12" t="s">
        <v>2095</v>
      </c>
      <c r="AC557" s="12" t="s">
        <v>21</v>
      </c>
      <c r="AD557" s="12">
        <v>8.5000000000000006E-2</v>
      </c>
      <c r="AE557" s="12" t="s">
        <v>17</v>
      </c>
      <c r="AF557" s="12" t="s">
        <v>45</v>
      </c>
    </row>
    <row r="558" spans="1:32" x14ac:dyDescent="0.2">
      <c r="A558" s="12" t="s">
        <v>2100</v>
      </c>
      <c r="B558" s="12" t="s">
        <v>2100</v>
      </c>
      <c r="C558" s="12" t="s">
        <v>6806</v>
      </c>
      <c r="D558" s="12" t="s">
        <v>13</v>
      </c>
      <c r="E558" s="12" t="s">
        <v>8108</v>
      </c>
      <c r="F558" s="12" t="s">
        <v>5458</v>
      </c>
      <c r="G558" s="12" t="s">
        <v>5453</v>
      </c>
      <c r="H558" s="12" t="s">
        <v>6637</v>
      </c>
      <c r="I558" s="12">
        <v>4600</v>
      </c>
      <c r="J558" s="12" t="s">
        <v>2093</v>
      </c>
      <c r="K558" s="12" t="s">
        <v>6648</v>
      </c>
      <c r="L558" s="12" t="s">
        <v>6675</v>
      </c>
      <c r="M558" s="12" t="s">
        <v>2069</v>
      </c>
      <c r="N558" s="12" t="s">
        <v>5785</v>
      </c>
      <c r="O558" s="12" t="s">
        <v>6786</v>
      </c>
      <c r="P558" s="12" t="s">
        <v>826</v>
      </c>
      <c r="Q558" s="12" t="s">
        <v>6658</v>
      </c>
      <c r="R558" s="16">
        <v>30.649857000000001</v>
      </c>
      <c r="S558" s="16">
        <v>61.400311000000002</v>
      </c>
      <c r="T558" s="12" t="s">
        <v>11</v>
      </c>
      <c r="U558" s="12" t="s">
        <v>17</v>
      </c>
      <c r="V558" s="12" t="s">
        <v>25</v>
      </c>
      <c r="W558" s="12" t="s">
        <v>7160</v>
      </c>
      <c r="X558" s="12">
        <v>2.5536E-2</v>
      </c>
      <c r="Y558" s="12">
        <v>30098</v>
      </c>
      <c r="Z558" s="12" t="s">
        <v>8052</v>
      </c>
      <c r="AA558" s="12" t="s">
        <v>8052</v>
      </c>
      <c r="AB558" s="12" t="s">
        <v>2099</v>
      </c>
      <c r="AC558" s="12" t="s">
        <v>21</v>
      </c>
      <c r="AD558" s="12">
        <v>0.191</v>
      </c>
      <c r="AE558" s="12" t="s">
        <v>17</v>
      </c>
      <c r="AF558" s="12" t="s">
        <v>45</v>
      </c>
    </row>
    <row r="559" spans="1:32" x14ac:dyDescent="0.2">
      <c r="A559" s="12" t="s">
        <v>3844</v>
      </c>
      <c r="B559" s="12" t="s">
        <v>3844</v>
      </c>
      <c r="C559" s="12" t="s">
        <v>6799</v>
      </c>
      <c r="D559" s="12" t="s">
        <v>13</v>
      </c>
      <c r="E559" s="12" t="s">
        <v>8108</v>
      </c>
      <c r="F559" s="12" t="s">
        <v>5458</v>
      </c>
      <c r="G559" s="12" t="s">
        <v>5453</v>
      </c>
      <c r="H559" s="12" t="s">
        <v>6637</v>
      </c>
      <c r="I559" s="12">
        <v>4600</v>
      </c>
      <c r="J559" s="12" t="s">
        <v>6992</v>
      </c>
      <c r="K559" s="12" t="s">
        <v>6648</v>
      </c>
      <c r="L559" s="12" t="s">
        <v>3832</v>
      </c>
      <c r="M559" s="12" t="s">
        <v>3832</v>
      </c>
      <c r="N559" s="12" t="s">
        <v>5785</v>
      </c>
      <c r="O559" s="12" t="s">
        <v>6786</v>
      </c>
      <c r="P559" s="12" t="s">
        <v>826</v>
      </c>
      <c r="Q559" s="12" t="s">
        <v>6658</v>
      </c>
      <c r="R559" s="12">
        <v>30.649857000000001</v>
      </c>
      <c r="S559" s="12">
        <v>61.400311000000002</v>
      </c>
      <c r="T559" s="12" t="s">
        <v>11</v>
      </c>
      <c r="U559" s="12" t="s">
        <v>2061</v>
      </c>
      <c r="V559" s="12" t="s">
        <v>232</v>
      </c>
      <c r="W559" s="12" t="s">
        <v>7415</v>
      </c>
      <c r="X559" s="12">
        <v>0.89073100000000005</v>
      </c>
      <c r="Y559" s="12">
        <v>516701</v>
      </c>
      <c r="Z559" s="12">
        <v>6.8389999999999996E-3</v>
      </c>
      <c r="AA559" s="12">
        <v>1.9852045799909144</v>
      </c>
      <c r="AB559" s="12" t="s">
        <v>3845</v>
      </c>
      <c r="AC559" s="12" t="s">
        <v>21</v>
      </c>
      <c r="AD559" s="12">
        <v>0.14099999999999999</v>
      </c>
      <c r="AE559" s="12" t="s">
        <v>17</v>
      </c>
      <c r="AF559" s="12" t="s">
        <v>45</v>
      </c>
    </row>
    <row r="560" spans="1:32" x14ac:dyDescent="0.2">
      <c r="A560" s="12" t="s">
        <v>3846</v>
      </c>
      <c r="B560" s="12" t="s">
        <v>3846</v>
      </c>
      <c r="C560" s="12" t="s">
        <v>6800</v>
      </c>
      <c r="D560" s="12" t="s">
        <v>13</v>
      </c>
      <c r="E560" s="12" t="s">
        <v>8108</v>
      </c>
      <c r="F560" s="12" t="s">
        <v>5458</v>
      </c>
      <c r="G560" s="12" t="s">
        <v>5453</v>
      </c>
      <c r="H560" s="12" t="s">
        <v>6637</v>
      </c>
      <c r="I560" s="12">
        <v>4600</v>
      </c>
      <c r="J560" s="12" t="s">
        <v>2093</v>
      </c>
      <c r="K560" s="12" t="s">
        <v>6648</v>
      </c>
      <c r="L560" s="12" t="s">
        <v>3832</v>
      </c>
      <c r="M560" s="12" t="s">
        <v>3832</v>
      </c>
      <c r="N560" s="12" t="s">
        <v>5785</v>
      </c>
      <c r="O560" s="12" t="s">
        <v>6786</v>
      </c>
      <c r="P560" s="12" t="s">
        <v>826</v>
      </c>
      <c r="Q560" s="12" t="s">
        <v>6658</v>
      </c>
      <c r="R560" s="12">
        <v>30.649857000000001</v>
      </c>
      <c r="S560" s="12">
        <v>61.400311000000002</v>
      </c>
      <c r="T560" s="12" t="s">
        <v>25</v>
      </c>
      <c r="U560" s="12" t="s">
        <v>3848</v>
      </c>
      <c r="V560" s="12" t="s">
        <v>6639</v>
      </c>
      <c r="W560" s="12" t="s">
        <v>6639</v>
      </c>
      <c r="X560" s="12">
        <v>2.055129</v>
      </c>
      <c r="Y560" s="12">
        <v>658230</v>
      </c>
      <c r="Z560" s="12" t="s">
        <v>6639</v>
      </c>
      <c r="AA560" s="12" t="s">
        <v>6639</v>
      </c>
      <c r="AB560" s="12" t="s">
        <v>3847</v>
      </c>
      <c r="AC560" s="12" t="s">
        <v>21</v>
      </c>
      <c r="AD560" s="12">
        <v>0.13300000000000001</v>
      </c>
      <c r="AE560" s="12" t="s">
        <v>17</v>
      </c>
      <c r="AF560" s="12" t="s">
        <v>45</v>
      </c>
    </row>
    <row r="561" spans="1:42" x14ac:dyDescent="0.2">
      <c r="A561" s="12" t="s">
        <v>3854</v>
      </c>
      <c r="B561" s="12" t="s">
        <v>3854</v>
      </c>
      <c r="C561" s="12" t="s">
        <v>6793</v>
      </c>
      <c r="D561" s="12" t="s">
        <v>13</v>
      </c>
      <c r="E561" s="12" t="s">
        <v>8108</v>
      </c>
      <c r="F561" s="12" t="s">
        <v>5458</v>
      </c>
      <c r="G561" s="12" t="s">
        <v>5453</v>
      </c>
      <c r="H561" s="12" t="s">
        <v>6637</v>
      </c>
      <c r="I561" s="12">
        <v>4600</v>
      </c>
      <c r="J561" s="12" t="s">
        <v>2093</v>
      </c>
      <c r="K561" s="12" t="s">
        <v>6648</v>
      </c>
      <c r="L561" s="12" t="s">
        <v>3855</v>
      </c>
      <c r="M561" s="12" t="s">
        <v>3855</v>
      </c>
      <c r="N561" s="12" t="s">
        <v>24</v>
      </c>
      <c r="O561" s="12" t="s">
        <v>6786</v>
      </c>
      <c r="P561" s="12" t="s">
        <v>826</v>
      </c>
      <c r="Q561" s="12" t="s">
        <v>6658</v>
      </c>
      <c r="R561" s="12">
        <v>30.649857000000001</v>
      </c>
      <c r="S561" s="12">
        <v>61.400311000000002</v>
      </c>
      <c r="T561" s="12" t="s">
        <v>11</v>
      </c>
      <c r="U561" s="12" t="s">
        <v>3857</v>
      </c>
      <c r="V561" s="12" t="s">
        <v>253</v>
      </c>
      <c r="W561" s="12" t="s">
        <v>7415</v>
      </c>
      <c r="X561" s="12">
        <v>2.3909999999999999E-3</v>
      </c>
      <c r="Y561" s="12">
        <v>2854</v>
      </c>
      <c r="Z561" s="12" t="s">
        <v>8052</v>
      </c>
      <c r="AA561" s="12" t="s">
        <v>8052</v>
      </c>
      <c r="AB561" s="12" t="s">
        <v>3856</v>
      </c>
      <c r="AC561" s="12" t="s">
        <v>21</v>
      </c>
      <c r="AD561" s="12">
        <v>4.9000000000000002E-2</v>
      </c>
      <c r="AE561" s="12" t="s">
        <v>17</v>
      </c>
      <c r="AF561" s="12" t="s">
        <v>3858</v>
      </c>
    </row>
    <row r="562" spans="1:42" x14ac:dyDescent="0.2">
      <c r="A562" s="12" t="s">
        <v>2076</v>
      </c>
      <c r="B562" s="12" t="s">
        <v>2076</v>
      </c>
      <c r="C562" s="12" t="s">
        <v>6788</v>
      </c>
      <c r="D562" s="12" t="s">
        <v>13</v>
      </c>
      <c r="E562" s="12" t="s">
        <v>8108</v>
      </c>
      <c r="F562" s="12" t="s">
        <v>5458</v>
      </c>
      <c r="G562" s="12" t="s">
        <v>5453</v>
      </c>
      <c r="H562" s="12" t="s">
        <v>6637</v>
      </c>
      <c r="I562" s="12">
        <v>4500</v>
      </c>
      <c r="J562" s="12" t="s">
        <v>2078</v>
      </c>
      <c r="K562" s="12" t="s">
        <v>6648</v>
      </c>
      <c r="L562" s="12" t="s">
        <v>6676</v>
      </c>
      <c r="M562" s="12" t="s">
        <v>2069</v>
      </c>
      <c r="N562" s="12" t="s">
        <v>5785</v>
      </c>
      <c r="O562" s="12" t="s">
        <v>6786</v>
      </c>
      <c r="P562" s="12" t="s">
        <v>826</v>
      </c>
      <c r="Q562" s="12" t="s">
        <v>6658</v>
      </c>
      <c r="R562" s="12">
        <v>30.649857000000001</v>
      </c>
      <c r="S562" s="12">
        <v>61.400311000000002</v>
      </c>
      <c r="T562" s="12" t="s">
        <v>25</v>
      </c>
      <c r="U562" s="12" t="s">
        <v>2075</v>
      </c>
      <c r="V562" s="12" t="s">
        <v>6639</v>
      </c>
      <c r="W562" s="12" t="s">
        <v>6639</v>
      </c>
      <c r="X562" s="12">
        <v>1.7064170000000001</v>
      </c>
      <c r="Y562" s="12">
        <v>633905</v>
      </c>
      <c r="Z562" s="12" t="s">
        <v>6639</v>
      </c>
      <c r="AA562" s="12" t="s">
        <v>6639</v>
      </c>
      <c r="AB562" s="12" t="s">
        <v>2077</v>
      </c>
      <c r="AC562" s="12" t="s">
        <v>21</v>
      </c>
      <c r="AD562" s="12">
        <v>0.15</v>
      </c>
      <c r="AE562" s="12" t="s">
        <v>17</v>
      </c>
      <c r="AF562" s="12" t="s">
        <v>45</v>
      </c>
    </row>
    <row r="563" spans="1:42" x14ac:dyDescent="0.2">
      <c r="A563" s="12" t="s">
        <v>2079</v>
      </c>
      <c r="B563" s="12" t="s">
        <v>2079</v>
      </c>
      <c r="C563" s="12" t="s">
        <v>6808</v>
      </c>
      <c r="D563" s="12" t="s">
        <v>13</v>
      </c>
      <c r="E563" s="12" t="s">
        <v>8110</v>
      </c>
      <c r="F563" s="12" t="s">
        <v>5458</v>
      </c>
      <c r="G563" s="12" t="s">
        <v>5453</v>
      </c>
      <c r="H563" s="12" t="s">
        <v>6637</v>
      </c>
      <c r="I563" s="12">
        <v>4500</v>
      </c>
      <c r="J563" s="12" t="s">
        <v>2078</v>
      </c>
      <c r="K563" s="12" t="s">
        <v>6648</v>
      </c>
      <c r="L563" s="12" t="s">
        <v>6677</v>
      </c>
      <c r="M563" s="12" t="s">
        <v>2069</v>
      </c>
      <c r="N563" s="12" t="s">
        <v>5785</v>
      </c>
      <c r="O563" s="12" t="s">
        <v>6786</v>
      </c>
      <c r="P563" s="12" t="s">
        <v>826</v>
      </c>
      <c r="Q563" s="12" t="s">
        <v>6658</v>
      </c>
      <c r="R563" s="12">
        <v>30.649857000000001</v>
      </c>
      <c r="S563" s="12">
        <v>61.400311000000002</v>
      </c>
      <c r="T563" s="12" t="s">
        <v>11</v>
      </c>
      <c r="U563" s="12" t="s">
        <v>2081</v>
      </c>
      <c r="V563" s="12" t="s">
        <v>232</v>
      </c>
      <c r="W563" s="12" t="s">
        <v>7415</v>
      </c>
      <c r="X563" s="12">
        <v>1.1414120000000001</v>
      </c>
      <c r="Y563" s="12">
        <v>657401</v>
      </c>
      <c r="Z563" s="12">
        <v>6.6519999999999999E-3</v>
      </c>
      <c r="AA563" s="12">
        <v>2.5542774355392455</v>
      </c>
      <c r="AB563" s="12" t="s">
        <v>2080</v>
      </c>
      <c r="AC563" s="12" t="s">
        <v>21</v>
      </c>
      <c r="AD563" s="12">
        <v>8.2000000000000003E-2</v>
      </c>
      <c r="AE563" s="12">
        <v>0.997</v>
      </c>
      <c r="AF563" s="12" t="s">
        <v>22</v>
      </c>
    </row>
    <row r="564" spans="1:42" x14ac:dyDescent="0.2">
      <c r="A564" s="12" t="s">
        <v>3849</v>
      </c>
      <c r="B564" s="12" t="s">
        <v>3849</v>
      </c>
      <c r="C564" s="12" t="s">
        <v>6803</v>
      </c>
      <c r="D564" s="12" t="s">
        <v>13</v>
      </c>
      <c r="E564" s="12" t="s">
        <v>8108</v>
      </c>
      <c r="F564" s="12" t="s">
        <v>5458</v>
      </c>
      <c r="G564" s="12" t="s">
        <v>5453</v>
      </c>
      <c r="H564" s="12" t="s">
        <v>6637</v>
      </c>
      <c r="I564" s="12">
        <v>4500</v>
      </c>
      <c r="J564" s="12" t="s">
        <v>6993</v>
      </c>
      <c r="K564" s="12" t="s">
        <v>6648</v>
      </c>
      <c r="L564" s="12" t="s">
        <v>3832</v>
      </c>
      <c r="M564" s="12" t="s">
        <v>3832</v>
      </c>
      <c r="N564" s="12" t="s">
        <v>5785</v>
      </c>
      <c r="O564" s="12" t="s">
        <v>6786</v>
      </c>
      <c r="P564" s="12" t="s">
        <v>826</v>
      </c>
      <c r="Q564" s="12" t="s">
        <v>6658</v>
      </c>
      <c r="R564" s="16">
        <v>30.649857000000001</v>
      </c>
      <c r="S564" s="16">
        <v>61.400311000000002</v>
      </c>
      <c r="T564" s="12" t="s">
        <v>11</v>
      </c>
      <c r="U564" s="12" t="s">
        <v>3205</v>
      </c>
      <c r="V564" s="12" t="s">
        <v>500</v>
      </c>
      <c r="W564" s="12" t="s">
        <v>7415</v>
      </c>
      <c r="X564" s="12">
        <v>1.9856069999999999</v>
      </c>
      <c r="Y564" s="12">
        <v>667006</v>
      </c>
      <c r="Z564" s="12">
        <v>3.3279999999999998E-3</v>
      </c>
      <c r="AA564" s="12">
        <v>2.2870085817797983</v>
      </c>
      <c r="AB564" s="12" t="s">
        <v>3850</v>
      </c>
      <c r="AC564" s="12" t="s">
        <v>21</v>
      </c>
      <c r="AD564" s="12">
        <v>0.14599999999999999</v>
      </c>
      <c r="AE564" s="12" t="s">
        <v>17</v>
      </c>
      <c r="AF564" s="12" t="s">
        <v>427</v>
      </c>
    </row>
    <row r="565" spans="1:42" x14ac:dyDescent="0.2">
      <c r="A565" s="12" t="s">
        <v>1967</v>
      </c>
      <c r="B565" s="12" t="s">
        <v>1967</v>
      </c>
      <c r="C565" s="12" t="s">
        <v>1969</v>
      </c>
      <c r="D565" s="12" t="s">
        <v>13</v>
      </c>
      <c r="E565" s="12" t="s">
        <v>8110</v>
      </c>
      <c r="F565" s="12" t="s">
        <v>1971</v>
      </c>
      <c r="G565" s="12" t="s">
        <v>5453</v>
      </c>
      <c r="H565" s="12" t="s">
        <v>6617</v>
      </c>
      <c r="I565" s="12">
        <v>4326</v>
      </c>
      <c r="J565" s="12" t="s">
        <v>1971</v>
      </c>
      <c r="K565" s="12" t="s">
        <v>6648</v>
      </c>
      <c r="L565" s="12" t="s">
        <v>1968</v>
      </c>
      <c r="M565" s="12" t="s">
        <v>1968</v>
      </c>
      <c r="N565" s="12" t="s">
        <v>5785</v>
      </c>
      <c r="O565" s="12" t="s">
        <v>1972</v>
      </c>
      <c r="P565" s="12" t="s">
        <v>826</v>
      </c>
      <c r="Q565" s="12" t="s">
        <v>6658</v>
      </c>
      <c r="R565" s="16">
        <v>36.994399999999999</v>
      </c>
      <c r="S565" s="16">
        <v>45.474400000000003</v>
      </c>
      <c r="T565" s="12" t="s">
        <v>25</v>
      </c>
      <c r="U565" s="12" t="s">
        <v>1220</v>
      </c>
      <c r="V565" s="12" t="s">
        <v>6639</v>
      </c>
      <c r="W565" s="12" t="s">
        <v>6639</v>
      </c>
      <c r="X565" s="12">
        <v>3.6801010000000001</v>
      </c>
      <c r="Y565" s="12">
        <v>874858</v>
      </c>
      <c r="Z565" s="12" t="s">
        <v>6639</v>
      </c>
      <c r="AA565" s="12" t="s">
        <v>6639</v>
      </c>
      <c r="AB565" s="12" t="s">
        <v>1970</v>
      </c>
      <c r="AC565" s="12" t="s">
        <v>21</v>
      </c>
      <c r="AD565" s="12">
        <v>0.105</v>
      </c>
      <c r="AE565" s="12">
        <v>0.99199999999999999</v>
      </c>
      <c r="AF565" s="12" t="s">
        <v>45</v>
      </c>
    </row>
    <row r="566" spans="1:42" x14ac:dyDescent="0.2">
      <c r="A566" s="12" t="s">
        <v>1959</v>
      </c>
      <c r="B566" s="12" t="s">
        <v>1959</v>
      </c>
      <c r="C566" s="12" t="s">
        <v>6860</v>
      </c>
      <c r="D566" s="12" t="s">
        <v>143</v>
      </c>
      <c r="E566" s="12" t="s">
        <v>8110</v>
      </c>
      <c r="F566" s="12" t="s">
        <v>1961</v>
      </c>
      <c r="G566" s="12" t="s">
        <v>5453</v>
      </c>
      <c r="H566" s="12" t="s">
        <v>6624</v>
      </c>
      <c r="I566" s="12">
        <v>4280</v>
      </c>
      <c r="J566" s="12" t="s">
        <v>1961</v>
      </c>
      <c r="K566" s="12" t="s">
        <v>6648</v>
      </c>
      <c r="L566" s="12" t="s">
        <v>1955</v>
      </c>
      <c r="M566" s="12" t="s">
        <v>1955</v>
      </c>
      <c r="N566" s="12" t="s">
        <v>5785</v>
      </c>
      <c r="O566" s="12" t="s">
        <v>931</v>
      </c>
      <c r="P566" s="12" t="s">
        <v>932</v>
      </c>
      <c r="Q566" s="12" t="s">
        <v>6658</v>
      </c>
      <c r="R566" s="12">
        <v>38.1907</v>
      </c>
      <c r="S566" s="12">
        <v>62.034300000000002</v>
      </c>
      <c r="T566" s="12" t="s">
        <v>11</v>
      </c>
      <c r="U566" s="12" t="s">
        <v>17</v>
      </c>
      <c r="V566" s="12" t="s">
        <v>262</v>
      </c>
      <c r="W566" s="12" t="s">
        <v>7415</v>
      </c>
      <c r="X566" s="12">
        <v>3.9834000000000001E-2</v>
      </c>
      <c r="Y566" s="12">
        <v>46468</v>
      </c>
      <c r="Z566" s="12" t="s">
        <v>8052</v>
      </c>
      <c r="AA566" s="12" t="s">
        <v>8052</v>
      </c>
      <c r="AB566" s="12" t="s">
        <v>1960</v>
      </c>
      <c r="AC566" s="12" t="s">
        <v>340</v>
      </c>
      <c r="AD566" s="12" t="s">
        <v>7841</v>
      </c>
      <c r="AE566" s="12" t="s">
        <v>7696</v>
      </c>
      <c r="AF566" s="12" t="s">
        <v>45</v>
      </c>
    </row>
    <row r="567" spans="1:42" x14ac:dyDescent="0.2">
      <c r="A567" s="12" t="s">
        <v>2065</v>
      </c>
      <c r="B567" s="12" t="s">
        <v>2065</v>
      </c>
      <c r="C567" s="12" t="s">
        <v>6858</v>
      </c>
      <c r="D567" s="12" t="s">
        <v>143</v>
      </c>
      <c r="E567" s="12" t="s">
        <v>8110</v>
      </c>
      <c r="F567" s="12" t="s">
        <v>2067</v>
      </c>
      <c r="G567" s="12" t="s">
        <v>5453</v>
      </c>
      <c r="H567" s="12" t="s">
        <v>6624</v>
      </c>
      <c r="I567" s="12">
        <v>4246</v>
      </c>
      <c r="J567" s="12" t="s">
        <v>2067</v>
      </c>
      <c r="K567" s="12" t="s">
        <v>6648</v>
      </c>
      <c r="L567" s="12" t="s">
        <v>6665</v>
      </c>
      <c r="M567" s="12" t="s">
        <v>2059</v>
      </c>
      <c r="N567" s="12" t="s">
        <v>5785</v>
      </c>
      <c r="O567" s="12" t="s">
        <v>931</v>
      </c>
      <c r="P567" s="12" t="s">
        <v>932</v>
      </c>
      <c r="Q567" s="12" t="s">
        <v>6658</v>
      </c>
      <c r="R567" s="12">
        <v>38.1907</v>
      </c>
      <c r="S567" s="12">
        <v>62.034300000000002</v>
      </c>
      <c r="T567" s="12" t="s">
        <v>25</v>
      </c>
      <c r="U567" s="12" t="s">
        <v>17</v>
      </c>
      <c r="V567" s="12" t="s">
        <v>6639</v>
      </c>
      <c r="W567" s="12" t="s">
        <v>6639</v>
      </c>
      <c r="X567" s="12">
        <v>0.34163500000000002</v>
      </c>
      <c r="Y567" s="12">
        <v>314905</v>
      </c>
      <c r="Z567" s="12" t="s">
        <v>6639</v>
      </c>
      <c r="AA567" s="12" t="s">
        <v>6639</v>
      </c>
      <c r="AB567" s="12" t="s">
        <v>2066</v>
      </c>
      <c r="AC567" s="12" t="s">
        <v>340</v>
      </c>
      <c r="AD567" s="12" t="s">
        <v>7842</v>
      </c>
      <c r="AE567" s="12" t="s">
        <v>7741</v>
      </c>
      <c r="AF567" s="12" t="s">
        <v>45</v>
      </c>
    </row>
    <row r="568" spans="1:42" x14ac:dyDescent="0.2">
      <c r="A568" s="12" t="s">
        <v>1043</v>
      </c>
      <c r="B568" s="12" t="s">
        <v>1043</v>
      </c>
      <c r="C568" s="12" t="s">
        <v>7632</v>
      </c>
      <c r="D568" s="12" t="s">
        <v>143</v>
      </c>
      <c r="E568" s="12" t="s">
        <v>8108</v>
      </c>
      <c r="F568" s="12" t="s">
        <v>5458</v>
      </c>
      <c r="G568" s="12" t="s">
        <v>5453</v>
      </c>
      <c r="H568" s="12" t="s">
        <v>6624</v>
      </c>
      <c r="I568" s="12">
        <v>4225</v>
      </c>
      <c r="J568" s="12" t="s">
        <v>1044</v>
      </c>
      <c r="K568" s="12" t="s">
        <v>6648</v>
      </c>
      <c r="L568" s="12" t="s">
        <v>861</v>
      </c>
      <c r="M568" s="12" t="s">
        <v>928</v>
      </c>
      <c r="N568" s="12" t="s">
        <v>5785</v>
      </c>
      <c r="O568" s="12" t="s">
        <v>931</v>
      </c>
      <c r="P568" s="12" t="s">
        <v>932</v>
      </c>
      <c r="Q568" s="12" t="s">
        <v>6658</v>
      </c>
      <c r="R568" s="12">
        <v>38.1907</v>
      </c>
      <c r="S568" s="12">
        <v>62.034300000000002</v>
      </c>
      <c r="T568" s="12" t="s">
        <v>11</v>
      </c>
      <c r="U568" s="12" t="s">
        <v>1045</v>
      </c>
      <c r="V568" s="12" t="s">
        <v>854</v>
      </c>
      <c r="W568" s="12" t="s">
        <v>7415</v>
      </c>
      <c r="X568" s="12">
        <v>1.6220999999999999E-2</v>
      </c>
      <c r="Y568" s="12">
        <v>19125</v>
      </c>
      <c r="Z568" s="12" t="s">
        <v>8052</v>
      </c>
      <c r="AA568" s="12" t="s">
        <v>8052</v>
      </c>
      <c r="AB568" s="12" t="s">
        <v>1042</v>
      </c>
      <c r="AC568" s="12" t="s">
        <v>21</v>
      </c>
      <c r="AD568" s="12">
        <v>0.13900000000000001</v>
      </c>
      <c r="AE568" s="12">
        <v>0.99399999999999999</v>
      </c>
      <c r="AF568" s="12" t="s">
        <v>45</v>
      </c>
    </row>
    <row r="569" spans="1:42" x14ac:dyDescent="0.2">
      <c r="A569" s="12" t="s">
        <v>1040</v>
      </c>
      <c r="B569" s="12" t="s">
        <v>1040</v>
      </c>
      <c r="C569" s="12" t="s">
        <v>7637</v>
      </c>
      <c r="D569" s="12" t="s">
        <v>143</v>
      </c>
      <c r="E569" s="12" t="s">
        <v>8108</v>
      </c>
      <c r="F569" s="12" t="s">
        <v>5458</v>
      </c>
      <c r="G569" s="12" t="s">
        <v>5453</v>
      </c>
      <c r="H569" s="12" t="s">
        <v>6624</v>
      </c>
      <c r="I569" s="12">
        <v>4200</v>
      </c>
      <c r="J569" s="12" t="s">
        <v>1041</v>
      </c>
      <c r="K569" s="12" t="s">
        <v>6648</v>
      </c>
      <c r="L569" s="12" t="s">
        <v>861</v>
      </c>
      <c r="M569" s="12" t="s">
        <v>928</v>
      </c>
      <c r="N569" s="12" t="s">
        <v>5785</v>
      </c>
      <c r="O569" s="12" t="s">
        <v>931</v>
      </c>
      <c r="P569" s="12" t="s">
        <v>932</v>
      </c>
      <c r="Q569" s="12" t="s">
        <v>6658</v>
      </c>
      <c r="R569" s="16">
        <v>38.1907</v>
      </c>
      <c r="S569" s="16">
        <v>62.034300000000002</v>
      </c>
      <c r="T569" s="12" t="s">
        <v>11</v>
      </c>
      <c r="U569" s="12" t="s">
        <v>1005</v>
      </c>
      <c r="V569" s="12" t="s">
        <v>44</v>
      </c>
      <c r="W569" s="12" t="s">
        <v>7415</v>
      </c>
      <c r="X569" s="12">
        <v>0.22458500000000001</v>
      </c>
      <c r="Y569" s="12">
        <v>233376</v>
      </c>
      <c r="Z569" s="12" t="s">
        <v>8052</v>
      </c>
      <c r="AA569" s="12" t="s">
        <v>8052</v>
      </c>
      <c r="AB569" s="12" t="s">
        <v>1039</v>
      </c>
      <c r="AC569" s="12" t="s">
        <v>21</v>
      </c>
      <c r="AD569" s="12">
        <v>7.5999999999999998E-2</v>
      </c>
      <c r="AE569" s="12">
        <v>0.97799999999999998</v>
      </c>
      <c r="AF569" s="12" t="s">
        <v>45</v>
      </c>
    </row>
    <row r="570" spans="1:42" x14ac:dyDescent="0.2">
      <c r="A570" s="12" t="s">
        <v>2068</v>
      </c>
      <c r="B570" s="12" t="s">
        <v>2068</v>
      </c>
      <c r="C570" s="12" t="s">
        <v>6795</v>
      </c>
      <c r="D570" s="12" t="s">
        <v>13</v>
      </c>
      <c r="E570" s="12" t="s">
        <v>8108</v>
      </c>
      <c r="F570" s="12" t="s">
        <v>5458</v>
      </c>
      <c r="G570" s="12" t="s">
        <v>5453</v>
      </c>
      <c r="H570" s="12" t="s">
        <v>6637</v>
      </c>
      <c r="I570" s="12">
        <v>4200</v>
      </c>
      <c r="J570" s="12" t="s">
        <v>2071</v>
      </c>
      <c r="K570" s="12" t="s">
        <v>6648</v>
      </c>
      <c r="L570" s="12" t="s">
        <v>6667</v>
      </c>
      <c r="M570" s="12" t="s">
        <v>2069</v>
      </c>
      <c r="N570" s="12" t="s">
        <v>5785</v>
      </c>
      <c r="O570" s="12" t="s">
        <v>6786</v>
      </c>
      <c r="P570" s="12" t="s">
        <v>826</v>
      </c>
      <c r="Q570" s="12" t="s">
        <v>6658</v>
      </c>
      <c r="R570" s="12">
        <v>30.649857000000001</v>
      </c>
      <c r="S570" s="12">
        <v>61.400311000000002</v>
      </c>
      <c r="T570" s="12" t="s">
        <v>25</v>
      </c>
      <c r="U570" s="12" t="s">
        <v>2072</v>
      </c>
      <c r="V570" s="12" t="s">
        <v>6639</v>
      </c>
      <c r="W570" s="12" t="s">
        <v>6639</v>
      </c>
      <c r="X570" s="12">
        <v>0.13783799999999999</v>
      </c>
      <c r="Y570" s="12">
        <v>140447</v>
      </c>
      <c r="Z570" s="12" t="s">
        <v>6639</v>
      </c>
      <c r="AA570" s="12" t="s">
        <v>6639</v>
      </c>
      <c r="AB570" s="12" t="s">
        <v>2070</v>
      </c>
      <c r="AC570" s="12" t="s">
        <v>21</v>
      </c>
      <c r="AD570" s="12">
        <v>0.11799999999999999</v>
      </c>
      <c r="AE570" s="12" t="s">
        <v>17</v>
      </c>
      <c r="AF570" s="12" t="s">
        <v>45</v>
      </c>
    </row>
    <row r="571" spans="1:42" x14ac:dyDescent="0.2">
      <c r="A571" s="12" t="s">
        <v>1963</v>
      </c>
      <c r="B571" s="12" t="s">
        <v>1963</v>
      </c>
      <c r="C571" s="12" t="s">
        <v>7634</v>
      </c>
      <c r="D571" s="12" t="s">
        <v>118</v>
      </c>
      <c r="E571" s="12" t="s">
        <v>8108</v>
      </c>
      <c r="F571" s="12" t="s">
        <v>1965</v>
      </c>
      <c r="G571" s="12" t="s">
        <v>5453</v>
      </c>
      <c r="H571" s="12" t="s">
        <v>6624</v>
      </c>
      <c r="I571" s="12">
        <v>4172</v>
      </c>
      <c r="J571" s="12" t="s">
        <v>1965</v>
      </c>
      <c r="K571" s="12" t="s">
        <v>6648</v>
      </c>
      <c r="L571" s="12" t="s">
        <v>1964</v>
      </c>
      <c r="M571" s="12" t="s">
        <v>1964</v>
      </c>
      <c r="N571" s="12" t="s">
        <v>5785</v>
      </c>
      <c r="O571" s="12" t="s">
        <v>931</v>
      </c>
      <c r="P571" s="12" t="s">
        <v>932</v>
      </c>
      <c r="Q571" s="12" t="s">
        <v>6658</v>
      </c>
      <c r="R571" s="16">
        <v>38.1907</v>
      </c>
      <c r="S571" s="16">
        <v>62.034300000000002</v>
      </c>
      <c r="T571" s="12" t="s">
        <v>25</v>
      </c>
      <c r="U571" s="12" t="s">
        <v>1089</v>
      </c>
      <c r="V571" s="12" t="s">
        <v>6639</v>
      </c>
      <c r="W571" s="12" t="s">
        <v>6639</v>
      </c>
      <c r="X571" s="12">
        <v>9.7674999999999998E-2</v>
      </c>
      <c r="Y571" s="12">
        <v>105057</v>
      </c>
      <c r="Z571" s="12" t="s">
        <v>6639</v>
      </c>
      <c r="AA571" s="12" t="s">
        <v>6639</v>
      </c>
      <c r="AB571" s="12" t="s">
        <v>1962</v>
      </c>
      <c r="AC571" s="12" t="s">
        <v>21</v>
      </c>
      <c r="AD571" s="12">
        <v>0.1</v>
      </c>
      <c r="AE571" s="12">
        <v>0.94099999999999995</v>
      </c>
      <c r="AF571" s="12" t="s">
        <v>1966</v>
      </c>
      <c r="AP571" s="12"/>
    </row>
    <row r="572" spans="1:42" x14ac:dyDescent="0.2">
      <c r="A572" s="12" t="s">
        <v>985</v>
      </c>
      <c r="B572" s="12" t="s">
        <v>985</v>
      </c>
      <c r="C572" s="12" t="s">
        <v>6829</v>
      </c>
      <c r="D572" s="12" t="s">
        <v>143</v>
      </c>
      <c r="E572" s="12" t="s">
        <v>8110</v>
      </c>
      <c r="F572" s="12" t="s">
        <v>987</v>
      </c>
      <c r="G572" s="12" t="s">
        <v>5453</v>
      </c>
      <c r="H572" s="12" t="s">
        <v>6624</v>
      </c>
      <c r="I572" s="12">
        <v>4165</v>
      </c>
      <c r="J572" s="12" t="s">
        <v>987</v>
      </c>
      <c r="K572" s="12" t="s">
        <v>6648</v>
      </c>
      <c r="L572" s="12" t="s">
        <v>861</v>
      </c>
      <c r="M572" s="12" t="s">
        <v>928</v>
      </c>
      <c r="N572" s="12" t="s">
        <v>5785</v>
      </c>
      <c r="O572" s="12" t="s">
        <v>931</v>
      </c>
      <c r="P572" s="12" t="s">
        <v>932</v>
      </c>
      <c r="Q572" s="12" t="s">
        <v>6658</v>
      </c>
      <c r="R572" s="12">
        <v>38.1907</v>
      </c>
      <c r="S572" s="12">
        <v>62.034300000000002</v>
      </c>
      <c r="T572" s="12" t="s">
        <v>25</v>
      </c>
      <c r="U572" s="12" t="s">
        <v>17</v>
      </c>
      <c r="V572" s="12" t="s">
        <v>6639</v>
      </c>
      <c r="W572" s="12" t="s">
        <v>6639</v>
      </c>
      <c r="X572" s="12">
        <v>0.241703</v>
      </c>
      <c r="Y572" s="12">
        <v>239217</v>
      </c>
      <c r="Z572" s="12" t="s">
        <v>6639</v>
      </c>
      <c r="AA572" s="12" t="s">
        <v>6639</v>
      </c>
      <c r="AB572" s="12" t="s">
        <v>986</v>
      </c>
      <c r="AC572" s="12" t="s">
        <v>340</v>
      </c>
      <c r="AD572" s="12" t="s">
        <v>7862</v>
      </c>
      <c r="AE572" s="12" t="s">
        <v>7731</v>
      </c>
      <c r="AF572" s="12" t="s">
        <v>8103</v>
      </c>
      <c r="AP572" s="12"/>
    </row>
    <row r="573" spans="1:42" x14ac:dyDescent="0.2">
      <c r="A573" s="12" t="s">
        <v>982</v>
      </c>
      <c r="B573" s="12" t="s">
        <v>982</v>
      </c>
      <c r="C573" s="12" t="s">
        <v>6846</v>
      </c>
      <c r="D573" s="12" t="s">
        <v>143</v>
      </c>
      <c r="E573" s="12" t="s">
        <v>8110</v>
      </c>
      <c r="F573" s="12" t="s">
        <v>984</v>
      </c>
      <c r="G573" s="12" t="s">
        <v>5453</v>
      </c>
      <c r="H573" s="12" t="s">
        <v>6624</v>
      </c>
      <c r="I573" s="12">
        <v>4160</v>
      </c>
      <c r="J573" s="12" t="s">
        <v>984</v>
      </c>
      <c r="K573" s="12" t="s">
        <v>6648</v>
      </c>
      <c r="L573" s="12" t="s">
        <v>1048</v>
      </c>
      <c r="M573" s="12" t="s">
        <v>1053</v>
      </c>
      <c r="N573" s="12" t="s">
        <v>24</v>
      </c>
      <c r="O573" s="12" t="s">
        <v>931</v>
      </c>
      <c r="P573" s="12" t="s">
        <v>932</v>
      </c>
      <c r="Q573" s="12" t="s">
        <v>6658</v>
      </c>
      <c r="R573" s="16">
        <v>38.1907</v>
      </c>
      <c r="S573" s="16">
        <v>62.034300000000002</v>
      </c>
      <c r="T573" s="12" t="s">
        <v>25</v>
      </c>
      <c r="U573" s="12" t="s">
        <v>954</v>
      </c>
      <c r="V573" s="12" t="s">
        <v>6639</v>
      </c>
      <c r="W573" s="12" t="s">
        <v>6639</v>
      </c>
      <c r="X573" s="12">
        <v>1.3580999999999999E-2</v>
      </c>
      <c r="Y573" s="12">
        <v>15952</v>
      </c>
      <c r="Z573" s="12" t="s">
        <v>6639</v>
      </c>
      <c r="AA573" s="12" t="s">
        <v>6639</v>
      </c>
      <c r="AB573" s="12" t="s">
        <v>983</v>
      </c>
      <c r="AC573" s="12" t="s">
        <v>21</v>
      </c>
      <c r="AD573" s="12">
        <v>5.3999999999999999E-2</v>
      </c>
      <c r="AE573" s="12">
        <v>0.97199999999999998</v>
      </c>
      <c r="AF573" s="12" t="s">
        <v>45</v>
      </c>
      <c r="AP573" s="12"/>
    </row>
    <row r="574" spans="1:42" x14ac:dyDescent="0.2">
      <c r="A574" s="12" t="s">
        <v>2058</v>
      </c>
      <c r="B574" s="12" t="s">
        <v>2058</v>
      </c>
      <c r="C574" s="12" t="s">
        <v>7636</v>
      </c>
      <c r="D574" s="12" t="s">
        <v>143</v>
      </c>
      <c r="E574" s="12" t="s">
        <v>8108</v>
      </c>
      <c r="F574" s="12" t="s">
        <v>2060</v>
      </c>
      <c r="G574" s="12" t="s">
        <v>5453</v>
      </c>
      <c r="H574" s="12" t="s">
        <v>6624</v>
      </c>
      <c r="I574" s="12">
        <v>4112</v>
      </c>
      <c r="J574" s="12" t="s">
        <v>2060</v>
      </c>
      <c r="K574" s="12" t="s">
        <v>6648</v>
      </c>
      <c r="L574" s="12" t="s">
        <v>6671</v>
      </c>
      <c r="M574" s="12" t="s">
        <v>2059</v>
      </c>
      <c r="N574" s="12" t="s">
        <v>5785</v>
      </c>
      <c r="O574" s="12" t="s">
        <v>931</v>
      </c>
      <c r="P574" s="12" t="s">
        <v>932</v>
      </c>
      <c r="Q574" s="12" t="s">
        <v>6658</v>
      </c>
      <c r="R574" s="12">
        <v>38.1907</v>
      </c>
      <c r="S574" s="12">
        <v>62.034300000000002</v>
      </c>
      <c r="T574" s="12" t="s">
        <v>11</v>
      </c>
      <c r="U574" s="12" t="s">
        <v>2061</v>
      </c>
      <c r="V574" s="12" t="s">
        <v>1182</v>
      </c>
      <c r="W574" s="12" t="s">
        <v>7415</v>
      </c>
      <c r="X574" s="12">
        <v>9.7282999999999994E-2</v>
      </c>
      <c r="Y574" s="12">
        <v>107688</v>
      </c>
      <c r="Z574" s="12" t="s">
        <v>8052</v>
      </c>
      <c r="AA574" s="12" t="s">
        <v>8052</v>
      </c>
      <c r="AB574" s="12" t="s">
        <v>2057</v>
      </c>
      <c r="AC574" s="12" t="s">
        <v>21</v>
      </c>
      <c r="AD574" s="12">
        <v>0.13200000000000001</v>
      </c>
      <c r="AE574" s="12">
        <v>0.995</v>
      </c>
      <c r="AF574" s="12" t="s">
        <v>45</v>
      </c>
      <c r="AP574" s="12"/>
    </row>
    <row r="575" spans="1:42" x14ac:dyDescent="0.2">
      <c r="A575" s="12" t="s">
        <v>1110</v>
      </c>
      <c r="B575" s="12" t="s">
        <v>1110</v>
      </c>
      <c r="C575" s="12" t="s">
        <v>6855</v>
      </c>
      <c r="D575" s="12" t="s">
        <v>143</v>
      </c>
      <c r="E575" s="12" t="s">
        <v>8110</v>
      </c>
      <c r="F575" s="12" t="s">
        <v>1112</v>
      </c>
      <c r="G575" s="12" t="s">
        <v>5453</v>
      </c>
      <c r="H575" s="12" t="s">
        <v>6624</v>
      </c>
      <c r="I575" s="12">
        <v>4104</v>
      </c>
      <c r="J575" s="12" t="s">
        <v>1112</v>
      </c>
      <c r="K575" s="12" t="s">
        <v>6648</v>
      </c>
      <c r="L575" s="12" t="s">
        <v>1107</v>
      </c>
      <c r="M575" s="12" t="s">
        <v>1106</v>
      </c>
      <c r="N575" s="12" t="s">
        <v>5785</v>
      </c>
      <c r="O575" s="12" t="s">
        <v>931</v>
      </c>
      <c r="P575" s="12" t="s">
        <v>932</v>
      </c>
      <c r="Q575" s="12" t="s">
        <v>6658</v>
      </c>
      <c r="R575" s="12">
        <v>38.1907</v>
      </c>
      <c r="S575" s="12">
        <v>62.034300000000002</v>
      </c>
      <c r="T575" s="12" t="s">
        <v>11</v>
      </c>
      <c r="U575" s="12" t="s">
        <v>17</v>
      </c>
      <c r="V575" s="12" t="s">
        <v>1113</v>
      </c>
      <c r="W575" s="12" t="s">
        <v>7415</v>
      </c>
      <c r="X575" s="12">
        <v>3.6271999999999999E-2</v>
      </c>
      <c r="Y575" s="12">
        <v>41936</v>
      </c>
      <c r="Z575" s="12" t="s">
        <v>8052</v>
      </c>
      <c r="AA575" s="12" t="s">
        <v>8052</v>
      </c>
      <c r="AB575" s="12" t="s">
        <v>1111</v>
      </c>
      <c r="AC575" s="12" t="s">
        <v>340</v>
      </c>
      <c r="AD575" s="12" t="s">
        <v>7817</v>
      </c>
      <c r="AE575" s="12" t="s">
        <v>7693</v>
      </c>
      <c r="AF575" s="12" t="s">
        <v>8091</v>
      </c>
      <c r="AP575" s="12"/>
    </row>
    <row r="576" spans="1:42" x14ac:dyDescent="0.2">
      <c r="A576" s="12" t="s">
        <v>1954</v>
      </c>
      <c r="B576" s="12" t="s">
        <v>1954</v>
      </c>
      <c r="C576" s="12" t="s">
        <v>6857</v>
      </c>
      <c r="D576" s="12" t="s">
        <v>143</v>
      </c>
      <c r="E576" s="12" t="s">
        <v>8110</v>
      </c>
      <c r="F576" s="12" t="s">
        <v>1957</v>
      </c>
      <c r="G576" s="12" t="s">
        <v>5453</v>
      </c>
      <c r="H576" s="12" t="s">
        <v>6624</v>
      </c>
      <c r="I576" s="12">
        <v>4100</v>
      </c>
      <c r="J576" s="12" t="s">
        <v>1957</v>
      </c>
      <c r="K576" s="12" t="s">
        <v>6648</v>
      </c>
      <c r="L576" s="12" t="s">
        <v>1955</v>
      </c>
      <c r="M576" s="12" t="s">
        <v>1955</v>
      </c>
      <c r="N576" s="12" t="s">
        <v>5785</v>
      </c>
      <c r="O576" s="12" t="s">
        <v>931</v>
      </c>
      <c r="P576" s="12" t="s">
        <v>932</v>
      </c>
      <c r="Q576" s="12" t="s">
        <v>6658</v>
      </c>
      <c r="R576" s="12">
        <v>38.1907</v>
      </c>
      <c r="S576" s="12">
        <v>62.034300000000002</v>
      </c>
      <c r="T576" s="12" t="s">
        <v>25</v>
      </c>
      <c r="U576" s="12" t="s">
        <v>17</v>
      </c>
      <c r="V576" s="12" t="s">
        <v>6639</v>
      </c>
      <c r="W576" s="12" t="s">
        <v>6639</v>
      </c>
      <c r="X576" s="12">
        <v>0.20596400000000001</v>
      </c>
      <c r="Y576" s="12">
        <v>205333</v>
      </c>
      <c r="Z576" s="12" t="s">
        <v>6639</v>
      </c>
      <c r="AA576" s="12" t="s">
        <v>6639</v>
      </c>
      <c r="AB576" s="12" t="s">
        <v>1956</v>
      </c>
      <c r="AC576" s="12" t="s">
        <v>58</v>
      </c>
      <c r="AD576" s="12" t="s">
        <v>7917</v>
      </c>
      <c r="AE576" s="12" t="s">
        <v>7724</v>
      </c>
      <c r="AF576" s="12" t="s">
        <v>1958</v>
      </c>
      <c r="AP576" s="12"/>
    </row>
    <row r="577" spans="1:42" x14ac:dyDescent="0.2">
      <c r="A577" s="12" t="s">
        <v>509</v>
      </c>
      <c r="B577" s="12" t="s">
        <v>509</v>
      </c>
      <c r="C577" s="12" t="s">
        <v>7444</v>
      </c>
      <c r="D577" s="12" t="s">
        <v>13</v>
      </c>
      <c r="E577" s="12" t="s">
        <v>8108</v>
      </c>
      <c r="F577" s="12" t="s">
        <v>510</v>
      </c>
      <c r="G577" s="12" t="s">
        <v>5453</v>
      </c>
      <c r="H577" s="12" t="s">
        <v>7640</v>
      </c>
      <c r="I577" s="12">
        <v>4072</v>
      </c>
      <c r="J577" s="12" t="s">
        <v>510</v>
      </c>
      <c r="K577" s="12" t="s">
        <v>6648</v>
      </c>
      <c r="L577" s="12" t="s">
        <v>7442</v>
      </c>
      <c r="M577" s="12" t="s">
        <v>7442</v>
      </c>
      <c r="N577" s="12" t="s">
        <v>5785</v>
      </c>
      <c r="O577" s="12" t="s">
        <v>7443</v>
      </c>
      <c r="P577" s="12" t="s">
        <v>511</v>
      </c>
      <c r="Q577" s="12" t="s">
        <v>6658</v>
      </c>
      <c r="R577" s="12">
        <v>41.431466999999998</v>
      </c>
      <c r="S577" s="12">
        <v>75.885480999999999</v>
      </c>
      <c r="T577" s="12" t="s">
        <v>11</v>
      </c>
      <c r="U577" s="12" t="s">
        <v>512</v>
      </c>
      <c r="V577" s="12" t="s">
        <v>69</v>
      </c>
      <c r="W577" s="12" t="s">
        <v>7415</v>
      </c>
      <c r="X577" s="12">
        <v>1.507304</v>
      </c>
      <c r="Y577" s="12">
        <v>540241</v>
      </c>
      <c r="Z577" s="12">
        <v>3.212E-3</v>
      </c>
      <c r="AA577" s="12">
        <v>1.9864326403289116</v>
      </c>
      <c r="AB577" s="12" t="s">
        <v>508</v>
      </c>
      <c r="AC577" s="12" t="s">
        <v>21</v>
      </c>
      <c r="AD577" s="12">
        <v>0.1115</v>
      </c>
      <c r="AE577" s="12">
        <v>0.99</v>
      </c>
      <c r="AF577" s="12" t="s">
        <v>45</v>
      </c>
      <c r="AP577" s="12"/>
    </row>
    <row r="578" spans="1:42" s="12" customFormat="1" x14ac:dyDescent="0.2">
      <c r="A578" s="12" t="s">
        <v>979</v>
      </c>
      <c r="B578" s="12" t="s">
        <v>979</v>
      </c>
      <c r="C578" s="12" t="s">
        <v>6834</v>
      </c>
      <c r="D578" s="12" t="s">
        <v>143</v>
      </c>
      <c r="E578" s="12" t="s">
        <v>8110</v>
      </c>
      <c r="F578" s="12" t="s">
        <v>981</v>
      </c>
      <c r="G578" s="12" t="s">
        <v>5453</v>
      </c>
      <c r="H578" s="12" t="s">
        <v>6624</v>
      </c>
      <c r="I578" s="12">
        <v>4072</v>
      </c>
      <c r="J578" s="12" t="s">
        <v>981</v>
      </c>
      <c r="K578" s="12" t="s">
        <v>6648</v>
      </c>
      <c r="L578" s="12" t="s">
        <v>861</v>
      </c>
      <c r="M578" s="12" t="s">
        <v>928</v>
      </c>
      <c r="N578" s="12" t="s">
        <v>5785</v>
      </c>
      <c r="O578" s="12" t="s">
        <v>931</v>
      </c>
      <c r="P578" s="12" t="s">
        <v>932</v>
      </c>
      <c r="Q578" s="12" t="s">
        <v>6658</v>
      </c>
      <c r="R578" s="12">
        <v>38.1907</v>
      </c>
      <c r="S578" s="12">
        <v>62.034300000000002</v>
      </c>
      <c r="T578" s="12" t="s">
        <v>25</v>
      </c>
      <c r="U578" s="12" t="s">
        <v>17</v>
      </c>
      <c r="V578" s="12" t="s">
        <v>6639</v>
      </c>
      <c r="W578" s="12" t="s">
        <v>6639</v>
      </c>
      <c r="X578" s="12">
        <v>0.23293900000000001</v>
      </c>
      <c r="Y578" s="12">
        <v>230253</v>
      </c>
      <c r="Z578" s="12" t="s">
        <v>6639</v>
      </c>
      <c r="AA578" s="12" t="s">
        <v>6639</v>
      </c>
      <c r="AB578" s="12" t="s">
        <v>980</v>
      </c>
      <c r="AC578" s="12" t="s">
        <v>340</v>
      </c>
      <c r="AD578" s="12" t="s">
        <v>7851</v>
      </c>
      <c r="AE578" s="12" t="s">
        <v>7729</v>
      </c>
      <c r="AF578" s="12" t="s">
        <v>45</v>
      </c>
      <c r="AG578" s="3"/>
      <c r="AH578" s="3"/>
      <c r="AI578" s="3"/>
      <c r="AJ578" s="3"/>
      <c r="AK578" s="3"/>
      <c r="AL578" s="3"/>
      <c r="AM578" s="3"/>
      <c r="AN578" s="3"/>
      <c r="AO578" s="3"/>
    </row>
    <row r="579" spans="1:42" s="12" customFormat="1" x14ac:dyDescent="0.2">
      <c r="A579" s="12" t="s">
        <v>975</v>
      </c>
      <c r="B579" s="12" t="s">
        <v>975</v>
      </c>
      <c r="C579" s="12" t="s">
        <v>6836</v>
      </c>
      <c r="D579" s="12" t="s">
        <v>143</v>
      </c>
      <c r="E579" s="12" t="s">
        <v>8110</v>
      </c>
      <c r="F579" s="12" t="s">
        <v>977</v>
      </c>
      <c r="G579" s="12" t="s">
        <v>5453</v>
      </c>
      <c r="H579" s="12" t="s">
        <v>6624</v>
      </c>
      <c r="I579" s="12">
        <v>4067</v>
      </c>
      <c r="J579" s="12" t="s">
        <v>977</v>
      </c>
      <c r="K579" s="12" t="s">
        <v>6648</v>
      </c>
      <c r="L579" s="12" t="s">
        <v>861</v>
      </c>
      <c r="M579" s="12" t="s">
        <v>928</v>
      </c>
      <c r="N579" s="12" t="s">
        <v>5785</v>
      </c>
      <c r="O579" s="12" t="s">
        <v>931</v>
      </c>
      <c r="P579" s="12" t="s">
        <v>932</v>
      </c>
      <c r="Q579" s="12" t="s">
        <v>6658</v>
      </c>
      <c r="R579" s="16">
        <v>38.1907</v>
      </c>
      <c r="S579" s="16">
        <v>62.034300000000002</v>
      </c>
      <c r="T579" s="12" t="s">
        <v>11</v>
      </c>
      <c r="U579" s="12" t="s">
        <v>17</v>
      </c>
      <c r="V579" s="12" t="s">
        <v>262</v>
      </c>
      <c r="W579" s="12" t="s">
        <v>7415</v>
      </c>
      <c r="X579" s="12">
        <v>3.0158999999999998E-2</v>
      </c>
      <c r="Y579" s="12">
        <v>35446</v>
      </c>
      <c r="Z579" s="12" t="s">
        <v>8052</v>
      </c>
      <c r="AA579" s="12" t="s">
        <v>8052</v>
      </c>
      <c r="AB579" s="12" t="s">
        <v>976</v>
      </c>
      <c r="AC579" s="12" t="s">
        <v>340</v>
      </c>
      <c r="AD579" s="12" t="s">
        <v>7821</v>
      </c>
      <c r="AE579" s="12" t="s">
        <v>7689</v>
      </c>
      <c r="AF579" s="12" t="s">
        <v>978</v>
      </c>
      <c r="AG579" s="3"/>
      <c r="AH579" s="3"/>
      <c r="AI579" s="3"/>
      <c r="AJ579" s="3"/>
      <c r="AK579" s="3"/>
      <c r="AL579" s="3"/>
      <c r="AM579" s="3"/>
      <c r="AN579" s="3"/>
      <c r="AO579" s="3"/>
    </row>
    <row r="580" spans="1:42" s="12" customFormat="1" x14ac:dyDescent="0.2">
      <c r="A580" s="12" t="s">
        <v>971</v>
      </c>
      <c r="B580" s="12" t="s">
        <v>971</v>
      </c>
      <c r="C580" s="12" t="s">
        <v>6830</v>
      </c>
      <c r="D580" s="12" t="s">
        <v>100</v>
      </c>
      <c r="E580" s="12" t="s">
        <v>8110</v>
      </c>
      <c r="F580" s="12" t="s">
        <v>973</v>
      </c>
      <c r="G580" s="12" t="s">
        <v>5453</v>
      </c>
      <c r="H580" s="12" t="s">
        <v>6624</v>
      </c>
      <c r="I580" s="12">
        <v>4066</v>
      </c>
      <c r="J580" s="12" t="s">
        <v>973</v>
      </c>
      <c r="K580" s="12" t="s">
        <v>6648</v>
      </c>
      <c r="L580" s="12" t="s">
        <v>861</v>
      </c>
      <c r="M580" s="12" t="s">
        <v>928</v>
      </c>
      <c r="N580" s="12" t="s">
        <v>5785</v>
      </c>
      <c r="O580" s="12" t="s">
        <v>931</v>
      </c>
      <c r="P580" s="12" t="s">
        <v>932</v>
      </c>
      <c r="Q580" s="12" t="s">
        <v>6658</v>
      </c>
      <c r="R580" s="16">
        <v>38.1907</v>
      </c>
      <c r="S580" s="16">
        <v>62.034300000000002</v>
      </c>
      <c r="T580" s="12" t="s">
        <v>11</v>
      </c>
      <c r="U580" s="12" t="s">
        <v>974</v>
      </c>
      <c r="V580" s="12" t="s">
        <v>954</v>
      </c>
      <c r="W580" s="12" t="s">
        <v>7415</v>
      </c>
      <c r="X580" s="12">
        <v>1.794</v>
      </c>
      <c r="Y580" s="12">
        <v>662584</v>
      </c>
      <c r="Z580" s="12">
        <v>6.3439999999999998E-3</v>
      </c>
      <c r="AA580" s="12">
        <v>3.9926465821774646</v>
      </c>
      <c r="AB580" s="12" t="s">
        <v>972</v>
      </c>
      <c r="AC580" s="12" t="s">
        <v>21</v>
      </c>
      <c r="AD580" s="12">
        <v>0.11899999999999999</v>
      </c>
      <c r="AE580" s="12">
        <v>0.98699999999999999</v>
      </c>
      <c r="AF580" s="12" t="s">
        <v>436</v>
      </c>
      <c r="AG580" s="3"/>
      <c r="AH580" s="3"/>
      <c r="AI580" s="3"/>
      <c r="AJ580" s="3"/>
      <c r="AK580" s="3"/>
      <c r="AL580" s="3"/>
      <c r="AM580" s="3"/>
      <c r="AN580" s="3"/>
      <c r="AO580" s="3"/>
    </row>
    <row r="581" spans="1:42" s="12" customFormat="1" x14ac:dyDescent="0.2">
      <c r="A581" s="12" t="s">
        <v>968</v>
      </c>
      <c r="B581" s="12" t="s">
        <v>968</v>
      </c>
      <c r="C581" s="12" t="s">
        <v>6833</v>
      </c>
      <c r="D581" s="12" t="s">
        <v>143</v>
      </c>
      <c r="E581" s="12" t="s">
        <v>8110</v>
      </c>
      <c r="F581" s="12" t="s">
        <v>970</v>
      </c>
      <c r="G581" s="12" t="s">
        <v>5453</v>
      </c>
      <c r="H581" s="12" t="s">
        <v>6624</v>
      </c>
      <c r="I581" s="12">
        <v>4065</v>
      </c>
      <c r="J581" s="12" t="s">
        <v>970</v>
      </c>
      <c r="K581" s="12" t="s">
        <v>6648</v>
      </c>
      <c r="L581" s="12" t="s">
        <v>861</v>
      </c>
      <c r="M581" s="12" t="s">
        <v>928</v>
      </c>
      <c r="N581" s="12" t="s">
        <v>5785</v>
      </c>
      <c r="O581" s="12" t="s">
        <v>931</v>
      </c>
      <c r="P581" s="12" t="s">
        <v>932</v>
      </c>
      <c r="Q581" s="12" t="s">
        <v>6658</v>
      </c>
      <c r="R581" s="16">
        <v>38.1907</v>
      </c>
      <c r="S581" s="16">
        <v>62.034300000000002</v>
      </c>
      <c r="T581" s="12" t="s">
        <v>11</v>
      </c>
      <c r="U581" s="12" t="s">
        <v>17</v>
      </c>
      <c r="V581" s="12" t="s">
        <v>392</v>
      </c>
      <c r="W581" s="12" t="s">
        <v>7160</v>
      </c>
      <c r="X581" s="12">
        <v>6.4651E-2</v>
      </c>
      <c r="Y581" s="12">
        <v>73668</v>
      </c>
      <c r="Z581" s="12" t="s">
        <v>8052</v>
      </c>
      <c r="AA581" s="12" t="s">
        <v>8052</v>
      </c>
      <c r="AB581" s="12" t="s">
        <v>969</v>
      </c>
      <c r="AC581" s="12" t="s">
        <v>340</v>
      </c>
      <c r="AD581" s="12" t="s">
        <v>7856</v>
      </c>
      <c r="AE581" s="12" t="s">
        <v>7702</v>
      </c>
      <c r="AF581" s="12" t="s">
        <v>45</v>
      </c>
      <c r="AG581" s="3"/>
      <c r="AH581" s="3"/>
      <c r="AI581" s="3"/>
      <c r="AJ581" s="3"/>
      <c r="AK581" s="3"/>
      <c r="AL581" s="3"/>
      <c r="AM581" s="3"/>
      <c r="AN581" s="3"/>
      <c r="AO581" s="3"/>
    </row>
    <row r="582" spans="1:42" s="12" customFormat="1" x14ac:dyDescent="0.2">
      <c r="A582" s="12" t="s">
        <v>1141</v>
      </c>
      <c r="B582" s="12" t="s">
        <v>1141</v>
      </c>
      <c r="C582" s="12" t="s">
        <v>6856</v>
      </c>
      <c r="D582" s="12" t="s">
        <v>143</v>
      </c>
      <c r="E582" s="12" t="s">
        <v>8110</v>
      </c>
      <c r="F582" s="12" t="s">
        <v>1144</v>
      </c>
      <c r="G582" s="12" t="s">
        <v>5453</v>
      </c>
      <c r="H582" s="12" t="s">
        <v>6624</v>
      </c>
      <c r="I582" s="12">
        <v>4062</v>
      </c>
      <c r="J582" s="12" t="s">
        <v>1144</v>
      </c>
      <c r="K582" s="12" t="s">
        <v>6648</v>
      </c>
      <c r="L582" s="12" t="s">
        <v>1133</v>
      </c>
      <c r="M582" s="12" t="s">
        <v>1142</v>
      </c>
      <c r="N582" s="12" t="s">
        <v>5785</v>
      </c>
      <c r="O582" s="12" t="s">
        <v>931</v>
      </c>
      <c r="P582" s="12" t="s">
        <v>932</v>
      </c>
      <c r="Q582" s="12" t="s">
        <v>6658</v>
      </c>
      <c r="R582" s="16">
        <v>38.1907</v>
      </c>
      <c r="S582" s="16">
        <v>62.034300000000002</v>
      </c>
      <c r="T582" s="12" t="s">
        <v>25</v>
      </c>
      <c r="U582" s="12" t="s">
        <v>1145</v>
      </c>
      <c r="V582" s="12" t="s">
        <v>6639</v>
      </c>
      <c r="W582" s="12" t="s">
        <v>6639</v>
      </c>
      <c r="X582" s="12">
        <v>9.8241999999999996E-2</v>
      </c>
      <c r="Y582" s="12">
        <v>108967</v>
      </c>
      <c r="Z582" s="12" t="s">
        <v>6639</v>
      </c>
      <c r="AA582" s="12" t="s">
        <v>6639</v>
      </c>
      <c r="AB582" s="12" t="s">
        <v>1143</v>
      </c>
      <c r="AC582" s="12" t="s">
        <v>21</v>
      </c>
      <c r="AD582" s="12">
        <v>8.6999999999999994E-2</v>
      </c>
      <c r="AE582" s="12">
        <v>1</v>
      </c>
      <c r="AF582" s="12" t="s">
        <v>45</v>
      </c>
      <c r="AG582" s="3"/>
      <c r="AH582" s="3"/>
      <c r="AI582" s="3"/>
      <c r="AJ582" s="3"/>
      <c r="AK582" s="3"/>
      <c r="AL582" s="3"/>
      <c r="AM582" s="3"/>
      <c r="AN582" s="3"/>
      <c r="AO582" s="3"/>
    </row>
    <row r="583" spans="1:42" s="12" customFormat="1" x14ac:dyDescent="0.2">
      <c r="A583" s="12" t="s">
        <v>965</v>
      </c>
      <c r="B583" s="12" t="s">
        <v>965</v>
      </c>
      <c r="C583" s="12" t="s">
        <v>6854</v>
      </c>
      <c r="D583" s="12" t="s">
        <v>143</v>
      </c>
      <c r="E583" s="12" t="s">
        <v>8110</v>
      </c>
      <c r="F583" s="12" t="s">
        <v>967</v>
      </c>
      <c r="G583" s="12" t="s">
        <v>5453</v>
      </c>
      <c r="H583" s="12" t="s">
        <v>6624</v>
      </c>
      <c r="I583" s="12">
        <v>4060</v>
      </c>
      <c r="J583" s="12" t="s">
        <v>967</v>
      </c>
      <c r="K583" s="12" t="s">
        <v>6648</v>
      </c>
      <c r="L583" s="12" t="s">
        <v>861</v>
      </c>
      <c r="M583" s="12" t="s">
        <v>928</v>
      </c>
      <c r="N583" s="12" t="s">
        <v>5785</v>
      </c>
      <c r="O583" s="12" t="s">
        <v>931</v>
      </c>
      <c r="P583" s="12" t="s">
        <v>932</v>
      </c>
      <c r="Q583" s="12" t="s">
        <v>6658</v>
      </c>
      <c r="R583" s="16">
        <v>38.1907</v>
      </c>
      <c r="S583" s="16">
        <v>62.034300000000002</v>
      </c>
      <c r="T583" s="12" t="s">
        <v>25</v>
      </c>
      <c r="U583" s="12" t="s">
        <v>17</v>
      </c>
      <c r="V583" s="12" t="s">
        <v>6639</v>
      </c>
      <c r="W583" s="12" t="s">
        <v>6639</v>
      </c>
      <c r="X583" s="12">
        <v>0.103933</v>
      </c>
      <c r="Y583" s="12">
        <v>113140</v>
      </c>
      <c r="Z583" s="12" t="s">
        <v>6639</v>
      </c>
      <c r="AA583" s="12" t="s">
        <v>6639</v>
      </c>
      <c r="AB583" s="12" t="s">
        <v>966</v>
      </c>
      <c r="AC583" s="12" t="s">
        <v>340</v>
      </c>
      <c r="AD583" s="12" t="s">
        <v>7827</v>
      </c>
      <c r="AE583" s="12" t="s">
        <v>7710</v>
      </c>
      <c r="AF583" s="12" t="s">
        <v>45</v>
      </c>
      <c r="AG583" s="3"/>
      <c r="AH583" s="3"/>
      <c r="AI583" s="3"/>
      <c r="AJ583" s="3"/>
      <c r="AK583" s="3"/>
      <c r="AL583" s="3"/>
      <c r="AM583" s="3"/>
      <c r="AN583" s="3"/>
      <c r="AO583" s="3"/>
    </row>
    <row r="584" spans="1:42" s="12" customFormat="1" x14ac:dyDescent="0.2">
      <c r="A584" s="12" t="s">
        <v>1092</v>
      </c>
      <c r="B584" s="12" t="s">
        <v>1092</v>
      </c>
      <c r="C584" s="12" t="s">
        <v>1093</v>
      </c>
      <c r="D584" s="12" t="s">
        <v>143</v>
      </c>
      <c r="E584" s="12" t="s">
        <v>8110</v>
      </c>
      <c r="F584" s="12" t="s">
        <v>5458</v>
      </c>
      <c r="G584" s="12" t="s">
        <v>5453</v>
      </c>
      <c r="H584" s="12" t="s">
        <v>6624</v>
      </c>
      <c r="I584" s="12">
        <v>4050</v>
      </c>
      <c r="J584" s="12" t="s">
        <v>1082</v>
      </c>
      <c r="K584" s="12" t="s">
        <v>6648</v>
      </c>
      <c r="L584" s="12" t="s">
        <v>1048</v>
      </c>
      <c r="M584" s="12" t="s">
        <v>1053</v>
      </c>
      <c r="N584" s="12" t="s">
        <v>24</v>
      </c>
      <c r="O584" s="12" t="s">
        <v>931</v>
      </c>
      <c r="P584" s="12" t="s">
        <v>932</v>
      </c>
      <c r="Q584" s="12" t="s">
        <v>6658</v>
      </c>
      <c r="R584" s="16">
        <v>38.1907</v>
      </c>
      <c r="S584" s="16">
        <v>62.034300000000002</v>
      </c>
      <c r="T584" s="12" t="s">
        <v>25</v>
      </c>
      <c r="U584" s="12" t="s">
        <v>908</v>
      </c>
      <c r="V584" s="12" t="s">
        <v>6639</v>
      </c>
      <c r="W584" s="12" t="s">
        <v>6639</v>
      </c>
      <c r="X584" s="12">
        <v>4.6119999999999998E-3</v>
      </c>
      <c r="Y584" s="12">
        <v>5439</v>
      </c>
      <c r="Z584" s="12" t="s">
        <v>6639</v>
      </c>
      <c r="AA584" s="12" t="s">
        <v>6639</v>
      </c>
      <c r="AB584" s="12" t="s">
        <v>1094</v>
      </c>
      <c r="AC584" s="12" t="s">
        <v>21</v>
      </c>
      <c r="AD584" s="12">
        <v>8.2000000000000003E-2</v>
      </c>
      <c r="AE584" s="12">
        <v>0.998</v>
      </c>
      <c r="AF584" s="12" t="s">
        <v>45</v>
      </c>
      <c r="AG584" s="3"/>
      <c r="AH584" s="3"/>
      <c r="AI584" s="3"/>
      <c r="AJ584" s="3"/>
      <c r="AK584" s="3"/>
      <c r="AL584" s="3"/>
      <c r="AM584" s="3"/>
      <c r="AN584" s="3"/>
      <c r="AO584" s="3"/>
      <c r="AP584" s="3"/>
    </row>
    <row r="585" spans="1:42" s="12" customFormat="1" x14ac:dyDescent="0.2">
      <c r="A585" s="12" t="s">
        <v>1095</v>
      </c>
      <c r="B585" s="12" t="s">
        <v>1095</v>
      </c>
      <c r="C585" s="12" t="s">
        <v>1096</v>
      </c>
      <c r="D585" s="12" t="s">
        <v>143</v>
      </c>
      <c r="E585" s="12" t="s">
        <v>8110</v>
      </c>
      <c r="F585" s="12" t="s">
        <v>5458</v>
      </c>
      <c r="G585" s="12" t="s">
        <v>5453</v>
      </c>
      <c r="H585" s="12" t="s">
        <v>6624</v>
      </c>
      <c r="I585" s="12">
        <v>4050</v>
      </c>
      <c r="J585" s="12" t="s">
        <v>1082</v>
      </c>
      <c r="K585" s="12" t="s">
        <v>6648</v>
      </c>
      <c r="L585" s="12" t="s">
        <v>1048</v>
      </c>
      <c r="M585" s="12" t="s">
        <v>1053</v>
      </c>
      <c r="N585" s="12" t="s">
        <v>24</v>
      </c>
      <c r="O585" s="12" t="s">
        <v>931</v>
      </c>
      <c r="P585" s="12" t="s">
        <v>932</v>
      </c>
      <c r="Q585" s="12" t="s">
        <v>6658</v>
      </c>
      <c r="R585" s="16">
        <v>38.1907</v>
      </c>
      <c r="S585" s="16">
        <v>62.034300000000002</v>
      </c>
      <c r="T585" s="12" t="s">
        <v>1126</v>
      </c>
      <c r="U585" s="12" t="s">
        <v>883</v>
      </c>
      <c r="V585" s="12" t="s">
        <v>17</v>
      </c>
      <c r="W585" s="12" t="s">
        <v>7415</v>
      </c>
      <c r="X585" s="12">
        <v>5.0610000000000004E-3</v>
      </c>
      <c r="Y585" s="12">
        <v>6008</v>
      </c>
      <c r="Z585" s="12" t="s">
        <v>8052</v>
      </c>
      <c r="AA585" s="12" t="s">
        <v>8052</v>
      </c>
      <c r="AB585" s="12" t="s">
        <v>1097</v>
      </c>
      <c r="AC585" s="12" t="s">
        <v>21</v>
      </c>
      <c r="AD585" s="12">
        <v>0.115</v>
      </c>
      <c r="AE585" s="12">
        <v>0.996</v>
      </c>
      <c r="AF585" s="12" t="s">
        <v>8098</v>
      </c>
      <c r="AG585" s="3"/>
      <c r="AH585" s="3"/>
      <c r="AI585" s="3"/>
      <c r="AJ585" s="3"/>
      <c r="AK585" s="3"/>
      <c r="AL585" s="3"/>
      <c r="AM585" s="3"/>
      <c r="AN585" s="3"/>
      <c r="AO585" s="3"/>
      <c r="AP585" s="3"/>
    </row>
    <row r="586" spans="1:42" s="12" customFormat="1" x14ac:dyDescent="0.2">
      <c r="A586" s="12" t="s">
        <v>1083</v>
      </c>
      <c r="B586" s="12" t="s">
        <v>1083</v>
      </c>
      <c r="C586" s="12" t="s">
        <v>6851</v>
      </c>
      <c r="D586" s="12" t="s">
        <v>143</v>
      </c>
      <c r="E586" s="12" t="s">
        <v>8110</v>
      </c>
      <c r="F586" s="12" t="s">
        <v>5458</v>
      </c>
      <c r="G586" s="12" t="s">
        <v>5453</v>
      </c>
      <c r="H586" s="12" t="s">
        <v>6624</v>
      </c>
      <c r="I586" s="12">
        <v>4050</v>
      </c>
      <c r="J586" s="12" t="s">
        <v>1082</v>
      </c>
      <c r="K586" s="12" t="s">
        <v>6648</v>
      </c>
      <c r="L586" s="12" t="s">
        <v>1048</v>
      </c>
      <c r="M586" s="12" t="s">
        <v>1053</v>
      </c>
      <c r="N586" s="12" t="s">
        <v>24</v>
      </c>
      <c r="O586" s="12" t="s">
        <v>931</v>
      </c>
      <c r="P586" s="12" t="s">
        <v>932</v>
      </c>
      <c r="Q586" s="12" t="s">
        <v>6658</v>
      </c>
      <c r="R586" s="12">
        <v>38.1907</v>
      </c>
      <c r="S586" s="12">
        <v>62.034300000000002</v>
      </c>
      <c r="T586" s="12" t="s">
        <v>11</v>
      </c>
      <c r="U586" s="12" t="s">
        <v>1085</v>
      </c>
      <c r="V586" s="12" t="s">
        <v>253</v>
      </c>
      <c r="W586" s="12" t="s">
        <v>7415</v>
      </c>
      <c r="X586" s="12">
        <v>7.9850000000000008E-3</v>
      </c>
      <c r="Y586" s="12">
        <v>9474</v>
      </c>
      <c r="Z586" s="12" t="s">
        <v>8052</v>
      </c>
      <c r="AA586" s="12" t="s">
        <v>8052</v>
      </c>
      <c r="AB586" s="12" t="s">
        <v>1084</v>
      </c>
      <c r="AC586" s="12" t="s">
        <v>21</v>
      </c>
      <c r="AD586" s="12">
        <v>8.3000000000000004E-2</v>
      </c>
      <c r="AE586" s="12">
        <v>1</v>
      </c>
      <c r="AF586" s="12" t="s">
        <v>45</v>
      </c>
      <c r="AG586" s="3"/>
      <c r="AH586" s="3"/>
      <c r="AI586" s="3"/>
      <c r="AJ586" s="3"/>
      <c r="AK586" s="3"/>
      <c r="AL586" s="3"/>
      <c r="AM586" s="3"/>
      <c r="AN586" s="3"/>
      <c r="AO586" s="3"/>
      <c r="AP586" s="3"/>
    </row>
    <row r="587" spans="1:42" s="12" customFormat="1" x14ac:dyDescent="0.2">
      <c r="A587" s="12" t="s">
        <v>1080</v>
      </c>
      <c r="B587" s="12" t="s">
        <v>1080</v>
      </c>
      <c r="C587" s="12" t="s">
        <v>6853</v>
      </c>
      <c r="D587" s="12" t="s">
        <v>100</v>
      </c>
      <c r="E587" s="12" t="s">
        <v>8110</v>
      </c>
      <c r="F587" s="12" t="s">
        <v>5458</v>
      </c>
      <c r="G587" s="12" t="s">
        <v>5453</v>
      </c>
      <c r="H587" s="12" t="s">
        <v>6624</v>
      </c>
      <c r="I587" s="12">
        <v>4050</v>
      </c>
      <c r="J587" s="12" t="s">
        <v>1082</v>
      </c>
      <c r="K587" s="12" t="s">
        <v>6648</v>
      </c>
      <c r="L587" s="12" t="s">
        <v>1048</v>
      </c>
      <c r="M587" s="12" t="s">
        <v>1053</v>
      </c>
      <c r="N587" s="12" t="s">
        <v>24</v>
      </c>
      <c r="O587" s="12" t="s">
        <v>931</v>
      </c>
      <c r="P587" s="12" t="s">
        <v>932</v>
      </c>
      <c r="Q587" s="12" t="s">
        <v>6658</v>
      </c>
      <c r="R587" s="16">
        <v>38.1907</v>
      </c>
      <c r="S587" s="16">
        <v>62.034300000000002</v>
      </c>
      <c r="T587" s="12" t="s">
        <v>25</v>
      </c>
      <c r="U587" s="12" t="s">
        <v>17</v>
      </c>
      <c r="V587" s="12" t="s">
        <v>6639</v>
      </c>
      <c r="W587" s="12" t="s">
        <v>6639</v>
      </c>
      <c r="X587" s="12">
        <v>1.1838E-2</v>
      </c>
      <c r="Y587" s="12">
        <v>13880</v>
      </c>
      <c r="Z587" s="12" t="s">
        <v>6639</v>
      </c>
      <c r="AA587" s="12" t="s">
        <v>6639</v>
      </c>
      <c r="AB587" s="12" t="s">
        <v>1081</v>
      </c>
      <c r="AC587" s="12" t="s">
        <v>21</v>
      </c>
      <c r="AD587" s="12">
        <v>6.7000000000000004E-2</v>
      </c>
      <c r="AE587" s="12" t="s">
        <v>7796</v>
      </c>
      <c r="AF587" s="12" t="s">
        <v>45</v>
      </c>
      <c r="AG587" s="3"/>
      <c r="AH587" s="3"/>
      <c r="AI587" s="3"/>
      <c r="AJ587" s="3"/>
      <c r="AK587" s="3"/>
      <c r="AL587" s="3"/>
      <c r="AM587" s="3"/>
      <c r="AN587" s="3"/>
      <c r="AO587" s="3"/>
      <c r="AP587" s="3"/>
    </row>
    <row r="588" spans="1:42" s="12" customFormat="1" x14ac:dyDescent="0.2">
      <c r="A588" s="12" t="s">
        <v>962</v>
      </c>
      <c r="B588" s="12" t="s">
        <v>962</v>
      </c>
      <c r="C588" s="12" t="s">
        <v>6831</v>
      </c>
      <c r="D588" s="12" t="s">
        <v>143</v>
      </c>
      <c r="E588" s="12" t="s">
        <v>8110</v>
      </c>
      <c r="F588" s="12" t="s">
        <v>964</v>
      </c>
      <c r="G588" s="12" t="s">
        <v>5453</v>
      </c>
      <c r="H588" s="12" t="s">
        <v>6624</v>
      </c>
      <c r="I588" s="12">
        <v>4010</v>
      </c>
      <c r="J588" s="12" t="s">
        <v>964</v>
      </c>
      <c r="K588" s="12" t="s">
        <v>6648</v>
      </c>
      <c r="L588" s="12" t="s">
        <v>861</v>
      </c>
      <c r="M588" s="12" t="s">
        <v>928</v>
      </c>
      <c r="N588" s="12" t="s">
        <v>5785</v>
      </c>
      <c r="O588" s="12" t="s">
        <v>931</v>
      </c>
      <c r="P588" s="12" t="s">
        <v>932</v>
      </c>
      <c r="Q588" s="12" t="s">
        <v>6658</v>
      </c>
      <c r="R588" s="16">
        <v>38.1907</v>
      </c>
      <c r="S588" s="16">
        <v>62.034300000000002</v>
      </c>
      <c r="T588" s="12" t="s">
        <v>25</v>
      </c>
      <c r="U588" s="12" t="s">
        <v>17</v>
      </c>
      <c r="V588" s="12" t="s">
        <v>6639</v>
      </c>
      <c r="W588" s="12" t="s">
        <v>6639</v>
      </c>
      <c r="X588" s="12">
        <v>2.5384E-2</v>
      </c>
      <c r="Y588" s="12">
        <v>29359</v>
      </c>
      <c r="Z588" s="12" t="s">
        <v>6639</v>
      </c>
      <c r="AA588" s="12" t="s">
        <v>6639</v>
      </c>
      <c r="AB588" s="12" t="s">
        <v>963</v>
      </c>
      <c r="AC588" s="12" t="s">
        <v>58</v>
      </c>
      <c r="AD588" s="12" t="s">
        <v>7906</v>
      </c>
      <c r="AE588" s="12" t="s">
        <v>7686</v>
      </c>
      <c r="AF588" s="12" t="s">
        <v>45</v>
      </c>
      <c r="AG588" s="3"/>
      <c r="AH588" s="3"/>
      <c r="AI588" s="3"/>
      <c r="AJ588" s="3"/>
      <c r="AK588" s="3"/>
      <c r="AL588" s="3"/>
      <c r="AM588" s="3"/>
      <c r="AN588" s="3"/>
      <c r="AO588" s="3"/>
      <c r="AP588" s="3"/>
    </row>
    <row r="589" spans="1:42" s="12" customFormat="1" x14ac:dyDescent="0.2">
      <c r="A589" s="12" t="s">
        <v>1105</v>
      </c>
      <c r="B589" s="12" t="s">
        <v>1105</v>
      </c>
      <c r="C589" s="12" t="s">
        <v>6859</v>
      </c>
      <c r="D589" s="12" t="s">
        <v>143</v>
      </c>
      <c r="E589" s="12" t="s">
        <v>8110</v>
      </c>
      <c r="F589" s="12" t="s">
        <v>1109</v>
      </c>
      <c r="G589" s="12" t="s">
        <v>5453</v>
      </c>
      <c r="H589" s="12" t="s">
        <v>6624</v>
      </c>
      <c r="I589" s="12">
        <v>4010</v>
      </c>
      <c r="J589" s="12" t="s">
        <v>1109</v>
      </c>
      <c r="K589" s="12" t="s">
        <v>6648</v>
      </c>
      <c r="L589" s="12" t="s">
        <v>1107</v>
      </c>
      <c r="M589" s="12" t="s">
        <v>1106</v>
      </c>
      <c r="N589" s="12" t="s">
        <v>5785</v>
      </c>
      <c r="O589" s="12" t="s">
        <v>931</v>
      </c>
      <c r="P589" s="12" t="s">
        <v>932</v>
      </c>
      <c r="Q589" s="12" t="s">
        <v>6658</v>
      </c>
      <c r="R589" s="12">
        <v>38.1907</v>
      </c>
      <c r="S589" s="12">
        <v>62.034300000000002</v>
      </c>
      <c r="T589" s="12" t="s">
        <v>25</v>
      </c>
      <c r="U589" s="12" t="s">
        <v>17</v>
      </c>
      <c r="V589" s="12" t="s">
        <v>6639</v>
      </c>
      <c r="W589" s="12" t="s">
        <v>6639</v>
      </c>
      <c r="X589" s="12">
        <v>1.4749999999999999E-2</v>
      </c>
      <c r="Y589" s="12">
        <v>17240</v>
      </c>
      <c r="Z589" s="12" t="s">
        <v>6639</v>
      </c>
      <c r="AA589" s="12" t="s">
        <v>6639</v>
      </c>
      <c r="AB589" s="12" t="s">
        <v>1108</v>
      </c>
      <c r="AC589" s="12" t="s">
        <v>340</v>
      </c>
      <c r="AD589" s="12" t="s">
        <v>7837</v>
      </c>
      <c r="AE589" s="12" t="s">
        <v>7682</v>
      </c>
      <c r="AF589" s="12" t="s">
        <v>8093</v>
      </c>
      <c r="AG589" s="3"/>
      <c r="AH589" s="3"/>
      <c r="AI589" s="3"/>
      <c r="AJ589" s="3"/>
      <c r="AK589" s="3"/>
      <c r="AL589" s="3"/>
      <c r="AM589" s="3"/>
      <c r="AN589" s="3"/>
      <c r="AO589" s="3"/>
      <c r="AP589" s="3"/>
    </row>
    <row r="590" spans="1:42" s="12" customFormat="1" x14ac:dyDescent="0.2">
      <c r="A590" s="12" t="s">
        <v>959</v>
      </c>
      <c r="B590" s="12" t="s">
        <v>959</v>
      </c>
      <c r="C590" s="12" t="s">
        <v>6835</v>
      </c>
      <c r="D590" s="12" t="s">
        <v>143</v>
      </c>
      <c r="E590" s="12" t="s">
        <v>8110</v>
      </c>
      <c r="F590" s="12" t="s">
        <v>961</v>
      </c>
      <c r="G590" s="12" t="s">
        <v>5453</v>
      </c>
      <c r="H590" s="12" t="s">
        <v>6624</v>
      </c>
      <c r="I590" s="12">
        <v>4007</v>
      </c>
      <c r="J590" s="12" t="s">
        <v>961</v>
      </c>
      <c r="K590" s="12" t="s">
        <v>6648</v>
      </c>
      <c r="L590" s="12" t="s">
        <v>861</v>
      </c>
      <c r="M590" s="12" t="s">
        <v>928</v>
      </c>
      <c r="N590" s="12" t="s">
        <v>5785</v>
      </c>
      <c r="O590" s="12" t="s">
        <v>931</v>
      </c>
      <c r="P590" s="12" t="s">
        <v>932</v>
      </c>
      <c r="Q590" s="12" t="s">
        <v>6658</v>
      </c>
      <c r="R590" s="12">
        <v>38.1907</v>
      </c>
      <c r="S590" s="12">
        <v>62.034300000000002</v>
      </c>
      <c r="T590" s="12" t="s">
        <v>25</v>
      </c>
      <c r="U590" s="12" t="s">
        <v>17</v>
      </c>
      <c r="V590" s="12" t="s">
        <v>6639</v>
      </c>
      <c r="W590" s="12" t="s">
        <v>6639</v>
      </c>
      <c r="X590" s="12">
        <v>7.4028999999999998E-2</v>
      </c>
      <c r="Y590" s="12">
        <v>83003</v>
      </c>
      <c r="Z590" s="12" t="s">
        <v>6639</v>
      </c>
      <c r="AA590" s="12" t="s">
        <v>6639</v>
      </c>
      <c r="AB590" s="12" t="s">
        <v>960</v>
      </c>
      <c r="AC590" s="12" t="s">
        <v>340</v>
      </c>
      <c r="AD590" s="12" t="s">
        <v>7843</v>
      </c>
      <c r="AE590" s="12" t="s">
        <v>7705</v>
      </c>
      <c r="AF590" s="12" t="s">
        <v>45</v>
      </c>
      <c r="AG590" s="3"/>
      <c r="AH590" s="3"/>
      <c r="AI590" s="3"/>
      <c r="AJ590" s="3"/>
      <c r="AK590" s="3"/>
      <c r="AL590" s="3"/>
      <c r="AM590" s="3"/>
      <c r="AN590" s="3"/>
      <c r="AO590" s="3"/>
      <c r="AP590" s="3"/>
    </row>
    <row r="591" spans="1:42" x14ac:dyDescent="0.2">
      <c r="A591" s="12" t="s">
        <v>2063</v>
      </c>
      <c r="B591" s="12" t="s">
        <v>2063</v>
      </c>
      <c r="C591" s="12" t="s">
        <v>7635</v>
      </c>
      <c r="D591" s="12" t="s">
        <v>143</v>
      </c>
      <c r="E591" s="12" t="s">
        <v>8108</v>
      </c>
      <c r="F591" s="12" t="s">
        <v>2064</v>
      </c>
      <c r="G591" s="12" t="s">
        <v>5453</v>
      </c>
      <c r="H591" s="12" t="s">
        <v>6624</v>
      </c>
      <c r="I591" s="12">
        <v>4006</v>
      </c>
      <c r="J591" s="12" t="s">
        <v>2064</v>
      </c>
      <c r="K591" s="12" t="s">
        <v>6648</v>
      </c>
      <c r="L591" s="12" t="s">
        <v>6670</v>
      </c>
      <c r="M591" s="12" t="s">
        <v>2059</v>
      </c>
      <c r="N591" s="12" t="s">
        <v>5785</v>
      </c>
      <c r="O591" s="12" t="s">
        <v>931</v>
      </c>
      <c r="P591" s="12" t="s">
        <v>932</v>
      </c>
      <c r="Q591" s="12" t="s">
        <v>6658</v>
      </c>
      <c r="R591" s="16">
        <v>38.1907</v>
      </c>
      <c r="S591" s="16">
        <v>62.034300000000002</v>
      </c>
      <c r="T591" s="12" t="s">
        <v>11</v>
      </c>
      <c r="U591" s="12" t="s">
        <v>1059</v>
      </c>
      <c r="V591" s="12" t="s">
        <v>392</v>
      </c>
      <c r="W591" s="12" t="s">
        <v>7160</v>
      </c>
      <c r="X591" s="12">
        <v>0.11593100000000001</v>
      </c>
      <c r="Y591" s="12">
        <v>128105</v>
      </c>
      <c r="Z591" s="12" t="s">
        <v>8052</v>
      </c>
      <c r="AA591" s="12" t="s">
        <v>8052</v>
      </c>
      <c r="AB591" s="12" t="s">
        <v>2062</v>
      </c>
      <c r="AC591" s="12" t="s">
        <v>21</v>
      </c>
      <c r="AD591" s="12">
        <v>0.113</v>
      </c>
      <c r="AE591" s="12">
        <v>0.98499999999999999</v>
      </c>
      <c r="AF591" s="12" t="s">
        <v>45</v>
      </c>
    </row>
    <row r="592" spans="1:42" x14ac:dyDescent="0.2">
      <c r="A592" s="12" t="s">
        <v>1129</v>
      </c>
      <c r="B592" s="12" t="s">
        <v>1129</v>
      </c>
      <c r="C592" s="12" t="s">
        <v>6838</v>
      </c>
      <c r="D592" s="12" t="s">
        <v>143</v>
      </c>
      <c r="E592" s="12" t="s">
        <v>8110</v>
      </c>
      <c r="F592" s="12" t="s">
        <v>5458</v>
      </c>
      <c r="G592" s="12" t="s">
        <v>5453</v>
      </c>
      <c r="H592" s="12" t="s">
        <v>6624</v>
      </c>
      <c r="I592" s="12">
        <v>4000</v>
      </c>
      <c r="J592" s="12" t="s">
        <v>1055</v>
      </c>
      <c r="K592" s="12" t="s">
        <v>6648</v>
      </c>
      <c r="L592" s="12" t="s">
        <v>7127</v>
      </c>
      <c r="M592" s="12" t="s">
        <v>7128</v>
      </c>
      <c r="N592" s="12" t="s">
        <v>24</v>
      </c>
      <c r="O592" s="12" t="s">
        <v>931</v>
      </c>
      <c r="P592" s="12" t="s">
        <v>932</v>
      </c>
      <c r="Q592" s="12" t="s">
        <v>6658</v>
      </c>
      <c r="R592" s="12">
        <v>38.1907</v>
      </c>
      <c r="S592" s="12">
        <v>62.034300000000002</v>
      </c>
      <c r="T592" s="12" t="s">
        <v>11</v>
      </c>
      <c r="U592" s="12" t="s">
        <v>933</v>
      </c>
      <c r="V592" s="12" t="s">
        <v>17</v>
      </c>
      <c r="W592" s="12" t="s">
        <v>17</v>
      </c>
      <c r="X592" s="12">
        <v>7.6340000000000002E-3</v>
      </c>
      <c r="Y592" s="12">
        <v>9040</v>
      </c>
      <c r="Z592" s="12" t="s">
        <v>8052</v>
      </c>
      <c r="AA592" s="12" t="s">
        <v>8052</v>
      </c>
      <c r="AB592" s="12" t="s">
        <v>1130</v>
      </c>
      <c r="AC592" s="12" t="s">
        <v>21</v>
      </c>
      <c r="AD592" s="12">
        <v>8.3000000000000004E-2</v>
      </c>
      <c r="AE592" s="12">
        <v>0.97099999999999997</v>
      </c>
      <c r="AF592" s="12" t="s">
        <v>8097</v>
      </c>
    </row>
    <row r="593" spans="1:32" x14ac:dyDescent="0.2">
      <c r="A593" s="12" t="s">
        <v>1057</v>
      </c>
      <c r="B593" s="12" t="s">
        <v>1057</v>
      </c>
      <c r="C593" s="12" t="s">
        <v>6841</v>
      </c>
      <c r="D593" s="12" t="s">
        <v>143</v>
      </c>
      <c r="E593" s="12" t="s">
        <v>8110</v>
      </c>
      <c r="F593" s="12" t="s">
        <v>5458</v>
      </c>
      <c r="G593" s="12" t="s">
        <v>5453</v>
      </c>
      <c r="H593" s="12" t="s">
        <v>6624</v>
      </c>
      <c r="I593" s="12">
        <v>4000</v>
      </c>
      <c r="J593" s="12" t="s">
        <v>1055</v>
      </c>
      <c r="K593" s="12" t="s">
        <v>6648</v>
      </c>
      <c r="L593" s="12" t="s">
        <v>1048</v>
      </c>
      <c r="M593" s="12" t="s">
        <v>1053</v>
      </c>
      <c r="N593" s="12" t="s">
        <v>24</v>
      </c>
      <c r="O593" s="12" t="s">
        <v>931</v>
      </c>
      <c r="P593" s="12" t="s">
        <v>932</v>
      </c>
      <c r="Q593" s="12" t="s">
        <v>6658</v>
      </c>
      <c r="R593" s="12">
        <v>38.1907</v>
      </c>
      <c r="S593" s="12">
        <v>62.034300000000002</v>
      </c>
      <c r="T593" s="12" t="s">
        <v>11</v>
      </c>
      <c r="U593" s="12" t="s">
        <v>1059</v>
      </c>
      <c r="V593" s="12" t="s">
        <v>253</v>
      </c>
      <c r="W593" s="12" t="s">
        <v>7415</v>
      </c>
      <c r="X593" s="12">
        <v>2.5920000000000001E-3</v>
      </c>
      <c r="Y593" s="12">
        <v>3106</v>
      </c>
      <c r="Z593" s="12" t="s">
        <v>8052</v>
      </c>
      <c r="AA593" s="12" t="s">
        <v>8052</v>
      </c>
      <c r="AB593" s="12" t="s">
        <v>1058</v>
      </c>
      <c r="AC593" s="12" t="s">
        <v>21</v>
      </c>
      <c r="AD593" s="12">
        <v>4.9000000000000002E-2</v>
      </c>
      <c r="AE593" s="12">
        <v>1</v>
      </c>
      <c r="AF593" s="12" t="s">
        <v>3026</v>
      </c>
    </row>
    <row r="594" spans="1:32" x14ac:dyDescent="0.2">
      <c r="A594" s="12" t="s">
        <v>1068</v>
      </c>
      <c r="B594" s="12" t="s">
        <v>1068</v>
      </c>
      <c r="C594" s="12" t="s">
        <v>6845</v>
      </c>
      <c r="D594" s="12" t="s">
        <v>143</v>
      </c>
      <c r="E594" s="12" t="s">
        <v>8110</v>
      </c>
      <c r="F594" s="12" t="s">
        <v>5458</v>
      </c>
      <c r="G594" s="12" t="s">
        <v>5453</v>
      </c>
      <c r="H594" s="12" t="s">
        <v>6624</v>
      </c>
      <c r="I594" s="12">
        <v>4000</v>
      </c>
      <c r="J594" s="12" t="s">
        <v>1055</v>
      </c>
      <c r="K594" s="12" t="s">
        <v>6648</v>
      </c>
      <c r="L594" s="12" t="s">
        <v>1048</v>
      </c>
      <c r="M594" s="12" t="s">
        <v>1053</v>
      </c>
      <c r="N594" s="12" t="s">
        <v>24</v>
      </c>
      <c r="O594" s="12" t="s">
        <v>931</v>
      </c>
      <c r="P594" s="12" t="s">
        <v>932</v>
      </c>
      <c r="Q594" s="12" t="s">
        <v>6658</v>
      </c>
      <c r="R594" s="12">
        <v>38.1907</v>
      </c>
      <c r="S594" s="12">
        <v>62.034300000000002</v>
      </c>
      <c r="T594" s="12" t="s">
        <v>11</v>
      </c>
      <c r="U594" s="12" t="s">
        <v>17</v>
      </c>
      <c r="V594" s="12" t="s">
        <v>262</v>
      </c>
      <c r="W594" s="12" t="s">
        <v>7415</v>
      </c>
      <c r="X594" s="12">
        <v>2.9260000000000002E-3</v>
      </c>
      <c r="Y594" s="12">
        <v>3500</v>
      </c>
      <c r="Z594" s="12" t="s">
        <v>8052</v>
      </c>
      <c r="AA594" s="12" t="s">
        <v>8052</v>
      </c>
      <c r="AB594" s="12" t="s">
        <v>1069</v>
      </c>
      <c r="AC594" s="12" t="s">
        <v>21</v>
      </c>
      <c r="AD594" s="12">
        <v>2.8000000000000001E-2</v>
      </c>
      <c r="AE594" s="12">
        <v>0.91900000000000004</v>
      </c>
      <c r="AF594" s="12" t="s">
        <v>7670</v>
      </c>
    </row>
    <row r="595" spans="1:32" x14ac:dyDescent="0.2">
      <c r="A595" s="12" t="s">
        <v>1052</v>
      </c>
      <c r="B595" s="12" t="s">
        <v>1052</v>
      </c>
      <c r="C595" s="12" t="s">
        <v>6839</v>
      </c>
      <c r="D595" s="12" t="s">
        <v>143</v>
      </c>
      <c r="E595" s="12" t="s">
        <v>8110</v>
      </c>
      <c r="F595" s="12" t="s">
        <v>5458</v>
      </c>
      <c r="G595" s="12" t="s">
        <v>5453</v>
      </c>
      <c r="H595" s="12" t="s">
        <v>6624</v>
      </c>
      <c r="I595" s="12">
        <v>4000</v>
      </c>
      <c r="J595" s="12" t="s">
        <v>1055</v>
      </c>
      <c r="K595" s="12" t="s">
        <v>6648</v>
      </c>
      <c r="L595" s="12" t="s">
        <v>1048</v>
      </c>
      <c r="M595" s="12" t="s">
        <v>1053</v>
      </c>
      <c r="N595" s="12" t="s">
        <v>24</v>
      </c>
      <c r="O595" s="12" t="s">
        <v>931</v>
      </c>
      <c r="P595" s="12" t="s">
        <v>932</v>
      </c>
      <c r="Q595" s="12" t="s">
        <v>6658</v>
      </c>
      <c r="R595" s="12">
        <v>38.1907</v>
      </c>
      <c r="S595" s="12">
        <v>62.034300000000002</v>
      </c>
      <c r="T595" s="12" t="s">
        <v>11</v>
      </c>
      <c r="U595" s="12" t="s">
        <v>1056</v>
      </c>
      <c r="V595" s="12" t="s">
        <v>383</v>
      </c>
      <c r="W595" s="12" t="s">
        <v>7415</v>
      </c>
      <c r="X595" s="12">
        <v>3.3570000000000002E-3</v>
      </c>
      <c r="Y595" s="12">
        <v>4053</v>
      </c>
      <c r="Z595" s="12" t="s">
        <v>8052</v>
      </c>
      <c r="AA595" s="12" t="s">
        <v>8052</v>
      </c>
      <c r="AB595" s="12" t="s">
        <v>1054</v>
      </c>
      <c r="AC595" s="12" t="s">
        <v>21</v>
      </c>
      <c r="AD595" s="12">
        <v>4.2000000000000003E-2</v>
      </c>
      <c r="AE595" s="12">
        <v>0.998</v>
      </c>
      <c r="AF595" s="12" t="s">
        <v>3026</v>
      </c>
    </row>
    <row r="596" spans="1:32" x14ac:dyDescent="0.2">
      <c r="A596" s="12" t="s">
        <v>1070</v>
      </c>
      <c r="B596" s="12" t="s">
        <v>1070</v>
      </c>
      <c r="C596" s="12" t="s">
        <v>6847</v>
      </c>
      <c r="D596" s="12" t="s">
        <v>143</v>
      </c>
      <c r="E596" s="12" t="s">
        <v>8110</v>
      </c>
      <c r="F596" s="12" t="s">
        <v>5458</v>
      </c>
      <c r="G596" s="12" t="s">
        <v>5453</v>
      </c>
      <c r="H596" s="12" t="s">
        <v>6624</v>
      </c>
      <c r="I596" s="12">
        <v>4000</v>
      </c>
      <c r="J596" s="12" t="s">
        <v>1055</v>
      </c>
      <c r="K596" s="12" t="s">
        <v>6648</v>
      </c>
      <c r="L596" s="12" t="s">
        <v>1048</v>
      </c>
      <c r="M596" s="12" t="s">
        <v>1053</v>
      </c>
      <c r="N596" s="12" t="s">
        <v>24</v>
      </c>
      <c r="O596" s="12" t="s">
        <v>931</v>
      </c>
      <c r="P596" s="12" t="s">
        <v>932</v>
      </c>
      <c r="Q596" s="12" t="s">
        <v>6658</v>
      </c>
      <c r="R596" s="12">
        <v>38.1907</v>
      </c>
      <c r="S596" s="12">
        <v>62.034300000000002</v>
      </c>
      <c r="T596" s="12" t="s">
        <v>25</v>
      </c>
      <c r="U596" s="12" t="s">
        <v>1072</v>
      </c>
      <c r="V596" s="12" t="s">
        <v>6639</v>
      </c>
      <c r="W596" s="12" t="s">
        <v>6639</v>
      </c>
      <c r="X596" s="12">
        <v>4.0000000000000001E-3</v>
      </c>
      <c r="Y596" s="12">
        <v>4656</v>
      </c>
      <c r="Z596" s="12" t="s">
        <v>6639</v>
      </c>
      <c r="AA596" s="12" t="s">
        <v>6639</v>
      </c>
      <c r="AB596" s="12" t="s">
        <v>1071</v>
      </c>
      <c r="AC596" s="12" t="s">
        <v>21</v>
      </c>
      <c r="AD596" s="12">
        <v>6.0999999999999999E-2</v>
      </c>
      <c r="AE596" s="12">
        <v>0.995</v>
      </c>
      <c r="AF596" s="12" t="s">
        <v>1073</v>
      </c>
    </row>
    <row r="597" spans="1:32" x14ac:dyDescent="0.2">
      <c r="A597" s="12" t="s">
        <v>1063</v>
      </c>
      <c r="B597" s="12" t="s">
        <v>1063</v>
      </c>
      <c r="C597" s="12" t="s">
        <v>6843</v>
      </c>
      <c r="D597" s="12" t="s">
        <v>143</v>
      </c>
      <c r="E597" s="12" t="s">
        <v>8110</v>
      </c>
      <c r="F597" s="12" t="s">
        <v>5458</v>
      </c>
      <c r="G597" s="12" t="s">
        <v>5453</v>
      </c>
      <c r="H597" s="12" t="s">
        <v>6624</v>
      </c>
      <c r="I597" s="12">
        <v>4000</v>
      </c>
      <c r="J597" s="12" t="s">
        <v>1055</v>
      </c>
      <c r="K597" s="12" t="s">
        <v>6648</v>
      </c>
      <c r="L597" s="12" t="s">
        <v>1048</v>
      </c>
      <c r="M597" s="12" t="s">
        <v>1053</v>
      </c>
      <c r="N597" s="12" t="s">
        <v>24</v>
      </c>
      <c r="O597" s="12" t="s">
        <v>931</v>
      </c>
      <c r="P597" s="12" t="s">
        <v>932</v>
      </c>
      <c r="Q597" s="12" t="s">
        <v>6658</v>
      </c>
      <c r="R597" s="12">
        <v>38.1907</v>
      </c>
      <c r="S597" s="12">
        <v>62.034300000000002</v>
      </c>
      <c r="T597" s="12" t="s">
        <v>25</v>
      </c>
      <c r="U597" s="12" t="s">
        <v>998</v>
      </c>
      <c r="V597" s="12" t="s">
        <v>6639</v>
      </c>
      <c r="W597" s="12" t="s">
        <v>6639</v>
      </c>
      <c r="X597" s="12">
        <v>5.4980000000000003E-3</v>
      </c>
      <c r="Y597" s="12">
        <v>6462</v>
      </c>
      <c r="Z597" s="12" t="s">
        <v>6639</v>
      </c>
      <c r="AA597" s="12" t="s">
        <v>6639</v>
      </c>
      <c r="AB597" s="12" t="s">
        <v>1064</v>
      </c>
      <c r="AC597" s="12" t="s">
        <v>21</v>
      </c>
      <c r="AD597" s="12">
        <v>6.4000000000000001E-2</v>
      </c>
      <c r="AE597" s="12">
        <v>0.99099999999999999</v>
      </c>
      <c r="AF597" s="12" t="s">
        <v>45</v>
      </c>
    </row>
    <row r="598" spans="1:32" x14ac:dyDescent="0.2">
      <c r="A598" s="12" t="s">
        <v>1076</v>
      </c>
      <c r="B598" s="12" t="s">
        <v>1076</v>
      </c>
      <c r="C598" s="12" t="s">
        <v>6849</v>
      </c>
      <c r="D598" s="12" t="s">
        <v>143</v>
      </c>
      <c r="E598" s="12" t="s">
        <v>8110</v>
      </c>
      <c r="F598" s="12" t="s">
        <v>5458</v>
      </c>
      <c r="G598" s="12" t="s">
        <v>5453</v>
      </c>
      <c r="H598" s="12" t="s">
        <v>6624</v>
      </c>
      <c r="I598" s="12">
        <v>4000</v>
      </c>
      <c r="J598" s="12" t="s">
        <v>1055</v>
      </c>
      <c r="K598" s="12" t="s">
        <v>6648</v>
      </c>
      <c r="L598" s="12" t="s">
        <v>1048</v>
      </c>
      <c r="M598" s="12" t="s">
        <v>1053</v>
      </c>
      <c r="N598" s="12" t="s">
        <v>24</v>
      </c>
      <c r="O598" s="12" t="s">
        <v>931</v>
      </c>
      <c r="P598" s="12" t="s">
        <v>932</v>
      </c>
      <c r="Q598" s="12" t="s">
        <v>6658</v>
      </c>
      <c r="R598" s="12">
        <v>38.1907</v>
      </c>
      <c r="S598" s="12">
        <v>62.034300000000002</v>
      </c>
      <c r="T598" s="12" t="s">
        <v>11</v>
      </c>
      <c r="U598" s="12" t="s">
        <v>1059</v>
      </c>
      <c r="V598" s="12" t="s">
        <v>854</v>
      </c>
      <c r="W598" s="12" t="s">
        <v>7415</v>
      </c>
      <c r="X598" s="12">
        <v>6.4190000000000002E-3</v>
      </c>
      <c r="Y598" s="12">
        <v>7736</v>
      </c>
      <c r="Z598" s="12" t="s">
        <v>8052</v>
      </c>
      <c r="AA598" s="12" t="s">
        <v>8052</v>
      </c>
      <c r="AB598" s="12" t="s">
        <v>1077</v>
      </c>
      <c r="AC598" s="12" t="s">
        <v>21</v>
      </c>
      <c r="AD598" s="12">
        <v>0.104</v>
      </c>
      <c r="AE598" s="12">
        <v>0.999</v>
      </c>
      <c r="AF598" s="12" t="s">
        <v>45</v>
      </c>
    </row>
    <row r="599" spans="1:32" x14ac:dyDescent="0.2">
      <c r="A599" s="12" t="s">
        <v>1078</v>
      </c>
      <c r="B599" s="12" t="s">
        <v>1078</v>
      </c>
      <c r="C599" s="12" t="s">
        <v>6850</v>
      </c>
      <c r="D599" s="12" t="s">
        <v>143</v>
      </c>
      <c r="E599" s="12" t="s">
        <v>8110</v>
      </c>
      <c r="F599" s="12" t="s">
        <v>5458</v>
      </c>
      <c r="G599" s="12" t="s">
        <v>5453</v>
      </c>
      <c r="H599" s="12" t="s">
        <v>6624</v>
      </c>
      <c r="I599" s="12">
        <v>4000</v>
      </c>
      <c r="J599" s="12" t="s">
        <v>1055</v>
      </c>
      <c r="K599" s="12" t="s">
        <v>6648</v>
      </c>
      <c r="L599" s="12" t="s">
        <v>1048</v>
      </c>
      <c r="M599" s="12" t="s">
        <v>1053</v>
      </c>
      <c r="N599" s="12" t="s">
        <v>24</v>
      </c>
      <c r="O599" s="12" t="s">
        <v>931</v>
      </c>
      <c r="P599" s="12" t="s">
        <v>932</v>
      </c>
      <c r="Q599" s="12" t="s">
        <v>6658</v>
      </c>
      <c r="R599" s="12">
        <v>38.1907</v>
      </c>
      <c r="S599" s="12">
        <v>62.034300000000002</v>
      </c>
      <c r="T599" s="12" t="s">
        <v>25</v>
      </c>
      <c r="U599" s="12" t="s">
        <v>179</v>
      </c>
      <c r="V599" s="12" t="s">
        <v>6639</v>
      </c>
      <c r="W599" s="12" t="s">
        <v>6639</v>
      </c>
      <c r="X599" s="12">
        <v>6.6179999999999998E-3</v>
      </c>
      <c r="Y599" s="12">
        <v>7777</v>
      </c>
      <c r="Z599" s="12" t="s">
        <v>8052</v>
      </c>
      <c r="AA599" s="12" t="s">
        <v>8052</v>
      </c>
      <c r="AB599" s="12" t="s">
        <v>1079</v>
      </c>
      <c r="AC599" s="12" t="s">
        <v>21</v>
      </c>
      <c r="AD599" s="12">
        <v>6.8000000000000005E-2</v>
      </c>
      <c r="AE599" s="12">
        <v>0.999</v>
      </c>
      <c r="AF599" s="12" t="s">
        <v>45</v>
      </c>
    </row>
    <row r="600" spans="1:32" x14ac:dyDescent="0.2">
      <c r="A600" s="12" t="s">
        <v>1065</v>
      </c>
      <c r="B600" s="12" t="s">
        <v>1065</v>
      </c>
      <c r="C600" s="12" t="s">
        <v>6844</v>
      </c>
      <c r="D600" s="12" t="s">
        <v>143</v>
      </c>
      <c r="E600" s="12" t="s">
        <v>8110</v>
      </c>
      <c r="F600" s="12" t="s">
        <v>5458</v>
      </c>
      <c r="G600" s="12" t="s">
        <v>5453</v>
      </c>
      <c r="H600" s="12" t="s">
        <v>6624</v>
      </c>
      <c r="I600" s="12">
        <v>4000</v>
      </c>
      <c r="J600" s="12" t="s">
        <v>1055</v>
      </c>
      <c r="K600" s="12" t="s">
        <v>6648</v>
      </c>
      <c r="L600" s="12" t="s">
        <v>1048</v>
      </c>
      <c r="M600" s="12" t="s">
        <v>1053</v>
      </c>
      <c r="N600" s="12" t="s">
        <v>24</v>
      </c>
      <c r="O600" s="12" t="s">
        <v>931</v>
      </c>
      <c r="P600" s="12" t="s">
        <v>932</v>
      </c>
      <c r="Q600" s="12" t="s">
        <v>6658</v>
      </c>
      <c r="R600" s="12">
        <v>38.1907</v>
      </c>
      <c r="S600" s="12">
        <v>62.034300000000002</v>
      </c>
      <c r="T600" s="12" t="s">
        <v>25</v>
      </c>
      <c r="U600" s="12" t="s">
        <v>1067</v>
      </c>
      <c r="V600" s="12" t="s">
        <v>6639</v>
      </c>
      <c r="W600" s="12" t="s">
        <v>6639</v>
      </c>
      <c r="X600" s="12">
        <v>7.1570000000000002E-3</v>
      </c>
      <c r="Y600" s="12">
        <v>8437</v>
      </c>
      <c r="Z600" s="12" t="s">
        <v>6639</v>
      </c>
      <c r="AA600" s="12" t="s">
        <v>6639</v>
      </c>
      <c r="AB600" s="12" t="s">
        <v>1066</v>
      </c>
      <c r="AC600" s="12" t="s">
        <v>21</v>
      </c>
      <c r="AD600" s="12">
        <v>6.5000000000000002E-2</v>
      </c>
      <c r="AE600" s="12">
        <v>0.98199999999999998</v>
      </c>
      <c r="AF600" s="12" t="s">
        <v>45</v>
      </c>
    </row>
    <row r="601" spans="1:32" x14ac:dyDescent="0.2">
      <c r="A601" s="12" t="s">
        <v>1060</v>
      </c>
      <c r="B601" s="12" t="s">
        <v>1060</v>
      </c>
      <c r="C601" s="12" t="s">
        <v>6842</v>
      </c>
      <c r="D601" s="12" t="s">
        <v>143</v>
      </c>
      <c r="E601" s="12" t="s">
        <v>8110</v>
      </c>
      <c r="F601" s="12" t="s">
        <v>5458</v>
      </c>
      <c r="G601" s="12" t="s">
        <v>5453</v>
      </c>
      <c r="H601" s="12" t="s">
        <v>6624</v>
      </c>
      <c r="I601" s="12">
        <v>4000</v>
      </c>
      <c r="J601" s="12" t="s">
        <v>1055</v>
      </c>
      <c r="K601" s="12" t="s">
        <v>6648</v>
      </c>
      <c r="L601" s="12" t="s">
        <v>1048</v>
      </c>
      <c r="M601" s="12" t="s">
        <v>1053</v>
      </c>
      <c r="N601" s="12" t="s">
        <v>24</v>
      </c>
      <c r="O601" s="12" t="s">
        <v>931</v>
      </c>
      <c r="P601" s="12" t="s">
        <v>932</v>
      </c>
      <c r="Q601" s="12" t="s">
        <v>6658</v>
      </c>
      <c r="R601" s="12">
        <v>38.1907</v>
      </c>
      <c r="S601" s="12">
        <v>62.034300000000002</v>
      </c>
      <c r="T601" s="12" t="s">
        <v>11</v>
      </c>
      <c r="U601" s="12" t="s">
        <v>1062</v>
      </c>
      <c r="V601" s="12" t="s">
        <v>383</v>
      </c>
      <c r="W601" s="12" t="s">
        <v>7415</v>
      </c>
      <c r="X601" s="12">
        <v>7.2420000000000002E-3</v>
      </c>
      <c r="Y601" s="12">
        <v>8667</v>
      </c>
      <c r="Z601" s="12" t="s">
        <v>8052</v>
      </c>
      <c r="AA601" s="12" t="s">
        <v>8052</v>
      </c>
      <c r="AB601" s="12" t="s">
        <v>1061</v>
      </c>
      <c r="AC601" s="12" t="s">
        <v>21</v>
      </c>
      <c r="AD601" s="12">
        <v>6.8000000000000005E-2</v>
      </c>
      <c r="AE601" s="12">
        <v>1</v>
      </c>
      <c r="AF601" s="12" t="s">
        <v>45</v>
      </c>
    </row>
    <row r="602" spans="1:32" x14ac:dyDescent="0.2">
      <c r="A602" s="12" t="s">
        <v>1074</v>
      </c>
      <c r="B602" s="12" t="s">
        <v>1074</v>
      </c>
      <c r="C602" s="12" t="s">
        <v>6848</v>
      </c>
      <c r="D602" s="12" t="s">
        <v>143</v>
      </c>
      <c r="E602" s="12" t="s">
        <v>8110</v>
      </c>
      <c r="F602" s="12" t="s">
        <v>5458</v>
      </c>
      <c r="G602" s="12" t="s">
        <v>5453</v>
      </c>
      <c r="H602" s="12" t="s">
        <v>6624</v>
      </c>
      <c r="I602" s="12">
        <v>4000</v>
      </c>
      <c r="J602" s="12" t="s">
        <v>1055</v>
      </c>
      <c r="K602" s="12" t="s">
        <v>6648</v>
      </c>
      <c r="L602" s="12" t="s">
        <v>1048</v>
      </c>
      <c r="M602" s="12" t="s">
        <v>1053</v>
      </c>
      <c r="N602" s="12" t="s">
        <v>24</v>
      </c>
      <c r="O602" s="12" t="s">
        <v>931</v>
      </c>
      <c r="P602" s="12" t="s">
        <v>932</v>
      </c>
      <c r="Q602" s="12" t="s">
        <v>6658</v>
      </c>
      <c r="R602" s="12">
        <v>38.1907</v>
      </c>
      <c r="S602" s="12">
        <v>62.034300000000002</v>
      </c>
      <c r="T602" s="12" t="s">
        <v>25</v>
      </c>
      <c r="U602" s="12" t="s">
        <v>589</v>
      </c>
      <c r="V602" s="12" t="s">
        <v>6639</v>
      </c>
      <c r="W602" s="12" t="s">
        <v>6639</v>
      </c>
      <c r="X602" s="12">
        <v>1.1946E-2</v>
      </c>
      <c r="Y602" s="12">
        <v>14014</v>
      </c>
      <c r="Z602" s="12" t="s">
        <v>8052</v>
      </c>
      <c r="AA602" s="12" t="s">
        <v>8052</v>
      </c>
      <c r="AB602" s="12" t="s">
        <v>1075</v>
      </c>
      <c r="AC602" s="12" t="s">
        <v>21</v>
      </c>
      <c r="AD602" s="12">
        <v>7.8E-2</v>
      </c>
      <c r="AE602" s="12">
        <v>0.997</v>
      </c>
      <c r="AF602" s="12" t="s">
        <v>45</v>
      </c>
    </row>
    <row r="603" spans="1:32" x14ac:dyDescent="0.2">
      <c r="A603" s="12" t="s">
        <v>955</v>
      </c>
      <c r="B603" s="12" t="s">
        <v>955</v>
      </c>
      <c r="C603" s="12" t="s">
        <v>6827</v>
      </c>
      <c r="D603" s="12" t="s">
        <v>143</v>
      </c>
      <c r="E603" s="12" t="s">
        <v>8110</v>
      </c>
      <c r="F603" s="12" t="s">
        <v>957</v>
      </c>
      <c r="G603" s="12" t="s">
        <v>5453</v>
      </c>
      <c r="H603" s="12" t="s">
        <v>6624</v>
      </c>
      <c r="I603" s="12">
        <v>3996</v>
      </c>
      <c r="J603" s="12" t="s">
        <v>957</v>
      </c>
      <c r="K603" s="12" t="s">
        <v>6648</v>
      </c>
      <c r="L603" s="12" t="s">
        <v>861</v>
      </c>
      <c r="M603" s="12" t="s">
        <v>928</v>
      </c>
      <c r="N603" s="12" t="s">
        <v>5785</v>
      </c>
      <c r="O603" s="12" t="s">
        <v>931</v>
      </c>
      <c r="P603" s="12" t="s">
        <v>932</v>
      </c>
      <c r="Q603" s="12" t="s">
        <v>6658</v>
      </c>
      <c r="R603" s="12">
        <v>38.1907</v>
      </c>
      <c r="S603" s="12">
        <v>62.034300000000002</v>
      </c>
      <c r="T603" s="12" t="s">
        <v>25</v>
      </c>
      <c r="U603" s="12" t="s">
        <v>17</v>
      </c>
      <c r="V603" s="12" t="s">
        <v>6639</v>
      </c>
      <c r="W603" s="12" t="s">
        <v>6639</v>
      </c>
      <c r="X603" s="12">
        <v>0.19549900000000001</v>
      </c>
      <c r="Y603" s="12">
        <v>198651</v>
      </c>
      <c r="Z603" s="12" t="s">
        <v>6639</v>
      </c>
      <c r="AA603" s="12" t="s">
        <v>6639</v>
      </c>
      <c r="AB603" s="12" t="s">
        <v>956</v>
      </c>
      <c r="AC603" s="12" t="s">
        <v>340</v>
      </c>
      <c r="AD603" s="12" t="s">
        <v>7858</v>
      </c>
      <c r="AE603" s="12" t="s">
        <v>7722</v>
      </c>
      <c r="AF603" s="12" t="s">
        <v>958</v>
      </c>
    </row>
    <row r="604" spans="1:32" x14ac:dyDescent="0.2">
      <c r="A604" s="12" t="s">
        <v>951</v>
      </c>
      <c r="B604" s="12" t="s">
        <v>951</v>
      </c>
      <c r="C604" s="12" t="s">
        <v>6840</v>
      </c>
      <c r="D604" s="12" t="s">
        <v>143</v>
      </c>
      <c r="E604" s="12" t="s">
        <v>8110</v>
      </c>
      <c r="F604" s="12" t="s">
        <v>953</v>
      </c>
      <c r="G604" s="12" t="s">
        <v>5453</v>
      </c>
      <c r="H604" s="12" t="s">
        <v>6624</v>
      </c>
      <c r="I604" s="12">
        <v>3989</v>
      </c>
      <c r="J604" s="12" t="s">
        <v>953</v>
      </c>
      <c r="K604" s="12" t="s">
        <v>6648</v>
      </c>
      <c r="L604" s="12" t="s">
        <v>861</v>
      </c>
      <c r="M604" s="12" t="s">
        <v>928</v>
      </c>
      <c r="N604" s="12" t="s">
        <v>5785</v>
      </c>
      <c r="O604" s="12" t="s">
        <v>931</v>
      </c>
      <c r="P604" s="12" t="s">
        <v>932</v>
      </c>
      <c r="Q604" s="12" t="s">
        <v>6658</v>
      </c>
      <c r="R604" s="12">
        <v>38.1907</v>
      </c>
      <c r="S604" s="12">
        <v>62.034300000000002</v>
      </c>
      <c r="T604" s="12" t="s">
        <v>11</v>
      </c>
      <c r="U604" s="12" t="s">
        <v>954</v>
      </c>
      <c r="V604" s="12" t="s">
        <v>854</v>
      </c>
      <c r="W604" s="12" t="s">
        <v>7415</v>
      </c>
      <c r="X604" s="12">
        <v>4.3698000000000001E-2</v>
      </c>
      <c r="Y604" s="12">
        <v>51113</v>
      </c>
      <c r="Z604" s="12" t="s">
        <v>8052</v>
      </c>
      <c r="AA604" s="12" t="s">
        <v>8052</v>
      </c>
      <c r="AB604" s="12" t="s">
        <v>952</v>
      </c>
      <c r="AC604" s="12" t="s">
        <v>21</v>
      </c>
      <c r="AD604" s="12">
        <v>6.8000000000000005E-2</v>
      </c>
      <c r="AE604" s="12">
        <v>0.996</v>
      </c>
      <c r="AF604" s="12" t="s">
        <v>45</v>
      </c>
    </row>
    <row r="605" spans="1:32" x14ac:dyDescent="0.2">
      <c r="A605" s="12" t="s">
        <v>947</v>
      </c>
      <c r="B605" s="12" t="s">
        <v>947</v>
      </c>
      <c r="C605" s="12" t="s">
        <v>6837</v>
      </c>
      <c r="D605" s="12" t="s">
        <v>143</v>
      </c>
      <c r="E605" s="12" t="s">
        <v>8110</v>
      </c>
      <c r="F605" s="12" t="s">
        <v>949</v>
      </c>
      <c r="G605" s="12" t="s">
        <v>5453</v>
      </c>
      <c r="H605" s="12" t="s">
        <v>6624</v>
      </c>
      <c r="I605" s="12">
        <v>3985</v>
      </c>
      <c r="J605" s="12" t="s">
        <v>949</v>
      </c>
      <c r="K605" s="12" t="s">
        <v>6648</v>
      </c>
      <c r="L605" s="12" t="s">
        <v>861</v>
      </c>
      <c r="M605" s="12" t="s">
        <v>928</v>
      </c>
      <c r="N605" s="12" t="s">
        <v>5785</v>
      </c>
      <c r="O605" s="12" t="s">
        <v>931</v>
      </c>
      <c r="P605" s="12" t="s">
        <v>932</v>
      </c>
      <c r="Q605" s="12" t="s">
        <v>6658</v>
      </c>
      <c r="R605" s="12">
        <v>38.1907</v>
      </c>
      <c r="S605" s="12">
        <v>62.034300000000002</v>
      </c>
      <c r="T605" s="12" t="s">
        <v>25</v>
      </c>
      <c r="U605" s="12" t="s">
        <v>17</v>
      </c>
      <c r="V605" s="12" t="s">
        <v>6639</v>
      </c>
      <c r="W605" s="12" t="s">
        <v>6639</v>
      </c>
      <c r="X605" s="12">
        <v>0.135771</v>
      </c>
      <c r="Y605" s="12">
        <v>144321</v>
      </c>
      <c r="Z605" s="12" t="s">
        <v>6639</v>
      </c>
      <c r="AA605" s="12" t="s">
        <v>6639</v>
      </c>
      <c r="AB605" s="12" t="s">
        <v>948</v>
      </c>
      <c r="AC605" s="12" t="s">
        <v>340</v>
      </c>
      <c r="AD605" s="12" t="s">
        <v>7850</v>
      </c>
      <c r="AE605" s="12" t="s">
        <v>7716</v>
      </c>
      <c r="AF605" s="12" t="s">
        <v>950</v>
      </c>
    </row>
    <row r="606" spans="1:32" x14ac:dyDescent="0.2">
      <c r="A606" s="12" t="s">
        <v>514</v>
      </c>
      <c r="B606" s="12" t="s">
        <v>514</v>
      </c>
      <c r="C606" s="12" t="s">
        <v>7441</v>
      </c>
      <c r="D606" s="12" t="s">
        <v>13</v>
      </c>
      <c r="E606" s="12" t="s">
        <v>8108</v>
      </c>
      <c r="F606" s="12" t="s">
        <v>515</v>
      </c>
      <c r="G606" s="12" t="s">
        <v>5453</v>
      </c>
      <c r="H606" s="12" t="s">
        <v>7640</v>
      </c>
      <c r="I606" s="12">
        <v>3971</v>
      </c>
      <c r="J606" s="12" t="s">
        <v>515</v>
      </c>
      <c r="K606" s="12" t="s">
        <v>6648</v>
      </c>
      <c r="L606" s="12" t="s">
        <v>7442</v>
      </c>
      <c r="M606" s="12" t="s">
        <v>7442</v>
      </c>
      <c r="N606" s="12" t="s">
        <v>5785</v>
      </c>
      <c r="O606" s="12" t="s">
        <v>7443</v>
      </c>
      <c r="P606" s="12" t="s">
        <v>511</v>
      </c>
      <c r="Q606" s="12" t="s">
        <v>6658</v>
      </c>
      <c r="R606" s="12">
        <v>41.431466999999998</v>
      </c>
      <c r="S606" s="12">
        <v>75.885480999999999</v>
      </c>
      <c r="T606" s="12" t="s">
        <v>11</v>
      </c>
      <c r="U606" s="12" t="s">
        <v>516</v>
      </c>
      <c r="V606" s="12" t="s">
        <v>500</v>
      </c>
      <c r="W606" s="12" t="s">
        <v>7415</v>
      </c>
      <c r="X606" s="12">
        <v>4.0671530000000002</v>
      </c>
      <c r="Y606" s="12">
        <v>779712</v>
      </c>
      <c r="Z606" s="12">
        <v>6.6499999999999997E-3</v>
      </c>
      <c r="AA606" s="12">
        <v>5.670461754654041</v>
      </c>
      <c r="AB606" s="12" t="s">
        <v>513</v>
      </c>
      <c r="AC606" s="12" t="s">
        <v>21</v>
      </c>
      <c r="AD606" s="12">
        <v>9.2999999999999999E-2</v>
      </c>
      <c r="AE606" s="12">
        <v>0.995</v>
      </c>
      <c r="AF606" s="12" t="s">
        <v>22</v>
      </c>
    </row>
    <row r="607" spans="1:32" x14ac:dyDescent="0.2">
      <c r="A607" s="12" t="s">
        <v>944</v>
      </c>
      <c r="B607" s="12" t="s">
        <v>944</v>
      </c>
      <c r="C607" s="12" t="s">
        <v>6832</v>
      </c>
      <c r="D607" s="12" t="s">
        <v>143</v>
      </c>
      <c r="E607" s="12" t="s">
        <v>8110</v>
      </c>
      <c r="F607" s="12" t="s">
        <v>946</v>
      </c>
      <c r="G607" s="12" t="s">
        <v>5453</v>
      </c>
      <c r="H607" s="12" t="s">
        <v>6624</v>
      </c>
      <c r="I607" s="12">
        <v>3966</v>
      </c>
      <c r="J607" s="12" t="s">
        <v>946</v>
      </c>
      <c r="K607" s="12" t="s">
        <v>6648</v>
      </c>
      <c r="L607" s="12" t="s">
        <v>861</v>
      </c>
      <c r="M607" s="12" t="s">
        <v>928</v>
      </c>
      <c r="N607" s="12" t="s">
        <v>5785</v>
      </c>
      <c r="O607" s="12" t="s">
        <v>931</v>
      </c>
      <c r="P607" s="12" t="s">
        <v>932</v>
      </c>
      <c r="Q607" s="12" t="s">
        <v>6658</v>
      </c>
      <c r="R607" s="12">
        <v>38.1907</v>
      </c>
      <c r="S607" s="12">
        <v>62.034300000000002</v>
      </c>
      <c r="T607" s="12" t="s">
        <v>25</v>
      </c>
      <c r="U607" s="12" t="s">
        <v>17</v>
      </c>
      <c r="V607" s="12" t="s">
        <v>6639</v>
      </c>
      <c r="W607" s="12" t="s">
        <v>6639</v>
      </c>
      <c r="X607" s="12">
        <v>0.30246899999999999</v>
      </c>
      <c r="Y607" s="12">
        <v>281189</v>
      </c>
      <c r="Z607" s="12" t="s">
        <v>6639</v>
      </c>
      <c r="AA607" s="12" t="s">
        <v>6639</v>
      </c>
      <c r="AB607" s="12" t="s">
        <v>945</v>
      </c>
      <c r="AC607" s="12" t="s">
        <v>340</v>
      </c>
      <c r="AD607" s="12" t="s">
        <v>7846</v>
      </c>
      <c r="AE607" s="12" t="s">
        <v>7736</v>
      </c>
      <c r="AF607" s="12" t="s">
        <v>45</v>
      </c>
    </row>
    <row r="608" spans="1:32" x14ac:dyDescent="0.2">
      <c r="A608" s="12" t="s">
        <v>941</v>
      </c>
      <c r="B608" s="12" t="s">
        <v>941</v>
      </c>
      <c r="C608" s="12" t="s">
        <v>6826</v>
      </c>
      <c r="D608" s="12" t="s">
        <v>143</v>
      </c>
      <c r="E608" s="12" t="s">
        <v>8110</v>
      </c>
      <c r="F608" s="12" t="s">
        <v>943</v>
      </c>
      <c r="G608" s="12" t="s">
        <v>5453</v>
      </c>
      <c r="H608" s="12" t="s">
        <v>6624</v>
      </c>
      <c r="I608" s="12">
        <v>3951</v>
      </c>
      <c r="J608" s="12" t="s">
        <v>943</v>
      </c>
      <c r="K608" s="12" t="s">
        <v>6648</v>
      </c>
      <c r="L608" s="12" t="s">
        <v>861</v>
      </c>
      <c r="M608" s="12" t="s">
        <v>928</v>
      </c>
      <c r="N608" s="12" t="s">
        <v>5785</v>
      </c>
      <c r="O608" s="12" t="s">
        <v>931</v>
      </c>
      <c r="P608" s="12" t="s">
        <v>932</v>
      </c>
      <c r="Q608" s="12" t="s">
        <v>6658</v>
      </c>
      <c r="R608" s="12">
        <v>38.1907</v>
      </c>
      <c r="S608" s="12">
        <v>62.034300000000002</v>
      </c>
      <c r="T608" s="12" t="s">
        <v>25</v>
      </c>
      <c r="U608" s="12" t="s">
        <v>17</v>
      </c>
      <c r="V608" s="12" t="s">
        <v>6639</v>
      </c>
      <c r="W608" s="12" t="s">
        <v>6639</v>
      </c>
      <c r="X608" s="12">
        <v>0.34808600000000001</v>
      </c>
      <c r="Y608" s="12">
        <v>317154</v>
      </c>
      <c r="Z608" s="12" t="s">
        <v>6639</v>
      </c>
      <c r="AA608" s="12" t="s">
        <v>6639</v>
      </c>
      <c r="AB608" s="12" t="s">
        <v>942</v>
      </c>
      <c r="AC608" s="12" t="s">
        <v>340</v>
      </c>
      <c r="AD608" s="12" t="s">
        <v>7860</v>
      </c>
      <c r="AE608" s="12" t="s">
        <v>7742</v>
      </c>
      <c r="AF608" s="12" t="s">
        <v>45</v>
      </c>
    </row>
    <row r="609" spans="1:32" x14ac:dyDescent="0.2">
      <c r="A609" s="12" t="s">
        <v>5449</v>
      </c>
      <c r="B609" s="12" t="s">
        <v>5449</v>
      </c>
      <c r="C609" s="12" t="s">
        <v>6809</v>
      </c>
      <c r="D609" s="12" t="s">
        <v>13</v>
      </c>
      <c r="E609" s="12" t="s">
        <v>8110</v>
      </c>
      <c r="F609" s="12" t="s">
        <v>5458</v>
      </c>
      <c r="G609" s="12" t="s">
        <v>5453</v>
      </c>
      <c r="H609" s="12" t="s">
        <v>6623</v>
      </c>
      <c r="I609" s="12">
        <v>3950</v>
      </c>
      <c r="J609" s="12" t="s">
        <v>4160</v>
      </c>
      <c r="K609" s="12" t="s">
        <v>6648</v>
      </c>
      <c r="L609" s="12" t="s">
        <v>5450</v>
      </c>
      <c r="M609" s="12" t="s">
        <v>5450</v>
      </c>
      <c r="N609" s="12" t="s">
        <v>5785</v>
      </c>
      <c r="O609" s="12" t="s">
        <v>5452</v>
      </c>
      <c r="P609" s="12" t="s">
        <v>865</v>
      </c>
      <c r="Q609" s="12" t="s">
        <v>6658</v>
      </c>
      <c r="R609" s="12">
        <v>39.616999999999997</v>
      </c>
      <c r="S609" s="12">
        <v>63.734999999999999</v>
      </c>
      <c r="T609" s="12" t="s">
        <v>1126</v>
      </c>
      <c r="U609" s="12" t="s">
        <v>17</v>
      </c>
      <c r="V609" s="12" t="s">
        <v>7414</v>
      </c>
      <c r="W609" s="12" t="s">
        <v>7414</v>
      </c>
      <c r="X609" s="12">
        <v>1.3813000000000001E-2</v>
      </c>
      <c r="Y609" s="12">
        <v>16145</v>
      </c>
      <c r="Z609" s="12" t="s">
        <v>6638</v>
      </c>
      <c r="AA609" s="12" t="s">
        <v>6638</v>
      </c>
      <c r="AB609" s="12" t="s">
        <v>5451</v>
      </c>
      <c r="AC609" s="12" t="s">
        <v>21</v>
      </c>
      <c r="AD609" s="12">
        <v>2.3E-2</v>
      </c>
      <c r="AE609" s="12" t="s">
        <v>7796</v>
      </c>
      <c r="AF609" s="12" t="s">
        <v>8100</v>
      </c>
    </row>
    <row r="610" spans="1:32" x14ac:dyDescent="0.2">
      <c r="A610" s="12" t="s">
        <v>938</v>
      </c>
      <c r="B610" s="12" t="s">
        <v>938</v>
      </c>
      <c r="C610" s="12" t="s">
        <v>7028</v>
      </c>
      <c r="D610" s="12" t="s">
        <v>13</v>
      </c>
      <c r="E610" s="12" t="s">
        <v>8110</v>
      </c>
      <c r="F610" s="12" t="s">
        <v>940</v>
      </c>
      <c r="G610" s="12" t="s">
        <v>5453</v>
      </c>
      <c r="H610" s="12" t="s">
        <v>6616</v>
      </c>
      <c r="I610" s="12">
        <v>3923</v>
      </c>
      <c r="J610" s="12" t="s">
        <v>940</v>
      </c>
      <c r="K610" s="12" t="s">
        <v>6648</v>
      </c>
      <c r="L610" s="12" t="s">
        <v>861</v>
      </c>
      <c r="M610" s="12" t="s">
        <v>889</v>
      </c>
      <c r="N610" s="12" t="s">
        <v>5785</v>
      </c>
      <c r="O610" s="12" t="s">
        <v>892</v>
      </c>
      <c r="P610" s="12" t="s">
        <v>865</v>
      </c>
      <c r="Q610" s="12" t="s">
        <v>6658</v>
      </c>
      <c r="R610" s="12">
        <v>37.416666669999998</v>
      </c>
      <c r="S610" s="12">
        <v>66.833333330000002</v>
      </c>
      <c r="T610" s="12" t="s">
        <v>25</v>
      </c>
      <c r="U610" s="12" t="s">
        <v>531</v>
      </c>
      <c r="V610" s="12" t="s">
        <v>6639</v>
      </c>
      <c r="W610" s="12" t="s">
        <v>6639</v>
      </c>
      <c r="X610" s="12">
        <v>3.529709</v>
      </c>
      <c r="Y610" s="12">
        <v>917143</v>
      </c>
      <c r="Z610" s="12" t="s">
        <v>6639</v>
      </c>
      <c r="AA610" s="12" t="s">
        <v>6639</v>
      </c>
      <c r="AB610" s="12" t="s">
        <v>939</v>
      </c>
      <c r="AC610" s="12" t="s">
        <v>21</v>
      </c>
      <c r="AD610" s="12">
        <v>9.1999999999999998E-2</v>
      </c>
      <c r="AE610" s="12">
        <v>0.98799999999999999</v>
      </c>
      <c r="AF610" s="12" t="s">
        <v>45</v>
      </c>
    </row>
    <row r="611" spans="1:32" x14ac:dyDescent="0.2">
      <c r="A611" s="12" t="s">
        <v>1033</v>
      </c>
      <c r="B611" s="12" t="s">
        <v>1033</v>
      </c>
      <c r="C611" s="12" t="s">
        <v>7019</v>
      </c>
      <c r="D611" s="12" t="s">
        <v>13</v>
      </c>
      <c r="E611" s="12" t="s">
        <v>8110</v>
      </c>
      <c r="F611" s="12" t="s">
        <v>5458</v>
      </c>
      <c r="G611" s="12" t="s">
        <v>5453</v>
      </c>
      <c r="H611" s="12" t="s">
        <v>7641</v>
      </c>
      <c r="I611" s="12">
        <v>3900</v>
      </c>
      <c r="J611" s="12" t="s">
        <v>1035</v>
      </c>
      <c r="K611" s="12" t="s">
        <v>6648</v>
      </c>
      <c r="L611" s="12" t="s">
        <v>861</v>
      </c>
      <c r="M611" s="12" t="s">
        <v>860</v>
      </c>
      <c r="N611" s="12" t="s">
        <v>5785</v>
      </c>
      <c r="O611" s="12" t="s">
        <v>864</v>
      </c>
      <c r="P611" s="12" t="s">
        <v>865</v>
      </c>
      <c r="Q611" s="12" t="s">
        <v>6658</v>
      </c>
      <c r="R611" s="12">
        <v>37.75</v>
      </c>
      <c r="S611" s="12">
        <v>67</v>
      </c>
      <c r="T611" s="12" t="s">
        <v>25</v>
      </c>
      <c r="U611" s="12" t="s">
        <v>887</v>
      </c>
      <c r="V611" s="12" t="s">
        <v>6639</v>
      </c>
      <c r="W611" s="12" t="s">
        <v>6639</v>
      </c>
      <c r="X611" s="12">
        <v>1.6080000000000001</v>
      </c>
      <c r="Y611" s="12">
        <v>712798</v>
      </c>
      <c r="Z611" s="12" t="s">
        <v>6639</v>
      </c>
      <c r="AA611" s="12" t="s">
        <v>6639</v>
      </c>
      <c r="AB611" s="12" t="s">
        <v>1034</v>
      </c>
      <c r="AC611" s="12" t="s">
        <v>21</v>
      </c>
      <c r="AD611" s="12">
        <v>0.114</v>
      </c>
      <c r="AE611" s="12">
        <v>0.99099999999999999</v>
      </c>
      <c r="AF611" s="12" t="s">
        <v>45</v>
      </c>
    </row>
    <row r="612" spans="1:32" x14ac:dyDescent="0.2">
      <c r="A612" s="12" t="s">
        <v>1118</v>
      </c>
      <c r="B612" s="12" t="s">
        <v>1118</v>
      </c>
      <c r="C612" s="12" t="s">
        <v>7021</v>
      </c>
      <c r="D612" s="12" t="s">
        <v>13</v>
      </c>
      <c r="E612" s="12" t="s">
        <v>8110</v>
      </c>
      <c r="F612" s="12" t="s">
        <v>5458</v>
      </c>
      <c r="G612" s="12" t="s">
        <v>5453</v>
      </c>
      <c r="H612" s="12" t="s">
        <v>7641</v>
      </c>
      <c r="I612" s="12">
        <v>3900</v>
      </c>
      <c r="J612" s="12" t="s">
        <v>1035</v>
      </c>
      <c r="K612" s="12" t="s">
        <v>6648</v>
      </c>
      <c r="L612" s="12" t="s">
        <v>1107</v>
      </c>
      <c r="M612" s="12" t="s">
        <v>1119</v>
      </c>
      <c r="N612" s="12" t="s">
        <v>5785</v>
      </c>
      <c r="O612" s="12" t="s">
        <v>864</v>
      </c>
      <c r="P612" s="12" t="s">
        <v>865</v>
      </c>
      <c r="Q612" s="12" t="s">
        <v>6658</v>
      </c>
      <c r="R612" s="12">
        <v>37.75</v>
      </c>
      <c r="S612" s="12">
        <v>67</v>
      </c>
      <c r="T612" s="12" t="s">
        <v>25</v>
      </c>
      <c r="U612" s="12" t="s">
        <v>1121</v>
      </c>
      <c r="V612" s="12" t="s">
        <v>6639</v>
      </c>
      <c r="W612" s="12" t="s">
        <v>6639</v>
      </c>
      <c r="X612" s="12">
        <v>3.5470000000000002</v>
      </c>
      <c r="Y612" s="12">
        <v>777383</v>
      </c>
      <c r="Z612" s="12" t="s">
        <v>6639</v>
      </c>
      <c r="AA612" s="12" t="s">
        <v>6639</v>
      </c>
      <c r="AB612" s="12" t="s">
        <v>1120</v>
      </c>
      <c r="AC612" s="12" t="s">
        <v>21</v>
      </c>
      <c r="AD612" s="12">
        <v>6.0999999999999999E-2</v>
      </c>
      <c r="AE612" s="12">
        <v>0.997</v>
      </c>
      <c r="AF612" s="12" t="s">
        <v>45</v>
      </c>
    </row>
    <row r="613" spans="1:32" x14ac:dyDescent="0.2">
      <c r="A613" s="12" t="s">
        <v>1122</v>
      </c>
      <c r="B613" s="12" t="s">
        <v>1122</v>
      </c>
      <c r="C613" s="12" t="s">
        <v>7022</v>
      </c>
      <c r="D613" s="12" t="s">
        <v>13</v>
      </c>
      <c r="E613" s="12" t="s">
        <v>8110</v>
      </c>
      <c r="F613" s="12" t="s">
        <v>5458</v>
      </c>
      <c r="G613" s="12" t="s">
        <v>5453</v>
      </c>
      <c r="H613" s="12" t="s">
        <v>7641</v>
      </c>
      <c r="I613" s="12">
        <v>3900</v>
      </c>
      <c r="J613" s="12" t="s">
        <v>1035</v>
      </c>
      <c r="K613" s="12" t="s">
        <v>6648</v>
      </c>
      <c r="L613" s="12" t="s">
        <v>1107</v>
      </c>
      <c r="M613" s="12" t="s">
        <v>1119</v>
      </c>
      <c r="N613" s="12" t="s">
        <v>5785</v>
      </c>
      <c r="O613" s="12" t="s">
        <v>864</v>
      </c>
      <c r="P613" s="12" t="s">
        <v>865</v>
      </c>
      <c r="Q613" s="12" t="s">
        <v>6658</v>
      </c>
      <c r="R613" s="12">
        <v>37.75</v>
      </c>
      <c r="S613" s="12">
        <v>67</v>
      </c>
      <c r="T613" s="12" t="s">
        <v>25</v>
      </c>
      <c r="U613" s="12" t="s">
        <v>1124</v>
      </c>
      <c r="V613" s="12" t="s">
        <v>6639</v>
      </c>
      <c r="W613" s="12" t="s">
        <v>6639</v>
      </c>
      <c r="X613" s="12">
        <v>4.2930000000000001</v>
      </c>
      <c r="Y613" s="12">
        <v>921250</v>
      </c>
      <c r="Z613" s="12" t="s">
        <v>6639</v>
      </c>
      <c r="AA613" s="12" t="s">
        <v>6639</v>
      </c>
      <c r="AB613" s="12" t="s">
        <v>1123</v>
      </c>
      <c r="AC613" s="12" t="s">
        <v>21</v>
      </c>
      <c r="AD613" s="12" t="s">
        <v>17</v>
      </c>
      <c r="AE613" s="12">
        <v>0.999</v>
      </c>
      <c r="AF613" s="12" t="s">
        <v>45</v>
      </c>
    </row>
    <row r="614" spans="1:32" x14ac:dyDescent="0.2">
      <c r="A614" s="12" t="s">
        <v>934</v>
      </c>
      <c r="B614" s="12" t="s">
        <v>934</v>
      </c>
      <c r="C614" s="12" t="s">
        <v>6852</v>
      </c>
      <c r="D614" s="12" t="s">
        <v>100</v>
      </c>
      <c r="E614" s="12" t="s">
        <v>8110</v>
      </c>
      <c r="F614" s="12" t="s">
        <v>936</v>
      </c>
      <c r="G614" s="12" t="s">
        <v>5453</v>
      </c>
      <c r="H614" s="12" t="s">
        <v>6624</v>
      </c>
      <c r="I614" s="12">
        <v>3899</v>
      </c>
      <c r="J614" s="12" t="s">
        <v>936</v>
      </c>
      <c r="K614" s="12" t="s">
        <v>6648</v>
      </c>
      <c r="L614" s="12" t="s">
        <v>861</v>
      </c>
      <c r="M614" s="12" t="s">
        <v>928</v>
      </c>
      <c r="N614" s="12" t="s">
        <v>5785</v>
      </c>
      <c r="O614" s="12" t="s">
        <v>931</v>
      </c>
      <c r="P614" s="12" t="s">
        <v>932</v>
      </c>
      <c r="Q614" s="12" t="s">
        <v>6658</v>
      </c>
      <c r="R614" s="12">
        <v>38.1907</v>
      </c>
      <c r="S614" s="12">
        <v>62.034300000000002</v>
      </c>
      <c r="T614" s="12" t="s">
        <v>11</v>
      </c>
      <c r="U614" s="12" t="s">
        <v>17</v>
      </c>
      <c r="V614" s="12" t="s">
        <v>937</v>
      </c>
      <c r="W614" s="12" t="s">
        <v>7160</v>
      </c>
      <c r="X614" s="12">
        <v>0.130472</v>
      </c>
      <c r="Y614" s="12">
        <v>141334</v>
      </c>
      <c r="Z614" s="12" t="s">
        <v>8052</v>
      </c>
      <c r="AA614" s="12" t="s">
        <v>8052</v>
      </c>
      <c r="AB614" s="12" t="s">
        <v>935</v>
      </c>
      <c r="AC614" s="12" t="s">
        <v>340</v>
      </c>
      <c r="AD614" s="12" t="s">
        <v>7849</v>
      </c>
      <c r="AE614" s="12" t="s">
        <v>7713</v>
      </c>
      <c r="AF614" s="12" t="s">
        <v>45</v>
      </c>
    </row>
    <row r="615" spans="1:32" x14ac:dyDescent="0.2">
      <c r="A615" s="12" t="s">
        <v>1137</v>
      </c>
      <c r="B615" s="12" t="s">
        <v>1137</v>
      </c>
      <c r="C615" s="12" t="s">
        <v>7035</v>
      </c>
      <c r="D615" s="12" t="s">
        <v>13</v>
      </c>
      <c r="E615" s="12" t="s">
        <v>8110</v>
      </c>
      <c r="F615" s="12" t="s">
        <v>1139</v>
      </c>
      <c r="G615" s="12" t="s">
        <v>5453</v>
      </c>
      <c r="H615" s="12" t="s">
        <v>6616</v>
      </c>
      <c r="I615" s="12">
        <v>3897</v>
      </c>
      <c r="J615" s="12" t="s">
        <v>1139</v>
      </c>
      <c r="K615" s="12" t="s">
        <v>6648</v>
      </c>
      <c r="L615" s="12" t="s">
        <v>1133</v>
      </c>
      <c r="M615" s="12" t="s">
        <v>1132</v>
      </c>
      <c r="N615" s="12" t="s">
        <v>5785</v>
      </c>
      <c r="O615" s="12" t="s">
        <v>892</v>
      </c>
      <c r="P615" s="12" t="s">
        <v>865</v>
      </c>
      <c r="Q615" s="12" t="s">
        <v>6658</v>
      </c>
      <c r="R615" s="12">
        <v>37.416666669999998</v>
      </c>
      <c r="S615" s="12">
        <v>66.833333330000002</v>
      </c>
      <c r="T615" s="12" t="s">
        <v>11</v>
      </c>
      <c r="U615" s="12" t="s">
        <v>1140</v>
      </c>
      <c r="V615" s="12" t="s">
        <v>628</v>
      </c>
      <c r="W615" s="12" t="s">
        <v>7415</v>
      </c>
      <c r="X615" s="12">
        <v>1.3036080000000001</v>
      </c>
      <c r="Y615" s="12">
        <v>740205</v>
      </c>
      <c r="Z615" s="12">
        <v>8.5190000000000005E-3</v>
      </c>
      <c r="AA615" s="12">
        <v>3.1740105946901362</v>
      </c>
      <c r="AB615" s="12" t="s">
        <v>1138</v>
      </c>
      <c r="AC615" s="12" t="s">
        <v>21</v>
      </c>
      <c r="AD615" s="12">
        <v>0.155</v>
      </c>
      <c r="AE615" s="12">
        <v>0.99099999999999999</v>
      </c>
      <c r="AF615" s="12" t="s">
        <v>111</v>
      </c>
    </row>
    <row r="616" spans="1:32" x14ac:dyDescent="0.2">
      <c r="A616" s="12" t="s">
        <v>1099</v>
      </c>
      <c r="B616" s="12" t="s">
        <v>1099</v>
      </c>
      <c r="C616" s="12" t="s">
        <v>7631</v>
      </c>
      <c r="D616" s="12" t="s">
        <v>143</v>
      </c>
      <c r="E616" s="12" t="s">
        <v>8108</v>
      </c>
      <c r="F616" s="12" t="s">
        <v>5458</v>
      </c>
      <c r="G616" s="12" t="s">
        <v>5453</v>
      </c>
      <c r="H616" s="12" t="s">
        <v>6624</v>
      </c>
      <c r="I616" s="12">
        <v>3850</v>
      </c>
      <c r="J616" s="12" t="s">
        <v>1100</v>
      </c>
      <c r="K616" s="12" t="s">
        <v>6648</v>
      </c>
      <c r="L616" s="12" t="s">
        <v>1048</v>
      </c>
      <c r="M616" s="12" t="s">
        <v>1053</v>
      </c>
      <c r="N616" s="12" t="s">
        <v>24</v>
      </c>
      <c r="O616" s="12" t="s">
        <v>931</v>
      </c>
      <c r="P616" s="12" t="s">
        <v>932</v>
      </c>
      <c r="Q616" s="12" t="s">
        <v>6658</v>
      </c>
      <c r="R616" s="12">
        <v>38.1907</v>
      </c>
      <c r="S616" s="12">
        <v>62.034300000000002</v>
      </c>
      <c r="T616" s="12" t="s">
        <v>25</v>
      </c>
      <c r="U616" s="12" t="s">
        <v>1029</v>
      </c>
      <c r="V616" s="12" t="s">
        <v>6639</v>
      </c>
      <c r="W616" s="12" t="s">
        <v>6639</v>
      </c>
      <c r="X616" s="12">
        <v>2.689E-3</v>
      </c>
      <c r="Y616" s="12">
        <v>3175</v>
      </c>
      <c r="Z616" s="12" t="s">
        <v>6639</v>
      </c>
      <c r="AA616" s="12" t="s">
        <v>6639</v>
      </c>
      <c r="AB616" s="12" t="s">
        <v>1098</v>
      </c>
      <c r="AC616" s="12" t="s">
        <v>21</v>
      </c>
      <c r="AD616" s="12">
        <v>0.16700000000000001</v>
      </c>
      <c r="AE616" s="12">
        <v>0.97099999999999997</v>
      </c>
      <c r="AF616" s="12" t="s">
        <v>3026</v>
      </c>
    </row>
    <row r="617" spans="1:32" x14ac:dyDescent="0.2">
      <c r="A617" s="12" t="s">
        <v>1090</v>
      </c>
      <c r="B617" s="12" t="s">
        <v>1090</v>
      </c>
      <c r="C617" s="12" t="s">
        <v>7629</v>
      </c>
      <c r="D617" s="12" t="s">
        <v>143</v>
      </c>
      <c r="E617" s="12" t="s">
        <v>8110</v>
      </c>
      <c r="F617" s="12" t="s">
        <v>5458</v>
      </c>
      <c r="G617" s="12" t="s">
        <v>5453</v>
      </c>
      <c r="H617" s="12" t="s">
        <v>6624</v>
      </c>
      <c r="I617" s="12">
        <v>3850</v>
      </c>
      <c r="J617" s="12" t="s">
        <v>1100</v>
      </c>
      <c r="K617" s="12" t="s">
        <v>6648</v>
      </c>
      <c r="L617" s="12" t="s">
        <v>1048</v>
      </c>
      <c r="M617" s="12" t="s">
        <v>1053</v>
      </c>
      <c r="N617" s="12" t="s">
        <v>24</v>
      </c>
      <c r="O617" s="12" t="s">
        <v>931</v>
      </c>
      <c r="P617" s="12" t="s">
        <v>932</v>
      </c>
      <c r="Q617" s="12" t="s">
        <v>6658</v>
      </c>
      <c r="R617" s="12">
        <v>38.1907</v>
      </c>
      <c r="S617" s="12">
        <v>62.034300000000002</v>
      </c>
      <c r="T617" s="12" t="s">
        <v>11</v>
      </c>
      <c r="U617" s="12" t="s">
        <v>1089</v>
      </c>
      <c r="V617" s="12" t="s">
        <v>854</v>
      </c>
      <c r="W617" s="12" t="s">
        <v>7415</v>
      </c>
      <c r="X617" s="12">
        <v>6.3619999999999996E-3</v>
      </c>
      <c r="Y617" s="12">
        <v>7636</v>
      </c>
      <c r="Z617" s="12" t="s">
        <v>8052</v>
      </c>
      <c r="AA617" s="12" t="s">
        <v>8052</v>
      </c>
      <c r="AB617" s="12" t="s">
        <v>1091</v>
      </c>
      <c r="AC617" s="12" t="s">
        <v>21</v>
      </c>
      <c r="AD617" s="12">
        <v>6.4000000000000001E-2</v>
      </c>
      <c r="AE617" s="12">
        <v>1</v>
      </c>
      <c r="AF617" s="12" t="s">
        <v>45</v>
      </c>
    </row>
    <row r="618" spans="1:32" x14ac:dyDescent="0.2">
      <c r="A618" s="12" t="s">
        <v>1086</v>
      </c>
      <c r="B618" s="12" t="s">
        <v>1086</v>
      </c>
      <c r="C618" s="12" t="s">
        <v>1087</v>
      </c>
      <c r="D618" s="12" t="s">
        <v>143</v>
      </c>
      <c r="E618" s="12" t="s">
        <v>8110</v>
      </c>
      <c r="F618" s="12" t="s">
        <v>5458</v>
      </c>
      <c r="G618" s="12" t="s">
        <v>5453</v>
      </c>
      <c r="H618" s="12" t="s">
        <v>6624</v>
      </c>
      <c r="I618" s="12">
        <v>3850</v>
      </c>
      <c r="J618" s="12" t="s">
        <v>1100</v>
      </c>
      <c r="K618" s="12" t="s">
        <v>6648</v>
      </c>
      <c r="L618" s="12" t="s">
        <v>1048</v>
      </c>
      <c r="M618" s="12" t="s">
        <v>1053</v>
      </c>
      <c r="N618" s="12" t="s">
        <v>24</v>
      </c>
      <c r="O618" s="12" t="s">
        <v>931</v>
      </c>
      <c r="P618" s="12" t="s">
        <v>932</v>
      </c>
      <c r="Q618" s="12" t="s">
        <v>6658</v>
      </c>
      <c r="R618" s="12">
        <v>38.1907</v>
      </c>
      <c r="S618" s="12">
        <v>62.034300000000002</v>
      </c>
      <c r="T618" s="12" t="s">
        <v>25</v>
      </c>
      <c r="U618" s="12" t="s">
        <v>1089</v>
      </c>
      <c r="V618" s="12" t="s">
        <v>6639</v>
      </c>
      <c r="W618" s="12" t="s">
        <v>6639</v>
      </c>
      <c r="X618" s="12">
        <v>1.2585000000000001E-2</v>
      </c>
      <c r="Y618" s="12">
        <v>14673</v>
      </c>
      <c r="Z618" s="12" t="s">
        <v>6639</v>
      </c>
      <c r="AA618" s="12" t="s">
        <v>6639</v>
      </c>
      <c r="AB618" s="12" t="s">
        <v>1088</v>
      </c>
      <c r="AC618" s="12" t="s">
        <v>21</v>
      </c>
      <c r="AD618" s="12">
        <v>9.1999999999999998E-2</v>
      </c>
      <c r="AE618" s="12">
        <v>0.999</v>
      </c>
      <c r="AF618" s="12" t="s">
        <v>45</v>
      </c>
    </row>
    <row r="619" spans="1:32" x14ac:dyDescent="0.2">
      <c r="A619" s="12" t="s">
        <v>927</v>
      </c>
      <c r="B619" s="12" t="s">
        <v>927</v>
      </c>
      <c r="C619" s="12" t="s">
        <v>6828</v>
      </c>
      <c r="D619" s="12" t="s">
        <v>143</v>
      </c>
      <c r="E619" s="12" t="s">
        <v>8110</v>
      </c>
      <c r="F619" s="12" t="s">
        <v>930</v>
      </c>
      <c r="G619" s="12" t="s">
        <v>5453</v>
      </c>
      <c r="H619" s="12" t="s">
        <v>6624</v>
      </c>
      <c r="I619" s="12">
        <v>3841</v>
      </c>
      <c r="J619" s="12" t="s">
        <v>930</v>
      </c>
      <c r="K619" s="12" t="s">
        <v>6648</v>
      </c>
      <c r="L619" s="12" t="s">
        <v>861</v>
      </c>
      <c r="M619" s="12" t="s">
        <v>928</v>
      </c>
      <c r="N619" s="12" t="s">
        <v>5785</v>
      </c>
      <c r="O619" s="12" t="s">
        <v>931</v>
      </c>
      <c r="P619" s="12" t="s">
        <v>932</v>
      </c>
      <c r="Q619" s="12" t="s">
        <v>6658</v>
      </c>
      <c r="R619" s="16">
        <v>38.1907</v>
      </c>
      <c r="S619" s="16">
        <v>62.034300000000002</v>
      </c>
      <c r="T619" s="12" t="s">
        <v>11</v>
      </c>
      <c r="U619" s="12" t="s">
        <v>17</v>
      </c>
      <c r="V619" s="12" t="s">
        <v>933</v>
      </c>
      <c r="W619" s="12" t="s">
        <v>7415</v>
      </c>
      <c r="X619" s="12">
        <v>0.34513899999999997</v>
      </c>
      <c r="Y619" s="12">
        <v>312044</v>
      </c>
      <c r="Z619" s="12">
        <v>8.9510000000000006E-3</v>
      </c>
      <c r="AA619" s="12">
        <v>1.1619784451765174</v>
      </c>
      <c r="AB619" s="12" t="s">
        <v>929</v>
      </c>
      <c r="AC619" s="12" t="s">
        <v>340</v>
      </c>
      <c r="AD619" s="12" t="s">
        <v>7876</v>
      </c>
      <c r="AE619" s="12" t="s">
        <v>7740</v>
      </c>
      <c r="AF619" s="12" t="s">
        <v>45</v>
      </c>
    </row>
    <row r="620" spans="1:32" x14ac:dyDescent="0.2">
      <c r="A620" s="12" t="s">
        <v>924</v>
      </c>
      <c r="B620" s="12" t="s">
        <v>924</v>
      </c>
      <c r="C620" s="12" t="s">
        <v>7033</v>
      </c>
      <c r="D620" s="12" t="s">
        <v>13</v>
      </c>
      <c r="E620" s="12" t="s">
        <v>8110</v>
      </c>
      <c r="F620" s="12" t="s">
        <v>926</v>
      </c>
      <c r="G620" s="12" t="s">
        <v>5453</v>
      </c>
      <c r="H620" s="12" t="s">
        <v>6616</v>
      </c>
      <c r="I620" s="12">
        <v>3827</v>
      </c>
      <c r="J620" s="12" t="s">
        <v>926</v>
      </c>
      <c r="K620" s="12" t="s">
        <v>6648</v>
      </c>
      <c r="L620" s="12" t="s">
        <v>861</v>
      </c>
      <c r="M620" s="12" t="s">
        <v>889</v>
      </c>
      <c r="N620" s="12" t="s">
        <v>5785</v>
      </c>
      <c r="O620" s="12" t="s">
        <v>892</v>
      </c>
      <c r="P620" s="12" t="s">
        <v>865</v>
      </c>
      <c r="Q620" s="12" t="s">
        <v>6658</v>
      </c>
      <c r="R620" s="12">
        <v>37.416666669999998</v>
      </c>
      <c r="S620" s="12">
        <v>66.833333330000002</v>
      </c>
      <c r="T620" s="12" t="s">
        <v>11</v>
      </c>
      <c r="U620" s="12" t="s">
        <v>583</v>
      </c>
      <c r="V620" s="12" t="s">
        <v>904</v>
      </c>
      <c r="W620" s="12" t="s">
        <v>7415</v>
      </c>
      <c r="X620" s="12">
        <v>2.9042309999999998</v>
      </c>
      <c r="Y620" s="12">
        <v>913041</v>
      </c>
      <c r="Z620" s="12">
        <v>3.9940000000000002E-3</v>
      </c>
      <c r="AA620" s="12">
        <v>3.820192693044552</v>
      </c>
      <c r="AB620" s="12" t="s">
        <v>925</v>
      </c>
      <c r="AC620" s="12" t="s">
        <v>21</v>
      </c>
      <c r="AD620" s="12">
        <v>0.11899999999999999</v>
      </c>
      <c r="AE620" s="12">
        <v>0.99</v>
      </c>
      <c r="AF620" s="12" t="s">
        <v>59</v>
      </c>
    </row>
    <row r="621" spans="1:32" x14ac:dyDescent="0.2">
      <c r="A621" s="12" t="s">
        <v>1131</v>
      </c>
      <c r="B621" s="12" t="s">
        <v>1131</v>
      </c>
      <c r="C621" s="12" t="s">
        <v>7036</v>
      </c>
      <c r="D621" s="12" t="s">
        <v>13</v>
      </c>
      <c r="E621" s="12" t="s">
        <v>8110</v>
      </c>
      <c r="F621" s="12" t="s">
        <v>1135</v>
      </c>
      <c r="G621" s="12" t="s">
        <v>5453</v>
      </c>
      <c r="H621" s="12" t="s">
        <v>6616</v>
      </c>
      <c r="I621" s="12">
        <v>3827</v>
      </c>
      <c r="J621" s="12" t="s">
        <v>1135</v>
      </c>
      <c r="K621" s="12" t="s">
        <v>6648</v>
      </c>
      <c r="L621" s="12" t="s">
        <v>1133</v>
      </c>
      <c r="M621" s="12" t="s">
        <v>1132</v>
      </c>
      <c r="N621" s="12" t="s">
        <v>5785</v>
      </c>
      <c r="O621" s="12" t="s">
        <v>892</v>
      </c>
      <c r="P621" s="12" t="s">
        <v>865</v>
      </c>
      <c r="Q621" s="12" t="s">
        <v>6658</v>
      </c>
      <c r="R621" s="12">
        <v>37.416666669999998</v>
      </c>
      <c r="S621" s="12">
        <v>66.833333330000002</v>
      </c>
      <c r="T621" s="12" t="s">
        <v>25</v>
      </c>
      <c r="U621" s="12" t="s">
        <v>1136</v>
      </c>
      <c r="V621" s="12" t="s">
        <v>6639</v>
      </c>
      <c r="W621" s="12" t="s">
        <v>6639</v>
      </c>
      <c r="X621" s="12">
        <v>1.9778549999999999</v>
      </c>
      <c r="Y621" s="12">
        <v>813406</v>
      </c>
      <c r="Z621" s="12" t="s">
        <v>6639</v>
      </c>
      <c r="AA621" s="12" t="s">
        <v>6639</v>
      </c>
      <c r="AB621" s="12" t="s">
        <v>1134</v>
      </c>
      <c r="AC621" s="12" t="s">
        <v>21</v>
      </c>
      <c r="AD621" s="12">
        <v>0.16400000000000001</v>
      </c>
      <c r="AE621" s="12">
        <v>0.98099999999999998</v>
      </c>
      <c r="AF621" s="12" t="s">
        <v>45</v>
      </c>
    </row>
    <row r="622" spans="1:32" x14ac:dyDescent="0.2">
      <c r="A622" s="12" t="s">
        <v>921</v>
      </c>
      <c r="B622" s="12" t="s">
        <v>921</v>
      </c>
      <c r="C622" s="12" t="s">
        <v>7029</v>
      </c>
      <c r="D622" s="12" t="s">
        <v>13</v>
      </c>
      <c r="E622" s="12" t="s">
        <v>8110</v>
      </c>
      <c r="F622" s="12" t="s">
        <v>923</v>
      </c>
      <c r="G622" s="12" t="s">
        <v>5453</v>
      </c>
      <c r="H622" s="12" t="s">
        <v>6616</v>
      </c>
      <c r="I622" s="12">
        <v>3813</v>
      </c>
      <c r="J622" s="12" t="s">
        <v>923</v>
      </c>
      <c r="K622" s="12" t="s">
        <v>6648</v>
      </c>
      <c r="L622" s="12" t="s">
        <v>861</v>
      </c>
      <c r="M622" s="12" t="s">
        <v>889</v>
      </c>
      <c r="N622" s="12" t="s">
        <v>5785</v>
      </c>
      <c r="O622" s="12" t="s">
        <v>892</v>
      </c>
      <c r="P622" s="12" t="s">
        <v>865</v>
      </c>
      <c r="Q622" s="12" t="s">
        <v>6658</v>
      </c>
      <c r="R622" s="12">
        <v>37.416666669999998</v>
      </c>
      <c r="S622" s="12">
        <v>66.833333330000002</v>
      </c>
      <c r="T622" s="12" t="s">
        <v>25</v>
      </c>
      <c r="U622" s="12" t="s">
        <v>916</v>
      </c>
      <c r="V622" s="12" t="s">
        <v>6639</v>
      </c>
      <c r="W622" s="12" t="s">
        <v>6639</v>
      </c>
      <c r="X622" s="12">
        <v>2.9810669999999999</v>
      </c>
      <c r="Y622" s="12">
        <v>892482</v>
      </c>
      <c r="Z622" s="12" t="s">
        <v>6639</v>
      </c>
      <c r="AA622" s="12" t="s">
        <v>6639</v>
      </c>
      <c r="AB622" s="12" t="s">
        <v>922</v>
      </c>
      <c r="AC622" s="12" t="s">
        <v>21</v>
      </c>
      <c r="AD622" s="12">
        <v>0.114</v>
      </c>
      <c r="AE622" s="12">
        <v>0.99399999999999999</v>
      </c>
      <c r="AF622" s="12" t="s">
        <v>45</v>
      </c>
    </row>
    <row r="623" spans="1:32" x14ac:dyDescent="0.2">
      <c r="A623" s="12" t="s">
        <v>4693</v>
      </c>
      <c r="B623" s="12" t="s">
        <v>4693</v>
      </c>
      <c r="C623" s="12" t="s">
        <v>7633</v>
      </c>
      <c r="D623" s="12" t="s">
        <v>143</v>
      </c>
      <c r="E623" s="12" t="s">
        <v>8109</v>
      </c>
      <c r="F623" s="12" t="s">
        <v>5458</v>
      </c>
      <c r="G623" s="12" t="s">
        <v>5453</v>
      </c>
      <c r="H623" s="12" t="s">
        <v>6624</v>
      </c>
      <c r="I623" s="12">
        <v>3800</v>
      </c>
      <c r="J623" s="12" t="s">
        <v>4694</v>
      </c>
      <c r="K623" s="12" t="s">
        <v>6648</v>
      </c>
      <c r="L623" s="12" t="s">
        <v>1048</v>
      </c>
      <c r="M623" s="12" t="s">
        <v>1053</v>
      </c>
      <c r="N623" s="12" t="s">
        <v>24</v>
      </c>
      <c r="O623" s="12" t="s">
        <v>931</v>
      </c>
      <c r="P623" s="12" t="s">
        <v>932</v>
      </c>
      <c r="Q623" s="12" t="s">
        <v>6658</v>
      </c>
      <c r="R623" s="16">
        <v>38.21228</v>
      </c>
      <c r="S623" s="16">
        <v>62.03443</v>
      </c>
      <c r="T623" s="16" t="s">
        <v>25</v>
      </c>
      <c r="U623" s="12" t="s">
        <v>17</v>
      </c>
      <c r="V623" s="12" t="s">
        <v>6639</v>
      </c>
      <c r="W623" s="12" t="s">
        <v>6639</v>
      </c>
      <c r="X623" s="12">
        <v>2.4190000000000001E-3</v>
      </c>
      <c r="Y623" s="12">
        <v>2869</v>
      </c>
      <c r="Z623" s="12" t="s">
        <v>6639</v>
      </c>
      <c r="AA623" s="12" t="s">
        <v>6639</v>
      </c>
      <c r="AB623" s="12" t="s">
        <v>4692</v>
      </c>
      <c r="AC623" s="12" t="s">
        <v>21</v>
      </c>
      <c r="AD623" s="12">
        <v>0.111</v>
      </c>
      <c r="AE623" s="12">
        <v>0.99099999999999999</v>
      </c>
      <c r="AF623" s="12" t="s">
        <v>3026</v>
      </c>
    </row>
    <row r="624" spans="1:32" x14ac:dyDescent="0.2">
      <c r="A624" s="12" t="s">
        <v>913</v>
      </c>
      <c r="B624" s="12" t="s">
        <v>913</v>
      </c>
      <c r="C624" s="12" t="s">
        <v>7027</v>
      </c>
      <c r="D624" s="12" t="s">
        <v>13</v>
      </c>
      <c r="E624" s="12" t="s">
        <v>8110</v>
      </c>
      <c r="F624" s="12" t="s">
        <v>915</v>
      </c>
      <c r="G624" s="12" t="s">
        <v>5453</v>
      </c>
      <c r="H624" s="12" t="s">
        <v>6616</v>
      </c>
      <c r="I624" s="12">
        <v>3799</v>
      </c>
      <c r="J624" s="12" t="s">
        <v>915</v>
      </c>
      <c r="K624" s="12" t="s">
        <v>6648</v>
      </c>
      <c r="L624" s="12" t="s">
        <v>861</v>
      </c>
      <c r="M624" s="12" t="s">
        <v>889</v>
      </c>
      <c r="N624" s="12" t="s">
        <v>5785</v>
      </c>
      <c r="O624" s="12" t="s">
        <v>892</v>
      </c>
      <c r="P624" s="12" t="s">
        <v>865</v>
      </c>
      <c r="Q624" s="12" t="s">
        <v>6658</v>
      </c>
      <c r="R624" s="12">
        <v>37.416666669999998</v>
      </c>
      <c r="S624" s="12">
        <v>66.833333330000002</v>
      </c>
      <c r="T624" s="12" t="s">
        <v>25</v>
      </c>
      <c r="U624" s="12" t="s">
        <v>916</v>
      </c>
      <c r="V624" s="12" t="s">
        <v>6639</v>
      </c>
      <c r="W624" s="12" t="s">
        <v>6639</v>
      </c>
      <c r="X624" s="12">
        <v>1.5289999999999999</v>
      </c>
      <c r="Y624" s="12">
        <v>661883</v>
      </c>
      <c r="Z624" s="12" t="s">
        <v>6639</v>
      </c>
      <c r="AA624" s="12" t="s">
        <v>6639</v>
      </c>
      <c r="AB624" s="12" t="s">
        <v>914</v>
      </c>
      <c r="AC624" s="12" t="s">
        <v>21</v>
      </c>
      <c r="AD624" s="12">
        <v>0.13900000000000001</v>
      </c>
      <c r="AE624" s="12">
        <v>0.995</v>
      </c>
      <c r="AF624" s="12" t="s">
        <v>45</v>
      </c>
    </row>
    <row r="625" spans="1:32" x14ac:dyDescent="0.2">
      <c r="A625" s="12" t="s">
        <v>917</v>
      </c>
      <c r="B625" s="12" t="s">
        <v>917</v>
      </c>
      <c r="C625" s="12" t="s">
        <v>7032</v>
      </c>
      <c r="D625" s="12" t="s">
        <v>13</v>
      </c>
      <c r="E625" s="12" t="s">
        <v>8110</v>
      </c>
      <c r="F625" s="12" t="s">
        <v>919</v>
      </c>
      <c r="G625" s="12" t="s">
        <v>5453</v>
      </c>
      <c r="H625" s="12" t="s">
        <v>6616</v>
      </c>
      <c r="I625" s="12">
        <v>3799</v>
      </c>
      <c r="J625" s="12" t="s">
        <v>919</v>
      </c>
      <c r="K625" s="12" t="s">
        <v>6648</v>
      </c>
      <c r="L625" s="12" t="s">
        <v>861</v>
      </c>
      <c r="M625" s="12" t="s">
        <v>889</v>
      </c>
      <c r="N625" s="12" t="s">
        <v>5785</v>
      </c>
      <c r="O625" s="12" t="s">
        <v>892</v>
      </c>
      <c r="P625" s="12" t="s">
        <v>865</v>
      </c>
      <c r="Q625" s="12" t="s">
        <v>6658</v>
      </c>
      <c r="R625" s="12">
        <v>37.416666669999998</v>
      </c>
      <c r="S625" s="12">
        <v>66.833333330000002</v>
      </c>
      <c r="T625" s="12" t="s">
        <v>11</v>
      </c>
      <c r="U625" s="12" t="s">
        <v>920</v>
      </c>
      <c r="V625" s="12" t="s">
        <v>232</v>
      </c>
      <c r="W625" s="12" t="s">
        <v>7415</v>
      </c>
      <c r="X625" s="12">
        <v>1.850347</v>
      </c>
      <c r="Y625" s="12">
        <v>865688</v>
      </c>
      <c r="Z625" s="12">
        <v>4.2379999999999996E-3</v>
      </c>
      <c r="AA625" s="12">
        <v>2.8980492531608086</v>
      </c>
      <c r="AB625" s="12" t="s">
        <v>918</v>
      </c>
      <c r="AC625" s="12" t="s">
        <v>21</v>
      </c>
      <c r="AD625" s="12">
        <v>0.111</v>
      </c>
      <c r="AE625" s="12">
        <v>0.996</v>
      </c>
      <c r="AF625" s="12" t="s">
        <v>59</v>
      </c>
    </row>
    <row r="626" spans="1:32" x14ac:dyDescent="0.2">
      <c r="A626" s="12" t="s">
        <v>909</v>
      </c>
      <c r="B626" s="12" t="s">
        <v>909</v>
      </c>
      <c r="C626" s="12" t="s">
        <v>7025</v>
      </c>
      <c r="D626" s="12" t="s">
        <v>13</v>
      </c>
      <c r="E626" s="12" t="s">
        <v>8110</v>
      </c>
      <c r="F626" s="12" t="s">
        <v>911</v>
      </c>
      <c r="G626" s="12" t="s">
        <v>5453</v>
      </c>
      <c r="H626" s="12" t="s">
        <v>6616</v>
      </c>
      <c r="I626" s="12">
        <v>3771</v>
      </c>
      <c r="J626" s="12" t="s">
        <v>911</v>
      </c>
      <c r="K626" s="12" t="s">
        <v>6648</v>
      </c>
      <c r="L626" s="12" t="s">
        <v>861</v>
      </c>
      <c r="M626" s="12" t="s">
        <v>889</v>
      </c>
      <c r="N626" s="12" t="s">
        <v>5785</v>
      </c>
      <c r="O626" s="12" t="s">
        <v>892</v>
      </c>
      <c r="P626" s="12" t="s">
        <v>865</v>
      </c>
      <c r="Q626" s="12" t="s">
        <v>6658</v>
      </c>
      <c r="R626" s="12">
        <v>37.416666669999998</v>
      </c>
      <c r="S626" s="12">
        <v>66.833333330000002</v>
      </c>
      <c r="T626" s="12" t="s">
        <v>25</v>
      </c>
      <c r="U626" s="12" t="s">
        <v>912</v>
      </c>
      <c r="V626" s="12" t="s">
        <v>6639</v>
      </c>
      <c r="W626" s="12" t="s">
        <v>6639</v>
      </c>
      <c r="X626" s="12">
        <v>2.1339999999999999</v>
      </c>
      <c r="Y626" s="12">
        <v>730935</v>
      </c>
      <c r="Z626" s="12" t="s">
        <v>6639</v>
      </c>
      <c r="AA626" s="12" t="s">
        <v>6639</v>
      </c>
      <c r="AB626" s="12" t="s">
        <v>910</v>
      </c>
      <c r="AC626" s="12" t="s">
        <v>21</v>
      </c>
      <c r="AD626" s="12">
        <v>8.6999999999999994E-2</v>
      </c>
      <c r="AE626" s="12">
        <v>0.995</v>
      </c>
      <c r="AF626" s="12" t="s">
        <v>45</v>
      </c>
    </row>
    <row r="627" spans="1:32" x14ac:dyDescent="0.2">
      <c r="A627" s="12" t="s">
        <v>905</v>
      </c>
      <c r="B627" s="12" t="s">
        <v>905</v>
      </c>
      <c r="C627" s="12" t="s">
        <v>7037</v>
      </c>
      <c r="D627" s="12" t="s">
        <v>13</v>
      </c>
      <c r="E627" s="12" t="s">
        <v>8110</v>
      </c>
      <c r="F627" s="12" t="s">
        <v>907</v>
      </c>
      <c r="G627" s="12" t="s">
        <v>5453</v>
      </c>
      <c r="H627" s="12" t="s">
        <v>6616</v>
      </c>
      <c r="I627" s="12">
        <v>3769</v>
      </c>
      <c r="J627" s="12" t="s">
        <v>907</v>
      </c>
      <c r="K627" s="12" t="s">
        <v>6648</v>
      </c>
      <c r="L627" s="12" t="s">
        <v>861</v>
      </c>
      <c r="M627" s="12" t="s">
        <v>889</v>
      </c>
      <c r="N627" s="12" t="s">
        <v>5785</v>
      </c>
      <c r="O627" s="12" t="s">
        <v>892</v>
      </c>
      <c r="P627" s="12" t="s">
        <v>865</v>
      </c>
      <c r="Q627" s="12" t="s">
        <v>6658</v>
      </c>
      <c r="R627" s="12">
        <v>37.416666669999998</v>
      </c>
      <c r="S627" s="12">
        <v>66.833333330000002</v>
      </c>
      <c r="T627" s="12" t="s">
        <v>25</v>
      </c>
      <c r="U627" s="12" t="s">
        <v>908</v>
      </c>
      <c r="V627" s="12" t="s">
        <v>6639</v>
      </c>
      <c r="W627" s="12" t="s">
        <v>6639</v>
      </c>
      <c r="X627" s="12">
        <v>0.66844199999999998</v>
      </c>
      <c r="Y627" s="12">
        <v>476130</v>
      </c>
      <c r="Z627" s="12" t="s">
        <v>6639</v>
      </c>
      <c r="AA627" s="12" t="s">
        <v>6639</v>
      </c>
      <c r="AB627" s="12" t="s">
        <v>906</v>
      </c>
      <c r="AC627" s="12" t="s">
        <v>21</v>
      </c>
      <c r="AD627" s="12">
        <v>0.13900000000000001</v>
      </c>
      <c r="AE627" s="12">
        <v>0.98499999999999999</v>
      </c>
      <c r="AF627" s="12" t="s">
        <v>45</v>
      </c>
    </row>
    <row r="628" spans="1:32" x14ac:dyDescent="0.2">
      <c r="A628" s="12" t="s">
        <v>1037</v>
      </c>
      <c r="B628" s="12" t="s">
        <v>1037</v>
      </c>
      <c r="C628" s="12" t="s">
        <v>7630</v>
      </c>
      <c r="D628" s="12" t="s">
        <v>143</v>
      </c>
      <c r="E628" s="12" t="s">
        <v>8108</v>
      </c>
      <c r="F628" s="12" t="s">
        <v>5458</v>
      </c>
      <c r="G628" s="12" t="s">
        <v>5453</v>
      </c>
      <c r="H628" s="12" t="s">
        <v>6624</v>
      </c>
      <c r="I628" s="12">
        <v>3750</v>
      </c>
      <c r="J628" s="12" t="s">
        <v>1038</v>
      </c>
      <c r="K628" s="12" t="s">
        <v>6648</v>
      </c>
      <c r="L628" s="12" t="s">
        <v>861</v>
      </c>
      <c r="M628" s="12" t="s">
        <v>928</v>
      </c>
      <c r="N628" s="12" t="s">
        <v>5785</v>
      </c>
      <c r="O628" s="12" t="s">
        <v>931</v>
      </c>
      <c r="P628" s="12" t="s">
        <v>932</v>
      </c>
      <c r="Q628" s="12" t="s">
        <v>6658</v>
      </c>
      <c r="R628" s="12">
        <v>38.1907</v>
      </c>
      <c r="S628" s="12">
        <v>62.034300000000002</v>
      </c>
      <c r="T628" s="12" t="s">
        <v>25</v>
      </c>
      <c r="U628" s="12" t="s">
        <v>879</v>
      </c>
      <c r="V628" s="12" t="s">
        <v>6639</v>
      </c>
      <c r="W628" s="12" t="s">
        <v>6639</v>
      </c>
      <c r="X628" s="12">
        <v>0.25648300000000002</v>
      </c>
      <c r="Y628" s="12">
        <v>249248</v>
      </c>
      <c r="Z628" s="12" t="s">
        <v>6639</v>
      </c>
      <c r="AA628" s="12" t="s">
        <v>6639</v>
      </c>
      <c r="AB628" s="12" t="s">
        <v>1036</v>
      </c>
      <c r="AC628" s="12" t="s">
        <v>21</v>
      </c>
      <c r="AD628" s="12">
        <v>0.107</v>
      </c>
      <c r="AE628" s="12">
        <v>0.997</v>
      </c>
      <c r="AF628" s="12" t="s">
        <v>45</v>
      </c>
    </row>
    <row r="629" spans="1:32" x14ac:dyDescent="0.2">
      <c r="A629" s="12" t="s">
        <v>1026</v>
      </c>
      <c r="B629" s="12" t="s">
        <v>1026</v>
      </c>
      <c r="C629" s="12" t="s">
        <v>7024</v>
      </c>
      <c r="D629" s="12" t="s">
        <v>13</v>
      </c>
      <c r="E629" s="12" t="s">
        <v>8110</v>
      </c>
      <c r="F629" s="12" t="s">
        <v>5458</v>
      </c>
      <c r="G629" s="12" t="s">
        <v>5453</v>
      </c>
      <c r="H629" s="12" t="s">
        <v>6616</v>
      </c>
      <c r="I629" s="12">
        <v>3750</v>
      </c>
      <c r="J629" s="12" t="s">
        <v>1028</v>
      </c>
      <c r="K629" s="12" t="s">
        <v>6648</v>
      </c>
      <c r="L629" s="12" t="s">
        <v>861</v>
      </c>
      <c r="M629" s="12" t="s">
        <v>889</v>
      </c>
      <c r="N629" s="12" t="s">
        <v>5785</v>
      </c>
      <c r="O629" s="12" t="s">
        <v>892</v>
      </c>
      <c r="P629" s="12" t="s">
        <v>865</v>
      </c>
      <c r="Q629" s="12" t="s">
        <v>6658</v>
      </c>
      <c r="R629" s="16">
        <v>37.416666669999998</v>
      </c>
      <c r="S629" s="16">
        <v>66.833333330000002</v>
      </c>
      <c r="T629" s="12" t="s">
        <v>25</v>
      </c>
      <c r="U629" s="12" t="s">
        <v>1029</v>
      </c>
      <c r="V629" s="12" t="s">
        <v>6639</v>
      </c>
      <c r="W629" s="12" t="s">
        <v>6639</v>
      </c>
      <c r="X629" s="12">
        <v>0.54500000000000004</v>
      </c>
      <c r="Y629" s="12">
        <v>437892</v>
      </c>
      <c r="Z629" s="12" t="s">
        <v>6639</v>
      </c>
      <c r="AA629" s="12" t="s">
        <v>6639</v>
      </c>
      <c r="AB629" s="12" t="s">
        <v>1027</v>
      </c>
      <c r="AC629" s="12" t="s">
        <v>21</v>
      </c>
      <c r="AD629" s="12">
        <v>0.11</v>
      </c>
      <c r="AE629" s="12">
        <v>0.98099999999999998</v>
      </c>
      <c r="AF629" s="12" t="s">
        <v>45</v>
      </c>
    </row>
    <row r="630" spans="1:32" x14ac:dyDescent="0.2">
      <c r="A630" s="12" t="s">
        <v>1030</v>
      </c>
      <c r="B630" s="12" t="s">
        <v>1030</v>
      </c>
      <c r="C630" s="12" t="s">
        <v>7031</v>
      </c>
      <c r="D630" s="12" t="s">
        <v>13</v>
      </c>
      <c r="E630" s="12" t="s">
        <v>8110</v>
      </c>
      <c r="F630" s="12" t="s">
        <v>5458</v>
      </c>
      <c r="G630" s="12" t="s">
        <v>5453</v>
      </c>
      <c r="H630" s="12" t="s">
        <v>6616</v>
      </c>
      <c r="I630" s="12">
        <v>3750</v>
      </c>
      <c r="J630" s="12" t="s">
        <v>1028</v>
      </c>
      <c r="K630" s="12" t="s">
        <v>6648</v>
      </c>
      <c r="L630" s="12" t="s">
        <v>861</v>
      </c>
      <c r="M630" s="12" t="s">
        <v>889</v>
      </c>
      <c r="N630" s="12" t="s">
        <v>5785</v>
      </c>
      <c r="O630" s="12" t="s">
        <v>892</v>
      </c>
      <c r="P630" s="12" t="s">
        <v>865</v>
      </c>
      <c r="Q630" s="12" t="s">
        <v>6658</v>
      </c>
      <c r="R630" s="12">
        <v>37.416666669999998</v>
      </c>
      <c r="S630" s="12">
        <v>66.833333330000002</v>
      </c>
      <c r="T630" s="12" t="s">
        <v>11</v>
      </c>
      <c r="U630" s="12" t="s">
        <v>1032</v>
      </c>
      <c r="V630" s="12" t="s">
        <v>280</v>
      </c>
      <c r="W630" s="12" t="s">
        <v>7415</v>
      </c>
      <c r="X630" s="12">
        <v>2.1896520000000002</v>
      </c>
      <c r="Y630" s="12">
        <v>899293</v>
      </c>
      <c r="Z630" s="12">
        <v>3.986E-3</v>
      </c>
      <c r="AA630" s="12">
        <v>2.8926063646048319</v>
      </c>
      <c r="AB630" s="12" t="s">
        <v>1031</v>
      </c>
      <c r="AC630" s="12" t="s">
        <v>21</v>
      </c>
      <c r="AD630" s="12">
        <v>9.7000000000000003E-2</v>
      </c>
      <c r="AE630" s="12">
        <v>0.996</v>
      </c>
      <c r="AF630" s="12" t="s">
        <v>59</v>
      </c>
    </row>
    <row r="631" spans="1:32" x14ac:dyDescent="0.2">
      <c r="A631" s="12" t="s">
        <v>1114</v>
      </c>
      <c r="B631" s="12" t="s">
        <v>1114</v>
      </c>
      <c r="C631" s="12" t="s">
        <v>7034</v>
      </c>
      <c r="D631" s="12" t="s">
        <v>13</v>
      </c>
      <c r="E631" s="12" t="s">
        <v>8110</v>
      </c>
      <c r="F631" s="12" t="s">
        <v>5458</v>
      </c>
      <c r="G631" s="12" t="s">
        <v>5453</v>
      </c>
      <c r="H631" s="12" t="s">
        <v>6616</v>
      </c>
      <c r="I631" s="12">
        <v>3750</v>
      </c>
      <c r="J631" s="12" t="s">
        <v>1028</v>
      </c>
      <c r="K631" s="12" t="s">
        <v>6648</v>
      </c>
      <c r="L631" s="12" t="s">
        <v>1107</v>
      </c>
      <c r="M631" s="12" t="s">
        <v>1115</v>
      </c>
      <c r="N631" s="12" t="s">
        <v>5785</v>
      </c>
      <c r="O631" s="12" t="s">
        <v>892</v>
      </c>
      <c r="P631" s="12" t="s">
        <v>865</v>
      </c>
      <c r="Q631" s="12" t="s">
        <v>6658</v>
      </c>
      <c r="R631" s="12">
        <v>37.416666669999998</v>
      </c>
      <c r="S631" s="12">
        <v>66.833333330000002</v>
      </c>
      <c r="T631" s="12" t="s">
        <v>11</v>
      </c>
      <c r="U631" s="12" t="s">
        <v>1117</v>
      </c>
      <c r="V631" s="12" t="s">
        <v>723</v>
      </c>
      <c r="W631" s="12" t="s">
        <v>7415</v>
      </c>
      <c r="X631" s="12">
        <v>0.36149900000000001</v>
      </c>
      <c r="Y631" s="12">
        <v>337508</v>
      </c>
      <c r="Z631" s="12">
        <v>7.404E-3</v>
      </c>
      <c r="AA631" s="12">
        <v>0.98761400779206643</v>
      </c>
      <c r="AB631" s="12" t="s">
        <v>1116</v>
      </c>
      <c r="AC631" s="12" t="s">
        <v>21</v>
      </c>
      <c r="AD631" s="12">
        <v>0.10100000000000001</v>
      </c>
      <c r="AE631" s="12">
        <v>0.997</v>
      </c>
      <c r="AF631" s="12" t="s">
        <v>45</v>
      </c>
    </row>
    <row r="632" spans="1:32" x14ac:dyDescent="0.2">
      <c r="A632" s="12" t="s">
        <v>1046</v>
      </c>
      <c r="B632" s="12" t="s">
        <v>1046</v>
      </c>
      <c r="C632" s="12" t="s">
        <v>7565</v>
      </c>
      <c r="D632" s="12" t="s">
        <v>13</v>
      </c>
      <c r="E632" s="12" t="s">
        <v>8110</v>
      </c>
      <c r="F632" s="12" t="s">
        <v>1050</v>
      </c>
      <c r="G632" s="12" t="s">
        <v>5453</v>
      </c>
      <c r="H632" s="12" t="s">
        <v>7641</v>
      </c>
      <c r="I632" s="12">
        <v>3743</v>
      </c>
      <c r="J632" s="12" t="s">
        <v>1050</v>
      </c>
      <c r="K632" s="12" t="s">
        <v>6648</v>
      </c>
      <c r="L632" s="12" t="s">
        <v>1048</v>
      </c>
      <c r="M632" s="12" t="s">
        <v>1047</v>
      </c>
      <c r="N632" s="12" t="s">
        <v>24</v>
      </c>
      <c r="O632" s="12" t="s">
        <v>864</v>
      </c>
      <c r="P632" s="12" t="s">
        <v>865</v>
      </c>
      <c r="Q632" s="12" t="s">
        <v>6658</v>
      </c>
      <c r="R632" s="12">
        <v>37.75</v>
      </c>
      <c r="S632" s="12">
        <v>67</v>
      </c>
      <c r="T632" s="12" t="s">
        <v>25</v>
      </c>
      <c r="U632" s="12" t="s">
        <v>17</v>
      </c>
      <c r="V632" s="12" t="s">
        <v>6639</v>
      </c>
      <c r="W632" s="12" t="s">
        <v>6639</v>
      </c>
      <c r="X632" s="12">
        <v>4.0000000000000001E-3</v>
      </c>
      <c r="Y632" s="12">
        <v>4451</v>
      </c>
      <c r="Z632" s="12" t="s">
        <v>6639</v>
      </c>
      <c r="AA632" s="12" t="s">
        <v>6639</v>
      </c>
      <c r="AB632" s="12" t="s">
        <v>1049</v>
      </c>
      <c r="AC632" s="12" t="s">
        <v>21</v>
      </c>
      <c r="AD632" s="12">
        <v>4.5999999999999999E-2</v>
      </c>
      <c r="AE632" s="12" t="s">
        <v>7796</v>
      </c>
      <c r="AF632" s="12" t="s">
        <v>1051</v>
      </c>
    </row>
    <row r="633" spans="1:32" x14ac:dyDescent="0.2">
      <c r="A633" s="12" t="s">
        <v>901</v>
      </c>
      <c r="B633" s="12" t="s">
        <v>901</v>
      </c>
      <c r="C633" s="12" t="s">
        <v>7030</v>
      </c>
      <c r="D633" s="12" t="s">
        <v>13</v>
      </c>
      <c r="E633" s="12" t="s">
        <v>8110</v>
      </c>
      <c r="F633" s="12" t="s">
        <v>903</v>
      </c>
      <c r="G633" s="12" t="s">
        <v>5453</v>
      </c>
      <c r="H633" s="12" t="s">
        <v>6616</v>
      </c>
      <c r="I633" s="12">
        <v>3741</v>
      </c>
      <c r="J633" s="12" t="s">
        <v>903</v>
      </c>
      <c r="K633" s="12" t="s">
        <v>6648</v>
      </c>
      <c r="L633" s="12" t="s">
        <v>861</v>
      </c>
      <c r="M633" s="12" t="s">
        <v>889</v>
      </c>
      <c r="N633" s="12" t="s">
        <v>5785</v>
      </c>
      <c r="O633" s="12" t="s">
        <v>892</v>
      </c>
      <c r="P633" s="12" t="s">
        <v>865</v>
      </c>
      <c r="Q633" s="12" t="s">
        <v>6658</v>
      </c>
      <c r="R633" s="12">
        <v>37.416666669999998</v>
      </c>
      <c r="S633" s="12">
        <v>66.833333330000002</v>
      </c>
      <c r="T633" s="12" t="s">
        <v>11</v>
      </c>
      <c r="U633" s="12" t="s">
        <v>870</v>
      </c>
      <c r="V633" s="12" t="s">
        <v>904</v>
      </c>
      <c r="W633" s="12" t="s">
        <v>7415</v>
      </c>
      <c r="X633" s="12">
        <v>2.631643</v>
      </c>
      <c r="Y633" s="12">
        <v>873180</v>
      </c>
      <c r="Z633" s="12">
        <v>5.5750000000000001E-3</v>
      </c>
      <c r="AA633" s="12">
        <v>4.1949117789360502</v>
      </c>
      <c r="AB633" s="12" t="s">
        <v>902</v>
      </c>
      <c r="AC633" s="12" t="s">
        <v>21</v>
      </c>
      <c r="AD633" s="12">
        <v>0.126</v>
      </c>
      <c r="AE633" s="12">
        <v>0.98899999999999999</v>
      </c>
      <c r="AF633" s="12" t="s">
        <v>436</v>
      </c>
    </row>
    <row r="634" spans="1:32" x14ac:dyDescent="0.2">
      <c r="A634" s="12" t="s">
        <v>895</v>
      </c>
      <c r="B634" s="12" t="s">
        <v>895</v>
      </c>
      <c r="C634" s="12" t="s">
        <v>6883</v>
      </c>
      <c r="D634" s="12" t="s">
        <v>13</v>
      </c>
      <c r="E634" s="12" t="s">
        <v>8110</v>
      </c>
      <c r="F634" s="12" t="s">
        <v>898</v>
      </c>
      <c r="G634" s="12" t="s">
        <v>5453</v>
      </c>
      <c r="H634" s="12" t="s">
        <v>6616</v>
      </c>
      <c r="I634" s="12">
        <v>3739</v>
      </c>
      <c r="J634" s="12" t="s">
        <v>898</v>
      </c>
      <c r="K634" s="12" t="s">
        <v>6648</v>
      </c>
      <c r="L634" s="12" t="s">
        <v>861</v>
      </c>
      <c r="M634" s="12" t="s">
        <v>896</v>
      </c>
      <c r="N634" s="12" t="s">
        <v>5785</v>
      </c>
      <c r="O634" s="12" t="s">
        <v>899</v>
      </c>
      <c r="P634" s="12" t="s">
        <v>865</v>
      </c>
      <c r="Q634" s="12" t="s">
        <v>6658</v>
      </c>
      <c r="R634" s="12">
        <v>37.666666669999998</v>
      </c>
      <c r="S634" s="12">
        <v>67</v>
      </c>
      <c r="T634" s="12" t="s">
        <v>11</v>
      </c>
      <c r="U634" s="12" t="s">
        <v>900</v>
      </c>
      <c r="V634" s="12" t="s">
        <v>894</v>
      </c>
      <c r="W634" s="12" t="s">
        <v>7415</v>
      </c>
      <c r="X634" s="12">
        <v>1.5820000000000001</v>
      </c>
      <c r="Y634" s="12">
        <v>777954</v>
      </c>
      <c r="Z634" s="12">
        <v>9.724E-3</v>
      </c>
      <c r="AA634" s="12">
        <v>4.1143592152084043</v>
      </c>
      <c r="AB634" s="12" t="s">
        <v>897</v>
      </c>
      <c r="AC634" s="12" t="s">
        <v>21</v>
      </c>
      <c r="AD634" s="12" t="s">
        <v>17</v>
      </c>
      <c r="AE634" s="12">
        <v>0.98799999999999999</v>
      </c>
      <c r="AF634" s="12" t="s">
        <v>317</v>
      </c>
    </row>
    <row r="635" spans="1:32" x14ac:dyDescent="0.2">
      <c r="A635" s="12" t="s">
        <v>888</v>
      </c>
      <c r="B635" s="12" t="s">
        <v>888</v>
      </c>
      <c r="C635" s="12" t="s">
        <v>7026</v>
      </c>
      <c r="D635" s="12" t="s">
        <v>13</v>
      </c>
      <c r="E635" s="12" t="s">
        <v>8110</v>
      </c>
      <c r="F635" s="12" t="s">
        <v>891</v>
      </c>
      <c r="G635" s="12" t="s">
        <v>5453</v>
      </c>
      <c r="H635" s="12" t="s">
        <v>6616</v>
      </c>
      <c r="I635" s="12">
        <v>3717</v>
      </c>
      <c r="J635" s="12" t="s">
        <v>891</v>
      </c>
      <c r="K635" s="12" t="s">
        <v>6648</v>
      </c>
      <c r="L635" s="12" t="s">
        <v>861</v>
      </c>
      <c r="M635" s="12" t="s">
        <v>889</v>
      </c>
      <c r="N635" s="12" t="s">
        <v>5785</v>
      </c>
      <c r="O635" s="12" t="s">
        <v>892</v>
      </c>
      <c r="P635" s="12" t="s">
        <v>865</v>
      </c>
      <c r="Q635" s="12" t="s">
        <v>6658</v>
      </c>
      <c r="R635" s="12">
        <v>37.416666669999998</v>
      </c>
      <c r="S635" s="12">
        <v>66.833333330000002</v>
      </c>
      <c r="T635" s="12" t="s">
        <v>11</v>
      </c>
      <c r="U635" s="12" t="s">
        <v>893</v>
      </c>
      <c r="V635" s="12" t="s">
        <v>894</v>
      </c>
      <c r="W635" s="12" t="s">
        <v>7415</v>
      </c>
      <c r="X635" s="12">
        <v>0.34100000000000003</v>
      </c>
      <c r="Y635" s="12">
        <v>316114</v>
      </c>
      <c r="Z635" s="12">
        <v>2.2488999999999999E-2</v>
      </c>
      <c r="AA635" s="12">
        <v>1.7927421405607409</v>
      </c>
      <c r="AB635" s="12" t="s">
        <v>890</v>
      </c>
      <c r="AC635" s="12" t="s">
        <v>21</v>
      </c>
      <c r="AD635" s="12" t="s">
        <v>17</v>
      </c>
      <c r="AE635" s="12">
        <v>0.996</v>
      </c>
      <c r="AF635" s="12" t="s">
        <v>45</v>
      </c>
    </row>
    <row r="636" spans="1:32" x14ac:dyDescent="0.2">
      <c r="A636" s="12" t="s">
        <v>884</v>
      </c>
      <c r="B636" s="12" t="s">
        <v>884</v>
      </c>
      <c r="C636" s="12" t="s">
        <v>7023</v>
      </c>
      <c r="D636" s="12" t="s">
        <v>13</v>
      </c>
      <c r="E636" s="12" t="s">
        <v>8110</v>
      </c>
      <c r="F636" s="12" t="s">
        <v>886</v>
      </c>
      <c r="G636" s="12" t="s">
        <v>5453</v>
      </c>
      <c r="H636" s="12" t="s">
        <v>7641</v>
      </c>
      <c r="I636" s="12">
        <v>3646</v>
      </c>
      <c r="J636" s="12" t="s">
        <v>886</v>
      </c>
      <c r="K636" s="12" t="s">
        <v>6648</v>
      </c>
      <c r="L636" s="12" t="s">
        <v>861</v>
      </c>
      <c r="M636" s="12" t="s">
        <v>860</v>
      </c>
      <c r="N636" s="12" t="s">
        <v>5785</v>
      </c>
      <c r="O636" s="12" t="s">
        <v>864</v>
      </c>
      <c r="P636" s="12" t="s">
        <v>865</v>
      </c>
      <c r="Q636" s="12" t="s">
        <v>6658</v>
      </c>
      <c r="R636" s="12">
        <v>37.75</v>
      </c>
      <c r="S636" s="12">
        <v>67</v>
      </c>
      <c r="T636" s="12" t="s">
        <v>25</v>
      </c>
      <c r="U636" s="12" t="s">
        <v>887</v>
      </c>
      <c r="V636" s="12" t="s">
        <v>6639</v>
      </c>
      <c r="W636" s="12" t="s">
        <v>6639</v>
      </c>
      <c r="X636" s="12">
        <v>1.095567</v>
      </c>
      <c r="Y636" s="12">
        <v>654512</v>
      </c>
      <c r="Z636" s="12" t="s">
        <v>6639</v>
      </c>
      <c r="AA636" s="12" t="s">
        <v>6639</v>
      </c>
      <c r="AB636" s="12" t="s">
        <v>885</v>
      </c>
      <c r="AC636" s="12" t="s">
        <v>21</v>
      </c>
      <c r="AD636" s="12">
        <v>0.17</v>
      </c>
      <c r="AE636" s="12">
        <v>1</v>
      </c>
      <c r="AF636" s="12" t="s">
        <v>45</v>
      </c>
    </row>
    <row r="637" spans="1:32" x14ac:dyDescent="0.2">
      <c r="A637" s="12" t="s">
        <v>880</v>
      </c>
      <c r="B637" s="12" t="s">
        <v>880</v>
      </c>
      <c r="C637" s="12" t="s">
        <v>7563</v>
      </c>
      <c r="D637" s="12" t="s">
        <v>13</v>
      </c>
      <c r="E637" s="12" t="s">
        <v>8110</v>
      </c>
      <c r="F637" s="12" t="s">
        <v>882</v>
      </c>
      <c r="G637" s="12" t="s">
        <v>5453</v>
      </c>
      <c r="H637" s="12" t="s">
        <v>7641</v>
      </c>
      <c r="I637" s="12">
        <v>3629</v>
      </c>
      <c r="J637" s="12" t="s">
        <v>882</v>
      </c>
      <c r="K637" s="12" t="s">
        <v>6648</v>
      </c>
      <c r="L637" s="12" t="s">
        <v>861</v>
      </c>
      <c r="M637" s="12" t="s">
        <v>860</v>
      </c>
      <c r="N637" s="12" t="s">
        <v>5785</v>
      </c>
      <c r="O637" s="12" t="s">
        <v>864</v>
      </c>
      <c r="P637" s="12" t="s">
        <v>865</v>
      </c>
      <c r="Q637" s="12" t="s">
        <v>6658</v>
      </c>
      <c r="R637" s="16">
        <v>37.75</v>
      </c>
      <c r="S637" s="16">
        <v>67</v>
      </c>
      <c r="T637" s="12" t="s">
        <v>25</v>
      </c>
      <c r="U637" s="12" t="s">
        <v>883</v>
      </c>
      <c r="V637" s="12" t="s">
        <v>6639</v>
      </c>
      <c r="W637" s="12" t="s">
        <v>6639</v>
      </c>
      <c r="X637" s="12">
        <v>1.89</v>
      </c>
      <c r="Y637" s="12">
        <v>662617</v>
      </c>
      <c r="Z637" s="12" t="s">
        <v>6639</v>
      </c>
      <c r="AA637" s="12" t="s">
        <v>6639</v>
      </c>
      <c r="AB637" s="12" t="s">
        <v>881</v>
      </c>
      <c r="AC637" s="12" t="s">
        <v>21</v>
      </c>
      <c r="AD637" s="12">
        <v>0.155</v>
      </c>
      <c r="AE637" s="12">
        <v>0.99099999999999999</v>
      </c>
      <c r="AF637" s="12" t="s">
        <v>45</v>
      </c>
    </row>
    <row r="638" spans="1:32" x14ac:dyDescent="0.2">
      <c r="A638" s="12" t="s">
        <v>876</v>
      </c>
      <c r="B638" s="12" t="s">
        <v>876</v>
      </c>
      <c r="C638" s="12" t="s">
        <v>7567</v>
      </c>
      <c r="D638" s="12" t="s">
        <v>13</v>
      </c>
      <c r="E638" s="12" t="s">
        <v>8110</v>
      </c>
      <c r="F638" s="12" t="s">
        <v>878</v>
      </c>
      <c r="G638" s="12" t="s">
        <v>5453</v>
      </c>
      <c r="H638" s="12" t="s">
        <v>7641</v>
      </c>
      <c r="I638" s="12">
        <v>3560</v>
      </c>
      <c r="J638" s="12" t="s">
        <v>878</v>
      </c>
      <c r="K638" s="12" t="s">
        <v>6648</v>
      </c>
      <c r="L638" s="12" t="s">
        <v>861</v>
      </c>
      <c r="M638" s="12" t="s">
        <v>860</v>
      </c>
      <c r="N638" s="12" t="s">
        <v>5785</v>
      </c>
      <c r="O638" s="12" t="s">
        <v>864</v>
      </c>
      <c r="P638" s="12" t="s">
        <v>865</v>
      </c>
      <c r="Q638" s="12" t="s">
        <v>6658</v>
      </c>
      <c r="R638" s="12">
        <v>37.75</v>
      </c>
      <c r="S638" s="12">
        <v>67</v>
      </c>
      <c r="T638" s="12" t="s">
        <v>25</v>
      </c>
      <c r="U638" s="12" t="s">
        <v>879</v>
      </c>
      <c r="V638" s="12" t="s">
        <v>6639</v>
      </c>
      <c r="W638" s="12" t="s">
        <v>6639</v>
      </c>
      <c r="X638" s="12">
        <v>1.2536119999999999</v>
      </c>
      <c r="Y638" s="12">
        <v>719490</v>
      </c>
      <c r="Z638" s="12" t="s">
        <v>6639</v>
      </c>
      <c r="AA638" s="12" t="s">
        <v>6639</v>
      </c>
      <c r="AB638" s="12" t="s">
        <v>877</v>
      </c>
      <c r="AC638" s="12" t="s">
        <v>21</v>
      </c>
      <c r="AD638" s="12">
        <v>0.14000000000000001</v>
      </c>
      <c r="AE638" s="12">
        <v>0.99199999999999999</v>
      </c>
      <c r="AF638" s="12" t="s">
        <v>45</v>
      </c>
    </row>
    <row r="639" spans="1:32" x14ac:dyDescent="0.2">
      <c r="A639" s="12" t="s">
        <v>1007</v>
      </c>
      <c r="B639" s="12" t="s">
        <v>1007</v>
      </c>
      <c r="C639" s="12" t="s">
        <v>6887</v>
      </c>
      <c r="D639" s="12" t="s">
        <v>13</v>
      </c>
      <c r="E639" s="12" t="s">
        <v>8108</v>
      </c>
      <c r="F639" s="12" t="s">
        <v>8200</v>
      </c>
      <c r="G639" s="12" t="s">
        <v>5453</v>
      </c>
      <c r="H639" s="12" t="s">
        <v>6616</v>
      </c>
      <c r="I639" s="12">
        <v>3542</v>
      </c>
      <c r="J639" s="12" t="s">
        <v>8200</v>
      </c>
      <c r="K639" s="12" t="s">
        <v>6648</v>
      </c>
      <c r="L639" s="12" t="s">
        <v>861</v>
      </c>
      <c r="M639" s="12" t="s">
        <v>896</v>
      </c>
      <c r="N639" s="12" t="s">
        <v>5785</v>
      </c>
      <c r="O639" s="12" t="s">
        <v>899</v>
      </c>
      <c r="P639" s="12" t="s">
        <v>865</v>
      </c>
      <c r="Q639" s="12" t="s">
        <v>6658</v>
      </c>
      <c r="R639" s="12">
        <v>37.666666669999998</v>
      </c>
      <c r="S639" s="12">
        <v>67</v>
      </c>
      <c r="T639" s="12" t="s">
        <v>11</v>
      </c>
      <c r="U639" s="12" t="s">
        <v>1008</v>
      </c>
      <c r="V639" s="12" t="s">
        <v>628</v>
      </c>
      <c r="W639" s="12" t="s">
        <v>7415</v>
      </c>
      <c r="X639" s="12">
        <v>2.4148420000000002</v>
      </c>
      <c r="Y639" s="12">
        <v>757100</v>
      </c>
      <c r="Z639" s="12">
        <v>3.5609999999999999E-3</v>
      </c>
      <c r="AA639" s="12">
        <v>3.1004714701772258</v>
      </c>
      <c r="AB639" s="12" t="s">
        <v>1006</v>
      </c>
      <c r="AC639" s="12" t="s">
        <v>21</v>
      </c>
      <c r="AD639" s="12">
        <v>0.188</v>
      </c>
      <c r="AE639" s="12">
        <v>0.99099999999999999</v>
      </c>
      <c r="AF639" s="12" t="s">
        <v>59</v>
      </c>
    </row>
    <row r="640" spans="1:32" x14ac:dyDescent="0.2">
      <c r="A640" s="12" t="s">
        <v>1187</v>
      </c>
      <c r="B640" s="12" t="s">
        <v>1187</v>
      </c>
      <c r="C640" s="12" t="s">
        <v>6890</v>
      </c>
      <c r="D640" s="12" t="s">
        <v>13</v>
      </c>
      <c r="E640" s="12" t="s">
        <v>8108</v>
      </c>
      <c r="F640" s="12" t="s">
        <v>1189</v>
      </c>
      <c r="G640" s="12" t="s">
        <v>5453</v>
      </c>
      <c r="H640" s="12" t="s">
        <v>6616</v>
      </c>
      <c r="I640" s="12">
        <v>3511</v>
      </c>
      <c r="J640" s="12" t="s">
        <v>1189</v>
      </c>
      <c r="K640" s="12" t="s">
        <v>6648</v>
      </c>
      <c r="L640" s="12" t="s">
        <v>1188</v>
      </c>
      <c r="M640" s="12" t="s">
        <v>1188</v>
      </c>
      <c r="N640" s="12" t="s">
        <v>5785</v>
      </c>
      <c r="O640" s="12" t="s">
        <v>899</v>
      </c>
      <c r="P640" s="12" t="s">
        <v>865</v>
      </c>
      <c r="Q640" s="12" t="s">
        <v>6658</v>
      </c>
      <c r="R640" s="12">
        <v>37.666666669999998</v>
      </c>
      <c r="S640" s="12">
        <v>67</v>
      </c>
      <c r="T640" s="12" t="s">
        <v>11</v>
      </c>
      <c r="U640" s="12" t="s">
        <v>1190</v>
      </c>
      <c r="V640" s="12" t="s">
        <v>1191</v>
      </c>
      <c r="W640" s="12" t="s">
        <v>7415</v>
      </c>
      <c r="X640" s="12">
        <v>3.6489099999999999</v>
      </c>
      <c r="Y640" s="12">
        <v>783715</v>
      </c>
      <c r="Z640" s="12">
        <v>3.9839999999999997E-3</v>
      </c>
      <c r="AA640" s="12">
        <v>4.0494879135897826</v>
      </c>
      <c r="AB640" s="12" t="s">
        <v>1186</v>
      </c>
      <c r="AC640" s="12" t="s">
        <v>21</v>
      </c>
      <c r="AD640" s="12">
        <v>0.115</v>
      </c>
      <c r="AE640" s="12">
        <v>0.99199999999999999</v>
      </c>
      <c r="AF640" s="12" t="s">
        <v>59</v>
      </c>
    </row>
    <row r="641" spans="1:32" x14ac:dyDescent="0.2">
      <c r="A641" s="12" t="s">
        <v>871</v>
      </c>
      <c r="B641" s="12" t="s">
        <v>871</v>
      </c>
      <c r="C641" s="12" t="s">
        <v>7566</v>
      </c>
      <c r="D641" s="12" t="s">
        <v>13</v>
      </c>
      <c r="E641" s="12" t="s">
        <v>8110</v>
      </c>
      <c r="F641" s="12" t="s">
        <v>873</v>
      </c>
      <c r="G641" s="12" t="s">
        <v>5453</v>
      </c>
      <c r="H641" s="12" t="s">
        <v>7641</v>
      </c>
      <c r="I641" s="12">
        <v>3487</v>
      </c>
      <c r="J641" s="12" t="s">
        <v>873</v>
      </c>
      <c r="K641" s="12" t="s">
        <v>6648</v>
      </c>
      <c r="L641" s="12" t="s">
        <v>861</v>
      </c>
      <c r="M641" s="12" t="s">
        <v>860</v>
      </c>
      <c r="N641" s="12" t="s">
        <v>5785</v>
      </c>
      <c r="O641" s="12" t="s">
        <v>864</v>
      </c>
      <c r="P641" s="12" t="s">
        <v>865</v>
      </c>
      <c r="Q641" s="12" t="s">
        <v>6658</v>
      </c>
      <c r="R641" s="12">
        <v>37.75</v>
      </c>
      <c r="S641" s="12">
        <v>67</v>
      </c>
      <c r="T641" s="12" t="s">
        <v>11</v>
      </c>
      <c r="U641" s="12" t="s">
        <v>874</v>
      </c>
      <c r="V641" s="12" t="s">
        <v>7411</v>
      </c>
      <c r="W641" s="12" t="s">
        <v>7160</v>
      </c>
      <c r="X641" s="12">
        <v>3.0110000000000001</v>
      </c>
      <c r="Y641" s="12">
        <v>732399</v>
      </c>
      <c r="Z641" s="12">
        <v>5.5820000000000002E-3</v>
      </c>
      <c r="AA641" s="12">
        <v>3.9651842333136567</v>
      </c>
      <c r="AB641" s="12" t="s">
        <v>872</v>
      </c>
      <c r="AC641" s="12" t="s">
        <v>21</v>
      </c>
      <c r="AD641" s="12">
        <v>0.14499999999999999</v>
      </c>
      <c r="AE641" s="12">
        <v>0.98399999999999999</v>
      </c>
      <c r="AF641" s="12" t="s">
        <v>436</v>
      </c>
    </row>
    <row r="642" spans="1:32" x14ac:dyDescent="0.2">
      <c r="A642" s="12" t="s">
        <v>867</v>
      </c>
      <c r="B642" s="12" t="s">
        <v>867</v>
      </c>
      <c r="C642" s="12" t="s">
        <v>7020</v>
      </c>
      <c r="D642" s="12" t="s">
        <v>13</v>
      </c>
      <c r="E642" s="12" t="s">
        <v>8110</v>
      </c>
      <c r="F642" s="12" t="s">
        <v>869</v>
      </c>
      <c r="G642" s="12" t="s">
        <v>5453</v>
      </c>
      <c r="H642" s="12" t="s">
        <v>7641</v>
      </c>
      <c r="I642" s="12">
        <v>3482</v>
      </c>
      <c r="J642" s="12" t="s">
        <v>869</v>
      </c>
      <c r="K642" s="12" t="s">
        <v>6648</v>
      </c>
      <c r="L642" s="12" t="s">
        <v>861</v>
      </c>
      <c r="M642" s="12" t="s">
        <v>860</v>
      </c>
      <c r="N642" s="12" t="s">
        <v>5785</v>
      </c>
      <c r="O642" s="12" t="s">
        <v>864</v>
      </c>
      <c r="P642" s="12" t="s">
        <v>865</v>
      </c>
      <c r="Q642" s="12" t="s">
        <v>6658</v>
      </c>
      <c r="R642" s="12">
        <v>37.75</v>
      </c>
      <c r="S642" s="12">
        <v>67</v>
      </c>
      <c r="T642" s="12" t="s">
        <v>25</v>
      </c>
      <c r="U642" s="12" t="s">
        <v>870</v>
      </c>
      <c r="V642" s="12" t="s">
        <v>6639</v>
      </c>
      <c r="W642" s="12" t="s">
        <v>6639</v>
      </c>
      <c r="X642" s="12">
        <v>0.9</v>
      </c>
      <c r="Y642" s="12">
        <v>571489</v>
      </c>
      <c r="Z642" s="12" t="s">
        <v>6639</v>
      </c>
      <c r="AA642" s="12" t="s">
        <v>6639</v>
      </c>
      <c r="AB642" s="12" t="s">
        <v>868</v>
      </c>
      <c r="AC642" s="12" t="s">
        <v>21</v>
      </c>
      <c r="AD642" s="12" t="s">
        <v>17</v>
      </c>
      <c r="AE642" s="12">
        <v>0.98499999999999999</v>
      </c>
      <c r="AF642" s="12" t="s">
        <v>45</v>
      </c>
    </row>
    <row r="643" spans="1:32" x14ac:dyDescent="0.2">
      <c r="A643" s="12" t="s">
        <v>859</v>
      </c>
      <c r="B643" s="12" t="s">
        <v>859</v>
      </c>
      <c r="C643" s="12" t="s">
        <v>7564</v>
      </c>
      <c r="D643" s="12" t="s">
        <v>13</v>
      </c>
      <c r="E643" s="12" t="s">
        <v>8110</v>
      </c>
      <c r="F643" s="12" t="s">
        <v>863</v>
      </c>
      <c r="G643" s="12" t="s">
        <v>5453</v>
      </c>
      <c r="H643" s="12" t="s">
        <v>7641</v>
      </c>
      <c r="I643" s="12">
        <v>3422</v>
      </c>
      <c r="J643" s="12" t="s">
        <v>863</v>
      </c>
      <c r="K643" s="12" t="s">
        <v>6648</v>
      </c>
      <c r="L643" s="12" t="s">
        <v>861</v>
      </c>
      <c r="M643" s="12" t="s">
        <v>860</v>
      </c>
      <c r="N643" s="12" t="s">
        <v>5785</v>
      </c>
      <c r="O643" s="12" t="s">
        <v>864</v>
      </c>
      <c r="P643" s="12" t="s">
        <v>865</v>
      </c>
      <c r="Q643" s="12" t="s">
        <v>6658</v>
      </c>
      <c r="R643" s="16">
        <v>37.75</v>
      </c>
      <c r="S643" s="16">
        <v>67</v>
      </c>
      <c r="T643" s="12" t="s">
        <v>25</v>
      </c>
      <c r="U643" s="12" t="s">
        <v>866</v>
      </c>
      <c r="V643" s="12" t="s">
        <v>6639</v>
      </c>
      <c r="W643" s="12" t="s">
        <v>6639</v>
      </c>
      <c r="X643" s="12">
        <v>3.556</v>
      </c>
      <c r="Y643" s="12">
        <v>747332</v>
      </c>
      <c r="Z643" s="12" t="s">
        <v>6639</v>
      </c>
      <c r="AA643" s="12" t="s">
        <v>6639</v>
      </c>
      <c r="AB643" s="12" t="s">
        <v>862</v>
      </c>
      <c r="AC643" s="12" t="s">
        <v>21</v>
      </c>
      <c r="AD643" s="12">
        <v>0.109</v>
      </c>
      <c r="AE643" s="12">
        <v>0.99</v>
      </c>
      <c r="AF643" s="12" t="s">
        <v>45</v>
      </c>
    </row>
    <row r="644" spans="1:32" x14ac:dyDescent="0.2">
      <c r="A644" s="12" t="s">
        <v>3352</v>
      </c>
      <c r="B644" s="12" t="s">
        <v>3352</v>
      </c>
      <c r="C644" s="12" t="s">
        <v>6781</v>
      </c>
      <c r="D644" s="12" t="s">
        <v>13</v>
      </c>
      <c r="E644" s="12" t="s">
        <v>8110</v>
      </c>
      <c r="F644" s="12" t="s">
        <v>3355</v>
      </c>
      <c r="G644" s="12" t="s">
        <v>5453</v>
      </c>
      <c r="H644" s="12" t="s">
        <v>6629</v>
      </c>
      <c r="I644" s="12">
        <v>3405</v>
      </c>
      <c r="J644" s="12" t="s">
        <v>3355</v>
      </c>
      <c r="K644" s="12" t="s">
        <v>6648</v>
      </c>
      <c r="L644" s="12" t="s">
        <v>3353</v>
      </c>
      <c r="M644" s="12" t="s">
        <v>3353</v>
      </c>
      <c r="N644" s="12" t="s">
        <v>5785</v>
      </c>
      <c r="O644" s="12" t="s">
        <v>6726</v>
      </c>
      <c r="P644" s="12" t="s">
        <v>932</v>
      </c>
      <c r="Q644" s="12" t="s">
        <v>6658</v>
      </c>
      <c r="R644" s="12">
        <v>38.348047999999999</v>
      </c>
      <c r="S644" s="12">
        <v>56.245429999999999</v>
      </c>
      <c r="T644" s="12" t="s">
        <v>25</v>
      </c>
      <c r="U644" s="12" t="s">
        <v>883</v>
      </c>
      <c r="V644" s="12" t="s">
        <v>6639</v>
      </c>
      <c r="W644" s="12" t="s">
        <v>6639</v>
      </c>
      <c r="X644" s="12">
        <v>2.4999340000000001</v>
      </c>
      <c r="Y644" s="12">
        <v>811059</v>
      </c>
      <c r="Z644" s="12" t="s">
        <v>6639</v>
      </c>
      <c r="AA644" s="12" t="s">
        <v>6639</v>
      </c>
      <c r="AB644" s="12" t="s">
        <v>3354</v>
      </c>
      <c r="AC644" s="12" t="s">
        <v>21</v>
      </c>
      <c r="AD644" s="12">
        <v>0.13600000000000001</v>
      </c>
      <c r="AE644" s="12">
        <v>0.98699999999999999</v>
      </c>
      <c r="AF644" s="12" t="s">
        <v>45</v>
      </c>
    </row>
    <row r="645" spans="1:32" x14ac:dyDescent="0.2">
      <c r="A645" s="12" t="s">
        <v>1011</v>
      </c>
      <c r="B645" s="12" t="s">
        <v>1011</v>
      </c>
      <c r="C645" s="12" t="s">
        <v>6885</v>
      </c>
      <c r="D645" s="12" t="s">
        <v>13</v>
      </c>
      <c r="E645" s="12" t="s">
        <v>8110</v>
      </c>
      <c r="F645" s="12" t="s">
        <v>5458</v>
      </c>
      <c r="G645" s="12" t="s">
        <v>5453</v>
      </c>
      <c r="H645" s="12" t="s">
        <v>6616</v>
      </c>
      <c r="I645" s="12">
        <v>3400</v>
      </c>
      <c r="J645" s="12" t="s">
        <v>1001</v>
      </c>
      <c r="K645" s="12" t="s">
        <v>6648</v>
      </c>
      <c r="L645" s="12" t="s">
        <v>861</v>
      </c>
      <c r="M645" s="12" t="s">
        <v>896</v>
      </c>
      <c r="N645" s="12" t="s">
        <v>5785</v>
      </c>
      <c r="O645" s="12" t="s">
        <v>899</v>
      </c>
      <c r="P645" s="12" t="s">
        <v>865</v>
      </c>
      <c r="Q645" s="12" t="s">
        <v>6658</v>
      </c>
      <c r="R645" s="12">
        <v>37.666666669999998</v>
      </c>
      <c r="S645" s="12">
        <v>67</v>
      </c>
      <c r="T645" s="12" t="s">
        <v>11</v>
      </c>
      <c r="U645" s="12" t="s">
        <v>1013</v>
      </c>
      <c r="V645" s="12" t="s">
        <v>1014</v>
      </c>
      <c r="W645" s="12" t="s">
        <v>7415</v>
      </c>
      <c r="X645" s="12">
        <v>0.02</v>
      </c>
      <c r="Y645" s="12">
        <v>24080</v>
      </c>
      <c r="Z645" s="12" t="s">
        <v>8052</v>
      </c>
      <c r="AA645" s="12" t="s">
        <v>8052</v>
      </c>
      <c r="AB645" s="12" t="s">
        <v>1012</v>
      </c>
      <c r="AC645" s="12" t="s">
        <v>21</v>
      </c>
      <c r="AD645" s="12">
        <v>0.128</v>
      </c>
      <c r="AE645" s="12">
        <v>0.99199999999999999</v>
      </c>
      <c r="AF645" s="12" t="s">
        <v>45</v>
      </c>
    </row>
    <row r="646" spans="1:32" x14ac:dyDescent="0.2">
      <c r="A646" s="12" t="s">
        <v>1000</v>
      </c>
      <c r="B646" s="12" t="s">
        <v>1000</v>
      </c>
      <c r="C646" s="12" t="s">
        <v>7011</v>
      </c>
      <c r="D646" s="12" t="s">
        <v>13</v>
      </c>
      <c r="E646" s="12" t="s">
        <v>8108</v>
      </c>
      <c r="F646" s="12" t="s">
        <v>5458</v>
      </c>
      <c r="G646" s="12" t="s">
        <v>5453</v>
      </c>
      <c r="H646" s="12" t="s">
        <v>6616</v>
      </c>
      <c r="I646" s="12">
        <v>3400</v>
      </c>
      <c r="J646" s="12" t="s">
        <v>1001</v>
      </c>
      <c r="K646" s="12" t="s">
        <v>6648</v>
      </c>
      <c r="L646" s="12" t="s">
        <v>861</v>
      </c>
      <c r="M646" s="12" t="s">
        <v>896</v>
      </c>
      <c r="N646" s="12" t="s">
        <v>5785</v>
      </c>
      <c r="O646" s="12" t="s">
        <v>899</v>
      </c>
      <c r="P646" s="12" t="s">
        <v>865</v>
      </c>
      <c r="Q646" s="12" t="s">
        <v>6658</v>
      </c>
      <c r="R646" s="12">
        <v>37.666666669999998</v>
      </c>
      <c r="S646" s="12">
        <v>67</v>
      </c>
      <c r="T646" s="12" t="s">
        <v>25</v>
      </c>
      <c r="U646" s="12" t="s">
        <v>295</v>
      </c>
      <c r="V646" s="12" t="s">
        <v>6639</v>
      </c>
      <c r="W646" s="12" t="s">
        <v>6639</v>
      </c>
      <c r="X646" s="12">
        <v>2.3061999999999999E-2</v>
      </c>
      <c r="Y646" s="12">
        <v>26490</v>
      </c>
      <c r="Z646" s="12" t="s">
        <v>6639</v>
      </c>
      <c r="AA646" s="12" t="s">
        <v>6639</v>
      </c>
      <c r="AB646" s="12" t="s">
        <v>999</v>
      </c>
      <c r="AC646" s="12" t="s">
        <v>21</v>
      </c>
      <c r="AD646" s="12">
        <v>0.25600000000000001</v>
      </c>
      <c r="AE646" s="12">
        <v>0.91900000000000004</v>
      </c>
      <c r="AF646" s="12" t="s">
        <v>1002</v>
      </c>
    </row>
    <row r="647" spans="1:32" x14ac:dyDescent="0.2">
      <c r="A647" s="12" t="s">
        <v>1021</v>
      </c>
      <c r="B647" s="12" t="s">
        <v>1021</v>
      </c>
      <c r="C647" s="12" t="s">
        <v>6884</v>
      </c>
      <c r="D647" s="12" t="s">
        <v>13</v>
      </c>
      <c r="E647" s="12" t="s">
        <v>8110</v>
      </c>
      <c r="F647" s="12" t="s">
        <v>5458</v>
      </c>
      <c r="G647" s="12" t="s">
        <v>5453</v>
      </c>
      <c r="H647" s="12" t="s">
        <v>6616</v>
      </c>
      <c r="I647" s="12">
        <v>3400</v>
      </c>
      <c r="J647" s="12" t="s">
        <v>1001</v>
      </c>
      <c r="K647" s="12" t="s">
        <v>6648</v>
      </c>
      <c r="L647" s="12" t="s">
        <v>861</v>
      </c>
      <c r="M647" s="12" t="s">
        <v>896</v>
      </c>
      <c r="N647" s="12" t="s">
        <v>5785</v>
      </c>
      <c r="O647" s="12" t="s">
        <v>899</v>
      </c>
      <c r="P647" s="12" t="s">
        <v>865</v>
      </c>
      <c r="Q647" s="12" t="s">
        <v>6658</v>
      </c>
      <c r="R647" s="12">
        <v>37.666666669999998</v>
      </c>
      <c r="S647" s="12">
        <v>67</v>
      </c>
      <c r="T647" s="12" t="s">
        <v>11</v>
      </c>
      <c r="U647" s="12" t="s">
        <v>531</v>
      </c>
      <c r="V647" s="12" t="s">
        <v>262</v>
      </c>
      <c r="W647" s="12" t="s">
        <v>7415</v>
      </c>
      <c r="X647" s="12">
        <v>6.9000000000000006E-2</v>
      </c>
      <c r="Y647" s="12">
        <v>77841</v>
      </c>
      <c r="Z647" s="12" t="s">
        <v>8052</v>
      </c>
      <c r="AA647" s="12" t="s">
        <v>8052</v>
      </c>
      <c r="AB647" s="12" t="s">
        <v>1022</v>
      </c>
      <c r="AC647" s="12" t="s">
        <v>21</v>
      </c>
      <c r="AD647" s="12">
        <v>9.9000000000000005E-2</v>
      </c>
      <c r="AE647" s="12">
        <v>0.94399999999999995</v>
      </c>
      <c r="AF647" s="12" t="s">
        <v>1673</v>
      </c>
    </row>
    <row r="648" spans="1:32" x14ac:dyDescent="0.2">
      <c r="A648" s="12" t="s">
        <v>1010</v>
      </c>
      <c r="B648" s="12" t="s">
        <v>1010</v>
      </c>
      <c r="C648" s="12" t="s">
        <v>6886</v>
      </c>
      <c r="D648" s="12" t="s">
        <v>13</v>
      </c>
      <c r="E648" s="12" t="s">
        <v>8108</v>
      </c>
      <c r="F648" s="12" t="s">
        <v>5458</v>
      </c>
      <c r="G648" s="12" t="s">
        <v>5453</v>
      </c>
      <c r="H648" s="12" t="s">
        <v>6616</v>
      </c>
      <c r="I648" s="12">
        <v>3400</v>
      </c>
      <c r="J648" s="12" t="s">
        <v>1001</v>
      </c>
      <c r="K648" s="12" t="s">
        <v>6648</v>
      </c>
      <c r="L648" s="12" t="s">
        <v>861</v>
      </c>
      <c r="M648" s="12" t="s">
        <v>896</v>
      </c>
      <c r="N648" s="12" t="s">
        <v>5785</v>
      </c>
      <c r="O648" s="12" t="s">
        <v>899</v>
      </c>
      <c r="P648" s="12" t="s">
        <v>865</v>
      </c>
      <c r="Q648" s="12" t="s">
        <v>6658</v>
      </c>
      <c r="R648" s="12">
        <v>37.666666669999998</v>
      </c>
      <c r="S648" s="12">
        <v>67</v>
      </c>
      <c r="T648" s="12" t="s">
        <v>25</v>
      </c>
      <c r="U648" s="12" t="s">
        <v>920</v>
      </c>
      <c r="V648" s="12" t="s">
        <v>6639</v>
      </c>
      <c r="W648" s="12" t="s">
        <v>6639</v>
      </c>
      <c r="X648" s="12">
        <v>7.936E-2</v>
      </c>
      <c r="Y648" s="12">
        <v>86645</v>
      </c>
      <c r="Z648" s="12" t="s">
        <v>6639</v>
      </c>
      <c r="AA648" s="12" t="s">
        <v>6639</v>
      </c>
      <c r="AB648" s="12" t="s">
        <v>1009</v>
      </c>
      <c r="AC648" s="12" t="s">
        <v>21</v>
      </c>
      <c r="AD648" s="12">
        <v>0.23499999999999999</v>
      </c>
      <c r="AE648" s="12">
        <v>0.998</v>
      </c>
      <c r="AF648" s="12" t="s">
        <v>45</v>
      </c>
    </row>
    <row r="649" spans="1:32" x14ac:dyDescent="0.2">
      <c r="A649" s="12" t="s">
        <v>1018</v>
      </c>
      <c r="B649" s="12" t="s">
        <v>1018</v>
      </c>
      <c r="C649" s="12" t="s">
        <v>6881</v>
      </c>
      <c r="D649" s="12" t="s">
        <v>13</v>
      </c>
      <c r="E649" s="12" t="s">
        <v>8110</v>
      </c>
      <c r="F649" s="12" t="s">
        <v>5458</v>
      </c>
      <c r="G649" s="12" t="s">
        <v>5453</v>
      </c>
      <c r="H649" s="12" t="s">
        <v>6616</v>
      </c>
      <c r="I649" s="12">
        <v>3400</v>
      </c>
      <c r="J649" s="12" t="s">
        <v>1001</v>
      </c>
      <c r="K649" s="12" t="s">
        <v>6648</v>
      </c>
      <c r="L649" s="12" t="s">
        <v>861</v>
      </c>
      <c r="M649" s="12" t="s">
        <v>896</v>
      </c>
      <c r="N649" s="12" t="s">
        <v>5785</v>
      </c>
      <c r="O649" s="12" t="s">
        <v>899</v>
      </c>
      <c r="P649" s="12" t="s">
        <v>865</v>
      </c>
      <c r="Q649" s="12" t="s">
        <v>6658</v>
      </c>
      <c r="R649" s="12">
        <v>37.666666669999998</v>
      </c>
      <c r="S649" s="12">
        <v>67</v>
      </c>
      <c r="T649" s="12" t="s">
        <v>11</v>
      </c>
      <c r="U649" s="12" t="s">
        <v>1020</v>
      </c>
      <c r="V649" s="12" t="s">
        <v>628</v>
      </c>
      <c r="W649" s="12" t="s">
        <v>7415</v>
      </c>
      <c r="X649" s="12">
        <v>0.26500000000000001</v>
      </c>
      <c r="Y649" s="12">
        <v>242409</v>
      </c>
      <c r="Z649" s="12" t="s">
        <v>8052</v>
      </c>
      <c r="AA649" s="12" t="s">
        <v>8052</v>
      </c>
      <c r="AB649" s="12" t="s">
        <v>1019</v>
      </c>
      <c r="AC649" s="12" t="s">
        <v>21</v>
      </c>
      <c r="AD649" s="12">
        <v>0.11899999999999999</v>
      </c>
      <c r="AE649" s="12">
        <v>0.96799999999999997</v>
      </c>
      <c r="AF649" s="12" t="s">
        <v>45</v>
      </c>
    </row>
    <row r="650" spans="1:32" x14ac:dyDescent="0.2">
      <c r="A650" s="12" t="s">
        <v>1023</v>
      </c>
      <c r="B650" s="12" t="s">
        <v>1023</v>
      </c>
      <c r="C650" s="12" t="s">
        <v>6882</v>
      </c>
      <c r="D650" s="12" t="s">
        <v>13</v>
      </c>
      <c r="E650" s="12" t="s">
        <v>8110</v>
      </c>
      <c r="F650" s="12" t="s">
        <v>5458</v>
      </c>
      <c r="G650" s="12" t="s">
        <v>5453</v>
      </c>
      <c r="H650" s="12" t="s">
        <v>6616</v>
      </c>
      <c r="I650" s="12">
        <v>3400</v>
      </c>
      <c r="J650" s="12" t="s">
        <v>1001</v>
      </c>
      <c r="K650" s="12" t="s">
        <v>6648</v>
      </c>
      <c r="L650" s="12" t="s">
        <v>861</v>
      </c>
      <c r="M650" s="12" t="s">
        <v>896</v>
      </c>
      <c r="N650" s="12" t="s">
        <v>5785</v>
      </c>
      <c r="O650" s="12" t="s">
        <v>899</v>
      </c>
      <c r="P650" s="12" t="s">
        <v>865</v>
      </c>
      <c r="Q650" s="12" t="s">
        <v>6658</v>
      </c>
      <c r="R650" s="12">
        <v>37.666666669999998</v>
      </c>
      <c r="S650" s="12">
        <v>67</v>
      </c>
      <c r="T650" s="12" t="s">
        <v>25</v>
      </c>
      <c r="U650" s="12" t="s">
        <v>1025</v>
      </c>
      <c r="V650" s="12" t="s">
        <v>6639</v>
      </c>
      <c r="W650" s="12" t="s">
        <v>6639</v>
      </c>
      <c r="X650" s="12">
        <v>0.26300000000000001</v>
      </c>
      <c r="Y650" s="12">
        <v>254447</v>
      </c>
      <c r="Z650" s="12" t="s">
        <v>6639</v>
      </c>
      <c r="AA650" s="12" t="s">
        <v>6639</v>
      </c>
      <c r="AB650" s="12" t="s">
        <v>1024</v>
      </c>
      <c r="AC650" s="12" t="s">
        <v>21</v>
      </c>
      <c r="AD650" s="12" t="s">
        <v>17</v>
      </c>
      <c r="AE650" s="12">
        <v>0.98099999999999998</v>
      </c>
      <c r="AF650" s="12" t="s">
        <v>45</v>
      </c>
    </row>
    <row r="651" spans="1:32" x14ac:dyDescent="0.2">
      <c r="A651" s="12" t="s">
        <v>1015</v>
      </c>
      <c r="B651" s="12" t="s">
        <v>1015</v>
      </c>
      <c r="C651" s="12" t="s">
        <v>6880</v>
      </c>
      <c r="D651" s="12" t="s">
        <v>13</v>
      </c>
      <c r="E651" s="12" t="s">
        <v>8110</v>
      </c>
      <c r="F651" s="12" t="s">
        <v>5458</v>
      </c>
      <c r="G651" s="12" t="s">
        <v>5453</v>
      </c>
      <c r="H651" s="12" t="s">
        <v>6616</v>
      </c>
      <c r="I651" s="12">
        <v>3400</v>
      </c>
      <c r="J651" s="12" t="s">
        <v>1001</v>
      </c>
      <c r="K651" s="12" t="s">
        <v>6648</v>
      </c>
      <c r="L651" s="12" t="s">
        <v>861</v>
      </c>
      <c r="M651" s="12" t="s">
        <v>896</v>
      </c>
      <c r="N651" s="12" t="s">
        <v>5785</v>
      </c>
      <c r="O651" s="12" t="s">
        <v>899</v>
      </c>
      <c r="P651" s="12" t="s">
        <v>865</v>
      </c>
      <c r="Q651" s="12" t="s">
        <v>6658</v>
      </c>
      <c r="R651" s="12">
        <v>37.666666669999998</v>
      </c>
      <c r="S651" s="12">
        <v>67</v>
      </c>
      <c r="T651" s="12" t="s">
        <v>11</v>
      </c>
      <c r="U651" s="12" t="s">
        <v>1017</v>
      </c>
      <c r="V651" s="12" t="s">
        <v>232</v>
      </c>
      <c r="W651" s="12" t="s">
        <v>7415</v>
      </c>
      <c r="X651" s="12">
        <v>0.29332200000000003</v>
      </c>
      <c r="Y651" s="12">
        <v>281113</v>
      </c>
      <c r="Z651" s="12" t="s">
        <v>8052</v>
      </c>
      <c r="AA651" s="12" t="s">
        <v>8052</v>
      </c>
      <c r="AB651" s="12" t="s">
        <v>1016</v>
      </c>
      <c r="AC651" s="12" t="s">
        <v>21</v>
      </c>
      <c r="AD651" s="12">
        <v>0.108</v>
      </c>
      <c r="AE651" s="12">
        <v>0.98</v>
      </c>
      <c r="AF651" s="12" t="s">
        <v>45</v>
      </c>
    </row>
    <row r="652" spans="1:32" x14ac:dyDescent="0.2">
      <c r="A652" s="12" t="s">
        <v>1004</v>
      </c>
      <c r="B652" s="12" t="s">
        <v>1004</v>
      </c>
      <c r="C652" s="12" t="s">
        <v>7010</v>
      </c>
      <c r="D652" s="12" t="s">
        <v>13</v>
      </c>
      <c r="E652" s="12" t="s">
        <v>8108</v>
      </c>
      <c r="F652" s="12" t="s">
        <v>5458</v>
      </c>
      <c r="G652" s="12" t="s">
        <v>5453</v>
      </c>
      <c r="H652" s="12" t="s">
        <v>6616</v>
      </c>
      <c r="I652" s="12">
        <v>3400</v>
      </c>
      <c r="J652" s="12" t="s">
        <v>1001</v>
      </c>
      <c r="K652" s="12" t="s">
        <v>6648</v>
      </c>
      <c r="L652" s="12" t="s">
        <v>861</v>
      </c>
      <c r="M652" s="12" t="s">
        <v>896</v>
      </c>
      <c r="N652" s="12" t="s">
        <v>5785</v>
      </c>
      <c r="O652" s="12" t="s">
        <v>899</v>
      </c>
      <c r="P652" s="12" t="s">
        <v>865</v>
      </c>
      <c r="Q652" s="12" t="s">
        <v>6658</v>
      </c>
      <c r="R652" s="12">
        <v>37.666666669999998</v>
      </c>
      <c r="S652" s="12">
        <v>67</v>
      </c>
      <c r="T652" s="12" t="s">
        <v>25</v>
      </c>
      <c r="U652" s="12" t="s">
        <v>1005</v>
      </c>
      <c r="V652" s="12" t="s">
        <v>6639</v>
      </c>
      <c r="W652" s="12" t="s">
        <v>6639</v>
      </c>
      <c r="X652" s="12">
        <v>0.32536999999999999</v>
      </c>
      <c r="Y652" s="12">
        <v>290796</v>
      </c>
      <c r="Z652" s="12" t="s">
        <v>6639</v>
      </c>
      <c r="AA652" s="12" t="s">
        <v>6639</v>
      </c>
      <c r="AB652" s="12" t="s">
        <v>1003</v>
      </c>
      <c r="AC652" s="12" t="s">
        <v>21</v>
      </c>
      <c r="AD652" s="12">
        <v>0.22</v>
      </c>
      <c r="AE652" s="12">
        <v>0.99399999999999999</v>
      </c>
      <c r="AF652" s="12" t="s">
        <v>45</v>
      </c>
    </row>
    <row r="653" spans="1:32" x14ac:dyDescent="0.2">
      <c r="A653" s="12" t="s">
        <v>1101</v>
      </c>
      <c r="B653" s="12" t="s">
        <v>1101</v>
      </c>
      <c r="C653" s="12" t="s">
        <v>6888</v>
      </c>
      <c r="D653" s="12" t="s">
        <v>13</v>
      </c>
      <c r="E653" s="12" t="s">
        <v>8110</v>
      </c>
      <c r="F653" s="12" t="s">
        <v>5458</v>
      </c>
      <c r="G653" s="12" t="s">
        <v>5453</v>
      </c>
      <c r="H653" s="12" t="s">
        <v>6616</v>
      </c>
      <c r="I653" s="12">
        <v>3400</v>
      </c>
      <c r="J653" s="12" t="s">
        <v>1001</v>
      </c>
      <c r="K653" s="12" t="s">
        <v>6648</v>
      </c>
      <c r="L653" s="12" t="s">
        <v>1103</v>
      </c>
      <c r="M653" s="12" t="s">
        <v>1102</v>
      </c>
      <c r="N653" s="12" t="s">
        <v>24</v>
      </c>
      <c r="O653" s="12" t="s">
        <v>899</v>
      </c>
      <c r="P653" s="12" t="s">
        <v>865</v>
      </c>
      <c r="Q653" s="12" t="s">
        <v>6658</v>
      </c>
      <c r="R653" s="12">
        <v>37.666666669999998</v>
      </c>
      <c r="S653" s="12">
        <v>67</v>
      </c>
      <c r="T653" s="12" t="s">
        <v>11</v>
      </c>
      <c r="U653" s="12" t="s">
        <v>306</v>
      </c>
      <c r="V653" s="12" t="s">
        <v>854</v>
      </c>
      <c r="W653" s="12" t="s">
        <v>7415</v>
      </c>
      <c r="X653" s="12">
        <v>8.9949999999999995E-3</v>
      </c>
      <c r="Y653" s="12">
        <v>10710</v>
      </c>
      <c r="Z653" s="12" t="s">
        <v>8052</v>
      </c>
      <c r="AA653" s="12" t="s">
        <v>8052</v>
      </c>
      <c r="AB653" s="12" t="s">
        <v>1104</v>
      </c>
      <c r="AC653" s="12" t="s">
        <v>21</v>
      </c>
      <c r="AD653" s="12">
        <v>5.5E-2</v>
      </c>
      <c r="AE653" s="12">
        <v>0.78200000000000003</v>
      </c>
      <c r="AF653" s="12" t="s">
        <v>8074</v>
      </c>
    </row>
    <row r="654" spans="1:32" x14ac:dyDescent="0.2">
      <c r="A654" s="12" t="s">
        <v>1184</v>
      </c>
      <c r="B654" s="12" t="s">
        <v>1184</v>
      </c>
      <c r="C654" s="12" t="s">
        <v>6889</v>
      </c>
      <c r="D654" s="12" t="s">
        <v>13</v>
      </c>
      <c r="E654" s="12" t="s">
        <v>8108</v>
      </c>
      <c r="F654" s="12" t="s">
        <v>5458</v>
      </c>
      <c r="G654" s="12" t="s">
        <v>5453</v>
      </c>
      <c r="H654" s="12" t="s">
        <v>6616</v>
      </c>
      <c r="I654" s="12">
        <v>3400</v>
      </c>
      <c r="J654" s="12" t="s">
        <v>1001</v>
      </c>
      <c r="K654" s="12" t="s">
        <v>6648</v>
      </c>
      <c r="L654" s="12" t="s">
        <v>1185</v>
      </c>
      <c r="M654" s="12" t="s">
        <v>1185</v>
      </c>
      <c r="N654" s="12" t="s">
        <v>5785</v>
      </c>
      <c r="O654" s="12" t="s">
        <v>899</v>
      </c>
      <c r="P654" s="12" t="s">
        <v>865</v>
      </c>
      <c r="Q654" s="12" t="s">
        <v>6658</v>
      </c>
      <c r="R654" s="12">
        <v>37.666666669999998</v>
      </c>
      <c r="S654" s="12">
        <v>67</v>
      </c>
      <c r="T654" s="12" t="s">
        <v>25</v>
      </c>
      <c r="U654" s="12" t="s">
        <v>875</v>
      </c>
      <c r="V654" s="12" t="s">
        <v>6639</v>
      </c>
      <c r="W654" s="12" t="s">
        <v>6639</v>
      </c>
      <c r="X654" s="12">
        <v>1.541477</v>
      </c>
      <c r="Y654" s="12">
        <v>683196</v>
      </c>
      <c r="Z654" s="12" t="s">
        <v>6639</v>
      </c>
      <c r="AA654" s="12" t="s">
        <v>6639</v>
      </c>
      <c r="AB654" s="12" t="s">
        <v>1183</v>
      </c>
      <c r="AC654" s="12" t="s">
        <v>21</v>
      </c>
      <c r="AD654" s="12">
        <v>0.183</v>
      </c>
      <c r="AE654" s="12">
        <v>0.98499999999999999</v>
      </c>
      <c r="AF654" s="12" t="s">
        <v>45</v>
      </c>
    </row>
    <row r="655" spans="1:32" x14ac:dyDescent="0.2">
      <c r="A655" s="12" t="s">
        <v>988</v>
      </c>
      <c r="B655" s="12" t="s">
        <v>988</v>
      </c>
      <c r="C655" s="12" t="s">
        <v>6782</v>
      </c>
      <c r="D655" s="12" t="s">
        <v>13</v>
      </c>
      <c r="E655" s="12" t="s">
        <v>8110</v>
      </c>
      <c r="F655" s="12" t="s">
        <v>5458</v>
      </c>
      <c r="G655" s="12" t="s">
        <v>5453</v>
      </c>
      <c r="H655" s="12" t="s">
        <v>6629</v>
      </c>
      <c r="I655" s="12">
        <v>3250</v>
      </c>
      <c r="J655" s="12" t="s">
        <v>991</v>
      </c>
      <c r="K655" s="12" t="s">
        <v>6648</v>
      </c>
      <c r="L655" s="12" t="s">
        <v>861</v>
      </c>
      <c r="M655" s="12" t="s">
        <v>989</v>
      </c>
      <c r="N655" s="12" t="s">
        <v>5785</v>
      </c>
      <c r="O655" s="12" t="s">
        <v>992</v>
      </c>
      <c r="P655" s="12" t="s">
        <v>932</v>
      </c>
      <c r="Q655" s="12" t="s">
        <v>6658</v>
      </c>
      <c r="R655" s="12">
        <v>38.348047999999999</v>
      </c>
      <c r="S655" s="12">
        <v>56.245429999999999</v>
      </c>
      <c r="T655" s="12" t="s">
        <v>25</v>
      </c>
      <c r="U655" s="12" t="s">
        <v>993</v>
      </c>
      <c r="V655" s="12" t="s">
        <v>6639</v>
      </c>
      <c r="W655" s="12" t="s">
        <v>6639</v>
      </c>
      <c r="X655" s="12">
        <v>2.4618069999999999</v>
      </c>
      <c r="Y655" s="12">
        <v>821527</v>
      </c>
      <c r="Z655" s="12" t="s">
        <v>6639</v>
      </c>
      <c r="AA655" s="12" t="s">
        <v>6639</v>
      </c>
      <c r="AB655" s="12" t="s">
        <v>990</v>
      </c>
      <c r="AC655" s="12" t="s">
        <v>21</v>
      </c>
      <c r="AD655" s="12">
        <v>0.13800000000000001</v>
      </c>
      <c r="AE655" s="12">
        <v>0.98799999999999999</v>
      </c>
      <c r="AF655" s="12" t="s">
        <v>45</v>
      </c>
    </row>
    <row r="656" spans="1:32" x14ac:dyDescent="0.2">
      <c r="A656" s="12" t="s">
        <v>994</v>
      </c>
      <c r="B656" s="12" t="s">
        <v>994</v>
      </c>
      <c r="C656" s="12" t="s">
        <v>6784</v>
      </c>
      <c r="D656" s="12" t="s">
        <v>13</v>
      </c>
      <c r="E656" s="12" t="s">
        <v>8110</v>
      </c>
      <c r="F656" s="12" t="s">
        <v>5458</v>
      </c>
      <c r="G656" s="12" t="s">
        <v>5453</v>
      </c>
      <c r="H656" s="12" t="s">
        <v>6629</v>
      </c>
      <c r="I656" s="12">
        <v>3250</v>
      </c>
      <c r="J656" s="12" t="s">
        <v>991</v>
      </c>
      <c r="K656" s="12" t="s">
        <v>6648</v>
      </c>
      <c r="L656" s="12" t="s">
        <v>861</v>
      </c>
      <c r="M656" s="12" t="s">
        <v>995</v>
      </c>
      <c r="N656" s="12" t="s">
        <v>5785</v>
      </c>
      <c r="O656" s="12" t="s">
        <v>997</v>
      </c>
      <c r="P656" s="12" t="s">
        <v>932</v>
      </c>
      <c r="Q656" s="12" t="s">
        <v>6658</v>
      </c>
      <c r="R656" s="12">
        <v>37.931600000000003</v>
      </c>
      <c r="S656" s="12">
        <v>58.432537000000004</v>
      </c>
      <c r="T656" s="12" t="s">
        <v>11</v>
      </c>
      <c r="U656" s="12" t="s">
        <v>998</v>
      </c>
      <c r="V656" s="12" t="s">
        <v>904</v>
      </c>
      <c r="W656" s="12" t="s">
        <v>7415</v>
      </c>
      <c r="X656" s="12">
        <v>0.98565499999999995</v>
      </c>
      <c r="Y656" s="12">
        <v>658949</v>
      </c>
      <c r="Z656" s="12">
        <v>6.1659999999999996E-3</v>
      </c>
      <c r="AA656" s="12">
        <v>2.0396916182104832</v>
      </c>
      <c r="AB656" s="12" t="s">
        <v>996</v>
      </c>
      <c r="AC656" s="12" t="s">
        <v>21</v>
      </c>
      <c r="AD656" s="12">
        <v>0.123</v>
      </c>
      <c r="AE656" s="12">
        <v>0.98599999999999999</v>
      </c>
      <c r="AF656" s="12" t="s">
        <v>436</v>
      </c>
    </row>
    <row r="657" spans="1:32" x14ac:dyDescent="0.2">
      <c r="A657" s="12" t="s">
        <v>1996</v>
      </c>
      <c r="B657" s="12" t="s">
        <v>1996</v>
      </c>
      <c r="C657" s="12" t="s">
        <v>1997</v>
      </c>
      <c r="D657" s="12" t="s">
        <v>13</v>
      </c>
      <c r="E657" s="12" t="s">
        <v>8110</v>
      </c>
      <c r="F657" s="12" t="s">
        <v>1999</v>
      </c>
      <c r="G657" s="12" t="s">
        <v>5453</v>
      </c>
      <c r="H657" s="12" t="s">
        <v>6617</v>
      </c>
      <c r="I657" s="12">
        <v>7925</v>
      </c>
      <c r="J657" s="12" t="s">
        <v>1999</v>
      </c>
      <c r="K657" s="12" t="s">
        <v>6651</v>
      </c>
      <c r="L657" s="12" t="s">
        <v>1974</v>
      </c>
      <c r="M657" s="12" t="s">
        <v>1974</v>
      </c>
      <c r="N657" s="12" t="s">
        <v>5785</v>
      </c>
      <c r="O657" s="12" t="s">
        <v>1972</v>
      </c>
      <c r="P657" s="12" t="s">
        <v>826</v>
      </c>
      <c r="Q657" s="12" t="s">
        <v>6658</v>
      </c>
      <c r="R657" s="16">
        <v>36.994399999999999</v>
      </c>
      <c r="S657" s="16">
        <v>45.474400000000003</v>
      </c>
      <c r="T657" s="12" t="s">
        <v>25</v>
      </c>
      <c r="U657" s="12" t="s">
        <v>531</v>
      </c>
      <c r="V657" s="12" t="s">
        <v>6639</v>
      </c>
      <c r="W657" s="12" t="s">
        <v>6639</v>
      </c>
      <c r="X657" s="12">
        <v>2.871</v>
      </c>
      <c r="Y657" s="12">
        <v>745071</v>
      </c>
      <c r="Z657" s="12" t="s">
        <v>6639</v>
      </c>
      <c r="AA657" s="12" t="s">
        <v>6639</v>
      </c>
      <c r="AB657" s="12" t="s">
        <v>1998</v>
      </c>
      <c r="AC657" s="12" t="s">
        <v>144</v>
      </c>
      <c r="AD657" s="12">
        <v>0.27300000000000002</v>
      </c>
      <c r="AE657" s="12">
        <v>0.98799999999999999</v>
      </c>
      <c r="AF657" s="12" t="s">
        <v>45</v>
      </c>
    </row>
    <row r="658" spans="1:32" x14ac:dyDescent="0.2">
      <c r="A658" s="12" t="s">
        <v>1991</v>
      </c>
      <c r="B658" s="12" t="s">
        <v>1991</v>
      </c>
      <c r="C658" s="12" t="s">
        <v>1992</v>
      </c>
      <c r="D658" s="12" t="s">
        <v>13</v>
      </c>
      <c r="E658" s="12" t="s">
        <v>8110</v>
      </c>
      <c r="F658" s="12" t="s">
        <v>1994</v>
      </c>
      <c r="G658" s="12" t="s">
        <v>5453</v>
      </c>
      <c r="H658" s="12" t="s">
        <v>6617</v>
      </c>
      <c r="I658" s="12">
        <v>7908</v>
      </c>
      <c r="J658" s="12" t="s">
        <v>1994</v>
      </c>
      <c r="K658" s="12" t="s">
        <v>6651</v>
      </c>
      <c r="L658" s="12" t="s">
        <v>1974</v>
      </c>
      <c r="M658" s="12" t="s">
        <v>1974</v>
      </c>
      <c r="N658" s="12" t="s">
        <v>5785</v>
      </c>
      <c r="O658" s="12" t="s">
        <v>1972</v>
      </c>
      <c r="P658" s="12" t="s">
        <v>826</v>
      </c>
      <c r="Q658" s="12" t="s">
        <v>6658</v>
      </c>
      <c r="R658" s="12">
        <v>36.994399999999999</v>
      </c>
      <c r="S658" s="12">
        <v>45.474400000000003</v>
      </c>
      <c r="T658" s="12" t="s">
        <v>11</v>
      </c>
      <c r="U658" s="12" t="s">
        <v>1995</v>
      </c>
      <c r="V658" s="12" t="s">
        <v>1979</v>
      </c>
      <c r="W658" s="12" t="s">
        <v>7415</v>
      </c>
      <c r="X658" s="12">
        <v>2.4616259999999999</v>
      </c>
      <c r="Y658" s="12">
        <v>863861</v>
      </c>
      <c r="Z658" s="12">
        <v>6.9449999999999998E-3</v>
      </c>
      <c r="AA658" s="12">
        <v>4.5965493779932176</v>
      </c>
      <c r="AB658" s="12" t="s">
        <v>1993</v>
      </c>
      <c r="AC658" s="12" t="s">
        <v>21</v>
      </c>
      <c r="AD658" s="12">
        <v>9.7000000000000003E-2</v>
      </c>
      <c r="AE658" s="12">
        <v>0.98099999999999998</v>
      </c>
      <c r="AF658" s="12" t="s">
        <v>22</v>
      </c>
    </row>
    <row r="659" spans="1:32" x14ac:dyDescent="0.2">
      <c r="A659" s="12" t="s">
        <v>1986</v>
      </c>
      <c r="B659" s="12" t="s">
        <v>1986</v>
      </c>
      <c r="C659" s="12" t="s">
        <v>1987</v>
      </c>
      <c r="D659" s="12" t="s">
        <v>26</v>
      </c>
      <c r="E659" s="12" t="s">
        <v>8110</v>
      </c>
      <c r="F659" s="12" t="s">
        <v>1989</v>
      </c>
      <c r="G659" s="12" t="s">
        <v>5453</v>
      </c>
      <c r="H659" s="12" t="s">
        <v>6617</v>
      </c>
      <c r="I659" s="12">
        <v>7906</v>
      </c>
      <c r="J659" s="12" t="s">
        <v>1989</v>
      </c>
      <c r="K659" s="12" t="s">
        <v>6651</v>
      </c>
      <c r="L659" s="12" t="s">
        <v>1974</v>
      </c>
      <c r="M659" s="12" t="s">
        <v>1974</v>
      </c>
      <c r="N659" s="12" t="s">
        <v>5785</v>
      </c>
      <c r="O659" s="12" t="s">
        <v>1972</v>
      </c>
      <c r="P659" s="12" t="s">
        <v>826</v>
      </c>
      <c r="Q659" s="12" t="s">
        <v>6658</v>
      </c>
      <c r="R659" s="12">
        <v>36.994399999999999</v>
      </c>
      <c r="S659" s="12">
        <v>45.474400000000003</v>
      </c>
      <c r="T659" s="12" t="s">
        <v>11</v>
      </c>
      <c r="U659" s="12" t="s">
        <v>1990</v>
      </c>
      <c r="V659" s="12" t="s">
        <v>854</v>
      </c>
      <c r="W659" s="12" t="s">
        <v>7415</v>
      </c>
      <c r="X659" s="12">
        <v>1.3842E-2</v>
      </c>
      <c r="Y659" s="12">
        <v>16500</v>
      </c>
      <c r="Z659" s="12" t="s">
        <v>8052</v>
      </c>
      <c r="AA659" s="12" t="s">
        <v>8052</v>
      </c>
      <c r="AB659" s="12" t="s">
        <v>1988</v>
      </c>
      <c r="AC659" s="12" t="s">
        <v>219</v>
      </c>
      <c r="AD659" s="12" t="s">
        <v>7814</v>
      </c>
      <c r="AE659" s="12" t="s">
        <v>7681</v>
      </c>
      <c r="AF659" s="12" t="s">
        <v>45</v>
      </c>
    </row>
    <row r="660" spans="1:32" x14ac:dyDescent="0.2">
      <c r="A660" s="12" t="s">
        <v>1980</v>
      </c>
      <c r="B660" s="12" t="s">
        <v>1980</v>
      </c>
      <c r="C660" s="12" t="s">
        <v>1981</v>
      </c>
      <c r="D660" s="12" t="s">
        <v>13</v>
      </c>
      <c r="E660" s="12" t="s">
        <v>8110</v>
      </c>
      <c r="F660" s="12" t="s">
        <v>1983</v>
      </c>
      <c r="G660" s="12" t="s">
        <v>5453</v>
      </c>
      <c r="H660" s="12" t="s">
        <v>6617</v>
      </c>
      <c r="I660" s="12">
        <v>7906</v>
      </c>
      <c r="J660" s="12" t="s">
        <v>1983</v>
      </c>
      <c r="K660" s="12" t="s">
        <v>6651</v>
      </c>
      <c r="L660" s="12" t="s">
        <v>1974</v>
      </c>
      <c r="M660" s="12" t="s">
        <v>1974</v>
      </c>
      <c r="N660" s="12" t="s">
        <v>5785</v>
      </c>
      <c r="O660" s="12" t="s">
        <v>1972</v>
      </c>
      <c r="P660" s="12" t="s">
        <v>826</v>
      </c>
      <c r="Q660" s="12" t="s">
        <v>6658</v>
      </c>
      <c r="R660" s="16">
        <v>36.994399999999999</v>
      </c>
      <c r="S660" s="16">
        <v>45.474400000000003</v>
      </c>
      <c r="T660" s="12" t="s">
        <v>25</v>
      </c>
      <c r="U660" s="12" t="s">
        <v>1984</v>
      </c>
      <c r="V660" s="12" t="s">
        <v>6639</v>
      </c>
      <c r="W660" s="12" t="s">
        <v>6639</v>
      </c>
      <c r="X660" s="12">
        <v>0.57890799999999998</v>
      </c>
      <c r="Y660" s="12">
        <v>458229</v>
      </c>
      <c r="Z660" s="12" t="s">
        <v>6639</v>
      </c>
      <c r="AA660" s="12" t="s">
        <v>6639</v>
      </c>
      <c r="AB660" s="12" t="s">
        <v>1982</v>
      </c>
      <c r="AC660" s="12" t="s">
        <v>219</v>
      </c>
      <c r="AD660" s="12" t="s">
        <v>7808</v>
      </c>
      <c r="AE660" s="12" t="s">
        <v>7751</v>
      </c>
      <c r="AF660" s="12" t="s">
        <v>1985</v>
      </c>
    </row>
    <row r="661" spans="1:32" x14ac:dyDescent="0.2">
      <c r="A661" s="12" t="s">
        <v>1973</v>
      </c>
      <c r="B661" s="12" t="s">
        <v>1973</v>
      </c>
      <c r="C661" s="12" t="s">
        <v>1975</v>
      </c>
      <c r="D661" s="12" t="s">
        <v>13</v>
      </c>
      <c r="E661" s="12" t="s">
        <v>8110</v>
      </c>
      <c r="F661" s="12" t="s">
        <v>1977</v>
      </c>
      <c r="G661" s="12" t="s">
        <v>5453</v>
      </c>
      <c r="H661" s="12" t="s">
        <v>6617</v>
      </c>
      <c r="I661" s="12">
        <v>7756</v>
      </c>
      <c r="J661" s="12" t="s">
        <v>1977</v>
      </c>
      <c r="K661" s="12" t="s">
        <v>6651</v>
      </c>
      <c r="L661" s="12" t="s">
        <v>1974</v>
      </c>
      <c r="M661" s="12" t="s">
        <v>1974</v>
      </c>
      <c r="N661" s="12" t="s">
        <v>5785</v>
      </c>
      <c r="O661" s="12" t="s">
        <v>1972</v>
      </c>
      <c r="P661" s="12" t="s">
        <v>826</v>
      </c>
      <c r="Q661" s="12" t="s">
        <v>6658</v>
      </c>
      <c r="R661" s="12">
        <v>36.994399999999999</v>
      </c>
      <c r="S661" s="12">
        <v>45.474400000000003</v>
      </c>
      <c r="T661" s="12" t="s">
        <v>11</v>
      </c>
      <c r="U661" s="12" t="s">
        <v>1978</v>
      </c>
      <c r="V661" s="12" t="s">
        <v>1979</v>
      </c>
      <c r="W661" s="12" t="s">
        <v>7415</v>
      </c>
      <c r="X661" s="12">
        <v>7.2924790000000002</v>
      </c>
      <c r="Y661" s="12">
        <v>916581</v>
      </c>
      <c r="Z661" s="12">
        <v>1.1219E-2</v>
      </c>
      <c r="AA661" s="12">
        <v>7.131324688532926</v>
      </c>
      <c r="AB661" s="12" t="s">
        <v>1976</v>
      </c>
      <c r="AC661" s="12" t="s">
        <v>144</v>
      </c>
      <c r="AD661" s="12" t="s">
        <v>7929</v>
      </c>
      <c r="AE661" s="12" t="s">
        <v>7775</v>
      </c>
      <c r="AF661" s="12" t="s">
        <v>328</v>
      </c>
    </row>
    <row r="662" spans="1:32" x14ac:dyDescent="0.2">
      <c r="A662" s="12" t="s">
        <v>3825</v>
      </c>
      <c r="B662" s="12" t="s">
        <v>3825</v>
      </c>
      <c r="C662" s="12" t="s">
        <v>3827</v>
      </c>
      <c r="D662" s="12" t="s">
        <v>13</v>
      </c>
      <c r="E662" s="12" t="s">
        <v>8110</v>
      </c>
      <c r="F662" s="12" t="s">
        <v>5460</v>
      </c>
      <c r="G662" s="12" t="s">
        <v>192</v>
      </c>
      <c r="H662" s="12" t="s">
        <v>6614</v>
      </c>
      <c r="I662" s="12">
        <v>7698</v>
      </c>
      <c r="J662" s="12" t="s">
        <v>3829</v>
      </c>
      <c r="K662" s="12" t="s">
        <v>6651</v>
      </c>
      <c r="L662" s="12" t="s">
        <v>3826</v>
      </c>
      <c r="M662" s="12" t="s">
        <v>3826</v>
      </c>
      <c r="N662" s="12" t="s">
        <v>5785</v>
      </c>
      <c r="O662" s="12" t="s">
        <v>3805</v>
      </c>
      <c r="P662" s="12" t="s">
        <v>826</v>
      </c>
      <c r="Q662" s="12" t="s">
        <v>6658</v>
      </c>
      <c r="R662" s="12">
        <v>34.5</v>
      </c>
      <c r="S662" s="12">
        <v>47.96</v>
      </c>
      <c r="T662" s="12" t="s">
        <v>11</v>
      </c>
      <c r="U662" s="12" t="s">
        <v>3819</v>
      </c>
      <c r="V662" s="12" t="s">
        <v>3552</v>
      </c>
      <c r="W662" s="12" t="s">
        <v>7160</v>
      </c>
      <c r="X662" s="12">
        <v>0.66300000000000003</v>
      </c>
      <c r="Y662" s="12">
        <v>520294</v>
      </c>
      <c r="Z662" s="12" t="s">
        <v>17</v>
      </c>
      <c r="AA662" s="12" t="s">
        <v>17</v>
      </c>
      <c r="AB662" s="12" t="s">
        <v>3828</v>
      </c>
      <c r="AC662" s="12" t="s">
        <v>58</v>
      </c>
      <c r="AD662" s="12" t="s">
        <v>7921</v>
      </c>
      <c r="AE662" s="12" t="s">
        <v>7755</v>
      </c>
      <c r="AF662" s="12" t="s">
        <v>3830</v>
      </c>
    </row>
    <row r="663" spans="1:32" x14ac:dyDescent="0.2">
      <c r="A663" s="12" t="s">
        <v>3820</v>
      </c>
      <c r="B663" s="12" t="s">
        <v>3820</v>
      </c>
      <c r="C663" s="12" t="s">
        <v>3821</v>
      </c>
      <c r="D663" s="12" t="s">
        <v>13</v>
      </c>
      <c r="E663" s="12" t="s">
        <v>8110</v>
      </c>
      <c r="F663" s="12" t="s">
        <v>5460</v>
      </c>
      <c r="G663" s="12" t="s">
        <v>192</v>
      </c>
      <c r="H663" s="12" t="s">
        <v>6614</v>
      </c>
      <c r="I663" s="12">
        <v>6678</v>
      </c>
      <c r="J663" s="12" t="s">
        <v>3823</v>
      </c>
      <c r="K663" s="12" t="s">
        <v>6651</v>
      </c>
      <c r="L663" s="12" t="s">
        <v>3801</v>
      </c>
      <c r="M663" s="12" t="s">
        <v>3801</v>
      </c>
      <c r="N663" s="12" t="s">
        <v>5785</v>
      </c>
      <c r="O663" s="12" t="s">
        <v>3805</v>
      </c>
      <c r="P663" s="12" t="s">
        <v>826</v>
      </c>
      <c r="Q663" s="12" t="s">
        <v>6658</v>
      </c>
      <c r="R663" s="12">
        <v>34.5</v>
      </c>
      <c r="S663" s="12">
        <v>47.96</v>
      </c>
      <c r="T663" s="12" t="s">
        <v>25</v>
      </c>
      <c r="U663" s="12" t="s">
        <v>866</v>
      </c>
      <c r="V663" s="12" t="s">
        <v>6639</v>
      </c>
      <c r="W663" s="12" t="s">
        <v>6639</v>
      </c>
      <c r="X663" s="12">
        <v>0.13200000000000001</v>
      </c>
      <c r="Y663" s="12">
        <v>141920</v>
      </c>
      <c r="Z663" s="12" t="s">
        <v>6639</v>
      </c>
      <c r="AA663" s="12" t="s">
        <v>6639</v>
      </c>
      <c r="AB663" s="12" t="s">
        <v>3822</v>
      </c>
      <c r="AC663" s="12" t="s">
        <v>340</v>
      </c>
      <c r="AD663" s="12" t="s">
        <v>7867</v>
      </c>
      <c r="AE663" s="12" t="s">
        <v>7715</v>
      </c>
      <c r="AF663" s="12" t="s">
        <v>3824</v>
      </c>
    </row>
    <row r="664" spans="1:32" x14ac:dyDescent="0.2">
      <c r="A664" s="12" t="s">
        <v>3815</v>
      </c>
      <c r="B664" s="12" t="s">
        <v>3815</v>
      </c>
      <c r="C664" s="12" t="s">
        <v>3816</v>
      </c>
      <c r="D664" s="12" t="s">
        <v>13</v>
      </c>
      <c r="E664" s="12" t="s">
        <v>8110</v>
      </c>
      <c r="F664" s="12" t="s">
        <v>5460</v>
      </c>
      <c r="G664" s="12" t="s">
        <v>192</v>
      </c>
      <c r="H664" s="12" t="s">
        <v>6614</v>
      </c>
      <c r="I664" s="12">
        <v>6672</v>
      </c>
      <c r="J664" s="12" t="s">
        <v>3818</v>
      </c>
      <c r="K664" s="12" t="s">
        <v>6651</v>
      </c>
      <c r="L664" s="12" t="s">
        <v>3801</v>
      </c>
      <c r="M664" s="12" t="s">
        <v>3801</v>
      </c>
      <c r="N664" s="12" t="s">
        <v>5785</v>
      </c>
      <c r="O664" s="12" t="s">
        <v>3805</v>
      </c>
      <c r="P664" s="12" t="s">
        <v>826</v>
      </c>
      <c r="Q664" s="12" t="s">
        <v>6658</v>
      </c>
      <c r="R664" s="12">
        <v>34.5</v>
      </c>
      <c r="S664" s="12">
        <v>47.96</v>
      </c>
      <c r="T664" s="12" t="s">
        <v>11</v>
      </c>
      <c r="U664" s="12" t="s">
        <v>3819</v>
      </c>
      <c r="V664" s="12" t="s">
        <v>262</v>
      </c>
      <c r="W664" s="12" t="s">
        <v>7160</v>
      </c>
      <c r="X664" s="12">
        <v>0.90600000000000003</v>
      </c>
      <c r="Y664" s="12">
        <v>607598</v>
      </c>
      <c r="Z664" s="12" t="s">
        <v>17</v>
      </c>
      <c r="AA664" s="12" t="s">
        <v>17</v>
      </c>
      <c r="AB664" s="12" t="s">
        <v>3817</v>
      </c>
      <c r="AC664" s="12" t="s">
        <v>21</v>
      </c>
      <c r="AD664" s="12">
        <v>0.112</v>
      </c>
      <c r="AE664" s="12">
        <v>0.998</v>
      </c>
      <c r="AF664" s="12" t="s">
        <v>328</v>
      </c>
    </row>
    <row r="665" spans="1:32" x14ac:dyDescent="0.2">
      <c r="A665" s="12" t="s">
        <v>3810</v>
      </c>
      <c r="B665" s="12" t="s">
        <v>3810</v>
      </c>
      <c r="C665" s="12" t="s">
        <v>3811</v>
      </c>
      <c r="D665" s="12" t="s">
        <v>13</v>
      </c>
      <c r="E665" s="12" t="s">
        <v>8110</v>
      </c>
      <c r="F665" s="12" t="s">
        <v>5460</v>
      </c>
      <c r="G665" s="12" t="s">
        <v>192</v>
      </c>
      <c r="H665" s="12" t="s">
        <v>6614</v>
      </c>
      <c r="I665" s="12">
        <v>6544</v>
      </c>
      <c r="J665" s="12" t="s">
        <v>3813</v>
      </c>
      <c r="K665" s="12" t="s">
        <v>6651</v>
      </c>
      <c r="L665" s="12" t="s">
        <v>3801</v>
      </c>
      <c r="M665" s="12" t="s">
        <v>3801</v>
      </c>
      <c r="N665" s="12" t="s">
        <v>5785</v>
      </c>
      <c r="O665" s="12" t="s">
        <v>3805</v>
      </c>
      <c r="P665" s="12" t="s">
        <v>826</v>
      </c>
      <c r="Q665" s="12" t="s">
        <v>6658</v>
      </c>
      <c r="R665" s="12">
        <v>34.5</v>
      </c>
      <c r="S665" s="12">
        <v>47.96</v>
      </c>
      <c r="T665" s="12" t="s">
        <v>25</v>
      </c>
      <c r="U665" s="12" t="s">
        <v>3814</v>
      </c>
      <c r="V665" s="12" t="s">
        <v>6639</v>
      </c>
      <c r="W665" s="12" t="s">
        <v>6639</v>
      </c>
      <c r="X665" s="12">
        <v>2.61</v>
      </c>
      <c r="Y665" s="12">
        <v>837023</v>
      </c>
      <c r="Z665" s="12" t="s">
        <v>6639</v>
      </c>
      <c r="AA665" s="12" t="s">
        <v>6639</v>
      </c>
      <c r="AB665" s="12" t="s">
        <v>3812</v>
      </c>
      <c r="AC665" s="12" t="s">
        <v>340</v>
      </c>
      <c r="AD665" s="12" t="s">
        <v>7866</v>
      </c>
      <c r="AE665" s="12" t="s">
        <v>7767</v>
      </c>
      <c r="AF665" s="12" t="s">
        <v>45</v>
      </c>
    </row>
    <row r="666" spans="1:32" x14ac:dyDescent="0.2">
      <c r="A666" s="12" t="s">
        <v>3806</v>
      </c>
      <c r="B666" s="12" t="s">
        <v>3806</v>
      </c>
      <c r="C666" s="12" t="s">
        <v>3807</v>
      </c>
      <c r="D666" s="12" t="s">
        <v>13</v>
      </c>
      <c r="E666" s="12" t="s">
        <v>8110</v>
      </c>
      <c r="F666" s="12" t="s">
        <v>5460</v>
      </c>
      <c r="G666" s="12" t="s">
        <v>192</v>
      </c>
      <c r="H666" s="12" t="s">
        <v>6614</v>
      </c>
      <c r="I666" s="12">
        <v>5836</v>
      </c>
      <c r="J666" s="12" t="s">
        <v>3809</v>
      </c>
      <c r="K666" s="12" t="s">
        <v>6651</v>
      </c>
      <c r="L666" s="12" t="s">
        <v>3801</v>
      </c>
      <c r="M666" s="12" t="s">
        <v>3801</v>
      </c>
      <c r="N666" s="12" t="s">
        <v>5785</v>
      </c>
      <c r="O666" s="12" t="s">
        <v>3805</v>
      </c>
      <c r="P666" s="12" t="s">
        <v>826</v>
      </c>
      <c r="Q666" s="12" t="s">
        <v>6658</v>
      </c>
      <c r="R666" s="12">
        <v>34.5</v>
      </c>
      <c r="S666" s="12">
        <v>47.96</v>
      </c>
      <c r="T666" s="12" t="s">
        <v>11</v>
      </c>
      <c r="U666" s="12" t="s">
        <v>912</v>
      </c>
      <c r="V666" s="12" t="s">
        <v>1693</v>
      </c>
      <c r="W666" s="12" t="s">
        <v>7160</v>
      </c>
      <c r="X666" s="12">
        <v>0.91500000000000004</v>
      </c>
      <c r="Y666" s="12">
        <v>624951</v>
      </c>
      <c r="Z666" s="12" t="s">
        <v>17</v>
      </c>
      <c r="AA666" s="12" t="s">
        <v>17</v>
      </c>
      <c r="AB666" s="12" t="s">
        <v>3808</v>
      </c>
      <c r="AC666" s="12" t="s">
        <v>21</v>
      </c>
      <c r="AD666" s="12">
        <v>0.11600000000000001</v>
      </c>
      <c r="AE666" s="12">
        <v>0.998</v>
      </c>
      <c r="AF666" s="12" t="s">
        <v>111</v>
      </c>
    </row>
    <row r="667" spans="1:32" x14ac:dyDescent="0.2">
      <c r="A667" s="12" t="s">
        <v>3800</v>
      </c>
      <c r="B667" s="12" t="s">
        <v>3800</v>
      </c>
      <c r="C667" s="12" t="s">
        <v>3802</v>
      </c>
      <c r="D667" s="12" t="s">
        <v>13</v>
      </c>
      <c r="E667" s="12" t="s">
        <v>8110</v>
      </c>
      <c r="F667" s="12" t="s">
        <v>5460</v>
      </c>
      <c r="G667" s="12" t="s">
        <v>192</v>
      </c>
      <c r="H667" s="12" t="s">
        <v>6614</v>
      </c>
      <c r="I667" s="12">
        <v>5826</v>
      </c>
      <c r="J667" s="12" t="s">
        <v>3804</v>
      </c>
      <c r="K667" s="12" t="s">
        <v>6651</v>
      </c>
      <c r="L667" s="12" t="s">
        <v>3801</v>
      </c>
      <c r="M667" s="12" t="s">
        <v>3801</v>
      </c>
      <c r="N667" s="12" t="s">
        <v>5785</v>
      </c>
      <c r="O667" s="12" t="s">
        <v>3805</v>
      </c>
      <c r="P667" s="12" t="s">
        <v>826</v>
      </c>
      <c r="Q667" s="12" t="s">
        <v>6658</v>
      </c>
      <c r="R667" s="12">
        <v>34.5</v>
      </c>
      <c r="S667" s="12">
        <v>47.96</v>
      </c>
      <c r="T667" s="12" t="s">
        <v>25</v>
      </c>
      <c r="U667" s="12" t="s">
        <v>1005</v>
      </c>
      <c r="V667" s="12" t="s">
        <v>6639</v>
      </c>
      <c r="W667" s="12" t="s">
        <v>6639</v>
      </c>
      <c r="X667" s="12">
        <v>1.4770000000000001</v>
      </c>
      <c r="Y667" s="12">
        <v>730012</v>
      </c>
      <c r="Z667" s="12" t="s">
        <v>6639</v>
      </c>
      <c r="AA667" s="12" t="s">
        <v>6639</v>
      </c>
      <c r="AB667" s="12" t="s">
        <v>3803</v>
      </c>
      <c r="AC667" s="12" t="s">
        <v>21</v>
      </c>
      <c r="AD667" s="12">
        <v>8.1000000000000003E-2</v>
      </c>
      <c r="AE667" s="12">
        <v>1</v>
      </c>
      <c r="AF667" s="12" t="s">
        <v>45</v>
      </c>
    </row>
    <row r="668" spans="1:32" x14ac:dyDescent="0.2">
      <c r="A668" s="12" t="s">
        <v>4652</v>
      </c>
      <c r="B668" s="12" t="s">
        <v>4652</v>
      </c>
      <c r="C668" s="12" t="s">
        <v>4653</v>
      </c>
      <c r="D668" s="12" t="s">
        <v>118</v>
      </c>
      <c r="E668" s="12" t="s">
        <v>8110</v>
      </c>
      <c r="F668" s="12" t="s">
        <v>4655</v>
      </c>
      <c r="G668" s="12" t="s">
        <v>5453</v>
      </c>
      <c r="H668" s="12" t="s">
        <v>6617</v>
      </c>
      <c r="I668" s="12">
        <v>5569</v>
      </c>
      <c r="J668" s="12" t="s">
        <v>4655</v>
      </c>
      <c r="K668" s="12" t="s">
        <v>6651</v>
      </c>
      <c r="L668" s="12" t="s">
        <v>4602</v>
      </c>
      <c r="M668" s="12" t="s">
        <v>4602</v>
      </c>
      <c r="N668" s="12" t="s">
        <v>5785</v>
      </c>
      <c r="O668" s="12" t="s">
        <v>4606</v>
      </c>
      <c r="P668" s="12" t="s">
        <v>826</v>
      </c>
      <c r="Q668" s="12" t="s">
        <v>6658</v>
      </c>
      <c r="R668" s="12">
        <v>36.154444439999999</v>
      </c>
      <c r="S668" s="12">
        <v>54.383611109999997</v>
      </c>
      <c r="T668" s="12" t="s">
        <v>25</v>
      </c>
      <c r="U668" s="12" t="s">
        <v>4656</v>
      </c>
      <c r="V668" s="12" t="s">
        <v>6639</v>
      </c>
      <c r="W668" s="12" t="s">
        <v>6639</v>
      </c>
      <c r="X668" s="12">
        <v>3.9683999999999997E-2</v>
      </c>
      <c r="Y668" s="12">
        <v>45366</v>
      </c>
      <c r="Z668" s="12" t="s">
        <v>6639</v>
      </c>
      <c r="AA668" s="12" t="s">
        <v>6639</v>
      </c>
      <c r="AB668" s="12" t="s">
        <v>4654</v>
      </c>
      <c r="AC668" s="12" t="s">
        <v>340</v>
      </c>
      <c r="AD668" s="12" t="s">
        <v>7815</v>
      </c>
      <c r="AE668" s="12" t="s">
        <v>7694</v>
      </c>
      <c r="AF668" s="12" t="s">
        <v>8087</v>
      </c>
    </row>
    <row r="669" spans="1:32" x14ac:dyDescent="0.2">
      <c r="A669" s="12" t="s">
        <v>4648</v>
      </c>
      <c r="B669" s="12" t="s">
        <v>4648</v>
      </c>
      <c r="C669" s="12" t="s">
        <v>4650</v>
      </c>
      <c r="D669" s="12" t="s">
        <v>118</v>
      </c>
      <c r="E669" s="12" t="s">
        <v>8110</v>
      </c>
      <c r="F669" s="12" t="s">
        <v>4649</v>
      </c>
      <c r="G669" s="12" t="s">
        <v>5453</v>
      </c>
      <c r="H669" s="12" t="s">
        <v>6617</v>
      </c>
      <c r="I669" s="12">
        <v>5541</v>
      </c>
      <c r="J669" s="12" t="s">
        <v>4649</v>
      </c>
      <c r="K669" s="12" t="s">
        <v>6651</v>
      </c>
      <c r="L669" s="12" t="s">
        <v>4602</v>
      </c>
      <c r="M669" s="12" t="s">
        <v>4602</v>
      </c>
      <c r="N669" s="12" t="s">
        <v>5785</v>
      </c>
      <c r="O669" s="12" t="s">
        <v>4606</v>
      </c>
      <c r="P669" s="12" t="s">
        <v>826</v>
      </c>
      <c r="Q669" s="12" t="s">
        <v>6658</v>
      </c>
      <c r="R669" s="12">
        <v>36.154444439999999</v>
      </c>
      <c r="S669" s="12">
        <v>54.383611109999997</v>
      </c>
      <c r="T669" s="12" t="s">
        <v>25</v>
      </c>
      <c r="U669" s="12" t="s">
        <v>3790</v>
      </c>
      <c r="V669" s="12" t="s">
        <v>6639</v>
      </c>
      <c r="W669" s="12" t="s">
        <v>6639</v>
      </c>
      <c r="X669" s="12">
        <v>0.17546100000000001</v>
      </c>
      <c r="Y669" s="12">
        <v>180658</v>
      </c>
      <c r="Z669" s="12" t="s">
        <v>6639</v>
      </c>
      <c r="AA669" s="12" t="s">
        <v>6639</v>
      </c>
      <c r="AB669" s="12" t="s">
        <v>4651</v>
      </c>
      <c r="AC669" s="12" t="s">
        <v>58</v>
      </c>
      <c r="AD669" s="12" t="s">
        <v>7955</v>
      </c>
      <c r="AE669" s="12" t="s">
        <v>7720</v>
      </c>
      <c r="AF669" s="12" t="s">
        <v>45</v>
      </c>
    </row>
    <row r="670" spans="1:32" x14ac:dyDescent="0.2">
      <c r="A670" s="12" t="s">
        <v>4643</v>
      </c>
      <c r="B670" s="12" t="s">
        <v>4643</v>
      </c>
      <c r="C670" s="12" t="s">
        <v>4644</v>
      </c>
      <c r="D670" s="12" t="s">
        <v>26</v>
      </c>
      <c r="E670" s="12" t="s">
        <v>8110</v>
      </c>
      <c r="F670" s="12" t="s">
        <v>4646</v>
      </c>
      <c r="G670" s="12" t="s">
        <v>5453</v>
      </c>
      <c r="H670" s="12" t="s">
        <v>6617</v>
      </c>
      <c r="I670" s="12">
        <v>5530</v>
      </c>
      <c r="J670" s="12" t="s">
        <v>4646</v>
      </c>
      <c r="K670" s="12" t="s">
        <v>6651</v>
      </c>
      <c r="L670" s="12" t="s">
        <v>4602</v>
      </c>
      <c r="M670" s="12" t="s">
        <v>4602</v>
      </c>
      <c r="N670" s="12" t="s">
        <v>5785</v>
      </c>
      <c r="O670" s="12" t="s">
        <v>4606</v>
      </c>
      <c r="P670" s="12" t="s">
        <v>826</v>
      </c>
      <c r="Q670" s="12" t="s">
        <v>6658</v>
      </c>
      <c r="R670" s="12">
        <v>36.154444439999999</v>
      </c>
      <c r="S670" s="12">
        <v>54.383611109999997</v>
      </c>
      <c r="T670" s="12" t="s">
        <v>11</v>
      </c>
      <c r="U670" s="12" t="s">
        <v>1672</v>
      </c>
      <c r="V670" s="12" t="s">
        <v>500</v>
      </c>
      <c r="W670" s="12" t="s">
        <v>7415</v>
      </c>
      <c r="X670" s="12">
        <v>0.67342299999999999</v>
      </c>
      <c r="Y670" s="12">
        <v>521911</v>
      </c>
      <c r="Z670" s="12">
        <v>1.781E-3</v>
      </c>
      <c r="AA670" s="12">
        <v>0.54985801252107891</v>
      </c>
      <c r="AB670" s="12" t="s">
        <v>4645</v>
      </c>
      <c r="AC670" s="12" t="s">
        <v>340</v>
      </c>
      <c r="AD670" s="12" t="s">
        <v>7854</v>
      </c>
      <c r="AE670" s="12" t="s">
        <v>7756</v>
      </c>
      <c r="AF670" s="12" t="s">
        <v>45</v>
      </c>
    </row>
    <row r="671" spans="1:32" x14ac:dyDescent="0.2">
      <c r="A671" s="12" t="s">
        <v>3784</v>
      </c>
      <c r="B671" s="12" t="s">
        <v>3784</v>
      </c>
      <c r="C671" s="12" t="s">
        <v>7009</v>
      </c>
      <c r="D671" s="12" t="s">
        <v>13</v>
      </c>
      <c r="E671" s="12" t="s">
        <v>8110</v>
      </c>
      <c r="F671" s="12" t="s">
        <v>3787</v>
      </c>
      <c r="G671" s="12" t="s">
        <v>5453</v>
      </c>
      <c r="H671" s="12" t="s">
        <v>6616</v>
      </c>
      <c r="I671" s="12">
        <v>5529</v>
      </c>
      <c r="J671" s="12" t="s">
        <v>3787</v>
      </c>
      <c r="K671" s="12" t="s">
        <v>6651</v>
      </c>
      <c r="L671" s="12" t="s">
        <v>3785</v>
      </c>
      <c r="M671" s="12" t="s">
        <v>3785</v>
      </c>
      <c r="N671" s="12" t="s">
        <v>5785</v>
      </c>
      <c r="O671" s="12" t="s">
        <v>3788</v>
      </c>
      <c r="P671" s="12" t="s">
        <v>3789</v>
      </c>
      <c r="Q671" s="12" t="s">
        <v>6658</v>
      </c>
      <c r="R671" s="12">
        <v>39.507222220000003</v>
      </c>
      <c r="S671" s="12">
        <v>67.46083333</v>
      </c>
      <c r="T671" s="12" t="s">
        <v>25</v>
      </c>
      <c r="U671" s="12" t="s">
        <v>3790</v>
      </c>
      <c r="V671" s="12" t="s">
        <v>6639</v>
      </c>
      <c r="W671" s="12" t="s">
        <v>6639</v>
      </c>
      <c r="X671" s="12">
        <v>2.0259999999999998</v>
      </c>
      <c r="Y671" s="12">
        <v>783119</v>
      </c>
      <c r="Z671" s="12" t="s">
        <v>6639</v>
      </c>
      <c r="AA671" s="12" t="s">
        <v>6639</v>
      </c>
      <c r="AB671" s="12" t="s">
        <v>3786</v>
      </c>
      <c r="AC671" s="12" t="s">
        <v>21</v>
      </c>
      <c r="AD671" s="12">
        <v>0.1</v>
      </c>
      <c r="AE671" s="12">
        <v>0.995</v>
      </c>
      <c r="AF671" s="12" t="s">
        <v>45</v>
      </c>
    </row>
    <row r="672" spans="1:32" x14ac:dyDescent="0.2">
      <c r="A672" s="12" t="s">
        <v>4657</v>
      </c>
      <c r="B672" s="12" t="s">
        <v>4657</v>
      </c>
      <c r="C672" s="12" t="s">
        <v>4659</v>
      </c>
      <c r="D672" s="12" t="s">
        <v>118</v>
      </c>
      <c r="E672" s="12" t="s">
        <v>8110</v>
      </c>
      <c r="F672" s="12" t="s">
        <v>4661</v>
      </c>
      <c r="G672" s="12" t="s">
        <v>5453</v>
      </c>
      <c r="H672" s="12" t="s">
        <v>6617</v>
      </c>
      <c r="I672" s="12">
        <v>5462</v>
      </c>
      <c r="J672" s="12" t="s">
        <v>4661</v>
      </c>
      <c r="K672" s="12" t="s">
        <v>6651</v>
      </c>
      <c r="L672" s="12" t="s">
        <v>4658</v>
      </c>
      <c r="M672" s="12" t="s">
        <v>4658</v>
      </c>
      <c r="N672" s="12" t="s">
        <v>24</v>
      </c>
      <c r="O672" s="12" t="s">
        <v>4606</v>
      </c>
      <c r="P672" s="12" t="s">
        <v>826</v>
      </c>
      <c r="Q672" s="12" t="s">
        <v>6658</v>
      </c>
      <c r="R672" s="12">
        <v>36.154444439999999</v>
      </c>
      <c r="S672" s="12">
        <v>54.383611109999997</v>
      </c>
      <c r="T672" s="12" t="s">
        <v>11</v>
      </c>
      <c r="U672" s="12" t="s">
        <v>4662</v>
      </c>
      <c r="V672" s="12" t="s">
        <v>2050</v>
      </c>
      <c r="W672" s="12" t="s">
        <v>7415</v>
      </c>
      <c r="X672" s="12">
        <v>7.0559999999999998E-3</v>
      </c>
      <c r="Y672" s="12">
        <v>8442</v>
      </c>
      <c r="Z672" s="12" t="s">
        <v>8052</v>
      </c>
      <c r="AA672" s="12" t="s">
        <v>8052</v>
      </c>
      <c r="AB672" s="12" t="s">
        <v>4660</v>
      </c>
      <c r="AC672" s="12" t="s">
        <v>58</v>
      </c>
      <c r="AD672" s="12" t="s">
        <v>7685</v>
      </c>
      <c r="AE672" s="12" t="s">
        <v>7680</v>
      </c>
      <c r="AF672" s="12" t="s">
        <v>4663</v>
      </c>
    </row>
    <row r="673" spans="1:32" x14ac:dyDescent="0.2">
      <c r="A673" s="12" t="s">
        <v>3346</v>
      </c>
      <c r="B673" s="12" t="s">
        <v>3346</v>
      </c>
      <c r="C673" s="12" t="s">
        <v>6739</v>
      </c>
      <c r="D673" s="12" t="s">
        <v>13</v>
      </c>
      <c r="E673" s="12" t="s">
        <v>8110</v>
      </c>
      <c r="F673" s="12" t="s">
        <v>5458</v>
      </c>
      <c r="G673" s="12" t="s">
        <v>5453</v>
      </c>
      <c r="H673" s="12" t="s">
        <v>6629</v>
      </c>
      <c r="I673" s="12">
        <v>5450</v>
      </c>
      <c r="J673" s="12" t="s">
        <v>6686</v>
      </c>
      <c r="K673" s="12" t="s">
        <v>6651</v>
      </c>
      <c r="L673" s="12" t="s">
        <v>3313</v>
      </c>
      <c r="M673" s="12" t="s">
        <v>3317</v>
      </c>
      <c r="N673" s="12" t="s">
        <v>5785</v>
      </c>
      <c r="O673" s="12" t="s">
        <v>992</v>
      </c>
      <c r="P673" s="12" t="s">
        <v>932</v>
      </c>
      <c r="Q673" s="12" t="s">
        <v>6658</v>
      </c>
      <c r="R673" s="12">
        <v>38.348047999999999</v>
      </c>
      <c r="S673" s="12">
        <v>56.245429999999999</v>
      </c>
      <c r="T673" s="12" t="s">
        <v>25</v>
      </c>
      <c r="U673" s="12" t="s">
        <v>908</v>
      </c>
      <c r="V673" s="12" t="s">
        <v>6639</v>
      </c>
      <c r="W673" s="12" t="s">
        <v>6639</v>
      </c>
      <c r="X673" s="12">
        <v>3.8130000000000002</v>
      </c>
      <c r="Y673" s="12">
        <v>782514</v>
      </c>
      <c r="Z673" s="12" t="s">
        <v>6639</v>
      </c>
      <c r="AA673" s="12" t="s">
        <v>6639</v>
      </c>
      <c r="AB673" s="12" t="s">
        <v>3347</v>
      </c>
      <c r="AC673" s="12" t="s">
        <v>21</v>
      </c>
      <c r="AD673" s="12">
        <v>0.10199999999999999</v>
      </c>
      <c r="AE673" s="12">
        <v>0.98599999999999999</v>
      </c>
      <c r="AF673" s="12" t="s">
        <v>45</v>
      </c>
    </row>
    <row r="674" spans="1:32" x14ac:dyDescent="0.2">
      <c r="A674" s="12" t="s">
        <v>3332</v>
      </c>
      <c r="B674" s="12" t="s">
        <v>3332</v>
      </c>
      <c r="C674" s="12" t="s">
        <v>3334</v>
      </c>
      <c r="D674" s="12" t="s">
        <v>13</v>
      </c>
      <c r="E674" s="12" t="s">
        <v>8110</v>
      </c>
      <c r="F674" s="12" t="s">
        <v>5458</v>
      </c>
      <c r="G674" s="12" t="s">
        <v>5453</v>
      </c>
      <c r="H674" s="12" t="s">
        <v>7626</v>
      </c>
      <c r="I674" s="12">
        <v>5450</v>
      </c>
      <c r="J674" s="12" t="s">
        <v>3336</v>
      </c>
      <c r="K674" s="12" t="s">
        <v>6651</v>
      </c>
      <c r="L674" s="12" t="s">
        <v>3313</v>
      </c>
      <c r="M674" s="12" t="s">
        <v>3333</v>
      </c>
      <c r="N674" s="12" t="s">
        <v>5785</v>
      </c>
      <c r="O674" s="12" t="s">
        <v>3337</v>
      </c>
      <c r="P674" s="12" t="s">
        <v>932</v>
      </c>
      <c r="Q674" s="12" t="s">
        <v>6658</v>
      </c>
      <c r="R674" s="12">
        <v>37.872</v>
      </c>
      <c r="S674" s="12">
        <v>58.225000000000001</v>
      </c>
      <c r="T674" s="12" t="s">
        <v>11</v>
      </c>
      <c r="U674" s="12" t="s">
        <v>2654</v>
      </c>
      <c r="V674" s="12" t="s">
        <v>780</v>
      </c>
      <c r="W674" s="12" t="s">
        <v>7415</v>
      </c>
      <c r="X674" s="12">
        <v>1.294</v>
      </c>
      <c r="Y674" s="12">
        <v>659729</v>
      </c>
      <c r="Z674" s="12">
        <v>1.6001999999999999E-2</v>
      </c>
      <c r="AA674" s="12">
        <v>4.7410467633956346</v>
      </c>
      <c r="AB674" s="12" t="s">
        <v>3335</v>
      </c>
      <c r="AC674" s="12" t="s">
        <v>21</v>
      </c>
      <c r="AD674" s="12">
        <v>0.111</v>
      </c>
      <c r="AE674" s="12">
        <v>0.99199999999999999</v>
      </c>
      <c r="AF674" s="12" t="s">
        <v>7669</v>
      </c>
    </row>
    <row r="675" spans="1:32" x14ac:dyDescent="0.2">
      <c r="A675" s="12" t="s">
        <v>3338</v>
      </c>
      <c r="B675" s="12" t="s">
        <v>3338</v>
      </c>
      <c r="C675" s="12" t="s">
        <v>3339</v>
      </c>
      <c r="D675" s="12" t="s">
        <v>13</v>
      </c>
      <c r="E675" s="12" t="s">
        <v>8110</v>
      </c>
      <c r="F675" s="12" t="s">
        <v>5458</v>
      </c>
      <c r="G675" s="12" t="s">
        <v>5453</v>
      </c>
      <c r="H675" s="12" t="s">
        <v>7626</v>
      </c>
      <c r="I675" s="12">
        <v>5450</v>
      </c>
      <c r="J675" s="12" t="s">
        <v>3336</v>
      </c>
      <c r="K675" s="12" t="s">
        <v>6651</v>
      </c>
      <c r="L675" s="12" t="s">
        <v>3313</v>
      </c>
      <c r="M675" s="12" t="s">
        <v>3333</v>
      </c>
      <c r="N675" s="12" t="s">
        <v>5785</v>
      </c>
      <c r="O675" s="12" t="s">
        <v>3337</v>
      </c>
      <c r="P675" s="12" t="s">
        <v>932</v>
      </c>
      <c r="Q675" s="12" t="s">
        <v>6658</v>
      </c>
      <c r="R675" s="16">
        <v>37.872</v>
      </c>
      <c r="S675" s="16">
        <v>58.225000000000001</v>
      </c>
      <c r="T675" s="12" t="s">
        <v>25</v>
      </c>
      <c r="U675" s="12" t="s">
        <v>3341</v>
      </c>
      <c r="V675" s="12" t="s">
        <v>6639</v>
      </c>
      <c r="W675" s="12" t="s">
        <v>6639</v>
      </c>
      <c r="X675" s="12">
        <v>1.9950000000000001</v>
      </c>
      <c r="Y675" s="12">
        <v>721350</v>
      </c>
      <c r="Z675" s="12" t="s">
        <v>6639</v>
      </c>
      <c r="AA675" s="12" t="s">
        <v>6639</v>
      </c>
      <c r="AB675" s="12" t="s">
        <v>3340</v>
      </c>
      <c r="AC675" s="12" t="s">
        <v>21</v>
      </c>
      <c r="AD675" s="12">
        <v>0.122</v>
      </c>
      <c r="AE675" s="12">
        <v>0.99099999999999999</v>
      </c>
      <c r="AF675" s="12" t="s">
        <v>45</v>
      </c>
    </row>
    <row r="676" spans="1:32" x14ac:dyDescent="0.2">
      <c r="A676" s="12" t="s">
        <v>3342</v>
      </c>
      <c r="B676" s="12" t="s">
        <v>3342</v>
      </c>
      <c r="C676" s="12" t="s">
        <v>3343</v>
      </c>
      <c r="D676" s="12" t="s">
        <v>13</v>
      </c>
      <c r="E676" s="12" t="s">
        <v>8110</v>
      </c>
      <c r="F676" s="12" t="s">
        <v>5458</v>
      </c>
      <c r="G676" s="12" t="s">
        <v>5453</v>
      </c>
      <c r="H676" s="12" t="s">
        <v>7626</v>
      </c>
      <c r="I676" s="12">
        <v>5450</v>
      </c>
      <c r="J676" s="12" t="s">
        <v>3336</v>
      </c>
      <c r="K676" s="12" t="s">
        <v>6651</v>
      </c>
      <c r="L676" s="12" t="s">
        <v>3313</v>
      </c>
      <c r="M676" s="12" t="s">
        <v>3333</v>
      </c>
      <c r="N676" s="12" t="s">
        <v>5785</v>
      </c>
      <c r="O676" s="12" t="s">
        <v>3337</v>
      </c>
      <c r="P676" s="12" t="s">
        <v>932</v>
      </c>
      <c r="Q676" s="12" t="s">
        <v>6658</v>
      </c>
      <c r="R676" s="12">
        <v>37.872</v>
      </c>
      <c r="S676" s="12">
        <v>58.225000000000001</v>
      </c>
      <c r="T676" s="12" t="s">
        <v>11</v>
      </c>
      <c r="U676" s="12" t="s">
        <v>1032</v>
      </c>
      <c r="V676" s="12" t="s">
        <v>904</v>
      </c>
      <c r="W676" s="12" t="s">
        <v>7415</v>
      </c>
      <c r="X676" s="12">
        <v>2.9020000000000001</v>
      </c>
      <c r="Y676" s="12">
        <v>803294</v>
      </c>
      <c r="Z676" s="12">
        <v>1.1166000000000001E-2</v>
      </c>
      <c r="AA676" s="12">
        <v>7.053245497286655</v>
      </c>
      <c r="AB676" s="12" t="s">
        <v>3344</v>
      </c>
      <c r="AC676" s="12" t="s">
        <v>21</v>
      </c>
      <c r="AD676" s="12">
        <v>0.11</v>
      </c>
      <c r="AE676" s="12">
        <v>0.98899999999999999</v>
      </c>
      <c r="AF676" s="12" t="s">
        <v>328</v>
      </c>
    </row>
    <row r="677" spans="1:32" x14ac:dyDescent="0.2">
      <c r="A677" s="12" t="s">
        <v>3791</v>
      </c>
      <c r="B677" s="12" t="s">
        <v>3791</v>
      </c>
      <c r="C677" s="12" t="s">
        <v>7008</v>
      </c>
      <c r="D677" s="12" t="s">
        <v>13</v>
      </c>
      <c r="E677" s="12" t="s">
        <v>8110</v>
      </c>
      <c r="F677" s="12" t="s">
        <v>5458</v>
      </c>
      <c r="G677" s="12" t="s">
        <v>5453</v>
      </c>
      <c r="H677" s="12" t="s">
        <v>6616</v>
      </c>
      <c r="I677" s="12">
        <v>5450</v>
      </c>
      <c r="J677" s="12" t="s">
        <v>6686</v>
      </c>
      <c r="K677" s="12" t="s">
        <v>6651</v>
      </c>
      <c r="L677" s="12" t="s">
        <v>3785</v>
      </c>
      <c r="M677" s="12" t="s">
        <v>3785</v>
      </c>
      <c r="N677" s="12" t="s">
        <v>5785</v>
      </c>
      <c r="O677" s="12" t="s">
        <v>3788</v>
      </c>
      <c r="P677" s="12" t="s">
        <v>3789</v>
      </c>
      <c r="Q677" s="12" t="s">
        <v>6658</v>
      </c>
      <c r="R677" s="12">
        <v>39.507222220000003</v>
      </c>
      <c r="S677" s="12">
        <v>67.46083333</v>
      </c>
      <c r="T677" s="12" t="s">
        <v>25</v>
      </c>
      <c r="U677" s="12" t="s">
        <v>17</v>
      </c>
      <c r="V677" s="12" t="s">
        <v>6639</v>
      </c>
      <c r="W677" s="12" t="s">
        <v>6639</v>
      </c>
      <c r="X677" s="12">
        <v>0.52598599999999995</v>
      </c>
      <c r="Y677" s="12">
        <v>445719</v>
      </c>
      <c r="Z677" s="12" t="s">
        <v>6639</v>
      </c>
      <c r="AA677" s="12" t="s">
        <v>6639</v>
      </c>
      <c r="AB677" s="12" t="s">
        <v>3792</v>
      </c>
      <c r="AC677" s="12" t="s">
        <v>3793</v>
      </c>
      <c r="AD677" s="12" t="s">
        <v>7949</v>
      </c>
      <c r="AE677" s="12" t="s">
        <v>8069</v>
      </c>
      <c r="AF677" s="12" t="s">
        <v>3794</v>
      </c>
    </row>
    <row r="678" spans="1:32" x14ac:dyDescent="0.2">
      <c r="A678" s="12" t="s">
        <v>3034</v>
      </c>
      <c r="B678" s="12" t="s">
        <v>3035</v>
      </c>
      <c r="C678" s="12" t="s">
        <v>3037</v>
      </c>
      <c r="D678" s="12" t="s">
        <v>143</v>
      </c>
      <c r="E678" s="12" t="s">
        <v>7678</v>
      </c>
      <c r="F678" s="12" t="s">
        <v>5460</v>
      </c>
      <c r="G678" s="12" t="s">
        <v>222</v>
      </c>
      <c r="H678" s="12" t="s">
        <v>6614</v>
      </c>
      <c r="I678" s="12">
        <v>5181</v>
      </c>
      <c r="J678" s="12" t="s">
        <v>3038</v>
      </c>
      <c r="K678" s="12" t="s">
        <v>6651</v>
      </c>
      <c r="L678" s="12" t="s">
        <v>3036</v>
      </c>
      <c r="M678" s="12" t="s">
        <v>3036</v>
      </c>
      <c r="N678" s="12" t="s">
        <v>5785</v>
      </c>
      <c r="O678" s="12" t="s">
        <v>3039</v>
      </c>
      <c r="P678" s="12" t="s">
        <v>932</v>
      </c>
      <c r="Q678" s="12" t="s">
        <v>6658</v>
      </c>
      <c r="R678" s="12">
        <v>37.60098</v>
      </c>
      <c r="S678" s="12">
        <v>59.328411000000003</v>
      </c>
      <c r="T678" s="12" t="s">
        <v>25</v>
      </c>
      <c r="U678" s="12" t="s">
        <v>3040</v>
      </c>
      <c r="V678" s="12" t="s">
        <v>6639</v>
      </c>
      <c r="W678" s="12" t="s">
        <v>6639</v>
      </c>
      <c r="X678" s="12">
        <v>0.5</v>
      </c>
      <c r="Y678" s="12">
        <v>323589</v>
      </c>
      <c r="Z678" s="12" t="s">
        <v>6639</v>
      </c>
      <c r="AA678" s="12" t="s">
        <v>6639</v>
      </c>
      <c r="AB678" s="12" t="s">
        <v>17</v>
      </c>
      <c r="AC678" s="12" t="s">
        <v>144</v>
      </c>
      <c r="AD678" s="12" t="s">
        <v>17</v>
      </c>
      <c r="AE678" s="12" t="s">
        <v>17</v>
      </c>
      <c r="AF678" s="12" t="s">
        <v>45</v>
      </c>
    </row>
    <row r="679" spans="1:32" x14ac:dyDescent="0.2">
      <c r="A679" s="12" t="s">
        <v>3041</v>
      </c>
      <c r="B679" s="12" t="s">
        <v>3042</v>
      </c>
      <c r="C679" s="12" t="s">
        <v>3043</v>
      </c>
      <c r="D679" s="12" t="s">
        <v>13</v>
      </c>
      <c r="E679" s="12" t="s">
        <v>7678</v>
      </c>
      <c r="F679" s="12" t="s">
        <v>5460</v>
      </c>
      <c r="G679" s="12" t="s">
        <v>222</v>
      </c>
      <c r="H679" s="12" t="s">
        <v>6614</v>
      </c>
      <c r="I679" s="12">
        <v>5181</v>
      </c>
      <c r="J679" s="12" t="s">
        <v>3044</v>
      </c>
      <c r="K679" s="12" t="s">
        <v>6651</v>
      </c>
      <c r="L679" s="12" t="s">
        <v>3036</v>
      </c>
      <c r="M679" s="12" t="s">
        <v>3036</v>
      </c>
      <c r="N679" s="12" t="s">
        <v>5785</v>
      </c>
      <c r="O679" s="12" t="s">
        <v>6983</v>
      </c>
      <c r="P679" s="12" t="s">
        <v>932</v>
      </c>
      <c r="Q679" s="12" t="s">
        <v>6658</v>
      </c>
      <c r="R679" s="12">
        <v>37.1907</v>
      </c>
      <c r="S679" s="12">
        <v>61.034300000000002</v>
      </c>
      <c r="T679" s="12" t="s">
        <v>11</v>
      </c>
      <c r="U679" s="12" t="s">
        <v>3045</v>
      </c>
      <c r="V679" s="12" t="s">
        <v>2871</v>
      </c>
      <c r="W679" s="12" t="s">
        <v>7415</v>
      </c>
      <c r="X679" s="12">
        <v>0.8</v>
      </c>
      <c r="Y679" s="12">
        <v>447009</v>
      </c>
      <c r="Z679" s="12" t="s">
        <v>17</v>
      </c>
      <c r="AA679" s="12" t="s">
        <v>17</v>
      </c>
      <c r="AB679" s="12" t="s">
        <v>17</v>
      </c>
      <c r="AC679" s="12" t="s">
        <v>144</v>
      </c>
      <c r="AD679" s="12" t="s">
        <v>17</v>
      </c>
      <c r="AE679" s="12" t="s">
        <v>17</v>
      </c>
      <c r="AF679" s="12" t="s">
        <v>45</v>
      </c>
    </row>
    <row r="680" spans="1:32" x14ac:dyDescent="0.2">
      <c r="A680" s="12" t="s">
        <v>1653</v>
      </c>
      <c r="B680" s="12" t="s">
        <v>1653</v>
      </c>
      <c r="C680" s="12" t="s">
        <v>7430</v>
      </c>
      <c r="D680" s="12" t="s">
        <v>13</v>
      </c>
      <c r="E680" s="12" t="s">
        <v>8110</v>
      </c>
      <c r="F680" s="12" t="s">
        <v>1655</v>
      </c>
      <c r="G680" s="12" t="s">
        <v>5453</v>
      </c>
      <c r="H680" s="12" t="s">
        <v>6623</v>
      </c>
      <c r="I680" s="12">
        <v>5168</v>
      </c>
      <c r="J680" s="12" t="s">
        <v>1655</v>
      </c>
      <c r="K680" s="12" t="s">
        <v>6651</v>
      </c>
      <c r="L680" s="12" t="s">
        <v>7040</v>
      </c>
      <c r="M680" s="12" t="s">
        <v>7040</v>
      </c>
      <c r="N680" s="12" t="s">
        <v>5785</v>
      </c>
      <c r="O680" s="12" t="s">
        <v>6983</v>
      </c>
      <c r="P680" s="12" t="s">
        <v>932</v>
      </c>
      <c r="Q680" s="12" t="s">
        <v>6658</v>
      </c>
      <c r="R680" s="12">
        <v>37.1907</v>
      </c>
      <c r="S680" s="12">
        <v>61.034300000000002</v>
      </c>
      <c r="T680" s="12" t="s">
        <v>25</v>
      </c>
      <c r="U680" s="12" t="s">
        <v>1220</v>
      </c>
      <c r="V680" s="12" t="s">
        <v>6639</v>
      </c>
      <c r="W680" s="12" t="s">
        <v>6639</v>
      </c>
      <c r="X680" s="12">
        <v>0.37916899999999998</v>
      </c>
      <c r="Y680" s="12">
        <v>343931</v>
      </c>
      <c r="Z680" s="12" t="s">
        <v>6639</v>
      </c>
      <c r="AA680" s="12" t="s">
        <v>6639</v>
      </c>
      <c r="AB680" s="12" t="s">
        <v>1654</v>
      </c>
      <c r="AC680" s="12" t="s">
        <v>21</v>
      </c>
      <c r="AD680" s="12">
        <v>0.126</v>
      </c>
      <c r="AE680" s="12">
        <v>0.99199999999999999</v>
      </c>
      <c r="AF680" s="12" t="s">
        <v>45</v>
      </c>
    </row>
    <row r="681" spans="1:32" x14ac:dyDescent="0.2">
      <c r="A681" s="12" t="s">
        <v>3027</v>
      </c>
      <c r="B681" s="12" t="s">
        <v>3028</v>
      </c>
      <c r="C681" s="12" t="s">
        <v>3030</v>
      </c>
      <c r="D681" s="12" t="s">
        <v>13</v>
      </c>
      <c r="E681" s="12" t="s">
        <v>7678</v>
      </c>
      <c r="F681" s="12" t="s">
        <v>5458</v>
      </c>
      <c r="G681" s="12" t="s">
        <v>222</v>
      </c>
      <c r="H681" s="12" t="s">
        <v>6614</v>
      </c>
      <c r="I681" s="12">
        <v>5150</v>
      </c>
      <c r="J681" s="12" t="s">
        <v>3031</v>
      </c>
      <c r="K681" s="12" t="s">
        <v>6651</v>
      </c>
      <c r="L681" s="12" t="s">
        <v>3029</v>
      </c>
      <c r="M681" s="12" t="s">
        <v>3029</v>
      </c>
      <c r="N681" s="12" t="s">
        <v>5785</v>
      </c>
      <c r="O681" s="12" t="s">
        <v>3032</v>
      </c>
      <c r="P681" s="12" t="s">
        <v>932</v>
      </c>
      <c r="Q681" s="12" t="s">
        <v>6658</v>
      </c>
      <c r="R681" s="12">
        <v>38.718547999999998</v>
      </c>
      <c r="S681" s="12">
        <v>61.692287</v>
      </c>
      <c r="T681" s="12" t="s">
        <v>25</v>
      </c>
      <c r="U681" s="12" t="s">
        <v>3033</v>
      </c>
      <c r="V681" s="12" t="s">
        <v>6639</v>
      </c>
      <c r="W681" s="12" t="s">
        <v>6639</v>
      </c>
      <c r="X681" s="12">
        <v>0.8</v>
      </c>
      <c r="Y681" s="12">
        <v>433928</v>
      </c>
      <c r="Z681" s="12" t="s">
        <v>6639</v>
      </c>
      <c r="AA681" s="12" t="s">
        <v>6639</v>
      </c>
      <c r="AB681" s="12" t="s">
        <v>17</v>
      </c>
      <c r="AC681" s="12" t="s">
        <v>144</v>
      </c>
      <c r="AD681" s="12" t="s">
        <v>17</v>
      </c>
      <c r="AE681" s="12" t="s">
        <v>17</v>
      </c>
      <c r="AF681" s="12" t="s">
        <v>45</v>
      </c>
    </row>
    <row r="682" spans="1:32" x14ac:dyDescent="0.2">
      <c r="A682" s="12" t="s">
        <v>3046</v>
      </c>
      <c r="B682" s="12" t="s">
        <v>3047</v>
      </c>
      <c r="C682" s="12" t="s">
        <v>3049</v>
      </c>
      <c r="D682" s="12" t="s">
        <v>143</v>
      </c>
      <c r="E682" s="12" t="s">
        <v>7678</v>
      </c>
      <c r="F682" s="12" t="s">
        <v>5460</v>
      </c>
      <c r="G682" s="12" t="s">
        <v>222</v>
      </c>
      <c r="H682" s="12" t="s">
        <v>6614</v>
      </c>
      <c r="I682" s="12">
        <v>5147</v>
      </c>
      <c r="J682" s="12" t="s">
        <v>3050</v>
      </c>
      <c r="K682" s="12" t="s">
        <v>6651</v>
      </c>
      <c r="L682" s="12" t="s">
        <v>3048</v>
      </c>
      <c r="M682" s="12" t="s">
        <v>3048</v>
      </c>
      <c r="N682" s="12" t="s">
        <v>24</v>
      </c>
      <c r="O682" s="12" t="s">
        <v>3039</v>
      </c>
      <c r="P682" s="12" t="s">
        <v>932</v>
      </c>
      <c r="Q682" s="12" t="s">
        <v>6658</v>
      </c>
      <c r="R682" s="12">
        <v>37.60098</v>
      </c>
      <c r="S682" s="12">
        <v>59.328411000000003</v>
      </c>
      <c r="T682" s="12" t="s">
        <v>11</v>
      </c>
      <c r="U682" s="12" t="s">
        <v>17</v>
      </c>
      <c r="V682" s="12" t="s">
        <v>262</v>
      </c>
      <c r="W682" s="12" t="s">
        <v>7415</v>
      </c>
      <c r="X682" s="12">
        <v>0.1</v>
      </c>
      <c r="Y682" s="12">
        <v>38014</v>
      </c>
      <c r="Z682" s="12" t="s">
        <v>17</v>
      </c>
      <c r="AA682" s="12" t="s">
        <v>17</v>
      </c>
      <c r="AB682" s="12" t="s">
        <v>17</v>
      </c>
      <c r="AC682" s="12" t="s">
        <v>144</v>
      </c>
      <c r="AD682" s="12" t="s">
        <v>17</v>
      </c>
      <c r="AE682" s="12" t="s">
        <v>17</v>
      </c>
      <c r="AF682" s="12" t="s">
        <v>45</v>
      </c>
    </row>
    <row r="683" spans="1:32" x14ac:dyDescent="0.2">
      <c r="A683" s="12" t="s">
        <v>1193</v>
      </c>
      <c r="B683" s="12" t="s">
        <v>1193</v>
      </c>
      <c r="C683" s="12" t="s">
        <v>6891</v>
      </c>
      <c r="D683" s="12" t="s">
        <v>13</v>
      </c>
      <c r="E683" s="12" t="s">
        <v>8108</v>
      </c>
      <c r="F683" s="12" t="s">
        <v>1194</v>
      </c>
      <c r="G683" s="12" t="s">
        <v>5453</v>
      </c>
      <c r="H683" s="12" t="s">
        <v>6616</v>
      </c>
      <c r="I683" s="12">
        <v>5102</v>
      </c>
      <c r="J683" s="12" t="s">
        <v>1194</v>
      </c>
      <c r="K683" s="12" t="s">
        <v>6651</v>
      </c>
      <c r="L683" s="12" t="s">
        <v>6996</v>
      </c>
      <c r="M683" s="12" t="s">
        <v>6996</v>
      </c>
      <c r="N683" s="12" t="s">
        <v>5785</v>
      </c>
      <c r="O683" s="12" t="s">
        <v>899</v>
      </c>
      <c r="P683" s="12" t="s">
        <v>865</v>
      </c>
      <c r="Q683" s="12" t="s">
        <v>6658</v>
      </c>
      <c r="R683" s="16">
        <v>37.666666669999998</v>
      </c>
      <c r="S683" s="16">
        <v>67</v>
      </c>
      <c r="T683" s="12" t="s">
        <v>11</v>
      </c>
      <c r="U683" s="12" t="s">
        <v>1195</v>
      </c>
      <c r="V683" s="12" t="s">
        <v>500</v>
      </c>
      <c r="W683" s="12" t="s">
        <v>7415</v>
      </c>
      <c r="X683" s="12">
        <v>1.127197</v>
      </c>
      <c r="Y683" s="12">
        <v>644891</v>
      </c>
      <c r="Z683" s="12">
        <v>3.8570000000000002E-3</v>
      </c>
      <c r="AA683" s="12">
        <v>1.9332432122211849</v>
      </c>
      <c r="AB683" s="12" t="s">
        <v>1192</v>
      </c>
      <c r="AC683" s="12" t="s">
        <v>21</v>
      </c>
      <c r="AD683" s="12">
        <v>0.19800000000000001</v>
      </c>
      <c r="AE683" s="12">
        <v>0.96699999999999997</v>
      </c>
      <c r="AF683" s="12" t="s">
        <v>45</v>
      </c>
    </row>
    <row r="684" spans="1:32" x14ac:dyDescent="0.2">
      <c r="A684" s="12" t="s">
        <v>1665</v>
      </c>
      <c r="B684" s="12" t="s">
        <v>1665</v>
      </c>
      <c r="C684" s="12" t="s">
        <v>7435</v>
      </c>
      <c r="D684" s="12" t="s">
        <v>13</v>
      </c>
      <c r="E684" s="12" t="s">
        <v>8110</v>
      </c>
      <c r="F684" s="12" t="s">
        <v>5458</v>
      </c>
      <c r="G684" s="12" t="s">
        <v>5453</v>
      </c>
      <c r="H684" s="12" t="s">
        <v>6623</v>
      </c>
      <c r="I684" s="12">
        <v>5100</v>
      </c>
      <c r="J684" s="12" t="s">
        <v>6966</v>
      </c>
      <c r="K684" s="12" t="s">
        <v>6651</v>
      </c>
      <c r="L684" s="12" t="s">
        <v>7040</v>
      </c>
      <c r="M684" s="12" t="s">
        <v>7040</v>
      </c>
      <c r="N684" s="12" t="s">
        <v>5785</v>
      </c>
      <c r="O684" s="12" t="s">
        <v>6983</v>
      </c>
      <c r="P684" s="12" t="s">
        <v>932</v>
      </c>
      <c r="Q684" s="12" t="s">
        <v>6658</v>
      </c>
      <c r="R684" s="12">
        <v>37.1907</v>
      </c>
      <c r="S684" s="12">
        <v>61.034300000000002</v>
      </c>
      <c r="T684" s="12" t="s">
        <v>25</v>
      </c>
      <c r="U684" s="12" t="s">
        <v>1220</v>
      </c>
      <c r="V684" s="12" t="s">
        <v>6639</v>
      </c>
      <c r="W684" s="12" t="s">
        <v>6639</v>
      </c>
      <c r="X684" s="12">
        <v>2.5555999999999999E-2</v>
      </c>
      <c r="Y684" s="12">
        <v>29440</v>
      </c>
      <c r="Z684" s="12" t="s">
        <v>6639</v>
      </c>
      <c r="AA684" s="12" t="s">
        <v>6639</v>
      </c>
      <c r="AB684" s="12" t="s">
        <v>1666</v>
      </c>
      <c r="AC684" s="12" t="s">
        <v>21</v>
      </c>
      <c r="AD684" s="12">
        <v>6.7000000000000004E-2</v>
      </c>
      <c r="AE684" s="12">
        <v>0.97799999999999998</v>
      </c>
      <c r="AF684" s="12" t="s">
        <v>45</v>
      </c>
    </row>
    <row r="685" spans="1:32" x14ac:dyDescent="0.2">
      <c r="A685" s="12" t="s">
        <v>1663</v>
      </c>
      <c r="B685" s="12" t="s">
        <v>1663</v>
      </c>
      <c r="C685" s="12" t="s">
        <v>7431</v>
      </c>
      <c r="D685" s="12" t="s">
        <v>13</v>
      </c>
      <c r="E685" s="12" t="s">
        <v>8110</v>
      </c>
      <c r="F685" s="12" t="s">
        <v>5458</v>
      </c>
      <c r="G685" s="12" t="s">
        <v>5453</v>
      </c>
      <c r="H685" s="12" t="s">
        <v>6623</v>
      </c>
      <c r="I685" s="12">
        <v>5100</v>
      </c>
      <c r="J685" s="12" t="s">
        <v>6966</v>
      </c>
      <c r="K685" s="12" t="s">
        <v>6651</v>
      </c>
      <c r="L685" s="12" t="s">
        <v>7040</v>
      </c>
      <c r="M685" s="12" t="s">
        <v>7040</v>
      </c>
      <c r="N685" s="12" t="s">
        <v>5785</v>
      </c>
      <c r="O685" s="12" t="s">
        <v>6983</v>
      </c>
      <c r="P685" s="12" t="s">
        <v>932</v>
      </c>
      <c r="Q685" s="12" t="s">
        <v>6658</v>
      </c>
      <c r="R685" s="12">
        <v>37.1907</v>
      </c>
      <c r="S685" s="12">
        <v>61.034300000000002</v>
      </c>
      <c r="T685" s="12" t="s">
        <v>11</v>
      </c>
      <c r="U685" s="12" t="s">
        <v>17</v>
      </c>
      <c r="V685" s="12" t="s">
        <v>854</v>
      </c>
      <c r="W685" s="12" t="s">
        <v>7160</v>
      </c>
      <c r="X685" s="12">
        <v>2.8171999999999999E-2</v>
      </c>
      <c r="Y685" s="12">
        <v>33138</v>
      </c>
      <c r="Z685" s="12" t="s">
        <v>8052</v>
      </c>
      <c r="AA685" s="12" t="s">
        <v>8052</v>
      </c>
      <c r="AB685" s="12" t="s">
        <v>1664</v>
      </c>
      <c r="AC685" s="12" t="s">
        <v>21</v>
      </c>
      <c r="AD685" s="12">
        <v>8.3000000000000004E-2</v>
      </c>
      <c r="AE685" s="12" t="s">
        <v>7796</v>
      </c>
      <c r="AF685" s="12" t="s">
        <v>45</v>
      </c>
    </row>
    <row r="686" spans="1:32" x14ac:dyDescent="0.2">
      <c r="A686" s="12" t="s">
        <v>1660</v>
      </c>
      <c r="B686" s="12" t="s">
        <v>1660</v>
      </c>
      <c r="C686" s="12" t="s">
        <v>6988</v>
      </c>
      <c r="D686" s="12" t="s">
        <v>13</v>
      </c>
      <c r="E686" s="12" t="s">
        <v>8110</v>
      </c>
      <c r="F686" s="12" t="s">
        <v>5458</v>
      </c>
      <c r="G686" s="12" t="s">
        <v>5453</v>
      </c>
      <c r="H686" s="12" t="s">
        <v>6623</v>
      </c>
      <c r="I686" s="12">
        <v>5100</v>
      </c>
      <c r="J686" s="12" t="s">
        <v>6966</v>
      </c>
      <c r="K686" s="12" t="s">
        <v>6651</v>
      </c>
      <c r="L686" s="12" t="s">
        <v>7040</v>
      </c>
      <c r="M686" s="12" t="s">
        <v>7040</v>
      </c>
      <c r="N686" s="12" t="s">
        <v>5785</v>
      </c>
      <c r="O686" s="12" t="s">
        <v>6983</v>
      </c>
      <c r="P686" s="12" t="s">
        <v>932</v>
      </c>
      <c r="Q686" s="12" t="s">
        <v>6658</v>
      </c>
      <c r="R686" s="12">
        <v>37.1907</v>
      </c>
      <c r="S686" s="12">
        <v>61.034300000000002</v>
      </c>
      <c r="T686" s="12" t="s">
        <v>11</v>
      </c>
      <c r="U686" s="12" t="s">
        <v>1662</v>
      </c>
      <c r="V686" s="12" t="s">
        <v>392</v>
      </c>
      <c r="W686" s="12" t="s">
        <v>7415</v>
      </c>
      <c r="X686" s="12">
        <v>3.7494E-2</v>
      </c>
      <c r="Y686" s="12">
        <v>43754</v>
      </c>
      <c r="Z686" s="12" t="s">
        <v>8052</v>
      </c>
      <c r="AA686" s="12" t="s">
        <v>8052</v>
      </c>
      <c r="AB686" s="12" t="s">
        <v>1661</v>
      </c>
      <c r="AC686" s="12" t="s">
        <v>21</v>
      </c>
      <c r="AD686" s="12">
        <v>0.111</v>
      </c>
      <c r="AE686" s="12">
        <v>0.99</v>
      </c>
      <c r="AF686" s="12" t="s">
        <v>45</v>
      </c>
    </row>
    <row r="687" spans="1:32" x14ac:dyDescent="0.2">
      <c r="A687" s="12" t="s">
        <v>4701</v>
      </c>
      <c r="B687" s="12" t="s">
        <v>4701</v>
      </c>
      <c r="C687" s="12" t="s">
        <v>6967</v>
      </c>
      <c r="D687" s="12" t="s">
        <v>13</v>
      </c>
      <c r="E687" s="12" t="s">
        <v>8109</v>
      </c>
      <c r="F687" s="12" t="s">
        <v>5458</v>
      </c>
      <c r="G687" s="12" t="s">
        <v>5453</v>
      </c>
      <c r="H687" s="12" t="s">
        <v>6623</v>
      </c>
      <c r="I687" s="12">
        <v>5100</v>
      </c>
      <c r="J687" s="12" t="s">
        <v>6966</v>
      </c>
      <c r="K687" s="12" t="s">
        <v>6651</v>
      </c>
      <c r="L687" s="12" t="s">
        <v>7040</v>
      </c>
      <c r="M687" s="12" t="s">
        <v>7040</v>
      </c>
      <c r="N687" s="12" t="s">
        <v>5785</v>
      </c>
      <c r="O687" s="12" t="s">
        <v>6983</v>
      </c>
      <c r="P687" s="12" t="s">
        <v>932</v>
      </c>
      <c r="Q687" s="12" t="s">
        <v>6658</v>
      </c>
      <c r="R687" s="12">
        <v>37.1907</v>
      </c>
      <c r="S687" s="12">
        <v>61.034300000000002</v>
      </c>
      <c r="T687" s="12" t="s">
        <v>25</v>
      </c>
      <c r="U687" s="12" t="s">
        <v>908</v>
      </c>
      <c r="V687" s="12" t="s">
        <v>6639</v>
      </c>
      <c r="W687" s="12" t="s">
        <v>6639</v>
      </c>
      <c r="X687" s="12">
        <v>7.0806999999999995E-2</v>
      </c>
      <c r="Y687" s="12">
        <v>77744</v>
      </c>
      <c r="Z687" s="12" t="s">
        <v>6639</v>
      </c>
      <c r="AA687" s="12" t="s">
        <v>6639</v>
      </c>
      <c r="AB687" s="12" t="s">
        <v>4700</v>
      </c>
      <c r="AC687" s="12" t="s">
        <v>21</v>
      </c>
      <c r="AD687" s="12">
        <v>0.26200000000000001</v>
      </c>
      <c r="AE687" s="12">
        <v>0.97399999999999998</v>
      </c>
      <c r="AF687" s="12" t="s">
        <v>45</v>
      </c>
    </row>
    <row r="688" spans="1:32" x14ac:dyDescent="0.2">
      <c r="A688" s="12" t="s">
        <v>4703</v>
      </c>
      <c r="B688" s="12" t="s">
        <v>4703</v>
      </c>
      <c r="C688" s="12" t="s">
        <v>6968</v>
      </c>
      <c r="D688" s="12" t="s">
        <v>13</v>
      </c>
      <c r="E688" s="12" t="s">
        <v>8109</v>
      </c>
      <c r="F688" s="12" t="s">
        <v>5458</v>
      </c>
      <c r="G688" s="12" t="s">
        <v>5453</v>
      </c>
      <c r="H688" s="12" t="s">
        <v>6623</v>
      </c>
      <c r="I688" s="12">
        <v>5100</v>
      </c>
      <c r="J688" s="12" t="s">
        <v>6966</v>
      </c>
      <c r="K688" s="12" t="s">
        <v>6651</v>
      </c>
      <c r="L688" s="12" t="s">
        <v>7040</v>
      </c>
      <c r="M688" s="12" t="s">
        <v>7040</v>
      </c>
      <c r="N688" s="12" t="s">
        <v>5785</v>
      </c>
      <c r="O688" s="12" t="s">
        <v>6983</v>
      </c>
      <c r="P688" s="12" t="s">
        <v>932</v>
      </c>
      <c r="Q688" s="12" t="s">
        <v>6658</v>
      </c>
      <c r="R688" s="12">
        <v>37.1907</v>
      </c>
      <c r="S688" s="12">
        <v>61.034300000000002</v>
      </c>
      <c r="T688" s="12" t="s">
        <v>25</v>
      </c>
      <c r="U688" s="12" t="s">
        <v>3148</v>
      </c>
      <c r="V688" s="12" t="s">
        <v>6639</v>
      </c>
      <c r="W688" s="12" t="s">
        <v>6639</v>
      </c>
      <c r="X688" s="12">
        <v>7.2410000000000002E-2</v>
      </c>
      <c r="Y688" s="12">
        <v>80692</v>
      </c>
      <c r="Z688" s="12" t="s">
        <v>6639</v>
      </c>
      <c r="AA688" s="12" t="s">
        <v>6639</v>
      </c>
      <c r="AB688" s="12" t="s">
        <v>4702</v>
      </c>
      <c r="AC688" s="12" t="s">
        <v>21</v>
      </c>
      <c r="AD688" s="12">
        <v>0.27750000000000002</v>
      </c>
      <c r="AE688" s="12">
        <v>0.96799999999999997</v>
      </c>
      <c r="AF688" s="12" t="s">
        <v>45</v>
      </c>
    </row>
    <row r="689" spans="1:32" x14ac:dyDescent="0.2">
      <c r="A689" s="12" t="s">
        <v>1667</v>
      </c>
      <c r="B689" s="12" t="s">
        <v>1667</v>
      </c>
      <c r="C689" s="12" t="s">
        <v>6989</v>
      </c>
      <c r="D689" s="12" t="s">
        <v>13</v>
      </c>
      <c r="E689" s="12" t="s">
        <v>8110</v>
      </c>
      <c r="F689" s="12" t="s">
        <v>5458</v>
      </c>
      <c r="G689" s="12" t="s">
        <v>5453</v>
      </c>
      <c r="H689" s="12" t="s">
        <v>6623</v>
      </c>
      <c r="I689" s="12">
        <v>5100</v>
      </c>
      <c r="J689" s="12" t="s">
        <v>6966</v>
      </c>
      <c r="K689" s="12" t="s">
        <v>6651</v>
      </c>
      <c r="L689" s="12" t="s">
        <v>7040</v>
      </c>
      <c r="M689" s="12" t="s">
        <v>7040</v>
      </c>
      <c r="N689" s="12" t="s">
        <v>5785</v>
      </c>
      <c r="O689" s="12" t="s">
        <v>6983</v>
      </c>
      <c r="P689" s="12" t="s">
        <v>932</v>
      </c>
      <c r="Q689" s="12" t="s">
        <v>6658</v>
      </c>
      <c r="R689" s="12">
        <v>37.1907</v>
      </c>
      <c r="S689" s="12">
        <v>61.034300000000002</v>
      </c>
      <c r="T689" s="12" t="s">
        <v>11</v>
      </c>
      <c r="U689" s="12" t="s">
        <v>1126</v>
      </c>
      <c r="V689" s="12" t="s">
        <v>1669</v>
      </c>
      <c r="W689" s="12" t="s">
        <v>7415</v>
      </c>
      <c r="X689" s="12">
        <v>9.7739999999999994E-2</v>
      </c>
      <c r="Y689" s="12">
        <v>109739</v>
      </c>
      <c r="Z689" s="12" t="s">
        <v>8052</v>
      </c>
      <c r="AA689" s="12" t="s">
        <v>8052</v>
      </c>
      <c r="AB689" s="12" t="s">
        <v>1668</v>
      </c>
      <c r="AC689" s="12" t="s">
        <v>21</v>
      </c>
      <c r="AD689" s="12">
        <v>0.112</v>
      </c>
      <c r="AE689" s="12">
        <v>0.98</v>
      </c>
      <c r="AF689" s="12" t="s">
        <v>45</v>
      </c>
    </row>
    <row r="690" spans="1:32" x14ac:dyDescent="0.2">
      <c r="A690" s="12" t="s">
        <v>1674</v>
      </c>
      <c r="B690" s="12" t="s">
        <v>1674</v>
      </c>
      <c r="C690" s="12" t="s">
        <v>7433</v>
      </c>
      <c r="D690" s="12" t="s">
        <v>13</v>
      </c>
      <c r="E690" s="12" t="s">
        <v>8110</v>
      </c>
      <c r="F690" s="12" t="s">
        <v>5458</v>
      </c>
      <c r="G690" s="12" t="s">
        <v>5453</v>
      </c>
      <c r="H690" s="12" t="s">
        <v>6623</v>
      </c>
      <c r="I690" s="12">
        <v>5100</v>
      </c>
      <c r="J690" s="12" t="s">
        <v>6966</v>
      </c>
      <c r="K690" s="12" t="s">
        <v>6651</v>
      </c>
      <c r="L690" s="12" t="s">
        <v>7040</v>
      </c>
      <c r="M690" s="12" t="s">
        <v>7040</v>
      </c>
      <c r="N690" s="12" t="s">
        <v>5785</v>
      </c>
      <c r="O690" s="12" t="s">
        <v>6983</v>
      </c>
      <c r="P690" s="12" t="s">
        <v>932</v>
      </c>
      <c r="Q690" s="12" t="s">
        <v>6658</v>
      </c>
      <c r="R690" s="12">
        <v>37.1907</v>
      </c>
      <c r="S690" s="12">
        <v>61.034300000000002</v>
      </c>
      <c r="T690" s="12" t="s">
        <v>25</v>
      </c>
      <c r="U690" s="12" t="s">
        <v>17</v>
      </c>
      <c r="V690" s="12" t="s">
        <v>6639</v>
      </c>
      <c r="W690" s="12" t="s">
        <v>6639</v>
      </c>
      <c r="X690" s="12">
        <v>0.10437200000000001</v>
      </c>
      <c r="Y690" s="12">
        <v>112575</v>
      </c>
      <c r="Z690" s="12" t="s">
        <v>6639</v>
      </c>
      <c r="AA690" s="12" t="s">
        <v>6639</v>
      </c>
      <c r="AB690" s="12" t="s">
        <v>1675</v>
      </c>
      <c r="AC690" s="12" t="s">
        <v>21</v>
      </c>
      <c r="AD690" s="12">
        <v>7.8E-2</v>
      </c>
      <c r="AE690" s="12" t="s">
        <v>7796</v>
      </c>
      <c r="AF690" s="12" t="s">
        <v>45</v>
      </c>
    </row>
    <row r="691" spans="1:32" x14ac:dyDescent="0.2">
      <c r="A691" s="12" t="s">
        <v>1679</v>
      </c>
      <c r="B691" s="12" t="s">
        <v>1679</v>
      </c>
      <c r="C691" s="12" t="s">
        <v>7429</v>
      </c>
      <c r="D691" s="12" t="s">
        <v>13</v>
      </c>
      <c r="E691" s="12" t="s">
        <v>8110</v>
      </c>
      <c r="F691" s="12" t="s">
        <v>5458</v>
      </c>
      <c r="G691" s="12" t="s">
        <v>5453</v>
      </c>
      <c r="H691" s="12" t="s">
        <v>6623</v>
      </c>
      <c r="I691" s="12">
        <v>5100</v>
      </c>
      <c r="J691" s="12" t="s">
        <v>6966</v>
      </c>
      <c r="K691" s="12" t="s">
        <v>6651</v>
      </c>
      <c r="L691" s="12" t="s">
        <v>7040</v>
      </c>
      <c r="M691" s="12" t="s">
        <v>7040</v>
      </c>
      <c r="N691" s="12" t="s">
        <v>5785</v>
      </c>
      <c r="O691" s="12" t="s">
        <v>6983</v>
      </c>
      <c r="P691" s="12" t="s">
        <v>932</v>
      </c>
      <c r="Q691" s="12" t="s">
        <v>6658</v>
      </c>
      <c r="R691" s="12">
        <v>37.1907</v>
      </c>
      <c r="S691" s="12">
        <v>61.034300000000002</v>
      </c>
      <c r="T691" s="12" t="s">
        <v>1126</v>
      </c>
      <c r="U691" s="12" t="s">
        <v>179</v>
      </c>
      <c r="V691" s="12" t="s">
        <v>7414</v>
      </c>
      <c r="W691" s="12" t="s">
        <v>7414</v>
      </c>
      <c r="X691" s="12">
        <v>0.104389</v>
      </c>
      <c r="Y691" s="12">
        <v>115625</v>
      </c>
      <c r="Z691" s="12" t="s">
        <v>6638</v>
      </c>
      <c r="AA691" s="12" t="s">
        <v>6638</v>
      </c>
      <c r="AB691" s="12" t="s">
        <v>1680</v>
      </c>
      <c r="AC691" s="12" t="s">
        <v>21</v>
      </c>
      <c r="AD691" s="12">
        <v>9.0999999999999998E-2</v>
      </c>
      <c r="AE691" s="12">
        <v>0.873</v>
      </c>
      <c r="AF691" s="12" t="s">
        <v>8099</v>
      </c>
    </row>
    <row r="692" spans="1:32" x14ac:dyDescent="0.2">
      <c r="A692" s="12" t="s">
        <v>4713</v>
      </c>
      <c r="B692" s="12" t="s">
        <v>4713</v>
      </c>
      <c r="C692" s="12" t="s">
        <v>6973</v>
      </c>
      <c r="D692" s="12" t="s">
        <v>13</v>
      </c>
      <c r="E692" s="12" t="s">
        <v>8109</v>
      </c>
      <c r="F692" s="12" t="s">
        <v>5458</v>
      </c>
      <c r="G692" s="12" t="s">
        <v>5453</v>
      </c>
      <c r="H692" s="12" t="s">
        <v>6623</v>
      </c>
      <c r="I692" s="12">
        <v>5100</v>
      </c>
      <c r="J692" s="12" t="s">
        <v>6966</v>
      </c>
      <c r="K692" s="12" t="s">
        <v>6651</v>
      </c>
      <c r="L692" s="12" t="s">
        <v>7040</v>
      </c>
      <c r="M692" s="12" t="s">
        <v>7040</v>
      </c>
      <c r="N692" s="12" t="s">
        <v>5785</v>
      </c>
      <c r="O692" s="12" t="s">
        <v>6983</v>
      </c>
      <c r="P692" s="12" t="s">
        <v>932</v>
      </c>
      <c r="Q692" s="12" t="s">
        <v>6658</v>
      </c>
      <c r="R692" s="12">
        <v>37.1907</v>
      </c>
      <c r="S692" s="12">
        <v>61.034300000000002</v>
      </c>
      <c r="T692" s="12" t="s">
        <v>25</v>
      </c>
      <c r="U692" s="12" t="s">
        <v>4714</v>
      </c>
      <c r="V692" s="12" t="s">
        <v>6639</v>
      </c>
      <c r="W692" s="12" t="s">
        <v>6639</v>
      </c>
      <c r="X692" s="12">
        <v>0.119506</v>
      </c>
      <c r="Y692" s="12">
        <v>124924</v>
      </c>
      <c r="Z692" s="12" t="s">
        <v>6639</v>
      </c>
      <c r="AA692" s="12" t="s">
        <v>6639</v>
      </c>
      <c r="AB692" s="12" t="s">
        <v>4712</v>
      </c>
      <c r="AC692" s="12" t="s">
        <v>21</v>
      </c>
      <c r="AD692" s="12">
        <v>0.27900000000000003</v>
      </c>
      <c r="AE692" s="12">
        <v>0.97899999999999998</v>
      </c>
      <c r="AF692" s="12" t="s">
        <v>45</v>
      </c>
    </row>
    <row r="693" spans="1:32" x14ac:dyDescent="0.2">
      <c r="A693" s="12" t="s">
        <v>1670</v>
      </c>
      <c r="B693" s="12" t="s">
        <v>1670</v>
      </c>
      <c r="C693" s="12" t="s">
        <v>7432</v>
      </c>
      <c r="D693" s="12" t="s">
        <v>13</v>
      </c>
      <c r="E693" s="12" t="s">
        <v>8110</v>
      </c>
      <c r="F693" s="12" t="s">
        <v>5458</v>
      </c>
      <c r="G693" s="12" t="s">
        <v>5453</v>
      </c>
      <c r="H693" s="12" t="s">
        <v>6623</v>
      </c>
      <c r="I693" s="12">
        <v>5100</v>
      </c>
      <c r="J693" s="12" t="s">
        <v>6966</v>
      </c>
      <c r="K693" s="12" t="s">
        <v>6651</v>
      </c>
      <c r="L693" s="12" t="s">
        <v>7040</v>
      </c>
      <c r="M693" s="12" t="s">
        <v>7040</v>
      </c>
      <c r="N693" s="12" t="s">
        <v>5785</v>
      </c>
      <c r="O693" s="12" t="s">
        <v>6983</v>
      </c>
      <c r="P693" s="12" t="s">
        <v>932</v>
      </c>
      <c r="Q693" s="12" t="s">
        <v>6658</v>
      </c>
      <c r="R693" s="12">
        <v>37.1907</v>
      </c>
      <c r="S693" s="12">
        <v>61.034300000000002</v>
      </c>
      <c r="T693" s="12" t="s">
        <v>25</v>
      </c>
      <c r="U693" s="12" t="s">
        <v>1672</v>
      </c>
      <c r="V693" s="12" t="s">
        <v>6639</v>
      </c>
      <c r="W693" s="12" t="s">
        <v>6639</v>
      </c>
      <c r="X693" s="12">
        <v>0.13714100000000001</v>
      </c>
      <c r="Y693" s="12">
        <v>145415</v>
      </c>
      <c r="Z693" s="12" t="s">
        <v>6639</v>
      </c>
      <c r="AA693" s="12" t="s">
        <v>6639</v>
      </c>
      <c r="AB693" s="12" t="s">
        <v>1671</v>
      </c>
      <c r="AC693" s="12" t="s">
        <v>21</v>
      </c>
      <c r="AD693" s="12">
        <v>0.123</v>
      </c>
      <c r="AE693" s="12">
        <v>0.94399999999999995</v>
      </c>
      <c r="AF693" s="12" t="s">
        <v>1673</v>
      </c>
    </row>
    <row r="694" spans="1:32" x14ac:dyDescent="0.2">
      <c r="A694" s="12" t="s">
        <v>1656</v>
      </c>
      <c r="B694" s="12" t="s">
        <v>1656</v>
      </c>
      <c r="C694" s="12" t="s">
        <v>6985</v>
      </c>
      <c r="D694" s="12" t="s">
        <v>13</v>
      </c>
      <c r="E694" s="12" t="s">
        <v>8110</v>
      </c>
      <c r="F694" s="12" t="s">
        <v>5458</v>
      </c>
      <c r="G694" s="12" t="s">
        <v>5453</v>
      </c>
      <c r="H694" s="12" t="s">
        <v>6623</v>
      </c>
      <c r="I694" s="12">
        <v>5100</v>
      </c>
      <c r="J694" s="12" t="s">
        <v>6966</v>
      </c>
      <c r="K694" s="12" t="s">
        <v>6651</v>
      </c>
      <c r="L694" s="12" t="s">
        <v>7040</v>
      </c>
      <c r="M694" s="12" t="s">
        <v>7040</v>
      </c>
      <c r="N694" s="12" t="s">
        <v>5785</v>
      </c>
      <c r="O694" s="12" t="s">
        <v>6983</v>
      </c>
      <c r="P694" s="12" t="s">
        <v>932</v>
      </c>
      <c r="Q694" s="12" t="s">
        <v>6658</v>
      </c>
      <c r="R694" s="12">
        <v>37.1907</v>
      </c>
      <c r="S694" s="12">
        <v>61.034300000000002</v>
      </c>
      <c r="T694" s="12" t="s">
        <v>25</v>
      </c>
      <c r="U694" s="12" t="s">
        <v>262</v>
      </c>
      <c r="V694" s="12" t="s">
        <v>6639</v>
      </c>
      <c r="W694" s="12" t="s">
        <v>6639</v>
      </c>
      <c r="X694" s="12">
        <v>0.13924600000000001</v>
      </c>
      <c r="Y694" s="12">
        <v>148535</v>
      </c>
      <c r="Z694" s="12" t="s">
        <v>6639</v>
      </c>
      <c r="AA694" s="12" t="s">
        <v>6639</v>
      </c>
      <c r="AB694" s="12" t="s">
        <v>1657</v>
      </c>
      <c r="AC694" s="12" t="s">
        <v>21</v>
      </c>
      <c r="AD694" s="12">
        <v>0.10299999999999999</v>
      </c>
      <c r="AE694" s="12">
        <v>0.96399999999999997</v>
      </c>
      <c r="AF694" s="12" t="s">
        <v>45</v>
      </c>
    </row>
    <row r="695" spans="1:32" x14ac:dyDescent="0.2">
      <c r="A695" s="12" t="s">
        <v>1658</v>
      </c>
      <c r="B695" s="12" t="s">
        <v>1658</v>
      </c>
      <c r="C695" s="12" t="s">
        <v>6987</v>
      </c>
      <c r="D695" s="12" t="s">
        <v>13</v>
      </c>
      <c r="E695" s="12" t="s">
        <v>8110</v>
      </c>
      <c r="F695" s="12" t="s">
        <v>5458</v>
      </c>
      <c r="G695" s="12" t="s">
        <v>5453</v>
      </c>
      <c r="H695" s="12" t="s">
        <v>6623</v>
      </c>
      <c r="I695" s="12">
        <v>5100</v>
      </c>
      <c r="J695" s="12" t="s">
        <v>6966</v>
      </c>
      <c r="K695" s="12" t="s">
        <v>6651</v>
      </c>
      <c r="L695" s="12" t="s">
        <v>7040</v>
      </c>
      <c r="M695" s="12" t="s">
        <v>7040</v>
      </c>
      <c r="N695" s="12" t="s">
        <v>5785</v>
      </c>
      <c r="O695" s="12" t="s">
        <v>6983</v>
      </c>
      <c r="P695" s="12" t="s">
        <v>932</v>
      </c>
      <c r="Q695" s="12" t="s">
        <v>6658</v>
      </c>
      <c r="R695" s="12">
        <v>37.1907</v>
      </c>
      <c r="S695" s="12">
        <v>61.034300000000002</v>
      </c>
      <c r="T695" s="12" t="s">
        <v>11</v>
      </c>
      <c r="U695" s="12" t="s">
        <v>1005</v>
      </c>
      <c r="V695" s="12" t="s">
        <v>262</v>
      </c>
      <c r="W695" s="12" t="s">
        <v>7415</v>
      </c>
      <c r="X695" s="12">
        <v>0.215971</v>
      </c>
      <c r="Y695" s="12">
        <v>218844</v>
      </c>
      <c r="Z695" s="12" t="s">
        <v>8052</v>
      </c>
      <c r="AA695" s="12" t="s">
        <v>8052</v>
      </c>
      <c r="AB695" s="12" t="s">
        <v>1659</v>
      </c>
      <c r="AC695" s="12" t="s">
        <v>21</v>
      </c>
      <c r="AD695" s="12">
        <v>0.122</v>
      </c>
      <c r="AE695" s="12">
        <v>0.95299999999999996</v>
      </c>
      <c r="AF695" s="12" t="s">
        <v>45</v>
      </c>
    </row>
    <row r="696" spans="1:32" x14ac:dyDescent="0.2">
      <c r="A696" s="12" t="s">
        <v>4709</v>
      </c>
      <c r="B696" s="12" t="s">
        <v>4709</v>
      </c>
      <c r="C696" s="12" t="s">
        <v>6971</v>
      </c>
      <c r="D696" s="12" t="s">
        <v>13</v>
      </c>
      <c r="E696" s="12" t="s">
        <v>8109</v>
      </c>
      <c r="F696" s="12" t="s">
        <v>5458</v>
      </c>
      <c r="G696" s="12" t="s">
        <v>5453</v>
      </c>
      <c r="H696" s="12" t="s">
        <v>6623</v>
      </c>
      <c r="I696" s="12">
        <v>5100</v>
      </c>
      <c r="J696" s="12" t="s">
        <v>6966</v>
      </c>
      <c r="K696" s="12" t="s">
        <v>6651</v>
      </c>
      <c r="L696" s="12" t="s">
        <v>7040</v>
      </c>
      <c r="M696" s="12" t="s">
        <v>7040</v>
      </c>
      <c r="N696" s="12" t="s">
        <v>5785</v>
      </c>
      <c r="O696" s="12" t="s">
        <v>6983</v>
      </c>
      <c r="P696" s="12" t="s">
        <v>932</v>
      </c>
      <c r="Q696" s="12" t="s">
        <v>6658</v>
      </c>
      <c r="R696" s="12">
        <v>37.1907</v>
      </c>
      <c r="S696" s="12">
        <v>61.034300000000002</v>
      </c>
      <c r="T696" s="12" t="s">
        <v>11</v>
      </c>
      <c r="U696" s="12" t="s">
        <v>3148</v>
      </c>
      <c r="V696" s="12" t="s">
        <v>262</v>
      </c>
      <c r="W696" s="12" t="s">
        <v>7415</v>
      </c>
      <c r="X696" s="12">
        <v>0.261743</v>
      </c>
      <c r="Y696" s="12">
        <v>235342</v>
      </c>
      <c r="Z696" s="12" t="s">
        <v>8052</v>
      </c>
      <c r="AA696" s="12" t="s">
        <v>8052</v>
      </c>
      <c r="AB696" s="12" t="s">
        <v>4708</v>
      </c>
      <c r="AC696" s="12" t="s">
        <v>21</v>
      </c>
      <c r="AD696" s="12">
        <v>0.16900000000000001</v>
      </c>
      <c r="AE696" s="12">
        <v>0.97699999999999998</v>
      </c>
      <c r="AF696" s="12" t="s">
        <v>45</v>
      </c>
    </row>
    <row r="697" spans="1:32" x14ac:dyDescent="0.2">
      <c r="A697" s="12" t="s">
        <v>4711</v>
      </c>
      <c r="B697" s="12" t="s">
        <v>4711</v>
      </c>
      <c r="C697" s="12" t="s">
        <v>6972</v>
      </c>
      <c r="D697" s="12" t="s">
        <v>13</v>
      </c>
      <c r="E697" s="12" t="s">
        <v>8109</v>
      </c>
      <c r="F697" s="12" t="s">
        <v>5458</v>
      </c>
      <c r="G697" s="12" t="s">
        <v>5453</v>
      </c>
      <c r="H697" s="12" t="s">
        <v>6623</v>
      </c>
      <c r="I697" s="12">
        <v>5100</v>
      </c>
      <c r="J697" s="12" t="s">
        <v>6966</v>
      </c>
      <c r="K697" s="12" t="s">
        <v>6651</v>
      </c>
      <c r="L697" s="12" t="s">
        <v>7040</v>
      </c>
      <c r="M697" s="12" t="s">
        <v>7040</v>
      </c>
      <c r="N697" s="12" t="s">
        <v>5785</v>
      </c>
      <c r="O697" s="12" t="s">
        <v>6983</v>
      </c>
      <c r="P697" s="12" t="s">
        <v>932</v>
      </c>
      <c r="Q697" s="12" t="s">
        <v>6658</v>
      </c>
      <c r="R697" s="12">
        <v>37.1907</v>
      </c>
      <c r="S697" s="12">
        <v>61.034300000000002</v>
      </c>
      <c r="T697" s="12" t="s">
        <v>25</v>
      </c>
      <c r="U697" s="12" t="s">
        <v>531</v>
      </c>
      <c r="V697" s="12" t="s">
        <v>6639</v>
      </c>
      <c r="W697" s="12" t="s">
        <v>6639</v>
      </c>
      <c r="X697" s="12">
        <v>0.39297199999999999</v>
      </c>
      <c r="Y697" s="12">
        <v>346633</v>
      </c>
      <c r="Z697" s="12" t="s">
        <v>6639</v>
      </c>
      <c r="AA697" s="12" t="s">
        <v>6639</v>
      </c>
      <c r="AB697" s="12" t="s">
        <v>4710</v>
      </c>
      <c r="AC697" s="12" t="s">
        <v>21</v>
      </c>
      <c r="AD697" s="12">
        <v>0.253</v>
      </c>
      <c r="AE697" s="12">
        <v>1</v>
      </c>
      <c r="AF697" s="12" t="s">
        <v>45</v>
      </c>
    </row>
    <row r="698" spans="1:32" x14ac:dyDescent="0.2">
      <c r="A698" s="12" t="s">
        <v>4721</v>
      </c>
      <c r="B698" s="12" t="s">
        <v>4721</v>
      </c>
      <c r="C698" s="12" t="s">
        <v>6976</v>
      </c>
      <c r="D698" s="12" t="s">
        <v>13</v>
      </c>
      <c r="E698" s="12" t="s">
        <v>8109</v>
      </c>
      <c r="F698" s="12" t="s">
        <v>5458</v>
      </c>
      <c r="G698" s="12" t="s">
        <v>5453</v>
      </c>
      <c r="H698" s="12" t="s">
        <v>6623</v>
      </c>
      <c r="I698" s="12">
        <v>5100</v>
      </c>
      <c r="J698" s="12" t="s">
        <v>6966</v>
      </c>
      <c r="K698" s="12" t="s">
        <v>6651</v>
      </c>
      <c r="L698" s="12" t="s">
        <v>7040</v>
      </c>
      <c r="M698" s="12" t="s">
        <v>7040</v>
      </c>
      <c r="N698" s="12" t="s">
        <v>5785</v>
      </c>
      <c r="O698" s="12" t="s">
        <v>6983</v>
      </c>
      <c r="P698" s="12" t="s">
        <v>932</v>
      </c>
      <c r="Q698" s="12" t="s">
        <v>6658</v>
      </c>
      <c r="R698" s="16">
        <v>37.1907</v>
      </c>
      <c r="S698" s="16">
        <v>61.034300000000002</v>
      </c>
      <c r="T698" s="12" t="s">
        <v>11</v>
      </c>
      <c r="U698" s="12" t="s">
        <v>4722</v>
      </c>
      <c r="V698" s="12" t="s">
        <v>262</v>
      </c>
      <c r="W698" s="12" t="s">
        <v>7160</v>
      </c>
      <c r="X698" s="12">
        <v>0.53974299999999997</v>
      </c>
      <c r="Y698" s="12">
        <v>436355</v>
      </c>
      <c r="Z698" s="12">
        <v>9.1050000000000002E-3</v>
      </c>
      <c r="AA698" s="12">
        <v>1.694978043472231</v>
      </c>
      <c r="AB698" s="12" t="s">
        <v>4720</v>
      </c>
      <c r="AC698" s="12" t="s">
        <v>21</v>
      </c>
      <c r="AD698" s="12">
        <v>0.21099999999999999</v>
      </c>
      <c r="AE698" s="12">
        <v>1</v>
      </c>
      <c r="AF698" s="12" t="s">
        <v>45</v>
      </c>
    </row>
    <row r="699" spans="1:32" x14ac:dyDescent="0.2">
      <c r="A699" s="12" t="s">
        <v>4705</v>
      </c>
      <c r="B699" s="12" t="s">
        <v>4705</v>
      </c>
      <c r="C699" s="12" t="s">
        <v>6969</v>
      </c>
      <c r="D699" s="12" t="s">
        <v>13</v>
      </c>
      <c r="E699" s="12" t="s">
        <v>8109</v>
      </c>
      <c r="F699" s="12" t="s">
        <v>5458</v>
      </c>
      <c r="G699" s="12" t="s">
        <v>5453</v>
      </c>
      <c r="H699" s="12" t="s">
        <v>6623</v>
      </c>
      <c r="I699" s="12">
        <v>5100</v>
      </c>
      <c r="J699" s="12" t="s">
        <v>6966</v>
      </c>
      <c r="K699" s="12" t="s">
        <v>6651</v>
      </c>
      <c r="L699" s="12" t="s">
        <v>7040</v>
      </c>
      <c r="M699" s="12" t="s">
        <v>7040</v>
      </c>
      <c r="N699" s="12" t="s">
        <v>5785</v>
      </c>
      <c r="O699" s="12" t="s">
        <v>6983</v>
      </c>
      <c r="P699" s="12" t="s">
        <v>932</v>
      </c>
      <c r="Q699" s="12" t="s">
        <v>6658</v>
      </c>
      <c r="R699" s="12">
        <v>37.1907</v>
      </c>
      <c r="S699" s="12">
        <v>61.034300000000002</v>
      </c>
      <c r="T699" s="12" t="s">
        <v>25</v>
      </c>
      <c r="U699" s="12" t="s">
        <v>531</v>
      </c>
      <c r="V699" s="12" t="s">
        <v>6639</v>
      </c>
      <c r="W699" s="12" t="s">
        <v>6639</v>
      </c>
      <c r="X699" s="12">
        <v>0.67882799999999999</v>
      </c>
      <c r="Y699" s="12">
        <v>477405</v>
      </c>
      <c r="Z699" s="12" t="s">
        <v>6639</v>
      </c>
      <c r="AA699" s="12" t="s">
        <v>6639</v>
      </c>
      <c r="AB699" s="12" t="s">
        <v>4704</v>
      </c>
      <c r="AC699" s="12" t="s">
        <v>21</v>
      </c>
      <c r="AD699" s="12">
        <v>0.20399999999999999</v>
      </c>
      <c r="AE699" s="12">
        <v>0.99099999999999999</v>
      </c>
      <c r="AF699" s="12" t="s">
        <v>45</v>
      </c>
    </row>
    <row r="700" spans="1:32" x14ac:dyDescent="0.2">
      <c r="A700" s="12" t="s">
        <v>4707</v>
      </c>
      <c r="B700" s="12" t="s">
        <v>4707</v>
      </c>
      <c r="C700" s="12" t="s">
        <v>6970</v>
      </c>
      <c r="D700" s="12" t="s">
        <v>13</v>
      </c>
      <c r="E700" s="12" t="s">
        <v>8109</v>
      </c>
      <c r="F700" s="12" t="s">
        <v>5458</v>
      </c>
      <c r="G700" s="12" t="s">
        <v>5453</v>
      </c>
      <c r="H700" s="12" t="s">
        <v>6623</v>
      </c>
      <c r="I700" s="12">
        <v>5100</v>
      </c>
      <c r="J700" s="12" t="s">
        <v>6966</v>
      </c>
      <c r="K700" s="12" t="s">
        <v>6651</v>
      </c>
      <c r="L700" s="12" t="s">
        <v>7040</v>
      </c>
      <c r="M700" s="12" t="s">
        <v>7040</v>
      </c>
      <c r="N700" s="12" t="s">
        <v>5785</v>
      </c>
      <c r="O700" s="12" t="s">
        <v>6983</v>
      </c>
      <c r="P700" s="12" t="s">
        <v>932</v>
      </c>
      <c r="Q700" s="12" t="s">
        <v>6658</v>
      </c>
      <c r="R700" s="12">
        <v>37.1907</v>
      </c>
      <c r="S700" s="12">
        <v>61.034300000000002</v>
      </c>
      <c r="T700" s="12" t="s">
        <v>11</v>
      </c>
      <c r="U700" s="12" t="s">
        <v>1089</v>
      </c>
      <c r="V700" s="12" t="s">
        <v>954</v>
      </c>
      <c r="W700" s="12" t="s">
        <v>7415</v>
      </c>
      <c r="X700" s="12">
        <v>0.78256099999999995</v>
      </c>
      <c r="Y700" s="12">
        <v>489463</v>
      </c>
      <c r="Z700" s="12">
        <v>6.0200000000000002E-3</v>
      </c>
      <c r="AA700" s="12">
        <v>1.7622502003022757</v>
      </c>
      <c r="AB700" s="12" t="s">
        <v>4706</v>
      </c>
      <c r="AC700" s="12" t="s">
        <v>21</v>
      </c>
      <c r="AD700" s="12">
        <v>0.22900000000000001</v>
      </c>
      <c r="AE700" s="12">
        <v>0.98899999999999999</v>
      </c>
      <c r="AF700" s="12" t="s">
        <v>45</v>
      </c>
    </row>
    <row r="701" spans="1:32" x14ac:dyDescent="0.2">
      <c r="A701" s="12" t="s">
        <v>4716</v>
      </c>
      <c r="B701" s="12" t="s">
        <v>4716</v>
      </c>
      <c r="C701" s="12" t="s">
        <v>6974</v>
      </c>
      <c r="D701" s="12" t="s">
        <v>13</v>
      </c>
      <c r="E701" s="12" t="s">
        <v>8109</v>
      </c>
      <c r="F701" s="12" t="s">
        <v>5458</v>
      </c>
      <c r="G701" s="12" t="s">
        <v>5453</v>
      </c>
      <c r="H701" s="12" t="s">
        <v>6623</v>
      </c>
      <c r="I701" s="12">
        <v>5100</v>
      </c>
      <c r="J701" s="12" t="s">
        <v>6966</v>
      </c>
      <c r="K701" s="12" t="s">
        <v>6651</v>
      </c>
      <c r="L701" s="12" t="s">
        <v>7040</v>
      </c>
      <c r="M701" s="12" t="s">
        <v>7040</v>
      </c>
      <c r="N701" s="12" t="s">
        <v>5785</v>
      </c>
      <c r="O701" s="12" t="s">
        <v>6983</v>
      </c>
      <c r="P701" s="12" t="s">
        <v>932</v>
      </c>
      <c r="Q701" s="12" t="s">
        <v>6658</v>
      </c>
      <c r="R701" s="12">
        <v>37.1907</v>
      </c>
      <c r="S701" s="12">
        <v>61.034300000000002</v>
      </c>
      <c r="T701" s="12" t="s">
        <v>25</v>
      </c>
      <c r="U701" s="12" t="s">
        <v>4717</v>
      </c>
      <c r="V701" s="12" t="s">
        <v>6639</v>
      </c>
      <c r="W701" s="12" t="s">
        <v>6639</v>
      </c>
      <c r="X701" s="12">
        <v>2.210772</v>
      </c>
      <c r="Y701" s="12">
        <v>758188</v>
      </c>
      <c r="Z701" s="12" t="s">
        <v>6639</v>
      </c>
      <c r="AA701" s="12" t="s">
        <v>6639</v>
      </c>
      <c r="AB701" s="12" t="s">
        <v>4715</v>
      </c>
      <c r="AC701" s="12" t="s">
        <v>21</v>
      </c>
      <c r="AD701" s="12">
        <v>0.14399999999999999</v>
      </c>
      <c r="AE701" s="12">
        <v>0.999</v>
      </c>
      <c r="AF701" s="12" t="s">
        <v>45</v>
      </c>
    </row>
    <row r="702" spans="1:32" x14ac:dyDescent="0.2">
      <c r="A702" s="12" t="s">
        <v>4719</v>
      </c>
      <c r="B702" s="12" t="s">
        <v>4719</v>
      </c>
      <c r="C702" s="12" t="s">
        <v>6975</v>
      </c>
      <c r="D702" s="12" t="s">
        <v>13</v>
      </c>
      <c r="E702" s="12" t="s">
        <v>8109</v>
      </c>
      <c r="F702" s="12" t="s">
        <v>5458</v>
      </c>
      <c r="G702" s="12" t="s">
        <v>5453</v>
      </c>
      <c r="H702" s="12" t="s">
        <v>6623</v>
      </c>
      <c r="I702" s="12">
        <v>5100</v>
      </c>
      <c r="J702" s="12" t="s">
        <v>6966</v>
      </c>
      <c r="K702" s="12" t="s">
        <v>6651</v>
      </c>
      <c r="L702" s="12" t="s">
        <v>7040</v>
      </c>
      <c r="M702" s="12" t="s">
        <v>7040</v>
      </c>
      <c r="N702" s="12" t="s">
        <v>5785</v>
      </c>
      <c r="O702" s="12" t="s">
        <v>6983</v>
      </c>
      <c r="P702" s="12" t="s">
        <v>932</v>
      </c>
      <c r="Q702" s="12" t="s">
        <v>6658</v>
      </c>
      <c r="R702" s="16">
        <v>37.1907</v>
      </c>
      <c r="S702" s="16">
        <v>61.034300000000002</v>
      </c>
      <c r="T702" s="12" t="s">
        <v>25</v>
      </c>
      <c r="U702" s="12" t="s">
        <v>1265</v>
      </c>
      <c r="V702" s="12" t="s">
        <v>6639</v>
      </c>
      <c r="W702" s="12" t="s">
        <v>6639</v>
      </c>
      <c r="X702" s="12">
        <v>3.1137959999999998</v>
      </c>
      <c r="Y702" s="12">
        <v>772457</v>
      </c>
      <c r="Z702" s="12" t="s">
        <v>6639</v>
      </c>
      <c r="AA702" s="12" t="s">
        <v>6639</v>
      </c>
      <c r="AB702" s="12" t="s">
        <v>4718</v>
      </c>
      <c r="AC702" s="12" t="s">
        <v>21</v>
      </c>
      <c r="AD702" s="12">
        <v>0.161</v>
      </c>
      <c r="AE702" s="12">
        <v>0.99</v>
      </c>
      <c r="AF702" s="12" t="s">
        <v>45</v>
      </c>
    </row>
    <row r="703" spans="1:32" x14ac:dyDescent="0.2">
      <c r="A703" s="12" t="s">
        <v>1676</v>
      </c>
      <c r="B703" s="12" t="s">
        <v>1676</v>
      </c>
      <c r="C703" s="12" t="s">
        <v>6986</v>
      </c>
      <c r="D703" s="12" t="s">
        <v>13</v>
      </c>
      <c r="E703" s="12" t="s">
        <v>8110</v>
      </c>
      <c r="F703" s="12" t="s">
        <v>5458</v>
      </c>
      <c r="G703" s="12" t="s">
        <v>5453</v>
      </c>
      <c r="H703" s="12" t="s">
        <v>6623</v>
      </c>
      <c r="I703" s="12">
        <v>5100</v>
      </c>
      <c r="J703" s="12" t="s">
        <v>6966</v>
      </c>
      <c r="K703" s="12" t="s">
        <v>6651</v>
      </c>
      <c r="L703" s="12" t="s">
        <v>7124</v>
      </c>
      <c r="M703" s="12" t="s">
        <v>7124</v>
      </c>
      <c r="N703" s="12" t="s">
        <v>24</v>
      </c>
      <c r="O703" s="12" t="s">
        <v>6983</v>
      </c>
      <c r="P703" s="12" t="s">
        <v>932</v>
      </c>
      <c r="Q703" s="12" t="s">
        <v>6658</v>
      </c>
      <c r="R703" s="12">
        <v>37.1907</v>
      </c>
      <c r="S703" s="12">
        <v>61.034300000000002</v>
      </c>
      <c r="T703" s="12" t="s">
        <v>25</v>
      </c>
      <c r="U703" s="12" t="s">
        <v>1678</v>
      </c>
      <c r="V703" s="12" t="s">
        <v>6639</v>
      </c>
      <c r="W703" s="12" t="s">
        <v>6639</v>
      </c>
      <c r="X703" s="12">
        <v>9.6962999999999994E-2</v>
      </c>
      <c r="Y703" s="12">
        <v>106819</v>
      </c>
      <c r="Z703" s="12" t="s">
        <v>6639</v>
      </c>
      <c r="AA703" s="12" t="s">
        <v>6639</v>
      </c>
      <c r="AB703" s="12" t="s">
        <v>1677</v>
      </c>
      <c r="AC703" s="12" t="s">
        <v>21</v>
      </c>
      <c r="AD703" s="12">
        <v>0.10299999999999999</v>
      </c>
      <c r="AE703" s="12">
        <v>0.87</v>
      </c>
      <c r="AF703" s="12" t="s">
        <v>8075</v>
      </c>
    </row>
    <row r="704" spans="1:32" x14ac:dyDescent="0.2">
      <c r="A704" s="12" t="s">
        <v>3324</v>
      </c>
      <c r="B704" s="12" t="s">
        <v>3324</v>
      </c>
      <c r="C704" s="12" t="s">
        <v>7012</v>
      </c>
      <c r="D704" s="12" t="s">
        <v>13</v>
      </c>
      <c r="E704" s="12" t="s">
        <v>8110</v>
      </c>
      <c r="F704" s="12" t="s">
        <v>3326</v>
      </c>
      <c r="G704" s="12" t="s">
        <v>5453</v>
      </c>
      <c r="H704" s="12" t="s">
        <v>6616</v>
      </c>
      <c r="I704" s="12">
        <v>5068</v>
      </c>
      <c r="J704" s="12" t="s">
        <v>3326</v>
      </c>
      <c r="K704" s="12" t="s">
        <v>6651</v>
      </c>
      <c r="L704" s="12" t="s">
        <v>3313</v>
      </c>
      <c r="M704" s="12" t="s">
        <v>3317</v>
      </c>
      <c r="N704" s="12" t="s">
        <v>5785</v>
      </c>
      <c r="O704" s="12" t="s">
        <v>992</v>
      </c>
      <c r="P704" s="12" t="s">
        <v>932</v>
      </c>
      <c r="Q704" s="12" t="s">
        <v>6658</v>
      </c>
      <c r="R704" s="12">
        <v>38.348047999999999</v>
      </c>
      <c r="S704" s="12">
        <v>56.245429999999999</v>
      </c>
      <c r="T704" s="12" t="s">
        <v>25</v>
      </c>
      <c r="U704" s="12" t="s">
        <v>908</v>
      </c>
      <c r="V704" s="12" t="s">
        <v>6639</v>
      </c>
      <c r="W704" s="12" t="s">
        <v>6639</v>
      </c>
      <c r="X704" s="12">
        <v>1.716</v>
      </c>
      <c r="Y704" s="12">
        <v>677966</v>
      </c>
      <c r="Z704" s="12" t="s">
        <v>6639</v>
      </c>
      <c r="AA704" s="12" t="s">
        <v>6639</v>
      </c>
      <c r="AB704" s="12" t="s">
        <v>3325</v>
      </c>
      <c r="AC704" s="12" t="s">
        <v>21</v>
      </c>
      <c r="AD704" s="12" t="s">
        <v>17</v>
      </c>
      <c r="AE704" s="12">
        <v>0.98599999999999999</v>
      </c>
      <c r="AF704" s="12" t="s">
        <v>45</v>
      </c>
    </row>
    <row r="705" spans="1:32" x14ac:dyDescent="0.2">
      <c r="A705" s="12" t="s">
        <v>1681</v>
      </c>
      <c r="B705" s="12" t="s">
        <v>1681</v>
      </c>
      <c r="C705" s="12" t="s">
        <v>7427</v>
      </c>
      <c r="D705" s="12" t="s">
        <v>13</v>
      </c>
      <c r="E705" s="12" t="s">
        <v>8110</v>
      </c>
      <c r="F705" s="12" t="s">
        <v>1683</v>
      </c>
      <c r="G705" s="12" t="s">
        <v>5453</v>
      </c>
      <c r="H705" s="12" t="s">
        <v>6623</v>
      </c>
      <c r="I705" s="12">
        <v>5066</v>
      </c>
      <c r="J705" s="12" t="s">
        <v>1683</v>
      </c>
      <c r="K705" s="12" t="s">
        <v>6651</v>
      </c>
      <c r="L705" s="12" t="s">
        <v>7123</v>
      </c>
      <c r="M705" s="12" t="s">
        <v>7123</v>
      </c>
      <c r="N705" s="12" t="s">
        <v>24</v>
      </c>
      <c r="O705" s="12" t="s">
        <v>6983</v>
      </c>
      <c r="P705" s="12" t="s">
        <v>932</v>
      </c>
      <c r="Q705" s="12" t="s">
        <v>6658</v>
      </c>
      <c r="R705" s="12">
        <v>37.1907</v>
      </c>
      <c r="S705" s="12">
        <v>61.034300000000002</v>
      </c>
      <c r="T705" s="12" t="s">
        <v>25</v>
      </c>
      <c r="U705" s="12" t="s">
        <v>1005</v>
      </c>
      <c r="V705" s="12" t="s">
        <v>6639</v>
      </c>
      <c r="W705" s="12" t="s">
        <v>6639</v>
      </c>
      <c r="X705" s="12">
        <v>0.17372399999999999</v>
      </c>
      <c r="Y705" s="12">
        <v>181699</v>
      </c>
      <c r="Z705" s="12" t="s">
        <v>6639</v>
      </c>
      <c r="AA705" s="12" t="s">
        <v>6639</v>
      </c>
      <c r="AB705" s="12" t="s">
        <v>1682</v>
      </c>
      <c r="AC705" s="12" t="s">
        <v>21</v>
      </c>
      <c r="AD705" s="12">
        <v>0.10100000000000001</v>
      </c>
      <c r="AE705" s="12">
        <v>0.96499999999999997</v>
      </c>
      <c r="AF705" s="12" t="s">
        <v>45</v>
      </c>
    </row>
    <row r="706" spans="1:32" x14ac:dyDescent="0.2">
      <c r="A706" s="12" t="s">
        <v>3321</v>
      </c>
      <c r="B706" s="12" t="s">
        <v>3321</v>
      </c>
      <c r="C706" s="12" t="s">
        <v>6738</v>
      </c>
      <c r="D706" s="12" t="s">
        <v>13</v>
      </c>
      <c r="E706" s="12" t="s">
        <v>8110</v>
      </c>
      <c r="F706" s="12" t="s">
        <v>3323</v>
      </c>
      <c r="G706" s="12" t="s">
        <v>5453</v>
      </c>
      <c r="H706" s="12" t="s">
        <v>6629</v>
      </c>
      <c r="I706" s="12">
        <v>5044</v>
      </c>
      <c r="J706" s="12" t="s">
        <v>3323</v>
      </c>
      <c r="K706" s="12" t="s">
        <v>6651</v>
      </c>
      <c r="L706" s="12" t="s">
        <v>3313</v>
      </c>
      <c r="M706" s="12" t="s">
        <v>3317</v>
      </c>
      <c r="N706" s="12" t="s">
        <v>5785</v>
      </c>
      <c r="O706" s="12" t="s">
        <v>992</v>
      </c>
      <c r="P706" s="12" t="s">
        <v>932</v>
      </c>
      <c r="Q706" s="12" t="s">
        <v>6658</v>
      </c>
      <c r="R706" s="12">
        <v>38.348047999999999</v>
      </c>
      <c r="S706" s="12">
        <v>56.245429999999999</v>
      </c>
      <c r="T706" s="12" t="s">
        <v>25</v>
      </c>
      <c r="U706" s="12" t="s">
        <v>1220</v>
      </c>
      <c r="V706" s="12" t="s">
        <v>6639</v>
      </c>
      <c r="W706" s="12" t="s">
        <v>6639</v>
      </c>
      <c r="X706" s="12">
        <v>3.8010000000000002</v>
      </c>
      <c r="Y706" s="12">
        <v>781276</v>
      </c>
      <c r="Z706" s="12" t="s">
        <v>6639</v>
      </c>
      <c r="AA706" s="12" t="s">
        <v>6639</v>
      </c>
      <c r="AB706" s="12" t="s">
        <v>3322</v>
      </c>
      <c r="AC706" s="12" t="s">
        <v>21</v>
      </c>
      <c r="AD706" s="12">
        <v>0.11700000000000001</v>
      </c>
      <c r="AE706" s="12">
        <v>0.99199999999999999</v>
      </c>
      <c r="AF706" s="12" t="s">
        <v>45</v>
      </c>
    </row>
    <row r="707" spans="1:32" x14ac:dyDescent="0.2">
      <c r="A707" s="12" t="s">
        <v>1649</v>
      </c>
      <c r="B707" s="12" t="s">
        <v>1649</v>
      </c>
      <c r="C707" s="12" t="s">
        <v>7428</v>
      </c>
      <c r="D707" s="12" t="s">
        <v>13</v>
      </c>
      <c r="E707" s="12" t="s">
        <v>8110</v>
      </c>
      <c r="F707" s="12" t="s">
        <v>1651</v>
      </c>
      <c r="G707" s="12" t="s">
        <v>5453</v>
      </c>
      <c r="H707" s="12" t="s">
        <v>6623</v>
      </c>
      <c r="I707" s="12">
        <v>4959</v>
      </c>
      <c r="J707" s="12" t="s">
        <v>1651</v>
      </c>
      <c r="K707" s="12" t="s">
        <v>6651</v>
      </c>
      <c r="L707" s="12" t="s">
        <v>7040</v>
      </c>
      <c r="M707" s="12" t="s">
        <v>7040</v>
      </c>
      <c r="N707" s="12" t="s">
        <v>5785</v>
      </c>
      <c r="O707" s="12" t="s">
        <v>6983</v>
      </c>
      <c r="P707" s="12" t="s">
        <v>932</v>
      </c>
      <c r="Q707" s="12" t="s">
        <v>6658</v>
      </c>
      <c r="R707" s="12">
        <v>37.1907</v>
      </c>
      <c r="S707" s="12">
        <v>61.034300000000002</v>
      </c>
      <c r="T707" s="12" t="s">
        <v>11</v>
      </c>
      <c r="U707" s="12" t="s">
        <v>1652</v>
      </c>
      <c r="V707" s="12" t="s">
        <v>954</v>
      </c>
      <c r="W707" s="12" t="s">
        <v>7415</v>
      </c>
      <c r="X707" s="12">
        <v>0.39382499999999998</v>
      </c>
      <c r="Y707" s="12">
        <v>364312</v>
      </c>
      <c r="Z707" s="12">
        <v>8.0929999999999995E-3</v>
      </c>
      <c r="AA707" s="12">
        <v>0.99146103722285062</v>
      </c>
      <c r="AB707" s="12" t="s">
        <v>1650</v>
      </c>
      <c r="AC707" s="12" t="s">
        <v>21</v>
      </c>
      <c r="AD707" s="12">
        <v>0.115</v>
      </c>
      <c r="AE707" s="12">
        <v>0.996</v>
      </c>
      <c r="AF707" s="12" t="s">
        <v>45</v>
      </c>
    </row>
    <row r="708" spans="1:32" x14ac:dyDescent="0.2">
      <c r="A708" s="12" t="s">
        <v>3316</v>
      </c>
      <c r="B708" s="12" t="s">
        <v>3316</v>
      </c>
      <c r="C708" s="12" t="s">
        <v>3318</v>
      </c>
      <c r="D708" s="12" t="s">
        <v>13</v>
      </c>
      <c r="E708" s="12" t="s">
        <v>8110</v>
      </c>
      <c r="F708" s="12" t="s">
        <v>3320</v>
      </c>
      <c r="G708" s="12" t="s">
        <v>5453</v>
      </c>
      <c r="H708" s="12" t="s">
        <v>6629</v>
      </c>
      <c r="I708" s="12">
        <v>4946</v>
      </c>
      <c r="J708" s="12" t="s">
        <v>3320</v>
      </c>
      <c r="K708" s="12" t="s">
        <v>6651</v>
      </c>
      <c r="L708" s="12" t="s">
        <v>3313</v>
      </c>
      <c r="M708" s="12" t="s">
        <v>3317</v>
      </c>
      <c r="N708" s="12" t="s">
        <v>5785</v>
      </c>
      <c r="O708" s="12" t="s">
        <v>992</v>
      </c>
      <c r="P708" s="12" t="s">
        <v>932</v>
      </c>
      <c r="Q708" s="12" t="s">
        <v>6658</v>
      </c>
      <c r="R708" s="12">
        <v>38.348047999999999</v>
      </c>
      <c r="S708" s="12">
        <v>56.245429999999999</v>
      </c>
      <c r="T708" s="12" t="s">
        <v>25</v>
      </c>
      <c r="U708" s="12" t="s">
        <v>883</v>
      </c>
      <c r="V708" s="12" t="s">
        <v>6639</v>
      </c>
      <c r="W708" s="12" t="s">
        <v>6639</v>
      </c>
      <c r="X708" s="12">
        <v>2.1653020000000001</v>
      </c>
      <c r="Y708" s="12">
        <v>769168</v>
      </c>
      <c r="Z708" s="12" t="s">
        <v>6639</v>
      </c>
      <c r="AA708" s="12" t="s">
        <v>6639</v>
      </c>
      <c r="AB708" s="12" t="s">
        <v>3319</v>
      </c>
      <c r="AC708" s="12" t="s">
        <v>21</v>
      </c>
      <c r="AD708" s="12">
        <v>0.17</v>
      </c>
      <c r="AE708" s="12">
        <v>0.99399999999999999</v>
      </c>
      <c r="AF708" s="12" t="s">
        <v>45</v>
      </c>
    </row>
    <row r="709" spans="1:32" x14ac:dyDescent="0.2">
      <c r="A709" s="12" t="s">
        <v>4723</v>
      </c>
      <c r="B709" s="12" t="s">
        <v>4723</v>
      </c>
      <c r="C709" s="12" t="s">
        <v>7434</v>
      </c>
      <c r="D709" s="12" t="s">
        <v>13</v>
      </c>
      <c r="E709" s="12" t="s">
        <v>8110</v>
      </c>
      <c r="F709" s="12" t="s">
        <v>4725</v>
      </c>
      <c r="G709" s="12" t="s">
        <v>5453</v>
      </c>
      <c r="H709" s="12" t="s">
        <v>6623</v>
      </c>
      <c r="I709" s="12">
        <v>4896</v>
      </c>
      <c r="J709" s="12" t="s">
        <v>4725</v>
      </c>
      <c r="K709" s="12" t="s">
        <v>6651</v>
      </c>
      <c r="L709" s="12" t="s">
        <v>7042</v>
      </c>
      <c r="M709" s="12" t="s">
        <v>7042</v>
      </c>
      <c r="N709" s="12" t="s">
        <v>24</v>
      </c>
      <c r="O709" s="12" t="s">
        <v>6983</v>
      </c>
      <c r="P709" s="12" t="s">
        <v>932</v>
      </c>
      <c r="Q709" s="12" t="s">
        <v>6658</v>
      </c>
      <c r="R709" s="12">
        <v>37.1907</v>
      </c>
      <c r="S709" s="12">
        <v>61.034300000000002</v>
      </c>
      <c r="T709" s="12" t="s">
        <v>25</v>
      </c>
      <c r="U709" s="12" t="s">
        <v>1265</v>
      </c>
      <c r="V709" s="12" t="s">
        <v>6639</v>
      </c>
      <c r="W709" s="12" t="s">
        <v>6639</v>
      </c>
      <c r="X709" s="12">
        <v>0.213756</v>
      </c>
      <c r="Y709" s="12">
        <v>214118</v>
      </c>
      <c r="Z709" s="12" t="s">
        <v>6639</v>
      </c>
      <c r="AA709" s="12" t="s">
        <v>6639</v>
      </c>
      <c r="AB709" s="12" t="s">
        <v>4724</v>
      </c>
      <c r="AC709" s="12" t="s">
        <v>21</v>
      </c>
      <c r="AD709" s="12">
        <v>0.10199999999999999</v>
      </c>
      <c r="AE709" s="12">
        <v>0.94799999999999995</v>
      </c>
      <c r="AF709" s="12" t="s">
        <v>4726</v>
      </c>
    </row>
    <row r="710" spans="1:32" x14ac:dyDescent="0.2">
      <c r="A710" s="12" t="s">
        <v>4639</v>
      </c>
      <c r="B710" s="12" t="s">
        <v>4639</v>
      </c>
      <c r="C710" s="12" t="s">
        <v>4640</v>
      </c>
      <c r="D710" s="12" t="s">
        <v>13</v>
      </c>
      <c r="E710" s="12" t="s">
        <v>8110</v>
      </c>
      <c r="F710" s="12" t="s">
        <v>4642</v>
      </c>
      <c r="G710" s="12" t="s">
        <v>5453</v>
      </c>
      <c r="H710" s="12" t="s">
        <v>6617</v>
      </c>
      <c r="I710" s="12">
        <v>4846</v>
      </c>
      <c r="J710" s="12" t="s">
        <v>4642</v>
      </c>
      <c r="K710" s="12" t="s">
        <v>6651</v>
      </c>
      <c r="L710" s="12" t="s">
        <v>4602</v>
      </c>
      <c r="M710" s="12" t="s">
        <v>4602</v>
      </c>
      <c r="N710" s="12" t="s">
        <v>5785</v>
      </c>
      <c r="O710" s="12" t="s">
        <v>4606</v>
      </c>
      <c r="P710" s="12" t="s">
        <v>826</v>
      </c>
      <c r="Q710" s="12" t="s">
        <v>6658</v>
      </c>
      <c r="R710" s="12">
        <v>36.154444439999999</v>
      </c>
      <c r="S710" s="12">
        <v>54.383611109999997</v>
      </c>
      <c r="T710" s="12" t="s">
        <v>11</v>
      </c>
      <c r="U710" s="12" t="s">
        <v>531</v>
      </c>
      <c r="V710" s="12" t="s">
        <v>933</v>
      </c>
      <c r="W710" s="12" t="s">
        <v>7415</v>
      </c>
      <c r="X710" s="12">
        <v>0.27194099999999999</v>
      </c>
      <c r="Y710" s="12">
        <v>243409</v>
      </c>
      <c r="Z710" s="12" t="s">
        <v>8052</v>
      </c>
      <c r="AA710" s="12" t="s">
        <v>8052</v>
      </c>
      <c r="AB710" s="12" t="s">
        <v>4641</v>
      </c>
      <c r="AC710" s="12" t="s">
        <v>340</v>
      </c>
      <c r="AD710" s="12" t="s">
        <v>7864</v>
      </c>
      <c r="AE710" s="12" t="s">
        <v>7732</v>
      </c>
      <c r="AF710" s="12" t="s">
        <v>45</v>
      </c>
    </row>
    <row r="711" spans="1:32" x14ac:dyDescent="0.2">
      <c r="A711" s="12" t="s">
        <v>4601</v>
      </c>
      <c r="B711" s="12" t="s">
        <v>4601</v>
      </c>
      <c r="C711" s="12" t="s">
        <v>4603</v>
      </c>
      <c r="D711" s="12" t="s">
        <v>13</v>
      </c>
      <c r="E711" s="12" t="s">
        <v>8110</v>
      </c>
      <c r="F711" s="12" t="s">
        <v>4605</v>
      </c>
      <c r="G711" s="12" t="s">
        <v>5453</v>
      </c>
      <c r="H711" s="12" t="s">
        <v>6617</v>
      </c>
      <c r="I711" s="12">
        <v>4724</v>
      </c>
      <c r="J711" s="12" t="s">
        <v>4605</v>
      </c>
      <c r="K711" s="12" t="s">
        <v>6651</v>
      </c>
      <c r="L711" s="12" t="s">
        <v>4602</v>
      </c>
      <c r="M711" s="12" t="s">
        <v>4602</v>
      </c>
      <c r="N711" s="12" t="s">
        <v>5785</v>
      </c>
      <c r="O711" s="12" t="s">
        <v>4606</v>
      </c>
      <c r="P711" s="12" t="s">
        <v>826</v>
      </c>
      <c r="Q711" s="12" t="s">
        <v>6658</v>
      </c>
      <c r="R711" s="12">
        <v>36.154444439999999</v>
      </c>
      <c r="S711" s="12">
        <v>54.383611109999997</v>
      </c>
      <c r="T711" s="12" t="s">
        <v>25</v>
      </c>
      <c r="U711" s="12" t="s">
        <v>4607</v>
      </c>
      <c r="V711" s="12" t="s">
        <v>6639</v>
      </c>
      <c r="W711" s="12" t="s">
        <v>6639</v>
      </c>
      <c r="X711" s="12">
        <v>1.3859999999999999</v>
      </c>
      <c r="Y711" s="12">
        <v>601080</v>
      </c>
      <c r="Z711" s="12" t="s">
        <v>6639</v>
      </c>
      <c r="AA711" s="12" t="s">
        <v>6639</v>
      </c>
      <c r="AB711" s="12" t="s">
        <v>4604</v>
      </c>
      <c r="AC711" s="12" t="s">
        <v>21</v>
      </c>
      <c r="AD711" s="12">
        <v>4.8000000000000001E-2</v>
      </c>
      <c r="AE711" s="12">
        <v>0.995</v>
      </c>
      <c r="AF711" s="12" t="s">
        <v>45</v>
      </c>
    </row>
    <row r="712" spans="1:32" x14ac:dyDescent="0.2">
      <c r="A712" s="12" t="s">
        <v>4634</v>
      </c>
      <c r="B712" s="12" t="s">
        <v>4634</v>
      </c>
      <c r="C712" s="12" t="s">
        <v>4635</v>
      </c>
      <c r="D712" s="12" t="s">
        <v>13</v>
      </c>
      <c r="E712" s="12" t="s">
        <v>8110</v>
      </c>
      <c r="F712" s="12" t="s">
        <v>4637</v>
      </c>
      <c r="G712" s="12" t="s">
        <v>5453</v>
      </c>
      <c r="H712" s="12" t="s">
        <v>6617</v>
      </c>
      <c r="I712" s="12">
        <v>4724</v>
      </c>
      <c r="J712" s="12" t="s">
        <v>4637</v>
      </c>
      <c r="K712" s="12" t="s">
        <v>6651</v>
      </c>
      <c r="L712" s="12" t="s">
        <v>4602</v>
      </c>
      <c r="M712" s="12" t="s">
        <v>4602</v>
      </c>
      <c r="N712" s="12" t="s">
        <v>5785</v>
      </c>
      <c r="O712" s="12" t="s">
        <v>4606</v>
      </c>
      <c r="P712" s="12" t="s">
        <v>826</v>
      </c>
      <c r="Q712" s="12" t="s">
        <v>6658</v>
      </c>
      <c r="R712" s="12">
        <v>36.154444439999999</v>
      </c>
      <c r="S712" s="12">
        <v>54.383611109999997</v>
      </c>
      <c r="T712" s="12" t="s">
        <v>25</v>
      </c>
      <c r="U712" s="12" t="s">
        <v>4638</v>
      </c>
      <c r="V712" s="12" t="s">
        <v>6639</v>
      </c>
      <c r="W712" s="12" t="s">
        <v>6639</v>
      </c>
      <c r="X712" s="12">
        <v>1.8839999999999999</v>
      </c>
      <c r="Y712" s="12">
        <v>664720</v>
      </c>
      <c r="Z712" s="12" t="s">
        <v>6639</v>
      </c>
      <c r="AA712" s="12" t="s">
        <v>6639</v>
      </c>
      <c r="AB712" s="12" t="s">
        <v>4636</v>
      </c>
      <c r="AC712" s="12" t="s">
        <v>21</v>
      </c>
      <c r="AD712" s="12">
        <v>0.104</v>
      </c>
      <c r="AE712" s="12">
        <v>0.997</v>
      </c>
      <c r="AF712" s="12" t="s">
        <v>45</v>
      </c>
    </row>
    <row r="713" spans="1:32" x14ac:dyDescent="0.2">
      <c r="A713" s="12" t="s">
        <v>4629</v>
      </c>
      <c r="B713" s="12" t="s">
        <v>4629</v>
      </c>
      <c r="C713" s="12" t="s">
        <v>4630</v>
      </c>
      <c r="D713" s="12" t="s">
        <v>13</v>
      </c>
      <c r="E713" s="12" t="s">
        <v>8110</v>
      </c>
      <c r="F713" s="12" t="s">
        <v>4632</v>
      </c>
      <c r="G713" s="12" t="s">
        <v>5453</v>
      </c>
      <c r="H713" s="12" t="s">
        <v>6617</v>
      </c>
      <c r="I713" s="12">
        <v>4707</v>
      </c>
      <c r="J713" s="12" t="s">
        <v>4632</v>
      </c>
      <c r="K713" s="12" t="s">
        <v>6651</v>
      </c>
      <c r="L713" s="12" t="s">
        <v>4602</v>
      </c>
      <c r="M713" s="12" t="s">
        <v>4602</v>
      </c>
      <c r="N713" s="12" t="s">
        <v>5785</v>
      </c>
      <c r="O713" s="12" t="s">
        <v>4606</v>
      </c>
      <c r="P713" s="12" t="s">
        <v>826</v>
      </c>
      <c r="Q713" s="12" t="s">
        <v>6658</v>
      </c>
      <c r="R713" s="12">
        <v>36.154444439999999</v>
      </c>
      <c r="S713" s="12">
        <v>54.383611109999997</v>
      </c>
      <c r="T713" s="12" t="s">
        <v>11</v>
      </c>
      <c r="U713" s="12" t="s">
        <v>998</v>
      </c>
      <c r="V713" s="12" t="s">
        <v>4633</v>
      </c>
      <c r="W713" s="12" t="s">
        <v>7415</v>
      </c>
      <c r="X713" s="12">
        <v>1.35</v>
      </c>
      <c r="Y713" s="12">
        <v>576483</v>
      </c>
      <c r="Z713" s="12">
        <v>2.604E-3</v>
      </c>
      <c r="AA713" s="12">
        <v>1.4934164079664933</v>
      </c>
      <c r="AB713" s="12" t="s">
        <v>4631</v>
      </c>
      <c r="AC713" s="12" t="s">
        <v>21</v>
      </c>
      <c r="AD713" s="12">
        <v>0.121</v>
      </c>
      <c r="AE713" s="12">
        <v>0.997</v>
      </c>
      <c r="AF713" s="12" t="s">
        <v>45</v>
      </c>
    </row>
    <row r="714" spans="1:32" x14ac:dyDescent="0.2">
      <c r="A714" s="12" t="s">
        <v>4625</v>
      </c>
      <c r="B714" s="12" t="s">
        <v>4625</v>
      </c>
      <c r="C714" s="12" t="s">
        <v>4626</v>
      </c>
      <c r="D714" s="12" t="s">
        <v>13</v>
      </c>
      <c r="E714" s="12" t="s">
        <v>8110</v>
      </c>
      <c r="F714" s="12" t="s">
        <v>4628</v>
      </c>
      <c r="G714" s="12" t="s">
        <v>5453</v>
      </c>
      <c r="H714" s="12" t="s">
        <v>6617</v>
      </c>
      <c r="I714" s="12">
        <v>4632</v>
      </c>
      <c r="J714" s="12" t="s">
        <v>4628</v>
      </c>
      <c r="K714" s="12" t="s">
        <v>6651</v>
      </c>
      <c r="L714" s="12" t="s">
        <v>4602</v>
      </c>
      <c r="M714" s="12" t="s">
        <v>4602</v>
      </c>
      <c r="N714" s="12" t="s">
        <v>5785</v>
      </c>
      <c r="O714" s="12" t="s">
        <v>4606</v>
      </c>
      <c r="P714" s="12" t="s">
        <v>826</v>
      </c>
      <c r="Q714" s="12" t="s">
        <v>6658</v>
      </c>
      <c r="R714" s="12">
        <v>36.154444439999999</v>
      </c>
      <c r="S714" s="12">
        <v>54.383611109999997</v>
      </c>
      <c r="T714" s="12" t="s">
        <v>25</v>
      </c>
      <c r="U714" s="12" t="s">
        <v>17</v>
      </c>
      <c r="V714" s="12" t="s">
        <v>6639</v>
      </c>
      <c r="W714" s="12" t="s">
        <v>6639</v>
      </c>
      <c r="X714" s="12">
        <v>0.202184</v>
      </c>
      <c r="Y714" s="12">
        <v>205957</v>
      </c>
      <c r="Z714" s="12" t="s">
        <v>6639</v>
      </c>
      <c r="AA714" s="12" t="s">
        <v>6639</v>
      </c>
      <c r="AB714" s="12" t="s">
        <v>4627</v>
      </c>
      <c r="AC714" s="12" t="s">
        <v>340</v>
      </c>
      <c r="AD714" s="12" t="s">
        <v>7826</v>
      </c>
      <c r="AE714" s="12" t="s">
        <v>7725</v>
      </c>
      <c r="AF714" s="12" t="s">
        <v>45</v>
      </c>
    </row>
    <row r="715" spans="1:32" x14ac:dyDescent="0.2">
      <c r="A715" s="12" t="s">
        <v>4620</v>
      </c>
      <c r="B715" s="12" t="s">
        <v>4620</v>
      </c>
      <c r="C715" s="12" t="s">
        <v>4621</v>
      </c>
      <c r="D715" s="12" t="s">
        <v>13</v>
      </c>
      <c r="E715" s="12" t="s">
        <v>8110</v>
      </c>
      <c r="F715" s="12" t="s">
        <v>4623</v>
      </c>
      <c r="G715" s="12" t="s">
        <v>5453</v>
      </c>
      <c r="H715" s="12" t="s">
        <v>6617</v>
      </c>
      <c r="I715" s="12">
        <v>4621</v>
      </c>
      <c r="J715" s="12" t="s">
        <v>4623</v>
      </c>
      <c r="K715" s="12" t="s">
        <v>6651</v>
      </c>
      <c r="L715" s="12" t="s">
        <v>4602</v>
      </c>
      <c r="M715" s="12" t="s">
        <v>4602</v>
      </c>
      <c r="N715" s="12" t="s">
        <v>5785</v>
      </c>
      <c r="O715" s="12" t="s">
        <v>4606</v>
      </c>
      <c r="P715" s="12" t="s">
        <v>826</v>
      </c>
      <c r="Q715" s="12" t="s">
        <v>6658</v>
      </c>
      <c r="R715" s="12">
        <v>36.154444439999999</v>
      </c>
      <c r="S715" s="12">
        <v>54.383611109999997</v>
      </c>
      <c r="T715" s="12" t="s">
        <v>25</v>
      </c>
      <c r="U715" s="12" t="s">
        <v>998</v>
      </c>
      <c r="V715" s="12" t="s">
        <v>6639</v>
      </c>
      <c r="W715" s="12" t="s">
        <v>6639</v>
      </c>
      <c r="X715" s="12">
        <v>1.8260000000000001</v>
      </c>
      <c r="Y715" s="12">
        <v>634820</v>
      </c>
      <c r="Z715" s="12" t="s">
        <v>6639</v>
      </c>
      <c r="AA715" s="12" t="s">
        <v>6639</v>
      </c>
      <c r="AB715" s="12" t="s">
        <v>4622</v>
      </c>
      <c r="AC715" s="12" t="s">
        <v>21</v>
      </c>
      <c r="AD715" s="12">
        <v>0.10299999999999999</v>
      </c>
      <c r="AE715" s="12">
        <v>0.99099999999999999</v>
      </c>
      <c r="AF715" s="12" t="s">
        <v>4624</v>
      </c>
    </row>
    <row r="716" spans="1:32" x14ac:dyDescent="0.2">
      <c r="A716" s="12" t="s">
        <v>3327</v>
      </c>
      <c r="B716" s="12" t="s">
        <v>3327</v>
      </c>
      <c r="C716" s="12" t="s">
        <v>3329</v>
      </c>
      <c r="D716" s="12" t="s">
        <v>13</v>
      </c>
      <c r="E716" s="12" t="s">
        <v>8110</v>
      </c>
      <c r="F716" s="12" t="s">
        <v>5458</v>
      </c>
      <c r="G716" s="12" t="s">
        <v>5453</v>
      </c>
      <c r="H716" s="12" t="s">
        <v>6629</v>
      </c>
      <c r="I716" s="12">
        <v>4550</v>
      </c>
      <c r="J716" s="12" t="s">
        <v>3331</v>
      </c>
      <c r="K716" s="12" t="s">
        <v>6651</v>
      </c>
      <c r="L716" s="12" t="s">
        <v>3313</v>
      </c>
      <c r="M716" s="12" t="s">
        <v>3328</v>
      </c>
      <c r="N716" s="12" t="s">
        <v>5785</v>
      </c>
      <c r="O716" s="12" t="s">
        <v>992</v>
      </c>
      <c r="P716" s="12" t="s">
        <v>932</v>
      </c>
      <c r="Q716" s="12" t="s">
        <v>6658</v>
      </c>
      <c r="R716" s="16">
        <v>38.348047999999999</v>
      </c>
      <c r="S716" s="16">
        <v>56.245429999999999</v>
      </c>
      <c r="T716" s="12" t="s">
        <v>25</v>
      </c>
      <c r="U716" s="12" t="s">
        <v>516</v>
      </c>
      <c r="V716" s="12" t="s">
        <v>6639</v>
      </c>
      <c r="W716" s="12" t="s">
        <v>6639</v>
      </c>
      <c r="X716" s="12">
        <v>3.746394</v>
      </c>
      <c r="Y716" s="12">
        <v>863817</v>
      </c>
      <c r="Z716" s="12" t="s">
        <v>6639</v>
      </c>
      <c r="AA716" s="12" t="s">
        <v>6639</v>
      </c>
      <c r="AB716" s="12" t="s">
        <v>3330</v>
      </c>
      <c r="AC716" s="12" t="s">
        <v>21</v>
      </c>
      <c r="AD716" s="12">
        <v>0.11600000000000001</v>
      </c>
      <c r="AE716" s="12">
        <v>0.97799999999999998</v>
      </c>
      <c r="AF716" s="12" t="s">
        <v>45</v>
      </c>
    </row>
    <row r="717" spans="1:32" x14ac:dyDescent="0.2">
      <c r="A717" s="12" t="s">
        <v>3348</v>
      </c>
      <c r="B717" s="12" t="s">
        <v>3348</v>
      </c>
      <c r="C717" s="12" t="s">
        <v>6777</v>
      </c>
      <c r="D717" s="12" t="s">
        <v>13</v>
      </c>
      <c r="E717" s="12" t="s">
        <v>8110</v>
      </c>
      <c r="F717" s="12" t="s">
        <v>5458</v>
      </c>
      <c r="G717" s="12" t="s">
        <v>5453</v>
      </c>
      <c r="H717" s="12" t="s">
        <v>6629</v>
      </c>
      <c r="I717" s="12">
        <v>4450</v>
      </c>
      <c r="J717" s="12" t="s">
        <v>6727</v>
      </c>
      <c r="K717" s="12" t="s">
        <v>6651</v>
      </c>
      <c r="L717" s="12" t="s">
        <v>3350</v>
      </c>
      <c r="M717" s="12" t="s">
        <v>3349</v>
      </c>
      <c r="N717" s="12" t="s">
        <v>24</v>
      </c>
      <c r="O717" s="12" t="s">
        <v>992</v>
      </c>
      <c r="P717" s="12" t="s">
        <v>932</v>
      </c>
      <c r="Q717" s="12" t="s">
        <v>6658</v>
      </c>
      <c r="R717" s="12">
        <v>38.348047999999999</v>
      </c>
      <c r="S717" s="12">
        <v>56.245429999999999</v>
      </c>
      <c r="T717" s="12" t="s">
        <v>11</v>
      </c>
      <c r="U717" s="12" t="s">
        <v>17</v>
      </c>
      <c r="V717" s="12" t="s">
        <v>1014</v>
      </c>
      <c r="W717" s="12" t="s">
        <v>7415</v>
      </c>
      <c r="X717" s="12">
        <v>2.2160000000000001E-3</v>
      </c>
      <c r="Y717" s="12">
        <v>2673</v>
      </c>
      <c r="Z717" s="12" t="s">
        <v>8052</v>
      </c>
      <c r="AA717" s="12" t="s">
        <v>8052</v>
      </c>
      <c r="AB717" s="12" t="s">
        <v>3351</v>
      </c>
      <c r="AC717" s="12" t="s">
        <v>21</v>
      </c>
      <c r="AD717" s="12">
        <v>4.8000000000000001E-2</v>
      </c>
      <c r="AE717" s="12" t="s">
        <v>7796</v>
      </c>
      <c r="AF717" s="12" t="s">
        <v>3026</v>
      </c>
    </row>
    <row r="718" spans="1:32" x14ac:dyDescent="0.2">
      <c r="A718" s="12" t="s">
        <v>4616</v>
      </c>
      <c r="B718" s="12" t="s">
        <v>4616</v>
      </c>
      <c r="C718" s="12" t="s">
        <v>4617</v>
      </c>
      <c r="D718" s="12" t="s">
        <v>13</v>
      </c>
      <c r="E718" s="12" t="s">
        <v>8110</v>
      </c>
      <c r="F718" s="12" t="s">
        <v>4619</v>
      </c>
      <c r="G718" s="12" t="s">
        <v>5453</v>
      </c>
      <c r="H718" s="12" t="s">
        <v>6617</v>
      </c>
      <c r="I718" s="12">
        <v>4413</v>
      </c>
      <c r="J718" s="12" t="s">
        <v>4619</v>
      </c>
      <c r="K718" s="12" t="s">
        <v>6651</v>
      </c>
      <c r="L718" s="12" t="s">
        <v>4602</v>
      </c>
      <c r="M718" s="12" t="s">
        <v>4602</v>
      </c>
      <c r="N718" s="12" t="s">
        <v>5785</v>
      </c>
      <c r="O718" s="12" t="s">
        <v>4606</v>
      </c>
      <c r="P718" s="12" t="s">
        <v>826</v>
      </c>
      <c r="Q718" s="12" t="s">
        <v>6658</v>
      </c>
      <c r="R718" s="16">
        <v>36.154444439999999</v>
      </c>
      <c r="S718" s="16">
        <v>54.383611109999997</v>
      </c>
      <c r="T718" s="12" t="s">
        <v>11</v>
      </c>
      <c r="U718" s="12" t="s">
        <v>17</v>
      </c>
      <c r="V718" s="12" t="s">
        <v>262</v>
      </c>
      <c r="W718" s="12" t="s">
        <v>7415</v>
      </c>
      <c r="X718" s="12">
        <v>0.54757599999999995</v>
      </c>
      <c r="Y718" s="12">
        <v>404589</v>
      </c>
      <c r="Z718" s="12">
        <v>1.3420000000000001E-3</v>
      </c>
      <c r="AA718" s="12">
        <v>0.40687466592770305</v>
      </c>
      <c r="AB718" s="12" t="s">
        <v>4618</v>
      </c>
      <c r="AC718" s="12" t="s">
        <v>340</v>
      </c>
      <c r="AD718" s="12" t="s">
        <v>7870</v>
      </c>
      <c r="AE718" s="12" t="s">
        <v>7748</v>
      </c>
      <c r="AF718" s="12" t="s">
        <v>45</v>
      </c>
    </row>
    <row r="719" spans="1:32" x14ac:dyDescent="0.2">
      <c r="A719" s="12" t="s">
        <v>4612</v>
      </c>
      <c r="B719" s="12" t="s">
        <v>4612</v>
      </c>
      <c r="C719" s="12" t="s">
        <v>4613</v>
      </c>
      <c r="D719" s="12" t="s">
        <v>13</v>
      </c>
      <c r="E719" s="12" t="s">
        <v>8110</v>
      </c>
      <c r="F719" s="12" t="s">
        <v>4615</v>
      </c>
      <c r="G719" s="12" t="s">
        <v>5453</v>
      </c>
      <c r="H719" s="12" t="s">
        <v>6617</v>
      </c>
      <c r="I719" s="12">
        <v>4341</v>
      </c>
      <c r="J719" s="12" t="s">
        <v>4615</v>
      </c>
      <c r="K719" s="12" t="s">
        <v>6651</v>
      </c>
      <c r="L719" s="12" t="s">
        <v>4602</v>
      </c>
      <c r="M719" s="12" t="s">
        <v>4602</v>
      </c>
      <c r="N719" s="12" t="s">
        <v>5785</v>
      </c>
      <c r="O719" s="12" t="s">
        <v>4606</v>
      </c>
      <c r="P719" s="12" t="s">
        <v>826</v>
      </c>
      <c r="Q719" s="12" t="s">
        <v>6658</v>
      </c>
      <c r="R719" s="12">
        <v>36.154444439999999</v>
      </c>
      <c r="S719" s="12">
        <v>54.383611109999997</v>
      </c>
      <c r="T719" s="12" t="s">
        <v>11</v>
      </c>
      <c r="U719" s="12" t="s">
        <v>998</v>
      </c>
      <c r="V719" s="12" t="s">
        <v>2900</v>
      </c>
      <c r="W719" s="12" t="s">
        <v>7415</v>
      </c>
      <c r="X719" s="12">
        <v>5.5540000000000003</v>
      </c>
      <c r="Y719" s="12">
        <v>745066</v>
      </c>
      <c r="Z719" s="12">
        <v>4.8409999999999998E-3</v>
      </c>
      <c r="AA719" s="12">
        <v>4.8180755963127444</v>
      </c>
      <c r="AB719" s="12" t="s">
        <v>4614</v>
      </c>
      <c r="AC719" s="12" t="s">
        <v>21</v>
      </c>
      <c r="AD719" s="12">
        <v>6.7000000000000004E-2</v>
      </c>
      <c r="AE719" s="12">
        <v>0.93500000000000005</v>
      </c>
      <c r="AF719" s="12" t="s">
        <v>7665</v>
      </c>
    </row>
    <row r="720" spans="1:32" x14ac:dyDescent="0.2">
      <c r="A720" s="12" t="s">
        <v>3311</v>
      </c>
      <c r="B720" s="12" t="s">
        <v>3311</v>
      </c>
      <c r="C720" s="12" t="s">
        <v>6783</v>
      </c>
      <c r="D720" s="12" t="s">
        <v>13</v>
      </c>
      <c r="E720" s="12" t="s">
        <v>8110</v>
      </c>
      <c r="F720" s="12" t="s">
        <v>3315</v>
      </c>
      <c r="G720" s="12" t="s">
        <v>5453</v>
      </c>
      <c r="H720" s="12" t="s">
        <v>6629</v>
      </c>
      <c r="I720" s="12">
        <v>4139</v>
      </c>
      <c r="J720" s="12" t="s">
        <v>3315</v>
      </c>
      <c r="K720" s="12" t="s">
        <v>6651</v>
      </c>
      <c r="L720" s="12" t="s">
        <v>3313</v>
      </c>
      <c r="M720" s="12" t="s">
        <v>3312</v>
      </c>
      <c r="N720" s="12" t="s">
        <v>5785</v>
      </c>
      <c r="O720" s="12" t="s">
        <v>992</v>
      </c>
      <c r="P720" s="12" t="s">
        <v>932</v>
      </c>
      <c r="Q720" s="12" t="s">
        <v>6658</v>
      </c>
      <c r="R720" s="16">
        <v>38.348047999999999</v>
      </c>
      <c r="S720" s="16">
        <v>56.245429999999999</v>
      </c>
      <c r="T720" s="12" t="s">
        <v>25</v>
      </c>
      <c r="U720" s="12" t="s">
        <v>17</v>
      </c>
      <c r="V720" s="12" t="s">
        <v>6639</v>
      </c>
      <c r="W720" s="12" t="s">
        <v>6639</v>
      </c>
      <c r="X720" s="12">
        <v>2.0464769999999999</v>
      </c>
      <c r="Y720" s="12">
        <v>793068</v>
      </c>
      <c r="Z720" s="12" t="s">
        <v>6639</v>
      </c>
      <c r="AA720" s="12" t="s">
        <v>6639</v>
      </c>
      <c r="AB720" s="12" t="s">
        <v>3314</v>
      </c>
      <c r="AC720" s="12" t="s">
        <v>21</v>
      </c>
      <c r="AD720" s="12">
        <v>0.14699999999999999</v>
      </c>
      <c r="AE720" s="12">
        <v>0.98899999999999999</v>
      </c>
      <c r="AF720" s="12" t="s">
        <v>45</v>
      </c>
    </row>
    <row r="721" spans="1:32" x14ac:dyDescent="0.2">
      <c r="A721" s="12" t="s">
        <v>4608</v>
      </c>
      <c r="B721" s="12" t="s">
        <v>4608</v>
      </c>
      <c r="C721" s="12" t="s">
        <v>4609</v>
      </c>
      <c r="D721" s="12" t="s">
        <v>118</v>
      </c>
      <c r="E721" s="12" t="s">
        <v>8110</v>
      </c>
      <c r="F721" s="12" t="s">
        <v>4611</v>
      </c>
      <c r="G721" s="12" t="s">
        <v>5453</v>
      </c>
      <c r="H721" s="12" t="s">
        <v>6617</v>
      </c>
      <c r="I721" s="12">
        <v>4062</v>
      </c>
      <c r="J721" s="12" t="s">
        <v>4611</v>
      </c>
      <c r="K721" s="12" t="s">
        <v>6651</v>
      </c>
      <c r="L721" s="12" t="s">
        <v>4602</v>
      </c>
      <c r="M721" s="12" t="s">
        <v>4602</v>
      </c>
      <c r="N721" s="12" t="s">
        <v>5785</v>
      </c>
      <c r="O721" s="12" t="s">
        <v>4606</v>
      </c>
      <c r="P721" s="12" t="s">
        <v>826</v>
      </c>
      <c r="Q721" s="12" t="s">
        <v>6658</v>
      </c>
      <c r="R721" s="16">
        <v>36.154444439999999</v>
      </c>
      <c r="S721" s="16">
        <v>54.383611109999997</v>
      </c>
      <c r="T721" s="12" t="s">
        <v>25</v>
      </c>
      <c r="U721" s="12" t="s">
        <v>17</v>
      </c>
      <c r="V721" s="12" t="s">
        <v>6639</v>
      </c>
      <c r="W721" s="12" t="s">
        <v>6639</v>
      </c>
      <c r="X721" s="12">
        <v>0.297904</v>
      </c>
      <c r="Y721" s="12">
        <v>279888</v>
      </c>
      <c r="Z721" s="12" t="s">
        <v>6639</v>
      </c>
      <c r="AA721" s="12" t="s">
        <v>6639</v>
      </c>
      <c r="AB721" s="12" t="s">
        <v>4610</v>
      </c>
      <c r="AC721" s="12" t="s">
        <v>340</v>
      </c>
      <c r="AD721" s="12" t="s">
        <v>7845</v>
      </c>
      <c r="AE721" s="12" t="s">
        <v>7735</v>
      </c>
      <c r="AF721" s="12" t="s">
        <v>45</v>
      </c>
    </row>
    <row r="722" spans="1:32" x14ac:dyDescent="0.2">
      <c r="A722" s="12" t="s">
        <v>1595</v>
      </c>
      <c r="B722" s="12" t="s">
        <v>1595</v>
      </c>
      <c r="C722" s="12" t="s">
        <v>1597</v>
      </c>
      <c r="D722" s="12" t="s">
        <v>13</v>
      </c>
      <c r="E722" s="12" t="s">
        <v>8110</v>
      </c>
      <c r="F722" s="12" t="s">
        <v>5460</v>
      </c>
      <c r="G722" s="12" t="s">
        <v>192</v>
      </c>
      <c r="H722" s="12" t="s">
        <v>6614</v>
      </c>
      <c r="I722" s="12">
        <v>493</v>
      </c>
      <c r="J722" s="12" t="s">
        <v>1599</v>
      </c>
      <c r="K722" s="12" t="s">
        <v>179</v>
      </c>
      <c r="L722" s="12" t="s">
        <v>1596</v>
      </c>
      <c r="M722" s="12" t="s">
        <v>1596</v>
      </c>
      <c r="N722" s="12" t="s">
        <v>5785</v>
      </c>
      <c r="O722" s="12" t="s">
        <v>1600</v>
      </c>
      <c r="P722" s="12" t="s">
        <v>826</v>
      </c>
      <c r="Q722" s="12" t="s">
        <v>6658</v>
      </c>
      <c r="R722" s="12">
        <v>34.450000000000003</v>
      </c>
      <c r="S722" s="12">
        <v>48.116</v>
      </c>
      <c r="T722" s="12" t="s">
        <v>25</v>
      </c>
      <c r="U722" s="12" t="s">
        <v>1601</v>
      </c>
      <c r="V722" s="12" t="s">
        <v>6639</v>
      </c>
      <c r="W722" s="12" t="s">
        <v>6639</v>
      </c>
      <c r="X722" s="12">
        <v>4.2309999999999999</v>
      </c>
      <c r="Y722" s="12">
        <v>783840</v>
      </c>
      <c r="Z722" s="12" t="s">
        <v>6639</v>
      </c>
      <c r="AA722" s="12" t="s">
        <v>6639</v>
      </c>
      <c r="AB722" s="12" t="s">
        <v>1598</v>
      </c>
      <c r="AC722" s="12" t="s">
        <v>21</v>
      </c>
      <c r="AD722" s="12">
        <v>6.8000000000000005E-2</v>
      </c>
      <c r="AE722" s="12">
        <v>0.996</v>
      </c>
      <c r="AF722" s="12" t="s">
        <v>45</v>
      </c>
    </row>
    <row r="723" spans="1:32" x14ac:dyDescent="0.2">
      <c r="A723" s="12" t="s">
        <v>2000</v>
      </c>
      <c r="B723" s="12" t="s">
        <v>2000</v>
      </c>
      <c r="C723" s="12" t="s">
        <v>2002</v>
      </c>
      <c r="D723" s="12" t="s">
        <v>26</v>
      </c>
      <c r="E723" s="12" t="s">
        <v>8110</v>
      </c>
      <c r="F723" s="12" t="s">
        <v>2004</v>
      </c>
      <c r="G723" s="12" t="s">
        <v>5453</v>
      </c>
      <c r="H723" s="12" t="s">
        <v>6617</v>
      </c>
      <c r="I723" s="12">
        <v>3056</v>
      </c>
      <c r="J723" s="12" t="s">
        <v>2004</v>
      </c>
      <c r="K723" s="12" t="s">
        <v>6655</v>
      </c>
      <c r="L723" s="12" t="s">
        <v>2001</v>
      </c>
      <c r="M723" s="12" t="s">
        <v>2001</v>
      </c>
      <c r="N723" s="12" t="s">
        <v>5785</v>
      </c>
      <c r="O723" s="12" t="s">
        <v>1972</v>
      </c>
      <c r="P723" s="12" t="s">
        <v>826</v>
      </c>
      <c r="Q723" s="12" t="s">
        <v>6658</v>
      </c>
      <c r="R723" s="12">
        <v>36.994399999999999</v>
      </c>
      <c r="S723" s="12">
        <v>45.474400000000003</v>
      </c>
      <c r="T723" s="12" t="s">
        <v>11</v>
      </c>
      <c r="U723" s="12" t="s">
        <v>2005</v>
      </c>
      <c r="V723" s="12" t="s">
        <v>37</v>
      </c>
      <c r="W723" s="12" t="s">
        <v>7160</v>
      </c>
      <c r="X723" s="12">
        <v>0.64130900000000002</v>
      </c>
      <c r="Y723" s="12">
        <v>487276</v>
      </c>
      <c r="Z723" s="12">
        <v>7.9310000000000005E-3</v>
      </c>
      <c r="AA723" s="12">
        <v>1.9571524037118526</v>
      </c>
      <c r="AB723" s="12" t="s">
        <v>2003</v>
      </c>
      <c r="AC723" s="12" t="s">
        <v>219</v>
      </c>
      <c r="AD723" s="12" t="s">
        <v>7804</v>
      </c>
      <c r="AE723" s="12" t="s">
        <v>7754</v>
      </c>
      <c r="AF723" s="12" t="s">
        <v>45</v>
      </c>
    </row>
    <row r="724" spans="1:32" x14ac:dyDescent="0.2">
      <c r="A724" s="12" t="s">
        <v>4695</v>
      </c>
      <c r="B724" s="12" t="s">
        <v>4696</v>
      </c>
      <c r="C724" s="12" t="s">
        <v>4698</v>
      </c>
      <c r="D724" s="12" t="s">
        <v>13</v>
      </c>
      <c r="E724" s="12" t="s">
        <v>7678</v>
      </c>
      <c r="F724" s="12" t="s">
        <v>5460</v>
      </c>
      <c r="G724" s="12" t="s">
        <v>222</v>
      </c>
      <c r="H724" s="12" t="s">
        <v>6614</v>
      </c>
      <c r="I724" s="12">
        <v>2806</v>
      </c>
      <c r="J724" s="12" t="s">
        <v>4699</v>
      </c>
      <c r="K724" s="12" t="s">
        <v>6655</v>
      </c>
      <c r="L724" s="12" t="s">
        <v>4697</v>
      </c>
      <c r="M724" s="12" t="s">
        <v>4697</v>
      </c>
      <c r="N724" s="12" t="s">
        <v>5785</v>
      </c>
      <c r="O724" s="12" t="s">
        <v>3032</v>
      </c>
      <c r="P724" s="12" t="s">
        <v>932</v>
      </c>
      <c r="Q724" s="12" t="s">
        <v>6658</v>
      </c>
      <c r="R724" s="12">
        <v>38.718547999999998</v>
      </c>
      <c r="S724" s="12">
        <v>61.692287</v>
      </c>
      <c r="T724" s="12" t="s">
        <v>11</v>
      </c>
      <c r="U724" s="12" t="s">
        <v>879</v>
      </c>
      <c r="V724" s="12" t="s">
        <v>1352</v>
      </c>
      <c r="W724" s="12" t="s">
        <v>7415</v>
      </c>
      <c r="X724" s="12">
        <v>2.5</v>
      </c>
      <c r="Y724" s="12">
        <v>975763</v>
      </c>
      <c r="Z724" s="12" t="s">
        <v>17</v>
      </c>
      <c r="AA724" s="12" t="s">
        <v>17</v>
      </c>
      <c r="AB724" s="12" t="s">
        <v>17</v>
      </c>
      <c r="AC724" s="12" t="s">
        <v>144</v>
      </c>
      <c r="AD724" s="12" t="s">
        <v>17</v>
      </c>
      <c r="AE724" s="12" t="s">
        <v>17</v>
      </c>
      <c r="AF724" s="12" t="s">
        <v>45</v>
      </c>
    </row>
    <row r="725" spans="1:32" x14ac:dyDescent="0.2">
      <c r="A725" s="12" t="s">
        <v>4573</v>
      </c>
      <c r="B725" s="12" t="s">
        <v>4573</v>
      </c>
      <c r="C725" s="12" t="s">
        <v>6894</v>
      </c>
      <c r="D725" s="12" t="s">
        <v>143</v>
      </c>
      <c r="E725" s="12" t="s">
        <v>8109</v>
      </c>
      <c r="F725" s="12" t="s">
        <v>8186</v>
      </c>
      <c r="G725" s="12" t="s">
        <v>5453</v>
      </c>
      <c r="H725" s="12" t="s">
        <v>6624</v>
      </c>
      <c r="I725" s="12">
        <v>2055</v>
      </c>
      <c r="J725" s="12" t="s">
        <v>8186</v>
      </c>
      <c r="K725" s="12" t="s">
        <v>6655</v>
      </c>
      <c r="L725" s="12" t="s">
        <v>6659</v>
      </c>
      <c r="M725" s="12" t="s">
        <v>6659</v>
      </c>
      <c r="N725" s="12" t="s">
        <v>5785</v>
      </c>
      <c r="O725" s="12" t="s">
        <v>4570</v>
      </c>
      <c r="P725" s="12" t="s">
        <v>3789</v>
      </c>
      <c r="Q725" s="12" t="s">
        <v>6658</v>
      </c>
      <c r="R725" s="16">
        <v>37.41563</v>
      </c>
      <c r="S725" s="16">
        <v>68.17371</v>
      </c>
      <c r="T725" s="12" t="s">
        <v>11</v>
      </c>
      <c r="U725" s="12" t="s">
        <v>3764</v>
      </c>
      <c r="V725" s="12" t="s">
        <v>1059</v>
      </c>
      <c r="W725" s="12" t="s">
        <v>7415</v>
      </c>
      <c r="X725" s="12">
        <v>0.83196899999999996</v>
      </c>
      <c r="Y725" s="12">
        <v>625181</v>
      </c>
      <c r="Z725" s="12">
        <v>7.2680000000000002E-3</v>
      </c>
      <c r="AA725" s="12">
        <v>2.2562361585126971</v>
      </c>
      <c r="AB725" s="12" t="s">
        <v>4572</v>
      </c>
      <c r="AC725" s="12" t="s">
        <v>21</v>
      </c>
      <c r="AD725" s="12">
        <v>4.1000000000000002E-2</v>
      </c>
      <c r="AE725" s="12">
        <v>0.96199999999999997</v>
      </c>
      <c r="AF725" s="12" t="s">
        <v>22</v>
      </c>
    </row>
    <row r="726" spans="1:32" x14ac:dyDescent="0.2">
      <c r="A726" s="12" t="s">
        <v>4579</v>
      </c>
      <c r="B726" s="12" t="s">
        <v>4579</v>
      </c>
      <c r="C726" s="12" t="s">
        <v>6896</v>
      </c>
      <c r="D726" s="12" t="s">
        <v>143</v>
      </c>
      <c r="E726" s="12" t="s">
        <v>8109</v>
      </c>
      <c r="F726" s="12" t="s">
        <v>5458</v>
      </c>
      <c r="G726" s="12" t="s">
        <v>5453</v>
      </c>
      <c r="H726" s="12" t="s">
        <v>6624</v>
      </c>
      <c r="I726" s="12">
        <v>2050</v>
      </c>
      <c r="J726" s="12" t="s">
        <v>8188</v>
      </c>
      <c r="K726" s="12" t="s">
        <v>6655</v>
      </c>
      <c r="L726" s="12" t="s">
        <v>6660</v>
      </c>
      <c r="M726" s="12" t="s">
        <v>6660</v>
      </c>
      <c r="N726" s="12" t="s">
        <v>24</v>
      </c>
      <c r="O726" s="12" t="s">
        <v>4570</v>
      </c>
      <c r="P726" s="12" t="s">
        <v>3789</v>
      </c>
      <c r="Q726" s="12" t="s">
        <v>6658</v>
      </c>
      <c r="R726" s="12">
        <v>37.41563</v>
      </c>
      <c r="S726" s="12">
        <v>68.17371</v>
      </c>
      <c r="T726" s="12" t="s">
        <v>11</v>
      </c>
      <c r="U726" s="12" t="s">
        <v>3764</v>
      </c>
      <c r="V726" s="12" t="s">
        <v>392</v>
      </c>
      <c r="W726" s="12" t="s">
        <v>7415</v>
      </c>
      <c r="X726" s="12">
        <v>0.112875</v>
      </c>
      <c r="Y726" s="12">
        <v>126546</v>
      </c>
      <c r="Z726" s="12" t="s">
        <v>8052</v>
      </c>
      <c r="AA726" s="12" t="s">
        <v>8052</v>
      </c>
      <c r="AB726" s="12" t="s">
        <v>4578</v>
      </c>
      <c r="AC726" s="12" t="s">
        <v>21</v>
      </c>
      <c r="AD726" s="12">
        <v>7.8E-2</v>
      </c>
      <c r="AE726" s="12">
        <v>0.998</v>
      </c>
      <c r="AF726" s="12" t="s">
        <v>45</v>
      </c>
    </row>
    <row r="727" spans="1:32" x14ac:dyDescent="0.2">
      <c r="A727" s="12" t="s">
        <v>4575</v>
      </c>
      <c r="B727" s="12" t="s">
        <v>4575</v>
      </c>
      <c r="C727" s="12" t="s">
        <v>6892</v>
      </c>
      <c r="D727" s="12" t="s">
        <v>143</v>
      </c>
      <c r="E727" s="12" t="s">
        <v>8109</v>
      </c>
      <c r="F727" s="12" t="s">
        <v>5458</v>
      </c>
      <c r="G727" s="12" t="s">
        <v>5453</v>
      </c>
      <c r="H727" s="12" t="s">
        <v>6624</v>
      </c>
      <c r="I727" s="12">
        <v>2000</v>
      </c>
      <c r="J727" s="12" t="s">
        <v>8187</v>
      </c>
      <c r="K727" s="12" t="s">
        <v>6655</v>
      </c>
      <c r="L727" s="12" t="s">
        <v>6659</v>
      </c>
      <c r="M727" s="12" t="s">
        <v>6659</v>
      </c>
      <c r="N727" s="12" t="s">
        <v>5785</v>
      </c>
      <c r="O727" s="12" t="s">
        <v>4570</v>
      </c>
      <c r="P727" s="12" t="s">
        <v>3789</v>
      </c>
      <c r="Q727" s="12" t="s">
        <v>6658</v>
      </c>
      <c r="R727" s="12">
        <v>37.41563</v>
      </c>
      <c r="S727" s="12">
        <v>68.17371</v>
      </c>
      <c r="T727" s="12" t="s">
        <v>11</v>
      </c>
      <c r="U727" s="12" t="s">
        <v>3764</v>
      </c>
      <c r="V727" s="12" t="s">
        <v>17</v>
      </c>
      <c r="W727" s="12" t="s">
        <v>17</v>
      </c>
      <c r="X727" s="12">
        <v>2.1724E-2</v>
      </c>
      <c r="Y727" s="12">
        <v>25750</v>
      </c>
      <c r="Z727" s="12" t="s">
        <v>8052</v>
      </c>
      <c r="AA727" s="12" t="s">
        <v>8052</v>
      </c>
      <c r="AB727" s="12" t="s">
        <v>4574</v>
      </c>
      <c r="AC727" s="12" t="s">
        <v>21</v>
      </c>
      <c r="AD727" s="12">
        <v>0.107</v>
      </c>
      <c r="AE727" s="12">
        <v>0.94299999999999995</v>
      </c>
      <c r="AF727" s="12" t="s">
        <v>6633</v>
      </c>
    </row>
    <row r="728" spans="1:32" x14ac:dyDescent="0.2">
      <c r="A728" s="12" t="s">
        <v>4569</v>
      </c>
      <c r="B728" s="12" t="s">
        <v>4569</v>
      </c>
      <c r="C728" s="12" t="s">
        <v>6893</v>
      </c>
      <c r="D728" s="12" t="s">
        <v>143</v>
      </c>
      <c r="E728" s="12" t="s">
        <v>8109</v>
      </c>
      <c r="F728" s="12" t="s">
        <v>5458</v>
      </c>
      <c r="G728" s="12" t="s">
        <v>5453</v>
      </c>
      <c r="H728" s="12" t="s">
        <v>6624</v>
      </c>
      <c r="I728" s="12">
        <v>2000</v>
      </c>
      <c r="J728" s="12" t="s">
        <v>8187</v>
      </c>
      <c r="K728" s="12" t="s">
        <v>6655</v>
      </c>
      <c r="L728" s="12" t="s">
        <v>6661</v>
      </c>
      <c r="M728" s="12" t="s">
        <v>6661</v>
      </c>
      <c r="N728" s="12" t="s">
        <v>24</v>
      </c>
      <c r="O728" s="12" t="s">
        <v>4570</v>
      </c>
      <c r="P728" s="12" t="s">
        <v>3789</v>
      </c>
      <c r="Q728" s="12" t="s">
        <v>6658</v>
      </c>
      <c r="R728" s="12">
        <v>37.41563</v>
      </c>
      <c r="S728" s="12">
        <v>68.17371</v>
      </c>
      <c r="T728" s="12" t="s">
        <v>11</v>
      </c>
      <c r="U728" s="12" t="s">
        <v>4571</v>
      </c>
      <c r="V728" s="12" t="s">
        <v>17</v>
      </c>
      <c r="W728" s="12" t="s">
        <v>17</v>
      </c>
      <c r="X728" s="12">
        <v>4.2290000000000001E-3</v>
      </c>
      <c r="Y728" s="12">
        <v>5106</v>
      </c>
      <c r="Z728" s="12" t="s">
        <v>8052</v>
      </c>
      <c r="AA728" s="12" t="s">
        <v>8052</v>
      </c>
      <c r="AB728" s="12" t="s">
        <v>4568</v>
      </c>
      <c r="AC728" s="12" t="s">
        <v>21</v>
      </c>
      <c r="AD728" s="12">
        <v>7.6999999999999999E-2</v>
      </c>
      <c r="AE728" s="12">
        <v>0.99099999999999999</v>
      </c>
      <c r="AF728" s="12" t="s">
        <v>45</v>
      </c>
    </row>
    <row r="729" spans="1:32" x14ac:dyDescent="0.2">
      <c r="A729" s="12" t="s">
        <v>4577</v>
      </c>
      <c r="B729" s="12" t="s">
        <v>4577</v>
      </c>
      <c r="C729" s="12" t="s">
        <v>6895</v>
      </c>
      <c r="D729" s="12" t="s">
        <v>143</v>
      </c>
      <c r="E729" s="12" t="s">
        <v>8109</v>
      </c>
      <c r="F729" s="12" t="s">
        <v>8185</v>
      </c>
      <c r="G729" s="12" t="s">
        <v>5453</v>
      </c>
      <c r="H729" s="12" t="s">
        <v>6624</v>
      </c>
      <c r="I729" s="12">
        <v>1969</v>
      </c>
      <c r="J729" s="12" t="s">
        <v>8185</v>
      </c>
      <c r="K729" s="12" t="s">
        <v>6655</v>
      </c>
      <c r="L729" s="12" t="s">
        <v>6659</v>
      </c>
      <c r="M729" s="12" t="s">
        <v>6659</v>
      </c>
      <c r="N729" s="12" t="s">
        <v>5785</v>
      </c>
      <c r="O729" s="12" t="s">
        <v>4570</v>
      </c>
      <c r="P729" s="12" t="s">
        <v>3789</v>
      </c>
      <c r="Q729" s="12" t="s">
        <v>6658</v>
      </c>
      <c r="R729" s="12">
        <v>37.41563</v>
      </c>
      <c r="S729" s="12">
        <v>68.17371</v>
      </c>
      <c r="T729" s="12" t="s">
        <v>11</v>
      </c>
      <c r="U729" s="12" t="s">
        <v>1272</v>
      </c>
      <c r="V729" s="12" t="s">
        <v>755</v>
      </c>
      <c r="W729" s="12" t="s">
        <v>7415</v>
      </c>
      <c r="X729" s="12">
        <v>0.40897499999999998</v>
      </c>
      <c r="Y729" s="12">
        <v>375213</v>
      </c>
      <c r="Z729" s="12">
        <v>1.377E-3</v>
      </c>
      <c r="AA729" s="12">
        <v>0.33549549663688299</v>
      </c>
      <c r="AB729" s="12" t="s">
        <v>4576</v>
      </c>
      <c r="AC729" s="12" t="s">
        <v>21</v>
      </c>
      <c r="AD729" s="12">
        <v>8.1000000000000003E-2</v>
      </c>
      <c r="AE729" s="12">
        <v>0.996</v>
      </c>
      <c r="AF729" s="12" t="s">
        <v>45</v>
      </c>
    </row>
    <row r="730" spans="1:32" x14ac:dyDescent="0.2">
      <c r="A730" s="12" t="s">
        <v>819</v>
      </c>
      <c r="B730" s="12" t="s">
        <v>820</v>
      </c>
      <c r="C730" s="12" t="s">
        <v>822</v>
      </c>
      <c r="D730" s="12" t="s">
        <v>118</v>
      </c>
      <c r="E730" s="12" t="s">
        <v>8110</v>
      </c>
      <c r="F730" s="12" t="s">
        <v>5458</v>
      </c>
      <c r="G730" s="12" t="s">
        <v>5453</v>
      </c>
      <c r="H730" s="12" t="s">
        <v>6617</v>
      </c>
      <c r="I730" s="12">
        <v>11950</v>
      </c>
      <c r="J730" s="12" t="s">
        <v>824</v>
      </c>
      <c r="K730" s="12" t="s">
        <v>6657</v>
      </c>
      <c r="L730" s="12" t="s">
        <v>821</v>
      </c>
      <c r="M730" s="12" t="s">
        <v>821</v>
      </c>
      <c r="N730" s="12" t="s">
        <v>5785</v>
      </c>
      <c r="O730" s="12" t="s">
        <v>825</v>
      </c>
      <c r="P730" s="12" t="s">
        <v>826</v>
      </c>
      <c r="Q730" s="12" t="s">
        <v>6658</v>
      </c>
      <c r="R730" s="12">
        <v>35.590000000000003</v>
      </c>
      <c r="S730" s="12">
        <v>53.5</v>
      </c>
      <c r="T730" s="12" t="s">
        <v>11</v>
      </c>
      <c r="U730" s="12" t="s">
        <v>827</v>
      </c>
      <c r="V730" s="12" t="s">
        <v>17</v>
      </c>
      <c r="W730" s="12" t="s">
        <v>17</v>
      </c>
      <c r="X730" s="12">
        <v>2.6067E-2</v>
      </c>
      <c r="Y730" s="12">
        <v>30722</v>
      </c>
      <c r="Z730" s="12" t="s">
        <v>8052</v>
      </c>
      <c r="AA730" s="12" t="s">
        <v>8052</v>
      </c>
      <c r="AB730" s="12" t="s">
        <v>823</v>
      </c>
      <c r="AC730" s="12" t="s">
        <v>828</v>
      </c>
      <c r="AD730" s="12" t="s">
        <v>7928</v>
      </c>
      <c r="AE730" s="12" t="s">
        <v>7687</v>
      </c>
      <c r="AF730" s="12" t="s">
        <v>8102</v>
      </c>
    </row>
    <row r="731" spans="1:32" x14ac:dyDescent="0.2">
      <c r="A731" s="12" t="s">
        <v>2101</v>
      </c>
      <c r="B731" s="12" t="s">
        <v>2101</v>
      </c>
      <c r="C731" s="12" t="s">
        <v>7559</v>
      </c>
      <c r="D731" s="12" t="s">
        <v>13</v>
      </c>
      <c r="E731" s="12" t="s">
        <v>8110</v>
      </c>
      <c r="F731" s="12" t="s">
        <v>5458</v>
      </c>
      <c r="G731" s="12" t="s">
        <v>192</v>
      </c>
      <c r="H731" s="12" t="s">
        <v>6614</v>
      </c>
      <c r="I731" s="12">
        <v>10800</v>
      </c>
      <c r="J731" s="12" t="s">
        <v>2104</v>
      </c>
      <c r="K731" s="12" t="s">
        <v>6657</v>
      </c>
      <c r="L731" s="12" t="s">
        <v>2102</v>
      </c>
      <c r="M731" s="12" t="s">
        <v>2102</v>
      </c>
      <c r="N731" s="12" t="s">
        <v>24</v>
      </c>
      <c r="O731" s="12" t="s">
        <v>2105</v>
      </c>
      <c r="P731" s="12" t="s">
        <v>826</v>
      </c>
      <c r="Q731" s="12" t="s">
        <v>6658</v>
      </c>
      <c r="R731" s="12">
        <v>35.591000000000001</v>
      </c>
      <c r="S731" s="12">
        <v>53.500999999999998</v>
      </c>
      <c r="T731" s="12" t="s">
        <v>11</v>
      </c>
      <c r="U731" s="12" t="s">
        <v>17</v>
      </c>
      <c r="V731" s="12" t="s">
        <v>5751</v>
      </c>
      <c r="W731" s="12" t="s">
        <v>7160</v>
      </c>
      <c r="X731" s="12">
        <v>1.4066E-2</v>
      </c>
      <c r="Y731" s="12">
        <v>16137</v>
      </c>
      <c r="Z731" s="12" t="s">
        <v>17</v>
      </c>
      <c r="AA731" s="12" t="s">
        <v>17</v>
      </c>
      <c r="AB731" s="12" t="s">
        <v>2103</v>
      </c>
      <c r="AC731" s="12" t="s">
        <v>21</v>
      </c>
      <c r="AD731" s="12" t="s">
        <v>17</v>
      </c>
      <c r="AE731" s="12" t="s">
        <v>7796</v>
      </c>
      <c r="AF731" s="12" t="s">
        <v>45</v>
      </c>
    </row>
    <row r="732" spans="1:32" x14ac:dyDescent="0.2">
      <c r="A732" s="12" t="s">
        <v>2106</v>
      </c>
      <c r="B732" s="12" t="s">
        <v>2101</v>
      </c>
      <c r="C732" s="12" t="s">
        <v>7559</v>
      </c>
      <c r="D732" s="12" t="s">
        <v>13</v>
      </c>
      <c r="E732" s="12" t="s">
        <v>8110</v>
      </c>
      <c r="F732" s="12" t="s">
        <v>5458</v>
      </c>
      <c r="G732" s="12" t="s">
        <v>192</v>
      </c>
      <c r="H732" s="12" t="s">
        <v>6614</v>
      </c>
      <c r="I732" s="12">
        <v>10800</v>
      </c>
      <c r="J732" s="12" t="s">
        <v>2104</v>
      </c>
      <c r="K732" s="12" t="s">
        <v>6657</v>
      </c>
      <c r="L732" s="12" t="s">
        <v>2107</v>
      </c>
      <c r="M732" s="12" t="s">
        <v>2107</v>
      </c>
      <c r="N732" s="12" t="s">
        <v>5785</v>
      </c>
      <c r="O732" s="12" t="s">
        <v>2105</v>
      </c>
      <c r="P732" s="12" t="s">
        <v>826</v>
      </c>
      <c r="Q732" s="12" t="s">
        <v>6658</v>
      </c>
      <c r="R732" s="12">
        <v>35.591000000000001</v>
      </c>
      <c r="S732" s="12">
        <v>53.500999999999998</v>
      </c>
      <c r="T732" s="12" t="s">
        <v>11</v>
      </c>
      <c r="U732" s="12" t="s">
        <v>2109</v>
      </c>
      <c r="V732" s="12" t="s">
        <v>5751</v>
      </c>
      <c r="W732" s="12" t="s">
        <v>7160</v>
      </c>
      <c r="X732" s="12">
        <v>0.13900000000000001</v>
      </c>
      <c r="Y732" s="12">
        <v>147906</v>
      </c>
      <c r="Z732" s="12" t="s">
        <v>17</v>
      </c>
      <c r="AA732" s="12" t="s">
        <v>17</v>
      </c>
      <c r="AB732" s="12" t="s">
        <v>2108</v>
      </c>
      <c r="AC732" s="12" t="s">
        <v>2110</v>
      </c>
      <c r="AD732" s="12" t="s">
        <v>7813</v>
      </c>
      <c r="AE732" s="12" t="s">
        <v>8056</v>
      </c>
      <c r="AF732" s="12" t="s">
        <v>8081</v>
      </c>
    </row>
    <row r="733" spans="1:32" x14ac:dyDescent="0.2">
      <c r="A733" s="12" t="s">
        <v>1607</v>
      </c>
      <c r="B733" s="12" t="s">
        <v>1607</v>
      </c>
      <c r="C733" s="12" t="s">
        <v>1608</v>
      </c>
      <c r="D733" s="12" t="s">
        <v>13</v>
      </c>
      <c r="E733" s="12" t="s">
        <v>8110</v>
      </c>
      <c r="F733" s="12" t="s">
        <v>5460</v>
      </c>
      <c r="G733" s="12" t="s">
        <v>5453</v>
      </c>
      <c r="H733" s="12" t="s">
        <v>6622</v>
      </c>
      <c r="I733" s="12">
        <v>10093</v>
      </c>
      <c r="J733" s="12" t="s">
        <v>1610</v>
      </c>
      <c r="K733" s="12" t="s">
        <v>6657</v>
      </c>
      <c r="L733" s="12" t="s">
        <v>1603</v>
      </c>
      <c r="M733" s="12" t="s">
        <v>1603</v>
      </c>
      <c r="N733" s="12" t="s">
        <v>5785</v>
      </c>
      <c r="O733" s="12" t="s">
        <v>1600</v>
      </c>
      <c r="P733" s="12" t="s">
        <v>826</v>
      </c>
      <c r="Q733" s="12" t="s">
        <v>6658</v>
      </c>
      <c r="R733" s="12">
        <v>34.450000000000003</v>
      </c>
      <c r="S733" s="12">
        <v>48.116</v>
      </c>
      <c r="T733" s="12" t="s">
        <v>11</v>
      </c>
      <c r="U733" s="12" t="s">
        <v>1059</v>
      </c>
      <c r="V733" s="12" t="s">
        <v>904</v>
      </c>
      <c r="W733" s="12" t="s">
        <v>7415</v>
      </c>
      <c r="X733" s="12">
        <v>5.0034010000000002</v>
      </c>
      <c r="Y733" s="12">
        <v>938523</v>
      </c>
      <c r="Z733" s="12">
        <v>5.0639999999999999E-3</v>
      </c>
      <c r="AA733" s="12">
        <v>5.391909516432813</v>
      </c>
      <c r="AB733" s="12" t="s">
        <v>1609</v>
      </c>
      <c r="AC733" s="12" t="s">
        <v>340</v>
      </c>
      <c r="AD733" s="12" t="s">
        <v>7863</v>
      </c>
      <c r="AE733" s="12" t="s">
        <v>7779</v>
      </c>
      <c r="AF733" s="12" t="s">
        <v>82</v>
      </c>
    </row>
    <row r="734" spans="1:32" x14ac:dyDescent="0.2">
      <c r="A734" s="12" t="s">
        <v>1615</v>
      </c>
      <c r="B734" s="12" t="s">
        <v>1615</v>
      </c>
      <c r="C734" s="12" t="s">
        <v>1616</v>
      </c>
      <c r="D734" s="12" t="s">
        <v>13</v>
      </c>
      <c r="E734" s="12" t="s">
        <v>8110</v>
      </c>
      <c r="F734" s="12" t="s">
        <v>5460</v>
      </c>
      <c r="G734" s="12" t="s">
        <v>5457</v>
      </c>
      <c r="H734" s="12" t="s">
        <v>6622</v>
      </c>
      <c r="I734" s="12">
        <v>10052</v>
      </c>
      <c r="J734" s="12" t="s">
        <v>1618</v>
      </c>
      <c r="K734" s="12" t="s">
        <v>6657</v>
      </c>
      <c r="L734" s="12" t="s">
        <v>1603</v>
      </c>
      <c r="M734" s="12" t="s">
        <v>1603</v>
      </c>
      <c r="N734" s="12" t="s">
        <v>5785</v>
      </c>
      <c r="O734" s="12" t="s">
        <v>1600</v>
      </c>
      <c r="P734" s="12" t="s">
        <v>826</v>
      </c>
      <c r="Q734" s="12" t="s">
        <v>6658</v>
      </c>
      <c r="R734" s="12">
        <v>34.450000000000003</v>
      </c>
      <c r="S734" s="12">
        <v>48.116</v>
      </c>
      <c r="T734" s="12" t="s">
        <v>11</v>
      </c>
      <c r="U734" s="12" t="s">
        <v>17</v>
      </c>
      <c r="V734" s="12" t="s">
        <v>17</v>
      </c>
      <c r="W734" s="12" t="s">
        <v>7160</v>
      </c>
      <c r="X734" s="12">
        <v>0.14124700000000001</v>
      </c>
      <c r="Y734" s="12">
        <v>149362</v>
      </c>
      <c r="Z734" s="12" t="s">
        <v>8052</v>
      </c>
      <c r="AA734" s="12" t="s">
        <v>8052</v>
      </c>
      <c r="AB734" s="12" t="s">
        <v>1617</v>
      </c>
      <c r="AC734" s="12" t="s">
        <v>340</v>
      </c>
      <c r="AD734" s="12" t="s">
        <v>7861</v>
      </c>
      <c r="AE734" s="12" t="s">
        <v>7717</v>
      </c>
      <c r="AF734" s="12" t="s">
        <v>8082</v>
      </c>
    </row>
    <row r="735" spans="1:32" x14ac:dyDescent="0.2">
      <c r="A735" s="12" t="s">
        <v>1639</v>
      </c>
      <c r="B735" s="12" t="s">
        <v>1639</v>
      </c>
      <c r="C735" s="12" t="s">
        <v>1641</v>
      </c>
      <c r="D735" s="12" t="s">
        <v>13</v>
      </c>
      <c r="E735" s="12" t="s">
        <v>8110</v>
      </c>
      <c r="F735" s="12" t="s">
        <v>5458</v>
      </c>
      <c r="G735" s="12" t="s">
        <v>5453</v>
      </c>
      <c r="H735" s="12" t="s">
        <v>6622</v>
      </c>
      <c r="I735" s="12">
        <v>10000</v>
      </c>
      <c r="J735" s="12" t="s">
        <v>1643</v>
      </c>
      <c r="K735" s="12" t="s">
        <v>6657</v>
      </c>
      <c r="L735" s="12" t="s">
        <v>1640</v>
      </c>
      <c r="M735" s="12" t="s">
        <v>1640</v>
      </c>
      <c r="N735" s="12" t="s">
        <v>24</v>
      </c>
      <c r="O735" s="12" t="s">
        <v>1600</v>
      </c>
      <c r="P735" s="12" t="s">
        <v>826</v>
      </c>
      <c r="Q735" s="12" t="s">
        <v>6658</v>
      </c>
      <c r="R735" s="12">
        <v>34.450000000000003</v>
      </c>
      <c r="S735" s="12">
        <v>48.116</v>
      </c>
      <c r="T735" s="12" t="s">
        <v>11</v>
      </c>
      <c r="U735" s="12" t="s">
        <v>17</v>
      </c>
      <c r="V735" s="12" t="s">
        <v>904</v>
      </c>
      <c r="W735" s="12" t="s">
        <v>7415</v>
      </c>
      <c r="X735" s="12">
        <v>0.15465599999999999</v>
      </c>
      <c r="Y735" s="12">
        <v>164699</v>
      </c>
      <c r="Z735" s="12" t="s">
        <v>8052</v>
      </c>
      <c r="AA735" s="12" t="s">
        <v>8052</v>
      </c>
      <c r="AB735" s="12" t="s">
        <v>1642</v>
      </c>
      <c r="AC735" s="12" t="s">
        <v>58</v>
      </c>
      <c r="AD735" s="12" t="s">
        <v>7922</v>
      </c>
      <c r="AE735" s="12" t="s">
        <v>7718</v>
      </c>
      <c r="AF735" s="12" t="s">
        <v>45</v>
      </c>
    </row>
    <row r="736" spans="1:32" x14ac:dyDescent="0.2">
      <c r="A736" s="12" t="s">
        <v>1602</v>
      </c>
      <c r="B736" s="12" t="s">
        <v>1602</v>
      </c>
      <c r="C736" s="12" t="s">
        <v>1604</v>
      </c>
      <c r="D736" s="12" t="s">
        <v>13</v>
      </c>
      <c r="E736" s="12" t="s">
        <v>8110</v>
      </c>
      <c r="F736" s="12" t="s">
        <v>5460</v>
      </c>
      <c r="G736" s="12" t="s">
        <v>5453</v>
      </c>
      <c r="H736" s="12" t="s">
        <v>6622</v>
      </c>
      <c r="I736" s="12">
        <v>9973</v>
      </c>
      <c r="J736" s="12" t="s">
        <v>1606</v>
      </c>
      <c r="K736" s="12" t="s">
        <v>6657</v>
      </c>
      <c r="L736" s="12" t="s">
        <v>1603</v>
      </c>
      <c r="M736" s="12" t="s">
        <v>1603</v>
      </c>
      <c r="N736" s="12" t="s">
        <v>5785</v>
      </c>
      <c r="O736" s="12" t="s">
        <v>1600</v>
      </c>
      <c r="P736" s="12" t="s">
        <v>826</v>
      </c>
      <c r="Q736" s="12" t="s">
        <v>6658</v>
      </c>
      <c r="R736" s="12">
        <v>34.450000000000003</v>
      </c>
      <c r="S736" s="12">
        <v>48.116</v>
      </c>
      <c r="T736" s="12" t="s">
        <v>11</v>
      </c>
      <c r="U736" s="12" t="s">
        <v>1059</v>
      </c>
      <c r="V736" s="12" t="s">
        <v>904</v>
      </c>
      <c r="W736" s="12" t="s">
        <v>7415</v>
      </c>
      <c r="X736" s="12">
        <v>3.312513</v>
      </c>
      <c r="Y736" s="12">
        <v>934570</v>
      </c>
      <c r="Z736" s="12">
        <v>5.1859999999999996E-3</v>
      </c>
      <c r="AA736" s="12">
        <v>4.6143346896357196</v>
      </c>
      <c r="AB736" s="12" t="s">
        <v>1605</v>
      </c>
      <c r="AC736" s="12" t="s">
        <v>340</v>
      </c>
      <c r="AD736" s="12" t="s">
        <v>7869</v>
      </c>
      <c r="AE736" s="12" t="s">
        <v>7778</v>
      </c>
      <c r="AF736" s="12" t="s">
        <v>82</v>
      </c>
    </row>
    <row r="737" spans="1:32" x14ac:dyDescent="0.2">
      <c r="A737" s="12" t="s">
        <v>1644</v>
      </c>
      <c r="B737" s="12" t="s">
        <v>1644</v>
      </c>
      <c r="C737" s="12" t="s">
        <v>1646</v>
      </c>
      <c r="D737" s="12" t="s">
        <v>13</v>
      </c>
      <c r="E737" s="12" t="s">
        <v>8110</v>
      </c>
      <c r="F737" s="12" t="s">
        <v>5460</v>
      </c>
      <c r="G737" s="12" t="s">
        <v>5453</v>
      </c>
      <c r="H737" s="12" t="s">
        <v>6622</v>
      </c>
      <c r="I737" s="12">
        <v>9940</v>
      </c>
      <c r="J737" s="12" t="s">
        <v>1648</v>
      </c>
      <c r="K737" s="12" t="s">
        <v>6657</v>
      </c>
      <c r="L737" s="12" t="s">
        <v>1645</v>
      </c>
      <c r="M737" s="12" t="s">
        <v>1645</v>
      </c>
      <c r="N737" s="12" t="s">
        <v>24</v>
      </c>
      <c r="O737" s="12" t="s">
        <v>1600</v>
      </c>
      <c r="P737" s="12" t="s">
        <v>826</v>
      </c>
      <c r="Q737" s="12" t="s">
        <v>6658</v>
      </c>
      <c r="R737" s="12">
        <v>34.450000000000003</v>
      </c>
      <c r="S737" s="12">
        <v>48.116</v>
      </c>
      <c r="T737" s="12" t="s">
        <v>11</v>
      </c>
      <c r="U737" s="12" t="s">
        <v>392</v>
      </c>
      <c r="V737" s="12" t="s">
        <v>904</v>
      </c>
      <c r="W737" s="12" t="s">
        <v>7415</v>
      </c>
      <c r="X737" s="12">
        <v>0.20522299999999999</v>
      </c>
      <c r="Y737" s="12">
        <v>208662</v>
      </c>
      <c r="Z737" s="12" t="s">
        <v>8052</v>
      </c>
      <c r="AA737" s="12" t="s">
        <v>8052</v>
      </c>
      <c r="AB737" s="12" t="s">
        <v>1647</v>
      </c>
      <c r="AC737" s="12" t="s">
        <v>58</v>
      </c>
      <c r="AD737" s="12" t="s">
        <v>7908</v>
      </c>
      <c r="AE737" s="12" t="s">
        <v>7726</v>
      </c>
      <c r="AF737" s="12" t="s">
        <v>8083</v>
      </c>
    </row>
    <row r="738" spans="1:32" x14ac:dyDescent="0.2">
      <c r="A738" s="12" t="s">
        <v>5442</v>
      </c>
      <c r="B738" s="12" t="s">
        <v>5443</v>
      </c>
      <c r="C738" s="12" t="s">
        <v>5444</v>
      </c>
      <c r="D738" s="12" t="s">
        <v>13</v>
      </c>
      <c r="E738" s="12" t="s">
        <v>7678</v>
      </c>
      <c r="F738" s="12" t="s">
        <v>5460</v>
      </c>
      <c r="G738" s="12" t="s">
        <v>5430</v>
      </c>
      <c r="H738" s="12" t="s">
        <v>6614</v>
      </c>
      <c r="I738" s="12">
        <v>9931</v>
      </c>
      <c r="J738" s="12" t="s">
        <v>5445</v>
      </c>
      <c r="K738" s="12" t="s">
        <v>6657</v>
      </c>
      <c r="L738" s="12" t="s">
        <v>5433</v>
      </c>
      <c r="M738" s="12" t="s">
        <v>5439</v>
      </c>
      <c r="N738" s="12" t="s">
        <v>5785</v>
      </c>
      <c r="O738" s="12" t="s">
        <v>5441</v>
      </c>
      <c r="P738" s="12" t="s">
        <v>826</v>
      </c>
      <c r="Q738" s="12" t="s">
        <v>6658</v>
      </c>
      <c r="R738" s="155">
        <v>34.188318000000002</v>
      </c>
      <c r="S738" s="155">
        <v>48.3688833</v>
      </c>
      <c r="T738" s="12" t="s">
        <v>11</v>
      </c>
      <c r="U738" s="12" t="s">
        <v>1059</v>
      </c>
      <c r="V738" s="12" t="s">
        <v>1979</v>
      </c>
      <c r="W738" s="12" t="s">
        <v>7160</v>
      </c>
      <c r="X738" s="12">
        <v>0.71599999999999997</v>
      </c>
      <c r="Y738" s="12">
        <v>593295</v>
      </c>
      <c r="Z738" s="12" t="s">
        <v>17</v>
      </c>
      <c r="AA738" s="12" t="s">
        <v>17</v>
      </c>
      <c r="AB738" s="12" t="s">
        <v>17</v>
      </c>
      <c r="AC738" s="12" t="s">
        <v>144</v>
      </c>
      <c r="AD738" s="12" t="s">
        <v>17</v>
      </c>
      <c r="AE738" s="12" t="s">
        <v>17</v>
      </c>
      <c r="AF738" s="12" t="s">
        <v>45</v>
      </c>
    </row>
    <row r="739" spans="1:32" x14ac:dyDescent="0.2">
      <c r="A739" s="12" t="s">
        <v>5437</v>
      </c>
      <c r="B739" s="12" t="s">
        <v>5438</v>
      </c>
      <c r="C739" s="12">
        <v>10035</v>
      </c>
      <c r="D739" s="12" t="s">
        <v>13</v>
      </c>
      <c r="E739" s="12" t="s">
        <v>7678</v>
      </c>
      <c r="F739" s="12" t="s">
        <v>5460</v>
      </c>
      <c r="G739" s="12" t="s">
        <v>5430</v>
      </c>
      <c r="H739" s="12" t="s">
        <v>6614</v>
      </c>
      <c r="I739" s="12">
        <v>9930</v>
      </c>
      <c r="J739" s="12" t="s">
        <v>5440</v>
      </c>
      <c r="K739" s="12" t="s">
        <v>6657</v>
      </c>
      <c r="L739" s="12" t="s">
        <v>5433</v>
      </c>
      <c r="M739" s="12" t="s">
        <v>5439</v>
      </c>
      <c r="N739" s="12" t="s">
        <v>5785</v>
      </c>
      <c r="O739" s="12" t="s">
        <v>5441</v>
      </c>
      <c r="P739" s="12" t="s">
        <v>826</v>
      </c>
      <c r="Q739" s="12" t="s">
        <v>6658</v>
      </c>
      <c r="R739" s="155">
        <v>34.188318000000002</v>
      </c>
      <c r="S739" s="155">
        <v>48.3688833</v>
      </c>
      <c r="T739" s="12" t="s">
        <v>25</v>
      </c>
      <c r="U739" s="12" t="s">
        <v>1008</v>
      </c>
      <c r="V739" s="12" t="s">
        <v>6639</v>
      </c>
      <c r="W739" s="12" t="s">
        <v>6639</v>
      </c>
      <c r="X739" s="12">
        <v>0.96599999999999997</v>
      </c>
      <c r="Y739" s="12">
        <v>697107</v>
      </c>
      <c r="Z739" s="12" t="s">
        <v>6639</v>
      </c>
      <c r="AA739" s="12" t="s">
        <v>6639</v>
      </c>
      <c r="AB739" s="12" t="s">
        <v>17</v>
      </c>
      <c r="AC739" s="12" t="s">
        <v>144</v>
      </c>
      <c r="AD739" s="12" t="s">
        <v>17</v>
      </c>
      <c r="AE739" s="12" t="s">
        <v>17</v>
      </c>
      <c r="AF739" s="12" t="s">
        <v>45</v>
      </c>
    </row>
    <row r="740" spans="1:32" x14ac:dyDescent="0.2">
      <c r="A740" s="12" t="s">
        <v>1611</v>
      </c>
      <c r="B740" s="12" t="s">
        <v>1611</v>
      </c>
      <c r="C740" s="12" t="s">
        <v>1612</v>
      </c>
      <c r="D740" s="12" t="s">
        <v>13</v>
      </c>
      <c r="E740" s="12" t="s">
        <v>8110</v>
      </c>
      <c r="F740" s="12" t="s">
        <v>5458</v>
      </c>
      <c r="G740" s="12" t="s">
        <v>5453</v>
      </c>
      <c r="H740" s="12" t="s">
        <v>6622</v>
      </c>
      <c r="I740" s="12">
        <v>9900</v>
      </c>
      <c r="J740" s="12" t="s">
        <v>1614</v>
      </c>
      <c r="K740" s="12" t="s">
        <v>6657</v>
      </c>
      <c r="L740" s="12" t="s">
        <v>1603</v>
      </c>
      <c r="M740" s="12" t="s">
        <v>1603</v>
      </c>
      <c r="N740" s="12" t="s">
        <v>5785</v>
      </c>
      <c r="O740" s="12" t="s">
        <v>1600</v>
      </c>
      <c r="P740" s="12" t="s">
        <v>826</v>
      </c>
      <c r="Q740" s="12" t="s">
        <v>6658</v>
      </c>
      <c r="R740" s="16">
        <v>34.450000000000003</v>
      </c>
      <c r="S740" s="16">
        <v>48.116</v>
      </c>
      <c r="T740" s="12" t="s">
        <v>25</v>
      </c>
      <c r="U740" s="12" t="s">
        <v>1005</v>
      </c>
      <c r="V740" s="12" t="s">
        <v>6639</v>
      </c>
      <c r="W740" s="12" t="s">
        <v>6639</v>
      </c>
      <c r="X740" s="12">
        <v>8.9026999999999995E-2</v>
      </c>
      <c r="Y740" s="12">
        <v>99468</v>
      </c>
      <c r="Z740" s="12" t="s">
        <v>6639</v>
      </c>
      <c r="AA740" s="12" t="s">
        <v>6639</v>
      </c>
      <c r="AB740" s="12" t="s">
        <v>1613</v>
      </c>
      <c r="AC740" s="12" t="s">
        <v>21</v>
      </c>
      <c r="AD740" s="12">
        <v>8.4000000000000005E-2</v>
      </c>
      <c r="AE740" s="12">
        <v>0.98299999999999998</v>
      </c>
      <c r="AF740" s="12" t="s">
        <v>45</v>
      </c>
    </row>
    <row r="741" spans="1:32" x14ac:dyDescent="0.2">
      <c r="A741" s="12" t="s">
        <v>5446</v>
      </c>
      <c r="B741" s="12" t="s">
        <v>5447</v>
      </c>
      <c r="C741" s="12">
        <v>13030</v>
      </c>
      <c r="D741" s="12" t="s">
        <v>13</v>
      </c>
      <c r="E741" s="12" t="s">
        <v>7678</v>
      </c>
      <c r="F741" s="12" t="s">
        <v>5458</v>
      </c>
      <c r="G741" s="12" t="s">
        <v>5430</v>
      </c>
      <c r="H741" s="12" t="s">
        <v>6614</v>
      </c>
      <c r="I741" s="12">
        <v>9900</v>
      </c>
      <c r="J741" s="12" t="s">
        <v>5448</v>
      </c>
      <c r="K741" s="12" t="s">
        <v>6657</v>
      </c>
      <c r="L741" s="12" t="s">
        <v>5433</v>
      </c>
      <c r="M741" s="12" t="s">
        <v>5439</v>
      </c>
      <c r="N741" s="12" t="s">
        <v>5785</v>
      </c>
      <c r="O741" s="12" t="s">
        <v>5441</v>
      </c>
      <c r="P741" s="12" t="s">
        <v>826</v>
      </c>
      <c r="Q741" s="12" t="s">
        <v>6658</v>
      </c>
      <c r="R741" s="155">
        <v>34.188318000000002</v>
      </c>
      <c r="S741" s="155">
        <v>48.3688833</v>
      </c>
      <c r="T741" s="12" t="s">
        <v>25</v>
      </c>
      <c r="U741" s="12" t="s">
        <v>1059</v>
      </c>
      <c r="V741" s="12" t="s">
        <v>6639</v>
      </c>
      <c r="W741" s="12" t="s">
        <v>6639</v>
      </c>
      <c r="X741" s="12">
        <v>1.2949999999999999</v>
      </c>
      <c r="Y741" s="12">
        <v>806625</v>
      </c>
      <c r="Z741" s="12" t="s">
        <v>6639</v>
      </c>
      <c r="AA741" s="12" t="s">
        <v>6639</v>
      </c>
      <c r="AB741" s="12" t="s">
        <v>17</v>
      </c>
      <c r="AC741" s="12" t="s">
        <v>144</v>
      </c>
      <c r="AD741" s="12" t="s">
        <v>17</v>
      </c>
      <c r="AE741" s="12" t="s">
        <v>17</v>
      </c>
      <c r="AF741" s="12" t="s">
        <v>45</v>
      </c>
    </row>
    <row r="742" spans="1:32" x14ac:dyDescent="0.2">
      <c r="A742" s="12" t="s">
        <v>1620</v>
      </c>
      <c r="B742" s="12" t="s">
        <v>1620</v>
      </c>
      <c r="C742" s="12" t="s">
        <v>1621</v>
      </c>
      <c r="D742" s="12" t="s">
        <v>13</v>
      </c>
      <c r="E742" s="12" t="s">
        <v>8110</v>
      </c>
      <c r="F742" s="12" t="s">
        <v>5460</v>
      </c>
      <c r="G742" s="12" t="s">
        <v>5457</v>
      </c>
      <c r="H742" s="12" t="s">
        <v>6622</v>
      </c>
      <c r="I742" s="12">
        <v>9892</v>
      </c>
      <c r="J742" s="12" t="s">
        <v>1623</v>
      </c>
      <c r="K742" s="12" t="s">
        <v>6657</v>
      </c>
      <c r="L742" s="12" t="s">
        <v>1603</v>
      </c>
      <c r="M742" s="12" t="s">
        <v>1603</v>
      </c>
      <c r="N742" s="12" t="s">
        <v>5785</v>
      </c>
      <c r="O742" s="12" t="s">
        <v>1600</v>
      </c>
      <c r="P742" s="12" t="s">
        <v>826</v>
      </c>
      <c r="Q742" s="12" t="s">
        <v>6658</v>
      </c>
      <c r="R742" s="16">
        <v>34.450000000000003</v>
      </c>
      <c r="S742" s="16">
        <v>48.116</v>
      </c>
      <c r="T742" s="12" t="s">
        <v>25</v>
      </c>
      <c r="U742" s="12" t="s">
        <v>1624</v>
      </c>
      <c r="V742" s="12" t="s">
        <v>6639</v>
      </c>
      <c r="W742" s="12" t="s">
        <v>6639</v>
      </c>
      <c r="X742" s="12">
        <v>3.3876999999999997E-2</v>
      </c>
      <c r="Y742" s="12">
        <v>38566</v>
      </c>
      <c r="Z742" s="12" t="s">
        <v>6639</v>
      </c>
      <c r="AA742" s="12" t="s">
        <v>6639</v>
      </c>
      <c r="AB742" s="12" t="s">
        <v>1622</v>
      </c>
      <c r="AC742" s="12" t="s">
        <v>58</v>
      </c>
      <c r="AD742" s="12" t="s">
        <v>7882</v>
      </c>
      <c r="AE742" s="12" t="s">
        <v>7691</v>
      </c>
      <c r="AF742" s="12" t="s">
        <v>1625</v>
      </c>
    </row>
    <row r="743" spans="1:32" x14ac:dyDescent="0.2">
      <c r="A743" s="12" t="s">
        <v>1634</v>
      </c>
      <c r="B743" s="12" t="s">
        <v>1634</v>
      </c>
      <c r="C743" s="12" t="s">
        <v>1635</v>
      </c>
      <c r="D743" s="12" t="s">
        <v>13</v>
      </c>
      <c r="E743" s="12" t="s">
        <v>8110</v>
      </c>
      <c r="F743" s="12" t="s">
        <v>5460</v>
      </c>
      <c r="G743" s="12" t="s">
        <v>192</v>
      </c>
      <c r="H743" s="12" t="s">
        <v>6614</v>
      </c>
      <c r="I743" s="12">
        <v>9846</v>
      </c>
      <c r="J743" s="12" t="s">
        <v>1637</v>
      </c>
      <c r="K743" s="12" t="s">
        <v>6657</v>
      </c>
      <c r="L743" s="12" t="s">
        <v>1603</v>
      </c>
      <c r="M743" s="12" t="s">
        <v>1603</v>
      </c>
      <c r="N743" s="12" t="s">
        <v>5785</v>
      </c>
      <c r="O743" s="12" t="s">
        <v>1600</v>
      </c>
      <c r="P743" s="12" t="s">
        <v>826</v>
      </c>
      <c r="Q743" s="12" t="s">
        <v>6658</v>
      </c>
      <c r="R743" s="12">
        <v>34.450000000000003</v>
      </c>
      <c r="S743" s="12">
        <v>48.116</v>
      </c>
      <c r="T743" s="12" t="s">
        <v>25</v>
      </c>
      <c r="U743" s="12" t="s">
        <v>1638</v>
      </c>
      <c r="V743" s="12" t="s">
        <v>6639</v>
      </c>
      <c r="W743" s="12" t="s">
        <v>6639</v>
      </c>
      <c r="X743" s="12">
        <v>2.0979999999999999</v>
      </c>
      <c r="Y743" s="12">
        <v>838740</v>
      </c>
      <c r="Z743" s="12" t="s">
        <v>6639</v>
      </c>
      <c r="AA743" s="12" t="s">
        <v>6639</v>
      </c>
      <c r="AB743" s="12" t="s">
        <v>1636</v>
      </c>
      <c r="AC743" s="12" t="s">
        <v>200</v>
      </c>
      <c r="AD743" s="12" t="s">
        <v>7953</v>
      </c>
      <c r="AE743" s="12" t="s">
        <v>7768</v>
      </c>
      <c r="AF743" s="12" t="s">
        <v>45</v>
      </c>
    </row>
    <row r="744" spans="1:32" x14ac:dyDescent="0.2">
      <c r="A744" s="12" t="s">
        <v>1626</v>
      </c>
      <c r="B744" s="12" t="s">
        <v>1626</v>
      </c>
      <c r="C744" s="12" t="s">
        <v>1627</v>
      </c>
      <c r="D744" s="12" t="s">
        <v>13</v>
      </c>
      <c r="E744" s="12" t="s">
        <v>8110</v>
      </c>
      <c r="F744" s="12" t="s">
        <v>5458</v>
      </c>
      <c r="G744" s="12" t="s">
        <v>5457</v>
      </c>
      <c r="H744" s="12" t="s">
        <v>6622</v>
      </c>
      <c r="I744" s="12">
        <v>9800</v>
      </c>
      <c r="J744" s="12" t="s">
        <v>1629</v>
      </c>
      <c r="K744" s="12" t="s">
        <v>6657</v>
      </c>
      <c r="L744" s="12" t="s">
        <v>1603</v>
      </c>
      <c r="M744" s="12" t="s">
        <v>1603</v>
      </c>
      <c r="N744" s="12" t="s">
        <v>5785</v>
      </c>
      <c r="O744" s="12" t="s">
        <v>1600</v>
      </c>
      <c r="P744" s="12" t="s">
        <v>826</v>
      </c>
      <c r="Q744" s="12" t="s">
        <v>6658</v>
      </c>
      <c r="R744" s="16">
        <v>34.450000000000003</v>
      </c>
      <c r="S744" s="16">
        <v>48.116</v>
      </c>
      <c r="T744" s="12" t="s">
        <v>25</v>
      </c>
      <c r="U744" s="12" t="s">
        <v>1059</v>
      </c>
      <c r="V744" s="12" t="s">
        <v>6639</v>
      </c>
      <c r="W744" s="12" t="s">
        <v>6639</v>
      </c>
      <c r="X744" s="12">
        <v>5.3957999999999999E-2</v>
      </c>
      <c r="Y744" s="12">
        <v>61169</v>
      </c>
      <c r="Z744" s="12" t="s">
        <v>6639</v>
      </c>
      <c r="AA744" s="12" t="s">
        <v>6639</v>
      </c>
      <c r="AB744" s="12" t="s">
        <v>1628</v>
      </c>
      <c r="AC744" s="12" t="s">
        <v>340</v>
      </c>
      <c r="AD744" s="12" t="s">
        <v>7840</v>
      </c>
      <c r="AE744" s="65" t="s">
        <v>7699</v>
      </c>
      <c r="AF744" s="12" t="s">
        <v>1630</v>
      </c>
    </row>
    <row r="745" spans="1:32" x14ac:dyDescent="0.2">
      <c r="A745" s="12" t="s">
        <v>1631</v>
      </c>
      <c r="B745" s="12" t="s">
        <v>1631</v>
      </c>
      <c r="C745" s="12" t="s">
        <v>1632</v>
      </c>
      <c r="D745" s="12" t="s">
        <v>13</v>
      </c>
      <c r="E745" s="12" t="s">
        <v>8110</v>
      </c>
      <c r="F745" s="12" t="s">
        <v>5458</v>
      </c>
      <c r="G745" s="12" t="s">
        <v>5457</v>
      </c>
      <c r="H745" s="12" t="s">
        <v>6622</v>
      </c>
      <c r="I745" s="12">
        <v>9800</v>
      </c>
      <c r="J745" s="12" t="s">
        <v>1629</v>
      </c>
      <c r="K745" s="12" t="s">
        <v>6657</v>
      </c>
      <c r="L745" s="12" t="s">
        <v>1603</v>
      </c>
      <c r="M745" s="12" t="s">
        <v>1603</v>
      </c>
      <c r="N745" s="12" t="s">
        <v>5785</v>
      </c>
      <c r="O745" s="12" t="s">
        <v>1600</v>
      </c>
      <c r="P745" s="12" t="s">
        <v>826</v>
      </c>
      <c r="Q745" s="12" t="s">
        <v>6658</v>
      </c>
      <c r="R745" s="16">
        <v>34.450000000000003</v>
      </c>
      <c r="S745" s="16">
        <v>48.116</v>
      </c>
      <c r="T745" s="12" t="s">
        <v>11</v>
      </c>
      <c r="U745" s="12" t="s">
        <v>5768</v>
      </c>
      <c r="V745" s="12" t="s">
        <v>17</v>
      </c>
      <c r="W745" s="12" t="s">
        <v>7160</v>
      </c>
      <c r="X745" s="12">
        <v>0.24244099999999999</v>
      </c>
      <c r="Y745" s="12">
        <v>247405</v>
      </c>
      <c r="Z745" s="12" t="s">
        <v>8052</v>
      </c>
      <c r="AA745" s="12" t="s">
        <v>8052</v>
      </c>
      <c r="AB745" s="12" t="s">
        <v>1633</v>
      </c>
      <c r="AC745" s="12" t="s">
        <v>58</v>
      </c>
      <c r="AD745" s="12" t="s">
        <v>7912</v>
      </c>
      <c r="AE745" s="12" t="s">
        <v>7733</v>
      </c>
      <c r="AF745" s="12" t="s">
        <v>8088</v>
      </c>
    </row>
    <row r="746" spans="1:32" x14ac:dyDescent="0.2">
      <c r="A746" s="12" t="s">
        <v>5429</v>
      </c>
      <c r="B746" s="12" t="s">
        <v>5431</v>
      </c>
      <c r="C746" s="12" t="s">
        <v>5434</v>
      </c>
      <c r="D746" s="12" t="s">
        <v>13</v>
      </c>
      <c r="E746" s="12" t="s">
        <v>7678</v>
      </c>
      <c r="F746" s="12" t="s">
        <v>5460</v>
      </c>
      <c r="G746" s="12" t="s">
        <v>5430</v>
      </c>
      <c r="H746" s="12" t="s">
        <v>6614</v>
      </c>
      <c r="I746" s="12">
        <v>9219</v>
      </c>
      <c r="J746" s="12" t="s">
        <v>5435</v>
      </c>
      <c r="K746" s="12" t="s">
        <v>6657</v>
      </c>
      <c r="L746" s="12" t="s">
        <v>5433</v>
      </c>
      <c r="M746" s="12" t="s">
        <v>5432</v>
      </c>
      <c r="N746" s="12" t="s">
        <v>5785</v>
      </c>
      <c r="O746" s="12" t="s">
        <v>5436</v>
      </c>
      <c r="P746" s="12" t="s">
        <v>826</v>
      </c>
      <c r="Q746" s="12" t="s">
        <v>6658</v>
      </c>
      <c r="R746" s="157">
        <v>34.612900000000003</v>
      </c>
      <c r="S746" s="157">
        <v>47.105699999999999</v>
      </c>
      <c r="T746" s="12" t="s">
        <v>11</v>
      </c>
      <c r="U746" s="12" t="s">
        <v>1662</v>
      </c>
      <c r="V746" s="12" t="s">
        <v>5748</v>
      </c>
      <c r="W746" s="12" t="s">
        <v>7160</v>
      </c>
      <c r="X746" s="12">
        <v>10.388</v>
      </c>
      <c r="Y746" s="12">
        <v>1180203</v>
      </c>
      <c r="Z746" s="12" t="s">
        <v>17</v>
      </c>
      <c r="AA746" s="12" t="s">
        <v>17</v>
      </c>
      <c r="AB746" s="12" t="s">
        <v>17</v>
      </c>
      <c r="AC746" s="12" t="s">
        <v>144</v>
      </c>
      <c r="AD746" s="12" t="s">
        <v>17</v>
      </c>
      <c r="AE746" s="12" t="s">
        <v>17</v>
      </c>
      <c r="AF746" s="12" t="s">
        <v>45</v>
      </c>
    </row>
    <row r="747" spans="1:32" x14ac:dyDescent="0.2">
      <c r="A747" s="12" t="s">
        <v>4169</v>
      </c>
      <c r="B747" s="12" t="s">
        <v>4169</v>
      </c>
      <c r="C747" s="12" t="s">
        <v>6878</v>
      </c>
      <c r="D747" s="12" t="s">
        <v>118</v>
      </c>
      <c r="E747" s="12" t="s">
        <v>8108</v>
      </c>
      <c r="F747" s="12" t="s">
        <v>5458</v>
      </c>
      <c r="G747" s="12" t="s">
        <v>5453</v>
      </c>
      <c r="H747" s="12" t="s">
        <v>6624</v>
      </c>
      <c r="I747" s="12">
        <v>4450</v>
      </c>
      <c r="J747" s="12" t="s">
        <v>107</v>
      </c>
      <c r="K747" s="12" t="s">
        <v>6652</v>
      </c>
      <c r="L747" s="12" t="s">
        <v>4166</v>
      </c>
      <c r="M747" s="12" t="s">
        <v>4166</v>
      </c>
      <c r="N747" s="12" t="s">
        <v>24</v>
      </c>
      <c r="O747" s="12" t="s">
        <v>4167</v>
      </c>
      <c r="P747" s="12" t="s">
        <v>3789</v>
      </c>
      <c r="Q747" s="12" t="s">
        <v>6658</v>
      </c>
      <c r="R747" s="16">
        <v>37.483330000000002</v>
      </c>
      <c r="S747" s="16">
        <v>69.40119</v>
      </c>
      <c r="T747" s="12" t="s">
        <v>1126</v>
      </c>
      <c r="U747" s="12" t="s">
        <v>17</v>
      </c>
      <c r="V747" s="12" t="s">
        <v>7414</v>
      </c>
      <c r="W747" s="12" t="s">
        <v>7414</v>
      </c>
      <c r="X747" s="12">
        <v>3.5140000000000002E-3</v>
      </c>
      <c r="Y747" s="12">
        <v>4172</v>
      </c>
      <c r="Z747" s="12" t="s">
        <v>6638</v>
      </c>
      <c r="AA747" s="12" t="s">
        <v>6638</v>
      </c>
      <c r="AB747" s="12" t="s">
        <v>4168</v>
      </c>
      <c r="AC747" s="12" t="s">
        <v>21</v>
      </c>
      <c r="AD747" s="12">
        <v>0.11</v>
      </c>
      <c r="AE747" s="12" t="s">
        <v>7796</v>
      </c>
      <c r="AF747" s="12" t="s">
        <v>8092</v>
      </c>
    </row>
    <row r="748" spans="1:32" x14ac:dyDescent="0.2">
      <c r="A748" s="12" t="s">
        <v>4165</v>
      </c>
      <c r="B748" s="12" t="s">
        <v>4165</v>
      </c>
      <c r="C748" s="12" t="s">
        <v>6877</v>
      </c>
      <c r="D748" s="12" t="s">
        <v>13</v>
      </c>
      <c r="E748" s="12" t="s">
        <v>8108</v>
      </c>
      <c r="F748" s="12" t="s">
        <v>5458</v>
      </c>
      <c r="G748" s="12" t="s">
        <v>5453</v>
      </c>
      <c r="H748" s="12" t="s">
        <v>6624</v>
      </c>
      <c r="I748" s="12">
        <v>4450</v>
      </c>
      <c r="J748" s="12" t="s">
        <v>107</v>
      </c>
      <c r="K748" s="12" t="s">
        <v>6652</v>
      </c>
      <c r="L748" s="12" t="s">
        <v>4166</v>
      </c>
      <c r="M748" s="12" t="s">
        <v>4166</v>
      </c>
      <c r="N748" s="12" t="s">
        <v>24</v>
      </c>
      <c r="O748" s="12" t="s">
        <v>4167</v>
      </c>
      <c r="P748" s="12" t="s">
        <v>3789</v>
      </c>
      <c r="Q748" s="12" t="s">
        <v>6658</v>
      </c>
      <c r="R748" s="12">
        <v>37.483330000000002</v>
      </c>
      <c r="S748" s="12">
        <v>69.40119</v>
      </c>
      <c r="T748" s="12" t="s">
        <v>11</v>
      </c>
      <c r="U748" s="12" t="s">
        <v>17</v>
      </c>
      <c r="V748" s="12" t="s">
        <v>3696</v>
      </c>
      <c r="W748" s="12" t="s">
        <v>7415</v>
      </c>
      <c r="X748" s="12">
        <v>1.0293E-2</v>
      </c>
      <c r="Y748" s="12">
        <v>12221</v>
      </c>
      <c r="Z748" s="12" t="s">
        <v>8052</v>
      </c>
      <c r="AA748" s="12" t="s">
        <v>8052</v>
      </c>
      <c r="AB748" s="12" t="s">
        <v>4164</v>
      </c>
      <c r="AC748" s="12" t="s">
        <v>21</v>
      </c>
      <c r="AD748" s="12">
        <v>1.2999999999999999E-2</v>
      </c>
      <c r="AE748" s="12" t="s">
        <v>7796</v>
      </c>
      <c r="AF748" s="12" t="s">
        <v>31</v>
      </c>
    </row>
    <row r="749" spans="1:32" x14ac:dyDescent="0.2">
      <c r="A749" s="12" t="s">
        <v>2115</v>
      </c>
      <c r="B749" s="12" t="s">
        <v>2116</v>
      </c>
      <c r="C749" s="12" t="s">
        <v>2116</v>
      </c>
      <c r="D749" s="12" t="s">
        <v>163</v>
      </c>
      <c r="E749" s="12" t="s">
        <v>7676</v>
      </c>
      <c r="F749" s="12" t="s">
        <v>5458</v>
      </c>
      <c r="G749" s="12" t="s">
        <v>159</v>
      </c>
      <c r="H749" s="12" t="s">
        <v>6614</v>
      </c>
      <c r="I749" s="12">
        <v>0</v>
      </c>
      <c r="J749" s="12" t="s">
        <v>164</v>
      </c>
      <c r="K749" s="12" t="s">
        <v>6646</v>
      </c>
      <c r="L749" s="12" t="s">
        <v>2113</v>
      </c>
      <c r="M749" s="12" t="s">
        <v>2113</v>
      </c>
      <c r="N749" s="12" t="s">
        <v>5785</v>
      </c>
      <c r="O749" s="12" t="s">
        <v>2114</v>
      </c>
      <c r="P749" s="12" t="s">
        <v>826</v>
      </c>
      <c r="Q749" s="12" t="s">
        <v>6658</v>
      </c>
      <c r="R749" s="12">
        <v>35.585852000000003</v>
      </c>
      <c r="S749" s="12">
        <v>51.459961</v>
      </c>
      <c r="T749" s="12" t="s">
        <v>11</v>
      </c>
      <c r="U749" s="12" t="s">
        <v>17</v>
      </c>
      <c r="V749" s="12" t="s">
        <v>2117</v>
      </c>
      <c r="W749" s="12" t="s">
        <v>7415</v>
      </c>
      <c r="X749" s="12">
        <v>38.65</v>
      </c>
      <c r="Y749" s="12">
        <v>1119186</v>
      </c>
      <c r="Z749" s="12" t="s">
        <v>6613</v>
      </c>
      <c r="AA749" s="12" t="s">
        <v>6613</v>
      </c>
      <c r="AB749" s="12" t="s">
        <v>6613</v>
      </c>
      <c r="AC749" s="12" t="s">
        <v>6613</v>
      </c>
      <c r="AD749" s="12" t="s">
        <v>6613</v>
      </c>
      <c r="AE749" s="12" t="s">
        <v>6613</v>
      </c>
      <c r="AF749" s="12" t="s">
        <v>45</v>
      </c>
    </row>
    <row r="750" spans="1:32" x14ac:dyDescent="0.2">
      <c r="A750" s="12" t="s">
        <v>2111</v>
      </c>
      <c r="B750" s="12" t="s">
        <v>2112</v>
      </c>
      <c r="C750" s="12" t="s">
        <v>2112</v>
      </c>
      <c r="D750" s="12" t="s">
        <v>163</v>
      </c>
      <c r="E750" s="12" t="s">
        <v>7676</v>
      </c>
      <c r="F750" s="12" t="s">
        <v>5458</v>
      </c>
      <c r="G750" s="12" t="s">
        <v>159</v>
      </c>
      <c r="H750" s="12" t="s">
        <v>6614</v>
      </c>
      <c r="I750" s="12">
        <v>0</v>
      </c>
      <c r="J750" s="12" t="s">
        <v>164</v>
      </c>
      <c r="K750" s="12" t="s">
        <v>6646</v>
      </c>
      <c r="L750" s="12" t="s">
        <v>2113</v>
      </c>
      <c r="M750" s="12" t="s">
        <v>2113</v>
      </c>
      <c r="N750" s="12" t="s">
        <v>5785</v>
      </c>
      <c r="O750" s="12" t="s">
        <v>2114</v>
      </c>
      <c r="P750" s="12" t="s">
        <v>826</v>
      </c>
      <c r="Q750" s="12" t="s">
        <v>6658</v>
      </c>
      <c r="R750" s="12">
        <v>35.585852000000003</v>
      </c>
      <c r="S750" s="12">
        <v>51.459961</v>
      </c>
      <c r="T750" s="12" t="s">
        <v>11</v>
      </c>
      <c r="U750" s="12" t="s">
        <v>17</v>
      </c>
      <c r="V750" s="12" t="s">
        <v>598</v>
      </c>
      <c r="W750" s="12" t="s">
        <v>7415</v>
      </c>
      <c r="X750" s="12">
        <v>45.78</v>
      </c>
      <c r="Y750" s="12">
        <v>1120230</v>
      </c>
      <c r="Z750" s="12" t="s">
        <v>6613</v>
      </c>
      <c r="AA750" s="12" t="s">
        <v>6613</v>
      </c>
      <c r="AB750" s="12" t="s">
        <v>6613</v>
      </c>
      <c r="AC750" s="12" t="s">
        <v>6613</v>
      </c>
      <c r="AD750" s="12" t="s">
        <v>6613</v>
      </c>
      <c r="AE750" s="12" t="s">
        <v>6613</v>
      </c>
      <c r="AF750" s="12" t="s">
        <v>45</v>
      </c>
    </row>
    <row r="751" spans="1:32" x14ac:dyDescent="0.2">
      <c r="A751" s="12" t="s">
        <v>2611</v>
      </c>
      <c r="B751" s="12" t="s">
        <v>2612</v>
      </c>
      <c r="C751" s="12" t="s">
        <v>17</v>
      </c>
      <c r="D751" s="12" t="s">
        <v>17</v>
      </c>
      <c r="E751" s="12" t="s">
        <v>7676</v>
      </c>
      <c r="F751" s="12" t="s">
        <v>5458</v>
      </c>
      <c r="G751" s="12" t="s">
        <v>222</v>
      </c>
      <c r="H751" s="12" t="s">
        <v>6614</v>
      </c>
      <c r="I751" s="12">
        <v>0</v>
      </c>
      <c r="J751" s="12" t="s">
        <v>164</v>
      </c>
      <c r="K751" s="12" t="s">
        <v>6646</v>
      </c>
      <c r="L751" s="12" t="s">
        <v>2610</v>
      </c>
      <c r="M751" s="12" t="s">
        <v>2610</v>
      </c>
      <c r="N751" s="12" t="s">
        <v>5785</v>
      </c>
      <c r="O751" s="12" t="s">
        <v>17</v>
      </c>
      <c r="P751" s="12" t="s">
        <v>17</v>
      </c>
      <c r="Q751" s="12" t="s">
        <v>6658</v>
      </c>
      <c r="R751" s="12" t="s">
        <v>17</v>
      </c>
      <c r="S751" s="12" t="s">
        <v>17</v>
      </c>
      <c r="T751" s="12" t="s">
        <v>1126</v>
      </c>
      <c r="U751" s="12" t="s">
        <v>17</v>
      </c>
      <c r="V751" s="12" t="s">
        <v>7414</v>
      </c>
      <c r="W751" s="12" t="s">
        <v>7414</v>
      </c>
      <c r="X751" s="12" t="s">
        <v>17</v>
      </c>
      <c r="Y751" s="12">
        <v>1181603</v>
      </c>
      <c r="Z751" s="12" t="s">
        <v>6613</v>
      </c>
      <c r="AA751" s="12" t="s">
        <v>6613</v>
      </c>
      <c r="AB751" s="12" t="s">
        <v>6613</v>
      </c>
      <c r="AC751" s="12" t="s">
        <v>6613</v>
      </c>
      <c r="AD751" s="12" t="s">
        <v>6613</v>
      </c>
      <c r="AE751" s="12" t="s">
        <v>6613</v>
      </c>
      <c r="AF751" s="12" t="s">
        <v>45</v>
      </c>
    </row>
    <row r="752" spans="1:32" x14ac:dyDescent="0.2">
      <c r="A752" s="12" t="s">
        <v>2608</v>
      </c>
      <c r="B752" s="12" t="s">
        <v>2609</v>
      </c>
      <c r="C752" s="12" t="s">
        <v>17</v>
      </c>
      <c r="D752" s="12" t="s">
        <v>17</v>
      </c>
      <c r="E752" s="12" t="s">
        <v>7676</v>
      </c>
      <c r="F752" s="12" t="s">
        <v>5458</v>
      </c>
      <c r="G752" s="12" t="s">
        <v>222</v>
      </c>
      <c r="H752" s="12" t="s">
        <v>6614</v>
      </c>
      <c r="I752" s="12">
        <v>0</v>
      </c>
      <c r="J752" s="12" t="s">
        <v>164</v>
      </c>
      <c r="K752" s="12" t="s">
        <v>6646</v>
      </c>
      <c r="L752" s="12" t="s">
        <v>2610</v>
      </c>
      <c r="M752" s="12" t="s">
        <v>2610</v>
      </c>
      <c r="N752" s="12" t="s">
        <v>5785</v>
      </c>
      <c r="O752" s="12" t="s">
        <v>17</v>
      </c>
      <c r="P752" s="12" t="s">
        <v>17</v>
      </c>
      <c r="Q752" s="12" t="s">
        <v>6658</v>
      </c>
      <c r="R752" s="12" t="s">
        <v>17</v>
      </c>
      <c r="S752" s="12" t="s">
        <v>17</v>
      </c>
      <c r="T752" s="12" t="s">
        <v>1126</v>
      </c>
      <c r="U752" s="12" t="s">
        <v>17</v>
      </c>
      <c r="V752" s="12" t="s">
        <v>7414</v>
      </c>
      <c r="W752" s="12" t="s">
        <v>7414</v>
      </c>
      <c r="X752" s="12" t="s">
        <v>17</v>
      </c>
      <c r="Y752" s="12">
        <v>1181829</v>
      </c>
      <c r="Z752" s="12" t="s">
        <v>6613</v>
      </c>
      <c r="AA752" s="12" t="s">
        <v>6613</v>
      </c>
      <c r="AB752" s="12" t="s">
        <v>6613</v>
      </c>
      <c r="AC752" s="12" t="s">
        <v>6613</v>
      </c>
      <c r="AD752" s="12" t="s">
        <v>6613</v>
      </c>
      <c r="AE752" s="12" t="s">
        <v>6613</v>
      </c>
      <c r="AF752" s="12" t="s">
        <v>45</v>
      </c>
    </row>
    <row r="753" spans="1:32" x14ac:dyDescent="0.2">
      <c r="A753" s="12" t="s">
        <v>4560</v>
      </c>
      <c r="B753" s="12" t="s">
        <v>4561</v>
      </c>
      <c r="C753" s="12" t="s">
        <v>4561</v>
      </c>
      <c r="D753" s="12" t="s">
        <v>17</v>
      </c>
      <c r="E753" s="12" t="s">
        <v>7678</v>
      </c>
      <c r="F753" s="12" t="s">
        <v>5458</v>
      </c>
      <c r="G753" s="12" t="s">
        <v>2054</v>
      </c>
      <c r="H753" s="12" t="s">
        <v>6614</v>
      </c>
      <c r="I753" s="12">
        <v>0</v>
      </c>
      <c r="J753" s="12" t="s">
        <v>164</v>
      </c>
      <c r="K753" s="12" t="s">
        <v>6646</v>
      </c>
      <c r="L753" s="12" t="s">
        <v>4560</v>
      </c>
      <c r="M753" s="12" t="s">
        <v>4560</v>
      </c>
      <c r="N753" s="12" t="s">
        <v>5785</v>
      </c>
      <c r="O753" s="12" t="s">
        <v>17</v>
      </c>
      <c r="P753" s="12" t="s">
        <v>3789</v>
      </c>
      <c r="Q753" s="12" t="s">
        <v>6658</v>
      </c>
      <c r="R753" s="12" t="s">
        <v>17</v>
      </c>
      <c r="S753" s="12" t="s">
        <v>17</v>
      </c>
      <c r="T753" s="12" t="s">
        <v>11</v>
      </c>
      <c r="U753" s="12" t="s">
        <v>17</v>
      </c>
      <c r="V753" s="12" t="s">
        <v>739</v>
      </c>
      <c r="W753" s="12" t="s">
        <v>7415</v>
      </c>
      <c r="X753" s="12">
        <v>17.771000000000001</v>
      </c>
      <c r="Y753" s="12">
        <v>1175891</v>
      </c>
      <c r="Z753" s="12" t="s">
        <v>6613</v>
      </c>
      <c r="AA753" s="12" t="s">
        <v>6613</v>
      </c>
      <c r="AB753" s="12" t="s">
        <v>6613</v>
      </c>
      <c r="AC753" s="12" t="s">
        <v>6613</v>
      </c>
      <c r="AD753" s="12" t="s">
        <v>6613</v>
      </c>
      <c r="AE753" s="12" t="s">
        <v>6613</v>
      </c>
      <c r="AF753" s="12" t="s">
        <v>45</v>
      </c>
    </row>
    <row r="754" spans="1:32" x14ac:dyDescent="0.2">
      <c r="A754" s="12" t="s">
        <v>4566</v>
      </c>
      <c r="B754" s="12" t="s">
        <v>4567</v>
      </c>
      <c r="C754" s="12" t="s">
        <v>4567</v>
      </c>
      <c r="D754" s="12" t="s">
        <v>163</v>
      </c>
      <c r="E754" s="12" t="s">
        <v>7676</v>
      </c>
      <c r="F754" s="12" t="s">
        <v>5458</v>
      </c>
      <c r="G754" s="12" t="s">
        <v>159</v>
      </c>
      <c r="H754" s="12" t="s">
        <v>6614</v>
      </c>
      <c r="I754" s="12">
        <v>0</v>
      </c>
      <c r="J754" s="12" t="s">
        <v>164</v>
      </c>
      <c r="K754" s="12" t="s">
        <v>6646</v>
      </c>
      <c r="L754" s="12" t="s">
        <v>4564</v>
      </c>
      <c r="M754" s="12" t="s">
        <v>4564</v>
      </c>
      <c r="N754" s="12" t="s">
        <v>5785</v>
      </c>
      <c r="O754" s="12" t="s">
        <v>4565</v>
      </c>
      <c r="P754" s="12" t="s">
        <v>3789</v>
      </c>
      <c r="Q754" s="12" t="s">
        <v>6658</v>
      </c>
      <c r="R754" s="12">
        <v>37.508135000000003</v>
      </c>
      <c r="S754" s="12">
        <v>71.567608000000007</v>
      </c>
      <c r="T754" s="12" t="s">
        <v>11</v>
      </c>
      <c r="U754" s="12" t="s">
        <v>17</v>
      </c>
      <c r="V754" s="12" t="s">
        <v>601</v>
      </c>
      <c r="W754" s="12" t="s">
        <v>7415</v>
      </c>
      <c r="X754" s="12">
        <v>46.64</v>
      </c>
      <c r="Y754" s="12">
        <v>1119533</v>
      </c>
      <c r="Z754" s="12" t="s">
        <v>6613</v>
      </c>
      <c r="AA754" s="12" t="s">
        <v>6613</v>
      </c>
      <c r="AB754" s="12" t="s">
        <v>6613</v>
      </c>
      <c r="AC754" s="12" t="s">
        <v>6613</v>
      </c>
      <c r="AD754" s="12" t="s">
        <v>6613</v>
      </c>
      <c r="AE754" s="12" t="s">
        <v>6613</v>
      </c>
      <c r="AF754" s="12" t="s">
        <v>45</v>
      </c>
    </row>
    <row r="755" spans="1:32" x14ac:dyDescent="0.2">
      <c r="A755" s="12" t="s">
        <v>4562</v>
      </c>
      <c r="B755" s="12" t="s">
        <v>4563</v>
      </c>
      <c r="C755" s="12" t="s">
        <v>4563</v>
      </c>
      <c r="D755" s="12" t="s">
        <v>163</v>
      </c>
      <c r="E755" s="12" t="s">
        <v>7676</v>
      </c>
      <c r="F755" s="12" t="s">
        <v>5458</v>
      </c>
      <c r="G755" s="12" t="s">
        <v>159</v>
      </c>
      <c r="H755" s="12" t="s">
        <v>6614</v>
      </c>
      <c r="I755" s="12">
        <v>0</v>
      </c>
      <c r="J755" s="12" t="s">
        <v>164</v>
      </c>
      <c r="K755" s="12" t="s">
        <v>6646</v>
      </c>
      <c r="L755" s="12" t="s">
        <v>4564</v>
      </c>
      <c r="M755" s="12" t="s">
        <v>4564</v>
      </c>
      <c r="N755" s="12" t="s">
        <v>5785</v>
      </c>
      <c r="O755" s="12" t="s">
        <v>4565</v>
      </c>
      <c r="P755" s="12" t="s">
        <v>3789</v>
      </c>
      <c r="Q755" s="12" t="s">
        <v>6658</v>
      </c>
      <c r="R755" s="12">
        <v>37.508135000000003</v>
      </c>
      <c r="S755" s="12">
        <v>71.567608000000007</v>
      </c>
      <c r="T755" s="12" t="s">
        <v>11</v>
      </c>
      <c r="U755" s="12" t="s">
        <v>17</v>
      </c>
      <c r="V755" s="12" t="s">
        <v>601</v>
      </c>
      <c r="W755" s="12" t="s">
        <v>7415</v>
      </c>
      <c r="X755" s="12">
        <v>52.48</v>
      </c>
      <c r="Y755" s="12">
        <v>1119628</v>
      </c>
      <c r="Z755" s="12" t="s">
        <v>6613</v>
      </c>
      <c r="AA755" s="12" t="s">
        <v>6613</v>
      </c>
      <c r="AB755" s="12" t="s">
        <v>6613</v>
      </c>
      <c r="AC755" s="12" t="s">
        <v>6613</v>
      </c>
      <c r="AD755" s="12" t="s">
        <v>6613</v>
      </c>
      <c r="AE755" s="12" t="s">
        <v>6613</v>
      </c>
      <c r="AF755" s="12" t="s">
        <v>45</v>
      </c>
    </row>
    <row r="756" spans="1:32" x14ac:dyDescent="0.2">
      <c r="A756" s="12" t="s">
        <v>4580</v>
      </c>
      <c r="B756" s="12" t="s">
        <v>4581</v>
      </c>
      <c r="C756" s="12" t="s">
        <v>17</v>
      </c>
      <c r="D756" s="12" t="s">
        <v>17</v>
      </c>
      <c r="E756" s="12" t="s">
        <v>7676</v>
      </c>
      <c r="F756" s="12" t="s">
        <v>5458</v>
      </c>
      <c r="G756" s="12" t="s">
        <v>222</v>
      </c>
      <c r="H756" s="12" t="s">
        <v>6614</v>
      </c>
      <c r="I756" s="12">
        <v>0</v>
      </c>
      <c r="J756" s="12" t="s">
        <v>164</v>
      </c>
      <c r="K756" s="12" t="s">
        <v>6646</v>
      </c>
      <c r="L756" s="12" t="s">
        <v>4582</v>
      </c>
      <c r="M756" s="12" t="s">
        <v>4582</v>
      </c>
      <c r="N756" s="12" t="s">
        <v>5785</v>
      </c>
      <c r="O756" s="12" t="s">
        <v>17</v>
      </c>
      <c r="P756" s="12" t="s">
        <v>17</v>
      </c>
      <c r="Q756" s="12" t="s">
        <v>6658</v>
      </c>
      <c r="R756" s="12" t="s">
        <v>17</v>
      </c>
      <c r="S756" s="12" t="s">
        <v>17</v>
      </c>
      <c r="T756" s="12" t="s">
        <v>1126</v>
      </c>
      <c r="U756" s="12" t="s">
        <v>17</v>
      </c>
      <c r="V756" s="12" t="s">
        <v>7414</v>
      </c>
      <c r="W756" s="12" t="s">
        <v>7414</v>
      </c>
      <c r="X756" s="12" t="s">
        <v>17</v>
      </c>
      <c r="Y756" s="12">
        <v>1181615</v>
      </c>
      <c r="Z756" s="12" t="s">
        <v>6613</v>
      </c>
      <c r="AA756" s="12" t="s">
        <v>6613</v>
      </c>
      <c r="AB756" s="12" t="s">
        <v>6613</v>
      </c>
      <c r="AC756" s="12" t="s">
        <v>6613</v>
      </c>
      <c r="AD756" s="12" t="s">
        <v>6613</v>
      </c>
      <c r="AE756" s="12" t="s">
        <v>6613</v>
      </c>
      <c r="AF756" s="12" t="s">
        <v>45</v>
      </c>
    </row>
    <row r="757" spans="1:32" x14ac:dyDescent="0.2">
      <c r="A757" s="12" t="s">
        <v>4585</v>
      </c>
      <c r="B757" s="12" t="s">
        <v>4586</v>
      </c>
      <c r="C757" s="12" t="s">
        <v>17</v>
      </c>
      <c r="D757" s="12" t="s">
        <v>17</v>
      </c>
      <c r="E757" s="12" t="s">
        <v>7676</v>
      </c>
      <c r="F757" s="12" t="s">
        <v>5458</v>
      </c>
      <c r="G757" s="12" t="s">
        <v>222</v>
      </c>
      <c r="H757" s="12" t="s">
        <v>6614</v>
      </c>
      <c r="I757" s="12">
        <v>0</v>
      </c>
      <c r="J757" s="12" t="s">
        <v>164</v>
      </c>
      <c r="K757" s="12" t="s">
        <v>6646</v>
      </c>
      <c r="L757" s="12" t="s">
        <v>4582</v>
      </c>
      <c r="M757" s="12" t="s">
        <v>4582</v>
      </c>
      <c r="N757" s="12" t="s">
        <v>5785</v>
      </c>
      <c r="O757" s="12" t="s">
        <v>17</v>
      </c>
      <c r="P757" s="12" t="s">
        <v>17</v>
      </c>
      <c r="Q757" s="12" t="s">
        <v>6658</v>
      </c>
      <c r="R757" s="12" t="s">
        <v>17</v>
      </c>
      <c r="S757" s="12" t="s">
        <v>17</v>
      </c>
      <c r="T757" s="12" t="s">
        <v>1126</v>
      </c>
      <c r="U757" s="12" t="s">
        <v>17</v>
      </c>
      <c r="V757" s="12" t="s">
        <v>7414</v>
      </c>
      <c r="W757" s="12" t="s">
        <v>7414</v>
      </c>
      <c r="X757" s="12" t="s">
        <v>17</v>
      </c>
      <c r="Y757" s="12">
        <v>1181814</v>
      </c>
      <c r="Z757" s="12" t="s">
        <v>6613</v>
      </c>
      <c r="AA757" s="12" t="s">
        <v>6613</v>
      </c>
      <c r="AB757" s="12" t="s">
        <v>6613</v>
      </c>
      <c r="AC757" s="12" t="s">
        <v>6613</v>
      </c>
      <c r="AD757" s="12" t="s">
        <v>6613</v>
      </c>
      <c r="AE757" s="12" t="s">
        <v>6613</v>
      </c>
      <c r="AF757" s="12" t="s">
        <v>45</v>
      </c>
    </row>
    <row r="758" spans="1:32" x14ac:dyDescent="0.2">
      <c r="A758" s="12" t="s">
        <v>4583</v>
      </c>
      <c r="B758" s="12" t="s">
        <v>4584</v>
      </c>
      <c r="C758" s="12" t="s">
        <v>17</v>
      </c>
      <c r="D758" s="12" t="s">
        <v>17</v>
      </c>
      <c r="E758" s="12" t="s">
        <v>7676</v>
      </c>
      <c r="F758" s="12" t="s">
        <v>5458</v>
      </c>
      <c r="G758" s="12" t="s">
        <v>222</v>
      </c>
      <c r="H758" s="12" t="s">
        <v>6614</v>
      </c>
      <c r="I758" s="12">
        <v>0</v>
      </c>
      <c r="J758" s="12" t="s">
        <v>164</v>
      </c>
      <c r="K758" s="12" t="s">
        <v>6646</v>
      </c>
      <c r="L758" s="12" t="s">
        <v>4582</v>
      </c>
      <c r="M758" s="12" t="s">
        <v>4582</v>
      </c>
      <c r="N758" s="12" t="s">
        <v>5785</v>
      </c>
      <c r="O758" s="12" t="s">
        <v>17</v>
      </c>
      <c r="P758" s="12" t="s">
        <v>17</v>
      </c>
      <c r="Q758" s="12" t="s">
        <v>6658</v>
      </c>
      <c r="R758" s="12" t="s">
        <v>17</v>
      </c>
      <c r="S758" s="12" t="s">
        <v>17</v>
      </c>
      <c r="T758" s="12" t="s">
        <v>1126</v>
      </c>
      <c r="U758" s="12" t="s">
        <v>17</v>
      </c>
      <c r="V758" s="12" t="s">
        <v>7414</v>
      </c>
      <c r="W758" s="12" t="s">
        <v>7414</v>
      </c>
      <c r="X758" s="12" t="s">
        <v>17</v>
      </c>
      <c r="Y758" s="12">
        <v>1181859</v>
      </c>
      <c r="Z758" s="12" t="s">
        <v>6613</v>
      </c>
      <c r="AA758" s="12" t="s">
        <v>6613</v>
      </c>
      <c r="AB758" s="12" t="s">
        <v>6613</v>
      </c>
      <c r="AC758" s="12" t="s">
        <v>6613</v>
      </c>
      <c r="AD758" s="12" t="s">
        <v>6613</v>
      </c>
      <c r="AE758" s="12" t="s">
        <v>6613</v>
      </c>
      <c r="AF758" s="12" t="s">
        <v>45</v>
      </c>
    </row>
    <row r="759" spans="1:32" x14ac:dyDescent="0.2">
      <c r="A759" s="12" t="s">
        <v>4727</v>
      </c>
      <c r="B759" s="12" t="s">
        <v>4728</v>
      </c>
      <c r="C759" s="12" t="s">
        <v>17</v>
      </c>
      <c r="D759" s="12" t="s">
        <v>17</v>
      </c>
      <c r="E759" s="12" t="s">
        <v>7676</v>
      </c>
      <c r="F759" s="12" t="s">
        <v>5458</v>
      </c>
      <c r="G759" s="12" t="s">
        <v>222</v>
      </c>
      <c r="H759" s="12" t="s">
        <v>6614</v>
      </c>
      <c r="I759" s="12">
        <v>0</v>
      </c>
      <c r="J759" s="12" t="s">
        <v>164</v>
      </c>
      <c r="K759" s="12" t="s">
        <v>6646</v>
      </c>
      <c r="L759" s="12" t="s">
        <v>4729</v>
      </c>
      <c r="M759" s="12" t="s">
        <v>4729</v>
      </c>
      <c r="N759" s="12" t="s">
        <v>5785</v>
      </c>
      <c r="O759" s="12" t="s">
        <v>17</v>
      </c>
      <c r="P759" s="12" t="s">
        <v>17</v>
      </c>
      <c r="Q759" s="12" t="s">
        <v>6658</v>
      </c>
      <c r="R759" s="12" t="s">
        <v>17</v>
      </c>
      <c r="S759" s="12" t="s">
        <v>17</v>
      </c>
      <c r="T759" s="12" t="s">
        <v>1126</v>
      </c>
      <c r="U759" s="12" t="s">
        <v>17</v>
      </c>
      <c r="V759" s="12" t="s">
        <v>7414</v>
      </c>
      <c r="W759" s="12" t="s">
        <v>7414</v>
      </c>
      <c r="X759" s="12" t="s">
        <v>17</v>
      </c>
      <c r="Y759" s="12">
        <v>1181857</v>
      </c>
      <c r="Z759" s="12" t="s">
        <v>6613</v>
      </c>
      <c r="AA759" s="12" t="s">
        <v>6613</v>
      </c>
      <c r="AB759" s="12" t="s">
        <v>6613</v>
      </c>
      <c r="AC759" s="12" t="s">
        <v>6613</v>
      </c>
      <c r="AD759" s="12" t="s">
        <v>6613</v>
      </c>
      <c r="AE759" s="12" t="s">
        <v>6613</v>
      </c>
      <c r="AF759" s="12" t="s">
        <v>45</v>
      </c>
    </row>
    <row r="760" spans="1:32" x14ac:dyDescent="0.2">
      <c r="A760" s="12" t="s">
        <v>4730</v>
      </c>
      <c r="B760" s="12" t="s">
        <v>4731</v>
      </c>
      <c r="C760" s="12" t="s">
        <v>17</v>
      </c>
      <c r="D760" s="12" t="s">
        <v>17</v>
      </c>
      <c r="E760" s="12" t="s">
        <v>7676</v>
      </c>
      <c r="F760" s="12" t="s">
        <v>5458</v>
      </c>
      <c r="G760" s="12" t="s">
        <v>222</v>
      </c>
      <c r="H760" s="12" t="s">
        <v>6614</v>
      </c>
      <c r="I760" s="12">
        <v>0</v>
      </c>
      <c r="J760" s="12" t="s">
        <v>164</v>
      </c>
      <c r="K760" s="12" t="s">
        <v>6646</v>
      </c>
      <c r="L760" s="12" t="s">
        <v>4729</v>
      </c>
      <c r="M760" s="12" t="s">
        <v>4729</v>
      </c>
      <c r="N760" s="12" t="s">
        <v>5785</v>
      </c>
      <c r="O760" s="12" t="s">
        <v>17</v>
      </c>
      <c r="P760" s="12" t="s">
        <v>17</v>
      </c>
      <c r="Q760" s="12" t="s">
        <v>6658</v>
      </c>
      <c r="R760" s="12" t="s">
        <v>17</v>
      </c>
      <c r="S760" s="12" t="s">
        <v>17</v>
      </c>
      <c r="T760" s="12" t="s">
        <v>1126</v>
      </c>
      <c r="U760" s="12" t="s">
        <v>17</v>
      </c>
      <c r="V760" s="12" t="s">
        <v>7414</v>
      </c>
      <c r="W760" s="12" t="s">
        <v>7414</v>
      </c>
      <c r="X760" s="12" t="s">
        <v>17</v>
      </c>
      <c r="Y760" s="12">
        <v>1181928</v>
      </c>
      <c r="Z760" s="12" t="s">
        <v>6613</v>
      </c>
      <c r="AA760" s="12" t="s">
        <v>6613</v>
      </c>
      <c r="AB760" s="12" t="s">
        <v>6613</v>
      </c>
      <c r="AC760" s="12" t="s">
        <v>6613</v>
      </c>
      <c r="AD760" s="12" t="s">
        <v>6613</v>
      </c>
      <c r="AE760" s="12" t="s">
        <v>6613</v>
      </c>
      <c r="AF760" s="12" t="s">
        <v>45</v>
      </c>
    </row>
    <row r="761" spans="1:32" x14ac:dyDescent="0.2">
      <c r="A761" s="12" t="s">
        <v>4778</v>
      </c>
      <c r="B761" s="12" t="s">
        <v>4779</v>
      </c>
      <c r="C761" s="12" t="s">
        <v>17</v>
      </c>
      <c r="D761" s="12" t="s">
        <v>17</v>
      </c>
      <c r="E761" s="12" t="s">
        <v>7676</v>
      </c>
      <c r="F761" s="12" t="s">
        <v>5458</v>
      </c>
      <c r="G761" s="12" t="s">
        <v>222</v>
      </c>
      <c r="H761" s="12" t="s">
        <v>6614</v>
      </c>
      <c r="I761" s="12">
        <v>0</v>
      </c>
      <c r="J761" s="12" t="s">
        <v>164</v>
      </c>
      <c r="K761" s="12" t="s">
        <v>6646</v>
      </c>
      <c r="L761" s="12" t="s">
        <v>4777</v>
      </c>
      <c r="M761" s="12" t="s">
        <v>4777</v>
      </c>
      <c r="N761" s="12" t="s">
        <v>5785</v>
      </c>
      <c r="O761" s="12" t="s">
        <v>17</v>
      </c>
      <c r="P761" s="12" t="s">
        <v>17</v>
      </c>
      <c r="Q761" s="12" t="s">
        <v>6658</v>
      </c>
      <c r="R761" s="12" t="s">
        <v>17</v>
      </c>
      <c r="S761" s="12" t="s">
        <v>17</v>
      </c>
      <c r="T761" s="12" t="s">
        <v>1126</v>
      </c>
      <c r="U761" s="12" t="s">
        <v>17</v>
      </c>
      <c r="V761" s="12" t="s">
        <v>7414</v>
      </c>
      <c r="W761" s="12" t="s">
        <v>7414</v>
      </c>
      <c r="X761" s="12" t="s">
        <v>17</v>
      </c>
      <c r="Y761" s="12">
        <v>1181732</v>
      </c>
      <c r="Z761" s="12" t="s">
        <v>6613</v>
      </c>
      <c r="AA761" s="12" t="s">
        <v>6613</v>
      </c>
      <c r="AB761" s="12" t="s">
        <v>6613</v>
      </c>
      <c r="AC761" s="12" t="s">
        <v>6613</v>
      </c>
      <c r="AD761" s="12" t="s">
        <v>6613</v>
      </c>
      <c r="AE761" s="12" t="s">
        <v>6613</v>
      </c>
      <c r="AF761" s="12" t="s">
        <v>45</v>
      </c>
    </row>
    <row r="762" spans="1:32" x14ac:dyDescent="0.2">
      <c r="A762" s="12" t="s">
        <v>4775</v>
      </c>
      <c r="B762" s="12" t="s">
        <v>4776</v>
      </c>
      <c r="C762" s="12" t="s">
        <v>17</v>
      </c>
      <c r="D762" s="12" t="s">
        <v>17</v>
      </c>
      <c r="E762" s="12" t="s">
        <v>7676</v>
      </c>
      <c r="F762" s="12" t="s">
        <v>5458</v>
      </c>
      <c r="G762" s="12" t="s">
        <v>222</v>
      </c>
      <c r="H762" s="12" t="s">
        <v>6614</v>
      </c>
      <c r="I762" s="12">
        <v>0</v>
      </c>
      <c r="J762" s="12" t="s">
        <v>164</v>
      </c>
      <c r="K762" s="12" t="s">
        <v>6646</v>
      </c>
      <c r="L762" s="12" t="s">
        <v>4777</v>
      </c>
      <c r="M762" s="12" t="s">
        <v>4777</v>
      </c>
      <c r="N762" s="12" t="s">
        <v>5785</v>
      </c>
      <c r="O762" s="12" t="s">
        <v>17</v>
      </c>
      <c r="P762" s="12" t="s">
        <v>17</v>
      </c>
      <c r="Q762" s="12" t="s">
        <v>6658</v>
      </c>
      <c r="R762" s="12" t="s">
        <v>17</v>
      </c>
      <c r="S762" s="12" t="s">
        <v>17</v>
      </c>
      <c r="T762" s="12" t="s">
        <v>1126</v>
      </c>
      <c r="U762" s="12" t="s">
        <v>17</v>
      </c>
      <c r="V762" s="12" t="s">
        <v>7414</v>
      </c>
      <c r="W762" s="12" t="s">
        <v>7414</v>
      </c>
      <c r="X762" s="12" t="s">
        <v>17</v>
      </c>
      <c r="Y762" s="12">
        <v>1181814</v>
      </c>
      <c r="Z762" s="12" t="s">
        <v>6613</v>
      </c>
      <c r="AA762" s="12" t="s">
        <v>6613</v>
      </c>
      <c r="AB762" s="12" t="s">
        <v>6613</v>
      </c>
      <c r="AC762" s="12" t="s">
        <v>6613</v>
      </c>
      <c r="AD762" s="12" t="s">
        <v>6613</v>
      </c>
      <c r="AE762" s="12" t="s">
        <v>6613</v>
      </c>
      <c r="AF762" s="12" t="s">
        <v>45</v>
      </c>
    </row>
    <row r="763" spans="1:32" x14ac:dyDescent="0.2">
      <c r="A763" s="12" t="s">
        <v>4780</v>
      </c>
      <c r="B763" s="12" t="s">
        <v>4781</v>
      </c>
      <c r="C763" s="12" t="s">
        <v>17</v>
      </c>
      <c r="D763" s="12" t="s">
        <v>17</v>
      </c>
      <c r="E763" s="12" t="s">
        <v>7676</v>
      </c>
      <c r="F763" s="12" t="s">
        <v>5458</v>
      </c>
      <c r="G763" s="12" t="s">
        <v>222</v>
      </c>
      <c r="H763" s="12" t="s">
        <v>6614</v>
      </c>
      <c r="I763" s="12">
        <v>0</v>
      </c>
      <c r="J763" s="12" t="s">
        <v>164</v>
      </c>
      <c r="K763" s="12" t="s">
        <v>6646</v>
      </c>
      <c r="L763" s="12" t="s">
        <v>4777</v>
      </c>
      <c r="M763" s="12" t="s">
        <v>4777</v>
      </c>
      <c r="N763" s="12" t="s">
        <v>5785</v>
      </c>
      <c r="O763" s="12" t="s">
        <v>17</v>
      </c>
      <c r="P763" s="12" t="s">
        <v>17</v>
      </c>
      <c r="Q763" s="12" t="s">
        <v>6658</v>
      </c>
      <c r="R763" s="12" t="s">
        <v>17</v>
      </c>
      <c r="S763" s="12" t="s">
        <v>17</v>
      </c>
      <c r="T763" s="12" t="s">
        <v>1126</v>
      </c>
      <c r="U763" s="12" t="s">
        <v>17</v>
      </c>
      <c r="V763" s="12" t="s">
        <v>7414</v>
      </c>
      <c r="W763" s="12" t="s">
        <v>7414</v>
      </c>
      <c r="X763" s="12" t="s">
        <v>17</v>
      </c>
      <c r="Y763" s="12">
        <v>1181891</v>
      </c>
      <c r="Z763" s="12" t="s">
        <v>6613</v>
      </c>
      <c r="AA763" s="12" t="s">
        <v>6613</v>
      </c>
      <c r="AB763" s="12" t="s">
        <v>6613</v>
      </c>
      <c r="AC763" s="12" t="s">
        <v>6613</v>
      </c>
      <c r="AD763" s="12" t="s">
        <v>6613</v>
      </c>
      <c r="AE763" s="12" t="s">
        <v>6613</v>
      </c>
      <c r="AF763" s="12" t="s">
        <v>45</v>
      </c>
    </row>
    <row r="764" spans="1:32" x14ac:dyDescent="0.2">
      <c r="A764" s="12" t="s">
        <v>380</v>
      </c>
      <c r="B764" s="12" t="s">
        <v>382</v>
      </c>
      <c r="C764" s="12" t="s">
        <v>382</v>
      </c>
      <c r="D764" s="12" t="s">
        <v>163</v>
      </c>
      <c r="E764" s="12" t="s">
        <v>7677</v>
      </c>
      <c r="F764" s="12" t="s">
        <v>5458</v>
      </c>
      <c r="G764" s="12" t="s">
        <v>381</v>
      </c>
      <c r="H764" s="12" t="s">
        <v>6631</v>
      </c>
      <c r="I764" s="12" t="s">
        <v>17</v>
      </c>
      <c r="J764" s="12" t="s">
        <v>17</v>
      </c>
      <c r="K764" s="12" t="s">
        <v>142</v>
      </c>
      <c r="L764" s="12" t="s">
        <v>380</v>
      </c>
      <c r="M764" s="12" t="s">
        <v>380</v>
      </c>
      <c r="N764" s="12" t="s">
        <v>5785</v>
      </c>
      <c r="O764" s="12" t="s">
        <v>17</v>
      </c>
      <c r="P764" s="12" t="s">
        <v>17</v>
      </c>
      <c r="Q764" s="12" t="s">
        <v>142</v>
      </c>
      <c r="R764" s="12" t="s">
        <v>17</v>
      </c>
      <c r="S764" s="12" t="s">
        <v>17</v>
      </c>
      <c r="T764" s="12" t="s">
        <v>11</v>
      </c>
      <c r="U764" s="12" t="s">
        <v>17</v>
      </c>
      <c r="V764" s="12" t="s">
        <v>383</v>
      </c>
      <c r="W764" s="12" t="s">
        <v>7415</v>
      </c>
      <c r="X764" s="12" t="s">
        <v>17</v>
      </c>
      <c r="Y764" s="12">
        <v>1135001</v>
      </c>
      <c r="Z764" s="12" t="s">
        <v>163</v>
      </c>
      <c r="AA764" s="12" t="s">
        <v>163</v>
      </c>
      <c r="AB764" s="12" t="s">
        <v>17</v>
      </c>
      <c r="AC764" s="12" t="s">
        <v>163</v>
      </c>
      <c r="AD764" s="12" t="s">
        <v>17</v>
      </c>
      <c r="AE764" s="12" t="s">
        <v>17</v>
      </c>
      <c r="AF764" s="12" t="s">
        <v>45</v>
      </c>
    </row>
    <row r="765" spans="1:32" x14ac:dyDescent="0.2">
      <c r="A765" s="12" t="s">
        <v>1499</v>
      </c>
      <c r="B765" s="12" t="s">
        <v>1500</v>
      </c>
      <c r="C765" s="12" t="s">
        <v>1500</v>
      </c>
      <c r="D765" s="12" t="s">
        <v>118</v>
      </c>
      <c r="E765" s="12" t="s">
        <v>7676</v>
      </c>
      <c r="F765" s="12" t="s">
        <v>5458</v>
      </c>
      <c r="G765" s="12" t="s">
        <v>1478</v>
      </c>
      <c r="H765" s="12" t="s">
        <v>6614</v>
      </c>
      <c r="I765" s="12">
        <v>51950</v>
      </c>
      <c r="J765" s="12" t="s">
        <v>1502</v>
      </c>
      <c r="K765" s="12" t="s">
        <v>142</v>
      </c>
      <c r="L765" s="12" t="s">
        <v>1501</v>
      </c>
      <c r="M765" s="12" t="s">
        <v>1501</v>
      </c>
      <c r="N765" s="12" t="s">
        <v>5785</v>
      </c>
      <c r="O765" s="12" t="s">
        <v>1503</v>
      </c>
      <c r="P765" s="12" t="s">
        <v>18</v>
      </c>
      <c r="Q765" s="12" t="s">
        <v>142</v>
      </c>
      <c r="R765" s="12">
        <v>51.397500000000001</v>
      </c>
      <c r="S765" s="12">
        <v>84.676111109999994</v>
      </c>
      <c r="T765" s="12" t="s">
        <v>25</v>
      </c>
      <c r="U765" s="12" t="s">
        <v>17</v>
      </c>
      <c r="V765" s="12" t="s">
        <v>6639</v>
      </c>
      <c r="W765" s="12" t="s">
        <v>6639</v>
      </c>
      <c r="X765" s="12">
        <v>31</v>
      </c>
      <c r="Y765" s="12">
        <v>1149356</v>
      </c>
      <c r="Z765" s="12" t="s">
        <v>6639</v>
      </c>
      <c r="AA765" s="12" t="s">
        <v>6639</v>
      </c>
      <c r="AB765" s="12" t="s">
        <v>17</v>
      </c>
      <c r="AC765" s="12" t="s">
        <v>21</v>
      </c>
      <c r="AD765" s="12" t="s">
        <v>17</v>
      </c>
      <c r="AE765" s="12" t="s">
        <v>17</v>
      </c>
      <c r="AF765" s="12" t="s">
        <v>45</v>
      </c>
    </row>
    <row r="766" spans="1:32" x14ac:dyDescent="0.2">
      <c r="A766" s="12" t="s">
        <v>1414</v>
      </c>
      <c r="B766" s="12" t="s">
        <v>1416</v>
      </c>
      <c r="C766" s="12" t="s">
        <v>1416</v>
      </c>
      <c r="D766" s="12" t="s">
        <v>163</v>
      </c>
      <c r="E766" s="12" t="s">
        <v>7677</v>
      </c>
      <c r="F766" s="12" t="s">
        <v>5458</v>
      </c>
      <c r="G766" s="12" t="s">
        <v>1415</v>
      </c>
      <c r="H766" s="12" t="s">
        <v>6613</v>
      </c>
      <c r="I766" s="12">
        <v>0</v>
      </c>
      <c r="J766" s="12" t="s">
        <v>164</v>
      </c>
      <c r="K766" s="12" t="s">
        <v>142</v>
      </c>
      <c r="L766" s="12" t="s">
        <v>1414</v>
      </c>
      <c r="M766" s="12" t="s">
        <v>1414</v>
      </c>
      <c r="N766" s="12" t="s">
        <v>5785</v>
      </c>
      <c r="O766" s="12" t="s">
        <v>17</v>
      </c>
      <c r="P766" s="12" t="s">
        <v>17</v>
      </c>
      <c r="Q766" s="12" t="s">
        <v>142</v>
      </c>
      <c r="R766" s="12" t="s">
        <v>17</v>
      </c>
      <c r="S766" s="12" t="s">
        <v>17</v>
      </c>
      <c r="T766" s="12" t="s">
        <v>11</v>
      </c>
      <c r="U766" s="12" t="s">
        <v>17</v>
      </c>
      <c r="V766" s="12" t="s">
        <v>383</v>
      </c>
      <c r="W766" s="12" t="s">
        <v>7415</v>
      </c>
      <c r="X766" s="12" t="s">
        <v>17</v>
      </c>
      <c r="Y766" s="12">
        <v>1102442</v>
      </c>
      <c r="Z766" s="12" t="s">
        <v>6613</v>
      </c>
      <c r="AA766" s="12" t="s">
        <v>6613</v>
      </c>
      <c r="AB766" s="12" t="s">
        <v>17</v>
      </c>
      <c r="AC766" s="12" t="s">
        <v>163</v>
      </c>
      <c r="AD766" s="12" t="s">
        <v>17</v>
      </c>
      <c r="AE766" s="12" t="s">
        <v>17</v>
      </c>
      <c r="AF766" s="12" t="s">
        <v>45</v>
      </c>
    </row>
    <row r="767" spans="1:32" x14ac:dyDescent="0.2">
      <c r="A767" s="12" t="s">
        <v>2027</v>
      </c>
      <c r="B767" s="12" t="s">
        <v>2028</v>
      </c>
      <c r="C767" s="12" t="s">
        <v>2028</v>
      </c>
      <c r="D767" s="12" t="s">
        <v>163</v>
      </c>
      <c r="E767" s="12" t="s">
        <v>7677</v>
      </c>
      <c r="F767" s="12" t="s">
        <v>5458</v>
      </c>
      <c r="G767" s="12" t="s">
        <v>1415</v>
      </c>
      <c r="H767" s="12" t="s">
        <v>6614</v>
      </c>
      <c r="I767" s="12">
        <v>0</v>
      </c>
      <c r="J767" s="12" t="s">
        <v>164</v>
      </c>
      <c r="K767" s="12" t="s">
        <v>142</v>
      </c>
      <c r="L767" s="12" t="s">
        <v>2027</v>
      </c>
      <c r="M767" s="12" t="s">
        <v>2027</v>
      </c>
      <c r="N767" s="12" t="s">
        <v>5785</v>
      </c>
      <c r="O767" s="12" t="s">
        <v>17</v>
      </c>
      <c r="P767" s="12" t="s">
        <v>17</v>
      </c>
      <c r="Q767" s="12" t="s">
        <v>142</v>
      </c>
      <c r="R767" s="12" t="s">
        <v>17</v>
      </c>
      <c r="S767" s="12" t="s">
        <v>17</v>
      </c>
      <c r="T767" s="12" t="s">
        <v>11</v>
      </c>
      <c r="U767" s="12" t="s">
        <v>17</v>
      </c>
      <c r="V767" s="12" t="s">
        <v>383</v>
      </c>
      <c r="W767" s="12" t="s">
        <v>7415</v>
      </c>
      <c r="X767" s="12" t="s">
        <v>17</v>
      </c>
      <c r="Y767" s="12">
        <v>1150639</v>
      </c>
      <c r="Z767" s="12" t="s">
        <v>6613</v>
      </c>
      <c r="AA767" s="12" t="s">
        <v>6613</v>
      </c>
      <c r="AB767" s="12" t="s">
        <v>17</v>
      </c>
      <c r="AC767" s="12" t="s">
        <v>163</v>
      </c>
      <c r="AD767" s="12" t="s">
        <v>17</v>
      </c>
      <c r="AE767" s="12" t="s">
        <v>17</v>
      </c>
      <c r="AF767" s="12" t="s">
        <v>45</v>
      </c>
    </row>
    <row r="768" spans="1:32" x14ac:dyDescent="0.2">
      <c r="A768" s="12" t="s">
        <v>3303</v>
      </c>
      <c r="B768" s="12" t="s">
        <v>3304</v>
      </c>
      <c r="C768" s="12" t="s">
        <v>3304</v>
      </c>
      <c r="D768" s="12" t="s">
        <v>163</v>
      </c>
      <c r="E768" s="12" t="s">
        <v>7676</v>
      </c>
      <c r="F768" s="12" t="s">
        <v>5458</v>
      </c>
      <c r="G768" s="12" t="s">
        <v>3270</v>
      </c>
      <c r="H768" s="12" t="s">
        <v>6613</v>
      </c>
      <c r="I768" s="12">
        <v>0</v>
      </c>
      <c r="J768" s="12" t="s">
        <v>164</v>
      </c>
      <c r="K768" s="12" t="s">
        <v>6646</v>
      </c>
      <c r="L768" s="12" t="s">
        <v>3272</v>
      </c>
      <c r="M768" s="12" t="s">
        <v>3272</v>
      </c>
      <c r="N768" s="12" t="s">
        <v>5785</v>
      </c>
      <c r="O768" s="12" t="s">
        <v>3273</v>
      </c>
      <c r="P768" s="12" t="s">
        <v>3274</v>
      </c>
      <c r="Q768" s="12" t="s">
        <v>6662</v>
      </c>
      <c r="R768" s="12">
        <v>-4</v>
      </c>
      <c r="S768" s="12">
        <v>143</v>
      </c>
      <c r="T768" s="12" t="s">
        <v>11</v>
      </c>
      <c r="U768" s="12" t="s">
        <v>17</v>
      </c>
      <c r="V768" s="12" t="s">
        <v>3275</v>
      </c>
      <c r="W768" s="12" t="s">
        <v>7415</v>
      </c>
      <c r="X768" s="12">
        <v>44.16</v>
      </c>
      <c r="Y768" s="12">
        <v>1116429</v>
      </c>
      <c r="Z768" s="12" t="s">
        <v>6613</v>
      </c>
      <c r="AA768" s="12" t="s">
        <v>6613</v>
      </c>
      <c r="AB768" s="12" t="s">
        <v>6613</v>
      </c>
      <c r="AC768" s="12" t="s">
        <v>6613</v>
      </c>
      <c r="AD768" s="12" t="s">
        <v>6613</v>
      </c>
      <c r="AE768" s="12" t="s">
        <v>6613</v>
      </c>
      <c r="AF768" s="12" t="s">
        <v>45</v>
      </c>
    </row>
    <row r="769" spans="1:32" x14ac:dyDescent="0.2">
      <c r="A769" s="12" t="s">
        <v>3307</v>
      </c>
      <c r="B769" s="12" t="s">
        <v>3308</v>
      </c>
      <c r="C769" s="12" t="s">
        <v>3308</v>
      </c>
      <c r="D769" s="12" t="s">
        <v>163</v>
      </c>
      <c r="E769" s="12" t="s">
        <v>7676</v>
      </c>
      <c r="F769" s="12" t="s">
        <v>5458</v>
      </c>
      <c r="G769" s="12" t="s">
        <v>1473</v>
      </c>
      <c r="H769" s="12" t="s">
        <v>6613</v>
      </c>
      <c r="I769" s="12">
        <v>0</v>
      </c>
      <c r="J769" s="12" t="s">
        <v>164</v>
      </c>
      <c r="K769" s="12" t="s">
        <v>6646</v>
      </c>
      <c r="L769" s="12" t="s">
        <v>3272</v>
      </c>
      <c r="M769" s="12" t="s">
        <v>3272</v>
      </c>
      <c r="N769" s="12" t="s">
        <v>5785</v>
      </c>
      <c r="O769" s="12" t="s">
        <v>3273</v>
      </c>
      <c r="P769" s="12" t="s">
        <v>3274</v>
      </c>
      <c r="Q769" s="12" t="s">
        <v>6662</v>
      </c>
      <c r="R769" s="12">
        <v>-4</v>
      </c>
      <c r="S769" s="12">
        <v>143</v>
      </c>
      <c r="T769" s="12" t="s">
        <v>11</v>
      </c>
      <c r="U769" s="12" t="s">
        <v>17</v>
      </c>
      <c r="V769" s="12" t="s">
        <v>3284</v>
      </c>
      <c r="W769" s="12" t="s">
        <v>7415</v>
      </c>
      <c r="X769" s="12">
        <v>44.45</v>
      </c>
      <c r="Y769" s="12">
        <v>1117740</v>
      </c>
      <c r="Z769" s="12" t="s">
        <v>6613</v>
      </c>
      <c r="AA769" s="12" t="s">
        <v>6613</v>
      </c>
      <c r="AB769" s="12" t="s">
        <v>6613</v>
      </c>
      <c r="AC769" s="12" t="s">
        <v>6613</v>
      </c>
      <c r="AD769" s="12" t="s">
        <v>6613</v>
      </c>
      <c r="AE769" s="12" t="s">
        <v>6613</v>
      </c>
      <c r="AF769" s="12" t="s">
        <v>45</v>
      </c>
    </row>
    <row r="770" spans="1:32" x14ac:dyDescent="0.2">
      <c r="A770" s="12" t="s">
        <v>3291</v>
      </c>
      <c r="B770" s="12" t="s">
        <v>3292</v>
      </c>
      <c r="C770" s="12" t="s">
        <v>3292</v>
      </c>
      <c r="D770" s="12" t="s">
        <v>163</v>
      </c>
      <c r="E770" s="12" t="s">
        <v>7676</v>
      </c>
      <c r="F770" s="12" t="s">
        <v>5458</v>
      </c>
      <c r="G770" s="12" t="s">
        <v>3270</v>
      </c>
      <c r="H770" s="12" t="s">
        <v>6613</v>
      </c>
      <c r="I770" s="12">
        <v>0</v>
      </c>
      <c r="J770" s="12" t="s">
        <v>164</v>
      </c>
      <c r="K770" s="12" t="s">
        <v>6646</v>
      </c>
      <c r="L770" s="12" t="s">
        <v>3272</v>
      </c>
      <c r="M770" s="12" t="s">
        <v>3272</v>
      </c>
      <c r="N770" s="12" t="s">
        <v>5785</v>
      </c>
      <c r="O770" s="12" t="s">
        <v>3273</v>
      </c>
      <c r="P770" s="12" t="s">
        <v>3274</v>
      </c>
      <c r="Q770" s="12" t="s">
        <v>6662</v>
      </c>
      <c r="R770" s="12">
        <v>-4</v>
      </c>
      <c r="S770" s="12">
        <v>143</v>
      </c>
      <c r="T770" s="12" t="s">
        <v>25</v>
      </c>
      <c r="U770" s="12" t="s">
        <v>17</v>
      </c>
      <c r="V770" s="12" t="s">
        <v>6639</v>
      </c>
      <c r="W770" s="12" t="s">
        <v>6639</v>
      </c>
      <c r="X770" s="12">
        <v>45.12</v>
      </c>
      <c r="Y770" s="12">
        <v>1118074</v>
      </c>
      <c r="Z770" s="12" t="s">
        <v>6613</v>
      </c>
      <c r="AA770" s="12" t="s">
        <v>6613</v>
      </c>
      <c r="AB770" s="12" t="s">
        <v>6613</v>
      </c>
      <c r="AC770" s="12" t="s">
        <v>6613</v>
      </c>
      <c r="AD770" s="12" t="s">
        <v>6613</v>
      </c>
      <c r="AE770" s="12" t="s">
        <v>6613</v>
      </c>
      <c r="AF770" s="12" t="s">
        <v>45</v>
      </c>
    </row>
    <row r="771" spans="1:32" x14ac:dyDescent="0.2">
      <c r="A771" s="12" t="s">
        <v>3293</v>
      </c>
      <c r="B771" s="12" t="s">
        <v>3294</v>
      </c>
      <c r="C771" s="12" t="s">
        <v>3294</v>
      </c>
      <c r="D771" s="12" t="s">
        <v>163</v>
      </c>
      <c r="E771" s="12" t="s">
        <v>7676</v>
      </c>
      <c r="F771" s="12" t="s">
        <v>5458</v>
      </c>
      <c r="G771" s="12" t="s">
        <v>3270</v>
      </c>
      <c r="H771" s="12" t="s">
        <v>6613</v>
      </c>
      <c r="I771" s="12">
        <v>0</v>
      </c>
      <c r="J771" s="12" t="s">
        <v>164</v>
      </c>
      <c r="K771" s="12" t="s">
        <v>6646</v>
      </c>
      <c r="L771" s="12" t="s">
        <v>3272</v>
      </c>
      <c r="M771" s="12" t="s">
        <v>3272</v>
      </c>
      <c r="N771" s="12" t="s">
        <v>5785</v>
      </c>
      <c r="O771" s="12" t="s">
        <v>3273</v>
      </c>
      <c r="P771" s="12" t="s">
        <v>3274</v>
      </c>
      <c r="Q771" s="12" t="s">
        <v>6662</v>
      </c>
      <c r="R771" s="12">
        <v>-4</v>
      </c>
      <c r="S771" s="12">
        <v>143</v>
      </c>
      <c r="T771" s="12" t="s">
        <v>25</v>
      </c>
      <c r="U771" s="12" t="s">
        <v>17</v>
      </c>
      <c r="V771" s="12" t="s">
        <v>6639</v>
      </c>
      <c r="W771" s="12" t="s">
        <v>6639</v>
      </c>
      <c r="X771" s="12">
        <v>43.16</v>
      </c>
      <c r="Y771" s="12">
        <v>1118089</v>
      </c>
      <c r="Z771" s="12" t="s">
        <v>6613</v>
      </c>
      <c r="AA771" s="12" t="s">
        <v>6613</v>
      </c>
      <c r="AB771" s="12" t="s">
        <v>6613</v>
      </c>
      <c r="AC771" s="12" t="s">
        <v>6613</v>
      </c>
      <c r="AD771" s="12" t="s">
        <v>6613</v>
      </c>
      <c r="AE771" s="12" t="s">
        <v>6613</v>
      </c>
      <c r="AF771" s="12" t="s">
        <v>45</v>
      </c>
    </row>
    <row r="772" spans="1:32" x14ac:dyDescent="0.2">
      <c r="A772" s="12" t="s">
        <v>3300</v>
      </c>
      <c r="B772" s="12" t="s">
        <v>3301</v>
      </c>
      <c r="C772" s="12" t="s">
        <v>3301</v>
      </c>
      <c r="D772" s="12" t="s">
        <v>163</v>
      </c>
      <c r="E772" s="12" t="s">
        <v>7676</v>
      </c>
      <c r="F772" s="12" t="s">
        <v>5458</v>
      </c>
      <c r="G772" s="12" t="s">
        <v>3270</v>
      </c>
      <c r="H772" s="12" t="s">
        <v>6613</v>
      </c>
      <c r="I772" s="12">
        <v>0</v>
      </c>
      <c r="J772" s="12" t="s">
        <v>164</v>
      </c>
      <c r="K772" s="12" t="s">
        <v>6646</v>
      </c>
      <c r="L772" s="12" t="s">
        <v>3272</v>
      </c>
      <c r="M772" s="12" t="s">
        <v>3272</v>
      </c>
      <c r="N772" s="12" t="s">
        <v>5785</v>
      </c>
      <c r="O772" s="12" t="s">
        <v>3273</v>
      </c>
      <c r="P772" s="12" t="s">
        <v>3274</v>
      </c>
      <c r="Q772" s="12" t="s">
        <v>6662</v>
      </c>
      <c r="R772" s="12">
        <v>-4</v>
      </c>
      <c r="S772" s="12">
        <v>143</v>
      </c>
      <c r="T772" s="12" t="s">
        <v>11</v>
      </c>
      <c r="U772" s="12" t="s">
        <v>17</v>
      </c>
      <c r="V772" s="12" t="s">
        <v>3302</v>
      </c>
      <c r="W772" s="12" t="s">
        <v>7415</v>
      </c>
      <c r="X772" s="12">
        <v>42.21</v>
      </c>
      <c r="Y772" s="12">
        <v>1118110</v>
      </c>
      <c r="Z772" s="12" t="s">
        <v>6613</v>
      </c>
      <c r="AA772" s="12" t="s">
        <v>6613</v>
      </c>
      <c r="AB772" s="12" t="s">
        <v>6613</v>
      </c>
      <c r="AC772" s="12" t="s">
        <v>6613</v>
      </c>
      <c r="AD772" s="12" t="s">
        <v>6613</v>
      </c>
      <c r="AE772" s="12" t="s">
        <v>6613</v>
      </c>
      <c r="AF772" s="12" t="s">
        <v>45</v>
      </c>
    </row>
    <row r="773" spans="1:32" x14ac:dyDescent="0.2">
      <c r="A773" s="12" t="s">
        <v>3269</v>
      </c>
      <c r="B773" s="12" t="s">
        <v>3271</v>
      </c>
      <c r="C773" s="12" t="s">
        <v>3271</v>
      </c>
      <c r="D773" s="12" t="s">
        <v>163</v>
      </c>
      <c r="E773" s="12" t="s">
        <v>7676</v>
      </c>
      <c r="F773" s="12" t="s">
        <v>5458</v>
      </c>
      <c r="G773" s="12" t="s">
        <v>3270</v>
      </c>
      <c r="H773" s="12" t="s">
        <v>6613</v>
      </c>
      <c r="I773" s="12">
        <v>0</v>
      </c>
      <c r="J773" s="12" t="s">
        <v>164</v>
      </c>
      <c r="K773" s="12" t="s">
        <v>6646</v>
      </c>
      <c r="L773" s="12" t="s">
        <v>3272</v>
      </c>
      <c r="M773" s="12" t="s">
        <v>3272</v>
      </c>
      <c r="N773" s="12" t="s">
        <v>5785</v>
      </c>
      <c r="O773" s="12" t="s">
        <v>3273</v>
      </c>
      <c r="P773" s="12" t="s">
        <v>3274</v>
      </c>
      <c r="Q773" s="12" t="s">
        <v>6662</v>
      </c>
      <c r="R773" s="12">
        <v>-4</v>
      </c>
      <c r="S773" s="12">
        <v>143</v>
      </c>
      <c r="T773" s="12" t="s">
        <v>11</v>
      </c>
      <c r="U773" s="12" t="s">
        <v>17</v>
      </c>
      <c r="V773" s="12" t="s">
        <v>3275</v>
      </c>
      <c r="W773" s="12" t="s">
        <v>7415</v>
      </c>
      <c r="X773" s="12">
        <v>46.73</v>
      </c>
      <c r="Y773" s="12">
        <v>1118158</v>
      </c>
      <c r="Z773" s="12" t="s">
        <v>6613</v>
      </c>
      <c r="AA773" s="12" t="s">
        <v>6613</v>
      </c>
      <c r="AB773" s="12" t="s">
        <v>6613</v>
      </c>
      <c r="AC773" s="12" t="s">
        <v>6613</v>
      </c>
      <c r="AD773" s="12" t="s">
        <v>6613</v>
      </c>
      <c r="AE773" s="12" t="s">
        <v>6613</v>
      </c>
      <c r="AF773" s="12" t="s">
        <v>45</v>
      </c>
    </row>
    <row r="774" spans="1:32" x14ac:dyDescent="0.2">
      <c r="A774" s="12" t="s">
        <v>3276</v>
      </c>
      <c r="B774" s="12" t="s">
        <v>3277</v>
      </c>
      <c r="C774" s="12" t="s">
        <v>3277</v>
      </c>
      <c r="D774" s="12" t="s">
        <v>163</v>
      </c>
      <c r="E774" s="12" t="s">
        <v>7676</v>
      </c>
      <c r="F774" s="12" t="s">
        <v>5458</v>
      </c>
      <c r="G774" s="12" t="s">
        <v>3270</v>
      </c>
      <c r="H774" s="12" t="s">
        <v>6613</v>
      </c>
      <c r="I774" s="12">
        <v>0</v>
      </c>
      <c r="J774" s="12" t="s">
        <v>164</v>
      </c>
      <c r="K774" s="12" t="s">
        <v>6646</v>
      </c>
      <c r="L774" s="12" t="s">
        <v>3272</v>
      </c>
      <c r="M774" s="12" t="s">
        <v>3272</v>
      </c>
      <c r="N774" s="12" t="s">
        <v>5785</v>
      </c>
      <c r="O774" s="12" t="s">
        <v>3273</v>
      </c>
      <c r="P774" s="12" t="s">
        <v>3274</v>
      </c>
      <c r="Q774" s="12" t="s">
        <v>6662</v>
      </c>
      <c r="R774" s="16">
        <v>-4</v>
      </c>
      <c r="S774" s="16">
        <v>143</v>
      </c>
      <c r="T774" s="12" t="s">
        <v>11</v>
      </c>
      <c r="U774" s="12" t="s">
        <v>17</v>
      </c>
      <c r="V774" s="12" t="s">
        <v>3278</v>
      </c>
      <c r="W774" s="12" t="s">
        <v>7415</v>
      </c>
      <c r="X774" s="12">
        <v>33.590000000000003</v>
      </c>
      <c r="Y774" s="12">
        <v>1118510</v>
      </c>
      <c r="Z774" s="12" t="s">
        <v>6613</v>
      </c>
      <c r="AA774" s="12" t="s">
        <v>6613</v>
      </c>
      <c r="AB774" s="12" t="s">
        <v>6613</v>
      </c>
      <c r="AC774" s="12" t="s">
        <v>6613</v>
      </c>
      <c r="AD774" s="12" t="s">
        <v>6613</v>
      </c>
      <c r="AE774" s="12" t="s">
        <v>6613</v>
      </c>
      <c r="AF774" s="12" t="s">
        <v>45</v>
      </c>
    </row>
    <row r="775" spans="1:32" x14ac:dyDescent="0.2">
      <c r="A775" s="12" t="s">
        <v>3285</v>
      </c>
      <c r="B775" s="12" t="s">
        <v>3286</v>
      </c>
      <c r="C775" s="12" t="s">
        <v>3286</v>
      </c>
      <c r="D775" s="12" t="s">
        <v>163</v>
      </c>
      <c r="E775" s="12" t="s">
        <v>7676</v>
      </c>
      <c r="F775" s="12" t="s">
        <v>5458</v>
      </c>
      <c r="G775" s="12" t="s">
        <v>3270</v>
      </c>
      <c r="H775" s="12" t="s">
        <v>6613</v>
      </c>
      <c r="I775" s="12">
        <v>0</v>
      </c>
      <c r="J775" s="12" t="s">
        <v>164</v>
      </c>
      <c r="K775" s="12" t="s">
        <v>6646</v>
      </c>
      <c r="L775" s="12" t="s">
        <v>3272</v>
      </c>
      <c r="M775" s="12" t="s">
        <v>3272</v>
      </c>
      <c r="N775" s="12" t="s">
        <v>5785</v>
      </c>
      <c r="O775" s="12" t="s">
        <v>3273</v>
      </c>
      <c r="P775" s="12" t="s">
        <v>3274</v>
      </c>
      <c r="Q775" s="12" t="s">
        <v>6662</v>
      </c>
      <c r="R775" s="12">
        <v>-4</v>
      </c>
      <c r="S775" s="12">
        <v>143</v>
      </c>
      <c r="T775" s="12" t="s">
        <v>11</v>
      </c>
      <c r="U775" s="12" t="s">
        <v>17</v>
      </c>
      <c r="V775" s="12" t="s">
        <v>3284</v>
      </c>
      <c r="W775" s="12" t="s">
        <v>7415</v>
      </c>
      <c r="X775" s="12">
        <v>43.9</v>
      </c>
      <c r="Y775" s="12">
        <v>1118542</v>
      </c>
      <c r="Z775" s="12" t="s">
        <v>6613</v>
      </c>
      <c r="AA775" s="12" t="s">
        <v>6613</v>
      </c>
      <c r="AB775" s="12" t="s">
        <v>6613</v>
      </c>
      <c r="AC775" s="12" t="s">
        <v>6613</v>
      </c>
      <c r="AD775" s="12" t="s">
        <v>6613</v>
      </c>
      <c r="AE775" s="12" t="s">
        <v>6613</v>
      </c>
      <c r="AF775" s="12" t="s">
        <v>45</v>
      </c>
    </row>
    <row r="776" spans="1:32" x14ac:dyDescent="0.2">
      <c r="A776" s="12" t="s">
        <v>3279</v>
      </c>
      <c r="B776" s="12" t="s">
        <v>3280</v>
      </c>
      <c r="C776" s="12" t="s">
        <v>3280</v>
      </c>
      <c r="D776" s="12" t="s">
        <v>163</v>
      </c>
      <c r="E776" s="12" t="s">
        <v>7676</v>
      </c>
      <c r="F776" s="12" t="s">
        <v>5458</v>
      </c>
      <c r="G776" s="12" t="s">
        <v>3270</v>
      </c>
      <c r="H776" s="12" t="s">
        <v>6613</v>
      </c>
      <c r="I776" s="12">
        <v>0</v>
      </c>
      <c r="J776" s="12" t="s">
        <v>164</v>
      </c>
      <c r="K776" s="12" t="s">
        <v>6646</v>
      </c>
      <c r="L776" s="12" t="s">
        <v>3272</v>
      </c>
      <c r="M776" s="12" t="s">
        <v>3272</v>
      </c>
      <c r="N776" s="12" t="s">
        <v>5785</v>
      </c>
      <c r="O776" s="12" t="s">
        <v>3273</v>
      </c>
      <c r="P776" s="12" t="s">
        <v>3274</v>
      </c>
      <c r="Q776" s="12" t="s">
        <v>6662</v>
      </c>
      <c r="R776" s="12">
        <v>-4</v>
      </c>
      <c r="S776" s="12">
        <v>143</v>
      </c>
      <c r="T776" s="12" t="s">
        <v>11</v>
      </c>
      <c r="U776" s="12" t="s">
        <v>17</v>
      </c>
      <c r="V776" s="12" t="s">
        <v>3281</v>
      </c>
      <c r="W776" s="12" t="s">
        <v>7415</v>
      </c>
      <c r="X776" s="12">
        <v>48.45</v>
      </c>
      <c r="Y776" s="12">
        <v>1118633</v>
      </c>
      <c r="Z776" s="12" t="s">
        <v>6613</v>
      </c>
      <c r="AA776" s="12" t="s">
        <v>6613</v>
      </c>
      <c r="AB776" s="12" t="s">
        <v>6613</v>
      </c>
      <c r="AC776" s="12" t="s">
        <v>6613</v>
      </c>
      <c r="AD776" s="12" t="s">
        <v>6613</v>
      </c>
      <c r="AE776" s="12" t="s">
        <v>6613</v>
      </c>
      <c r="AF776" s="12" t="s">
        <v>45</v>
      </c>
    </row>
    <row r="777" spans="1:32" x14ac:dyDescent="0.2">
      <c r="A777" s="12" t="s">
        <v>3289</v>
      </c>
      <c r="B777" s="12" t="s">
        <v>3290</v>
      </c>
      <c r="C777" s="12" t="s">
        <v>3290</v>
      </c>
      <c r="D777" s="12" t="s">
        <v>163</v>
      </c>
      <c r="E777" s="12" t="s">
        <v>7676</v>
      </c>
      <c r="F777" s="12" t="s">
        <v>5458</v>
      </c>
      <c r="G777" s="12" t="s">
        <v>3270</v>
      </c>
      <c r="H777" s="12" t="s">
        <v>6613</v>
      </c>
      <c r="I777" s="12">
        <v>0</v>
      </c>
      <c r="J777" s="12" t="s">
        <v>164</v>
      </c>
      <c r="K777" s="12" t="s">
        <v>6646</v>
      </c>
      <c r="L777" s="12" t="s">
        <v>3272</v>
      </c>
      <c r="M777" s="12" t="s">
        <v>3272</v>
      </c>
      <c r="N777" s="12" t="s">
        <v>5785</v>
      </c>
      <c r="O777" s="12" t="s">
        <v>3273</v>
      </c>
      <c r="P777" s="12" t="s">
        <v>3274</v>
      </c>
      <c r="Q777" s="12" t="s">
        <v>6662</v>
      </c>
      <c r="R777" s="12">
        <v>-4</v>
      </c>
      <c r="S777" s="12">
        <v>143</v>
      </c>
      <c r="T777" s="12" t="s">
        <v>11</v>
      </c>
      <c r="U777" s="12" t="s">
        <v>17</v>
      </c>
      <c r="V777" s="12" t="s">
        <v>3278</v>
      </c>
      <c r="W777" s="12" t="s">
        <v>7415</v>
      </c>
      <c r="X777" s="12">
        <v>45.06</v>
      </c>
      <c r="Y777" s="12">
        <v>1118670</v>
      </c>
      <c r="Z777" s="12" t="s">
        <v>6613</v>
      </c>
      <c r="AA777" s="12" t="s">
        <v>6613</v>
      </c>
      <c r="AB777" s="12" t="s">
        <v>6613</v>
      </c>
      <c r="AC777" s="12" t="s">
        <v>6613</v>
      </c>
      <c r="AD777" s="12" t="s">
        <v>6613</v>
      </c>
      <c r="AE777" s="12" t="s">
        <v>6613</v>
      </c>
      <c r="AF777" s="12" t="s">
        <v>45</v>
      </c>
    </row>
    <row r="778" spans="1:32" x14ac:dyDescent="0.2">
      <c r="A778" s="12" t="s">
        <v>3298</v>
      </c>
      <c r="B778" s="12" t="s">
        <v>3299</v>
      </c>
      <c r="C778" s="12" t="s">
        <v>3299</v>
      </c>
      <c r="D778" s="12" t="s">
        <v>163</v>
      </c>
      <c r="E778" s="12" t="s">
        <v>7676</v>
      </c>
      <c r="F778" s="12" t="s">
        <v>5458</v>
      </c>
      <c r="G778" s="12" t="s">
        <v>3270</v>
      </c>
      <c r="H778" s="12" t="s">
        <v>6613</v>
      </c>
      <c r="I778" s="12">
        <v>0</v>
      </c>
      <c r="J778" s="12" t="s">
        <v>164</v>
      </c>
      <c r="K778" s="12" t="s">
        <v>6646</v>
      </c>
      <c r="L778" s="12" t="s">
        <v>3272</v>
      </c>
      <c r="M778" s="12" t="s">
        <v>3272</v>
      </c>
      <c r="N778" s="12" t="s">
        <v>5785</v>
      </c>
      <c r="O778" s="12" t="s">
        <v>3273</v>
      </c>
      <c r="P778" s="12" t="s">
        <v>3274</v>
      </c>
      <c r="Q778" s="12" t="s">
        <v>6662</v>
      </c>
      <c r="R778" s="12">
        <v>-4</v>
      </c>
      <c r="S778" s="12">
        <v>143</v>
      </c>
      <c r="T778" s="12" t="s">
        <v>25</v>
      </c>
      <c r="U778" s="12" t="s">
        <v>17</v>
      </c>
      <c r="V778" s="12" t="s">
        <v>6639</v>
      </c>
      <c r="W778" s="12" t="s">
        <v>6639</v>
      </c>
      <c r="X778" s="12">
        <v>35.15</v>
      </c>
      <c r="Y778" s="12">
        <v>1118823</v>
      </c>
      <c r="Z778" s="12" t="s">
        <v>6613</v>
      </c>
      <c r="AA778" s="12" t="s">
        <v>6613</v>
      </c>
      <c r="AB778" s="12" t="s">
        <v>6613</v>
      </c>
      <c r="AC778" s="12" t="s">
        <v>6613</v>
      </c>
      <c r="AD778" s="12" t="s">
        <v>6613</v>
      </c>
      <c r="AE778" s="12" t="s">
        <v>6613</v>
      </c>
      <c r="AF778" s="12" t="s">
        <v>45</v>
      </c>
    </row>
    <row r="779" spans="1:32" x14ac:dyDescent="0.2">
      <c r="A779" s="12" t="s">
        <v>3295</v>
      </c>
      <c r="B779" s="12" t="s">
        <v>3296</v>
      </c>
      <c r="C779" s="12" t="s">
        <v>3296</v>
      </c>
      <c r="D779" s="12" t="s">
        <v>163</v>
      </c>
      <c r="E779" s="12" t="s">
        <v>7676</v>
      </c>
      <c r="F779" s="12" t="s">
        <v>5458</v>
      </c>
      <c r="G779" s="12" t="s">
        <v>3270</v>
      </c>
      <c r="H779" s="12" t="s">
        <v>6613</v>
      </c>
      <c r="I779" s="12">
        <v>0</v>
      </c>
      <c r="J779" s="12" t="s">
        <v>164</v>
      </c>
      <c r="K779" s="12" t="s">
        <v>6646</v>
      </c>
      <c r="L779" s="12" t="s">
        <v>3272</v>
      </c>
      <c r="M779" s="12" t="s">
        <v>3272</v>
      </c>
      <c r="N779" s="12" t="s">
        <v>5785</v>
      </c>
      <c r="O779" s="12" t="s">
        <v>3273</v>
      </c>
      <c r="P779" s="12" t="s">
        <v>3274</v>
      </c>
      <c r="Q779" s="12" t="s">
        <v>6662</v>
      </c>
      <c r="R779" s="12">
        <v>-4</v>
      </c>
      <c r="S779" s="12">
        <v>143</v>
      </c>
      <c r="T779" s="12" t="s">
        <v>11</v>
      </c>
      <c r="U779" s="12" t="s">
        <v>17</v>
      </c>
      <c r="V779" s="12" t="s">
        <v>3297</v>
      </c>
      <c r="W779" s="12" t="s">
        <v>7415</v>
      </c>
      <c r="X779" s="12">
        <v>41.65</v>
      </c>
      <c r="Y779" s="12">
        <v>1118955</v>
      </c>
      <c r="Z779" s="12" t="s">
        <v>6613</v>
      </c>
      <c r="AA779" s="12" t="s">
        <v>6613</v>
      </c>
      <c r="AB779" s="12" t="s">
        <v>6613</v>
      </c>
      <c r="AC779" s="12" t="s">
        <v>6613</v>
      </c>
      <c r="AD779" s="12" t="s">
        <v>6613</v>
      </c>
      <c r="AE779" s="12" t="s">
        <v>6613</v>
      </c>
      <c r="AF779" s="12" t="s">
        <v>45</v>
      </c>
    </row>
    <row r="780" spans="1:32" x14ac:dyDescent="0.2">
      <c r="A780" s="12" t="s">
        <v>3305</v>
      </c>
      <c r="B780" s="12" t="s">
        <v>3306</v>
      </c>
      <c r="C780" s="12" t="s">
        <v>3306</v>
      </c>
      <c r="D780" s="12" t="s">
        <v>163</v>
      </c>
      <c r="E780" s="12" t="s">
        <v>7676</v>
      </c>
      <c r="F780" s="12" t="s">
        <v>5458</v>
      </c>
      <c r="G780" s="12" t="s">
        <v>3270</v>
      </c>
      <c r="H780" s="12" t="s">
        <v>6613</v>
      </c>
      <c r="I780" s="12">
        <v>0</v>
      </c>
      <c r="J780" s="12" t="s">
        <v>164</v>
      </c>
      <c r="K780" s="12" t="s">
        <v>6646</v>
      </c>
      <c r="L780" s="12" t="s">
        <v>3272</v>
      </c>
      <c r="M780" s="12" t="s">
        <v>3272</v>
      </c>
      <c r="N780" s="12" t="s">
        <v>5785</v>
      </c>
      <c r="O780" s="12" t="s">
        <v>3273</v>
      </c>
      <c r="P780" s="12" t="s">
        <v>3274</v>
      </c>
      <c r="Q780" s="12" t="s">
        <v>6662</v>
      </c>
      <c r="R780" s="12">
        <v>-4</v>
      </c>
      <c r="S780" s="12">
        <v>143</v>
      </c>
      <c r="T780" s="12" t="s">
        <v>11</v>
      </c>
      <c r="U780" s="12" t="s">
        <v>17</v>
      </c>
      <c r="V780" s="12" t="s">
        <v>3302</v>
      </c>
      <c r="W780" s="12" t="s">
        <v>7415</v>
      </c>
      <c r="X780" s="12">
        <v>43.06</v>
      </c>
      <c r="Y780" s="12">
        <v>1118992</v>
      </c>
      <c r="Z780" s="12" t="s">
        <v>6613</v>
      </c>
      <c r="AA780" s="12" t="s">
        <v>6613</v>
      </c>
      <c r="AB780" s="12" t="s">
        <v>6613</v>
      </c>
      <c r="AC780" s="12" t="s">
        <v>6613</v>
      </c>
      <c r="AD780" s="12" t="s">
        <v>6613</v>
      </c>
      <c r="AE780" s="12" t="s">
        <v>6613</v>
      </c>
      <c r="AF780" s="12" t="s">
        <v>45</v>
      </c>
    </row>
    <row r="781" spans="1:32" x14ac:dyDescent="0.2">
      <c r="A781" s="12" t="s">
        <v>3282</v>
      </c>
      <c r="B781" s="12" t="s">
        <v>3283</v>
      </c>
      <c r="C781" s="12" t="s">
        <v>3283</v>
      </c>
      <c r="D781" s="12" t="s">
        <v>163</v>
      </c>
      <c r="E781" s="12" t="s">
        <v>7676</v>
      </c>
      <c r="F781" s="12" t="s">
        <v>5458</v>
      </c>
      <c r="G781" s="12" t="s">
        <v>3270</v>
      </c>
      <c r="H781" s="12" t="s">
        <v>6613</v>
      </c>
      <c r="I781" s="12">
        <v>0</v>
      </c>
      <c r="J781" s="12" t="s">
        <v>164</v>
      </c>
      <c r="K781" s="12" t="s">
        <v>6646</v>
      </c>
      <c r="L781" s="12" t="s">
        <v>3272</v>
      </c>
      <c r="M781" s="12" t="s">
        <v>3272</v>
      </c>
      <c r="N781" s="12" t="s">
        <v>5785</v>
      </c>
      <c r="O781" s="12" t="s">
        <v>3273</v>
      </c>
      <c r="P781" s="12" t="s">
        <v>3274</v>
      </c>
      <c r="Q781" s="12" t="s">
        <v>6662</v>
      </c>
      <c r="R781" s="12">
        <v>-4</v>
      </c>
      <c r="S781" s="12">
        <v>143</v>
      </c>
      <c r="T781" s="12" t="s">
        <v>11</v>
      </c>
      <c r="U781" s="12" t="s">
        <v>17</v>
      </c>
      <c r="V781" s="12" t="s">
        <v>3284</v>
      </c>
      <c r="W781" s="12" t="s">
        <v>7415</v>
      </c>
      <c r="X781" s="12">
        <v>51.02</v>
      </c>
      <c r="Y781" s="12">
        <v>1119621</v>
      </c>
      <c r="Z781" s="12" t="s">
        <v>6613</v>
      </c>
      <c r="AA781" s="12" t="s">
        <v>6613</v>
      </c>
      <c r="AB781" s="12" t="s">
        <v>6613</v>
      </c>
      <c r="AC781" s="12" t="s">
        <v>6613</v>
      </c>
      <c r="AD781" s="12" t="s">
        <v>6613</v>
      </c>
      <c r="AE781" s="12" t="s">
        <v>6613</v>
      </c>
      <c r="AF781" s="12" t="s">
        <v>45</v>
      </c>
    </row>
    <row r="782" spans="1:32" x14ac:dyDescent="0.2">
      <c r="A782" s="12" t="s">
        <v>3287</v>
      </c>
      <c r="B782" s="12" t="s">
        <v>3288</v>
      </c>
      <c r="C782" s="12" t="s">
        <v>3288</v>
      </c>
      <c r="D782" s="12" t="s">
        <v>163</v>
      </c>
      <c r="E782" s="12" t="s">
        <v>7676</v>
      </c>
      <c r="F782" s="12" t="s">
        <v>5458</v>
      </c>
      <c r="G782" s="12" t="s">
        <v>3270</v>
      </c>
      <c r="H782" s="12" t="s">
        <v>6613</v>
      </c>
      <c r="I782" s="12">
        <v>0</v>
      </c>
      <c r="J782" s="12" t="s">
        <v>164</v>
      </c>
      <c r="K782" s="12" t="s">
        <v>6646</v>
      </c>
      <c r="L782" s="12" t="s">
        <v>3272</v>
      </c>
      <c r="M782" s="12" t="s">
        <v>3272</v>
      </c>
      <c r="N782" s="12" t="s">
        <v>5785</v>
      </c>
      <c r="O782" s="12" t="s">
        <v>3273</v>
      </c>
      <c r="P782" s="12" t="s">
        <v>3274</v>
      </c>
      <c r="Q782" s="12" t="s">
        <v>6662</v>
      </c>
      <c r="R782" s="12">
        <v>-4</v>
      </c>
      <c r="S782" s="12">
        <v>143</v>
      </c>
      <c r="T782" s="12" t="s">
        <v>11</v>
      </c>
      <c r="U782" s="12" t="s">
        <v>17</v>
      </c>
      <c r="V782" s="12" t="s">
        <v>3278</v>
      </c>
      <c r="W782" s="12" t="s">
        <v>7415</v>
      </c>
      <c r="X782" s="12">
        <v>48.76</v>
      </c>
      <c r="Y782" s="12">
        <v>1119624</v>
      </c>
      <c r="Z782" s="12" t="s">
        <v>6613</v>
      </c>
      <c r="AA782" s="12" t="s">
        <v>6613</v>
      </c>
      <c r="AB782" s="12" t="s">
        <v>6613</v>
      </c>
      <c r="AC782" s="12" t="s">
        <v>6613</v>
      </c>
      <c r="AD782" s="12" t="s">
        <v>6613</v>
      </c>
      <c r="AE782" s="12" t="s">
        <v>6613</v>
      </c>
      <c r="AF782" s="12" t="s">
        <v>45</v>
      </c>
    </row>
    <row r="783" spans="1:32" x14ac:dyDescent="0.2">
      <c r="A783" s="12" t="s">
        <v>3309</v>
      </c>
      <c r="B783" s="12" t="s">
        <v>3310</v>
      </c>
      <c r="C783" s="12" t="s">
        <v>3310</v>
      </c>
      <c r="D783" s="12" t="s">
        <v>163</v>
      </c>
      <c r="E783" s="12" t="s">
        <v>7676</v>
      </c>
      <c r="F783" s="12" t="s">
        <v>5458</v>
      </c>
      <c r="G783" s="12" t="s">
        <v>1478</v>
      </c>
      <c r="H783" s="12" t="s">
        <v>6613</v>
      </c>
      <c r="I783" s="12">
        <v>0</v>
      </c>
      <c r="J783" s="12" t="s">
        <v>164</v>
      </c>
      <c r="K783" s="12" t="s">
        <v>6646</v>
      </c>
      <c r="L783" s="12" t="s">
        <v>3272</v>
      </c>
      <c r="M783" s="12" t="s">
        <v>3272</v>
      </c>
      <c r="N783" s="12" t="s">
        <v>5785</v>
      </c>
      <c r="O783" s="12" t="s">
        <v>3273</v>
      </c>
      <c r="P783" s="12" t="s">
        <v>3274</v>
      </c>
      <c r="Q783" s="12" t="s">
        <v>6662</v>
      </c>
      <c r="R783" s="12">
        <v>-4</v>
      </c>
      <c r="S783" s="12">
        <v>143</v>
      </c>
      <c r="T783" s="12" t="s">
        <v>11</v>
      </c>
      <c r="U783" s="12" t="s">
        <v>17</v>
      </c>
      <c r="V783" s="12" t="s">
        <v>17</v>
      </c>
      <c r="W783" s="12" t="s">
        <v>17</v>
      </c>
      <c r="X783" s="12">
        <v>25.93</v>
      </c>
      <c r="Y783" s="12">
        <v>1150163</v>
      </c>
      <c r="Z783" s="12" t="s">
        <v>6613</v>
      </c>
      <c r="AA783" s="12" t="s">
        <v>6613</v>
      </c>
      <c r="AB783" s="12" t="s">
        <v>6613</v>
      </c>
      <c r="AC783" s="12" t="s">
        <v>6613</v>
      </c>
      <c r="AD783" s="12" t="s">
        <v>6613</v>
      </c>
      <c r="AE783" s="12" t="s">
        <v>6613</v>
      </c>
      <c r="AF783" s="12" t="s">
        <v>1985</v>
      </c>
    </row>
    <row r="784" spans="1:32" x14ac:dyDescent="0.2">
      <c r="A784" s="12" t="s">
        <v>2402</v>
      </c>
      <c r="B784" s="12" t="s">
        <v>2403</v>
      </c>
      <c r="C784" s="12" t="s">
        <v>2403</v>
      </c>
      <c r="D784" s="12" t="s">
        <v>163</v>
      </c>
      <c r="E784" s="12" t="s">
        <v>7676</v>
      </c>
      <c r="F784" s="12" t="s">
        <v>5458</v>
      </c>
      <c r="G784" s="12" t="s">
        <v>159</v>
      </c>
      <c r="H784" s="12" t="s">
        <v>6613</v>
      </c>
      <c r="I784" s="12">
        <v>0</v>
      </c>
      <c r="J784" s="12" t="s">
        <v>164</v>
      </c>
      <c r="K784" s="12" t="s">
        <v>6646</v>
      </c>
      <c r="L784" s="12" t="s">
        <v>2395</v>
      </c>
      <c r="M784" s="12" t="s">
        <v>2395</v>
      </c>
      <c r="N784" s="12" t="s">
        <v>5785</v>
      </c>
      <c r="O784" s="12" t="s">
        <v>17</v>
      </c>
      <c r="P784" s="12" t="s">
        <v>2396</v>
      </c>
      <c r="Q784" s="12" t="s">
        <v>6663</v>
      </c>
      <c r="R784" s="12">
        <v>-10</v>
      </c>
      <c r="S784" s="12">
        <v>-63</v>
      </c>
      <c r="T784" s="12" t="s">
        <v>25</v>
      </c>
      <c r="U784" s="12" t="s">
        <v>17</v>
      </c>
      <c r="V784" s="12" t="s">
        <v>6639</v>
      </c>
      <c r="W784" s="12" t="s">
        <v>6639</v>
      </c>
      <c r="X784" s="12">
        <v>39.49</v>
      </c>
      <c r="Y784" s="12">
        <v>1117546</v>
      </c>
      <c r="Z784" s="12" t="s">
        <v>6613</v>
      </c>
      <c r="AA784" s="12" t="s">
        <v>6613</v>
      </c>
      <c r="AB784" s="12" t="s">
        <v>6613</v>
      </c>
      <c r="AC784" s="12" t="s">
        <v>6613</v>
      </c>
      <c r="AD784" s="12" t="s">
        <v>6613</v>
      </c>
      <c r="AE784" s="12" t="s">
        <v>6613</v>
      </c>
      <c r="AF784" s="12" t="s">
        <v>45</v>
      </c>
    </row>
    <row r="785" spans="1:32" x14ac:dyDescent="0.2">
      <c r="A785" s="12" t="s">
        <v>2400</v>
      </c>
      <c r="B785" s="12" t="s">
        <v>2401</v>
      </c>
      <c r="C785" s="12" t="s">
        <v>2401</v>
      </c>
      <c r="D785" s="12" t="s">
        <v>163</v>
      </c>
      <c r="E785" s="12" t="s">
        <v>7676</v>
      </c>
      <c r="F785" s="12" t="s">
        <v>5458</v>
      </c>
      <c r="G785" s="12" t="s">
        <v>159</v>
      </c>
      <c r="H785" s="12" t="s">
        <v>6613</v>
      </c>
      <c r="I785" s="12">
        <v>0</v>
      </c>
      <c r="J785" s="12" t="s">
        <v>164</v>
      </c>
      <c r="K785" s="12" t="s">
        <v>6646</v>
      </c>
      <c r="L785" s="12" t="s">
        <v>2395</v>
      </c>
      <c r="M785" s="12" t="s">
        <v>2395</v>
      </c>
      <c r="N785" s="12" t="s">
        <v>5785</v>
      </c>
      <c r="O785" s="12" t="s">
        <v>17</v>
      </c>
      <c r="P785" s="12" t="s">
        <v>2396</v>
      </c>
      <c r="Q785" s="12" t="s">
        <v>6663</v>
      </c>
      <c r="R785" s="12">
        <v>-10</v>
      </c>
      <c r="S785" s="12">
        <v>-63</v>
      </c>
      <c r="T785" s="12" t="s">
        <v>11</v>
      </c>
      <c r="U785" s="12" t="s">
        <v>17</v>
      </c>
      <c r="V785" s="12" t="s">
        <v>2397</v>
      </c>
      <c r="W785" s="12" t="s">
        <v>7415</v>
      </c>
      <c r="X785" s="12">
        <v>44.93</v>
      </c>
      <c r="Y785" s="12">
        <v>1118490</v>
      </c>
      <c r="Z785" s="12" t="s">
        <v>6613</v>
      </c>
      <c r="AA785" s="12" t="s">
        <v>6613</v>
      </c>
      <c r="AB785" s="12" t="s">
        <v>6613</v>
      </c>
      <c r="AC785" s="12" t="s">
        <v>6613</v>
      </c>
      <c r="AD785" s="12" t="s">
        <v>6613</v>
      </c>
      <c r="AE785" s="12" t="s">
        <v>6613</v>
      </c>
      <c r="AF785" s="12" t="s">
        <v>45</v>
      </c>
    </row>
    <row r="786" spans="1:32" x14ac:dyDescent="0.2">
      <c r="A786" s="12" t="s">
        <v>2393</v>
      </c>
      <c r="B786" s="12" t="s">
        <v>2394</v>
      </c>
      <c r="C786" s="12" t="s">
        <v>2394</v>
      </c>
      <c r="D786" s="12" t="s">
        <v>163</v>
      </c>
      <c r="E786" s="12" t="s">
        <v>7676</v>
      </c>
      <c r="F786" s="12" t="s">
        <v>5458</v>
      </c>
      <c r="G786" s="12" t="s">
        <v>1473</v>
      </c>
      <c r="H786" s="12" t="s">
        <v>6613</v>
      </c>
      <c r="I786" s="12">
        <v>0</v>
      </c>
      <c r="J786" s="12" t="s">
        <v>164</v>
      </c>
      <c r="K786" s="12" t="s">
        <v>6646</v>
      </c>
      <c r="L786" s="12" t="s">
        <v>2395</v>
      </c>
      <c r="M786" s="12" t="s">
        <v>2395</v>
      </c>
      <c r="N786" s="12" t="s">
        <v>5785</v>
      </c>
      <c r="O786" s="12" t="s">
        <v>17</v>
      </c>
      <c r="P786" s="12" t="s">
        <v>2396</v>
      </c>
      <c r="Q786" s="12" t="s">
        <v>6663</v>
      </c>
      <c r="R786" s="12">
        <v>-10</v>
      </c>
      <c r="S786" s="12">
        <v>-63</v>
      </c>
      <c r="T786" s="12" t="s">
        <v>11</v>
      </c>
      <c r="U786" s="12" t="s">
        <v>17</v>
      </c>
      <c r="V786" s="12" t="s">
        <v>2397</v>
      </c>
      <c r="W786" s="12" t="s">
        <v>7415</v>
      </c>
      <c r="X786" s="12">
        <v>37.39</v>
      </c>
      <c r="Y786" s="12">
        <v>1119018</v>
      </c>
      <c r="Z786" s="12" t="s">
        <v>6613</v>
      </c>
      <c r="AA786" s="12" t="s">
        <v>6613</v>
      </c>
      <c r="AB786" s="12" t="s">
        <v>6613</v>
      </c>
      <c r="AC786" s="12" t="s">
        <v>6613</v>
      </c>
      <c r="AD786" s="12" t="s">
        <v>6613</v>
      </c>
      <c r="AE786" s="12" t="s">
        <v>6613</v>
      </c>
      <c r="AF786" s="12" t="s">
        <v>45</v>
      </c>
    </row>
    <row r="787" spans="1:32" x14ac:dyDescent="0.2">
      <c r="A787" s="12" t="s">
        <v>2398</v>
      </c>
      <c r="B787" s="12" t="s">
        <v>2399</v>
      </c>
      <c r="C787" s="12" t="s">
        <v>2399</v>
      </c>
      <c r="D787" s="12" t="s">
        <v>163</v>
      </c>
      <c r="E787" s="12" t="s">
        <v>7676</v>
      </c>
      <c r="F787" s="12" t="s">
        <v>5458</v>
      </c>
      <c r="G787" s="12" t="s">
        <v>1478</v>
      </c>
      <c r="H787" s="12" t="s">
        <v>6613</v>
      </c>
      <c r="I787" s="12">
        <v>0</v>
      </c>
      <c r="J787" s="12" t="s">
        <v>164</v>
      </c>
      <c r="K787" s="12" t="s">
        <v>6646</v>
      </c>
      <c r="L787" s="12" t="s">
        <v>2395</v>
      </c>
      <c r="M787" s="12" t="s">
        <v>2395</v>
      </c>
      <c r="N787" s="12" t="s">
        <v>5785</v>
      </c>
      <c r="O787" s="12" t="s">
        <v>17</v>
      </c>
      <c r="P787" s="12" t="s">
        <v>2396</v>
      </c>
      <c r="Q787" s="12" t="s">
        <v>6663</v>
      </c>
      <c r="R787" s="16">
        <v>-10</v>
      </c>
      <c r="S787" s="16">
        <v>-63</v>
      </c>
      <c r="T787" s="12" t="s">
        <v>11</v>
      </c>
      <c r="U787" s="12" t="s">
        <v>17</v>
      </c>
      <c r="V787" s="12" t="s">
        <v>17</v>
      </c>
      <c r="W787" s="12" t="s">
        <v>17</v>
      </c>
      <c r="X787" s="12">
        <v>26.02</v>
      </c>
      <c r="Y787" s="12">
        <v>1150224</v>
      </c>
      <c r="Z787" s="12" t="s">
        <v>6613</v>
      </c>
      <c r="AA787" s="12" t="s">
        <v>6613</v>
      </c>
      <c r="AB787" s="12" t="s">
        <v>6613</v>
      </c>
      <c r="AC787" s="12" t="s">
        <v>6613</v>
      </c>
      <c r="AD787" s="12" t="s">
        <v>6613</v>
      </c>
      <c r="AE787" s="12" t="s">
        <v>6613</v>
      </c>
      <c r="AF787" s="12" t="s">
        <v>1985</v>
      </c>
    </row>
    <row r="788" spans="1:32" x14ac:dyDescent="0.2">
      <c r="A788" s="12" t="s">
        <v>4519</v>
      </c>
      <c r="B788" s="12" t="s">
        <v>4519</v>
      </c>
      <c r="C788" s="12" t="s">
        <v>6941</v>
      </c>
      <c r="D788" s="12" t="s">
        <v>17</v>
      </c>
      <c r="E788" s="12" t="s">
        <v>8110</v>
      </c>
      <c r="F788" s="12" t="s">
        <v>8198</v>
      </c>
      <c r="G788" s="12" t="s">
        <v>5453</v>
      </c>
      <c r="H788" s="12" t="s">
        <v>6618</v>
      </c>
      <c r="I788" s="12">
        <v>2543</v>
      </c>
      <c r="J788" s="12" t="s">
        <v>8198</v>
      </c>
      <c r="K788" s="12" t="s">
        <v>179</v>
      </c>
      <c r="L788" s="12" t="s">
        <v>4485</v>
      </c>
      <c r="M788" s="12" t="s">
        <v>7116</v>
      </c>
      <c r="N788" s="12" t="s">
        <v>5785</v>
      </c>
      <c r="O788" s="12" t="s">
        <v>178</v>
      </c>
      <c r="P788" s="12" t="s">
        <v>173</v>
      </c>
      <c r="Q788" s="12" t="s">
        <v>6664</v>
      </c>
      <c r="R788" s="12">
        <v>34.804894444444443</v>
      </c>
      <c r="S788" s="12">
        <v>72.318169444444436</v>
      </c>
      <c r="T788" s="12" t="s">
        <v>11</v>
      </c>
      <c r="U788" s="12" t="s">
        <v>17</v>
      </c>
      <c r="V788" s="12" t="s">
        <v>894</v>
      </c>
      <c r="W788" s="12" t="s">
        <v>7415</v>
      </c>
      <c r="X788" s="12">
        <v>2.8695089999999999</v>
      </c>
      <c r="Y788" s="12">
        <v>909224</v>
      </c>
      <c r="Z788" s="12">
        <v>5.8409999999999998E-3</v>
      </c>
      <c r="AA788" s="12">
        <v>4.521048301143149</v>
      </c>
      <c r="AB788" s="12" t="s">
        <v>4520</v>
      </c>
      <c r="AC788" s="12" t="s">
        <v>58</v>
      </c>
      <c r="AD788" s="12" t="s">
        <v>8106</v>
      </c>
      <c r="AE788" s="12" t="s">
        <v>8062</v>
      </c>
      <c r="AF788" s="12" t="s">
        <v>436</v>
      </c>
    </row>
    <row r="789" spans="1:32" x14ac:dyDescent="0.2">
      <c r="A789" s="12" t="s">
        <v>4523</v>
      </c>
      <c r="B789" s="12" t="s">
        <v>4523</v>
      </c>
      <c r="C789" s="12" t="s">
        <v>7531</v>
      </c>
      <c r="D789" s="12" t="s">
        <v>17</v>
      </c>
      <c r="E789" s="12" t="s">
        <v>8110</v>
      </c>
      <c r="F789" s="12" t="s">
        <v>5458</v>
      </c>
      <c r="G789" s="12" t="s">
        <v>5453</v>
      </c>
      <c r="H789" s="12" t="s">
        <v>6618</v>
      </c>
      <c r="I789" s="12">
        <v>2332</v>
      </c>
      <c r="J789" s="12" t="s">
        <v>6943</v>
      </c>
      <c r="K789" s="12" t="s">
        <v>179</v>
      </c>
      <c r="L789" s="12" t="s">
        <v>4525</v>
      </c>
      <c r="M789" s="12" t="s">
        <v>4524</v>
      </c>
      <c r="N789" s="12" t="s">
        <v>24</v>
      </c>
      <c r="O789" s="12" t="s">
        <v>612</v>
      </c>
      <c r="P789" s="12" t="s">
        <v>173</v>
      </c>
      <c r="Q789" s="12" t="s">
        <v>6664</v>
      </c>
      <c r="R789" s="12">
        <v>34.757005555555558</v>
      </c>
      <c r="S789" s="12">
        <v>72.362380555555546</v>
      </c>
      <c r="T789" s="12" t="s">
        <v>11</v>
      </c>
      <c r="U789" s="12" t="s">
        <v>306</v>
      </c>
      <c r="V789" s="12" t="s">
        <v>383</v>
      </c>
      <c r="W789" s="12" t="s">
        <v>7415</v>
      </c>
      <c r="X789" s="12">
        <v>5.0000000000000001E-3</v>
      </c>
      <c r="Y789" s="12">
        <v>5697</v>
      </c>
      <c r="Z789" s="12" t="s">
        <v>8052</v>
      </c>
      <c r="AA789" s="12" t="s">
        <v>8052</v>
      </c>
      <c r="AB789" s="12" t="s">
        <v>4526</v>
      </c>
      <c r="AC789" s="12" t="s">
        <v>21</v>
      </c>
      <c r="AD789" s="12">
        <v>3.4000000000000002E-2</v>
      </c>
      <c r="AE789" s="12">
        <v>0.74</v>
      </c>
      <c r="AF789" s="12" t="s">
        <v>8094</v>
      </c>
    </row>
    <row r="790" spans="1:32" x14ac:dyDescent="0.2">
      <c r="A790" s="12" t="s">
        <v>4502</v>
      </c>
      <c r="B790" s="12" t="s">
        <v>4502</v>
      </c>
      <c r="C790" s="12" t="s">
        <v>7535</v>
      </c>
      <c r="D790" s="12" t="s">
        <v>13</v>
      </c>
      <c r="E790" s="12" t="s">
        <v>8110</v>
      </c>
      <c r="F790" s="12" t="s">
        <v>5458</v>
      </c>
      <c r="G790" s="12" t="s">
        <v>5453</v>
      </c>
      <c r="H790" s="12" t="s">
        <v>6628</v>
      </c>
      <c r="I790" s="12">
        <v>2330</v>
      </c>
      <c r="J790" s="12" t="s">
        <v>6944</v>
      </c>
      <c r="K790" s="12" t="s">
        <v>179</v>
      </c>
      <c r="L790" s="12" t="s">
        <v>4485</v>
      </c>
      <c r="M790" s="12" t="s">
        <v>4484</v>
      </c>
      <c r="N790" s="12" t="s">
        <v>5785</v>
      </c>
      <c r="O790" s="12" t="s">
        <v>612</v>
      </c>
      <c r="P790" s="12" t="s">
        <v>173</v>
      </c>
      <c r="Q790" s="12" t="s">
        <v>6664</v>
      </c>
      <c r="R790" s="12">
        <v>34.757005555555558</v>
      </c>
      <c r="S790" s="12">
        <v>72.362380555555546</v>
      </c>
      <c r="T790" s="12" t="s">
        <v>25</v>
      </c>
      <c r="U790" s="12" t="s">
        <v>2654</v>
      </c>
      <c r="V790" s="12" t="s">
        <v>6639</v>
      </c>
      <c r="W790" s="12" t="s">
        <v>6639</v>
      </c>
      <c r="X790" s="12">
        <v>4.0955760000000003</v>
      </c>
      <c r="Y790" s="12">
        <v>861701</v>
      </c>
      <c r="Z790" s="12" t="s">
        <v>6639</v>
      </c>
      <c r="AA790" s="12" t="s">
        <v>6639</v>
      </c>
      <c r="AB790" s="12" t="s">
        <v>4503</v>
      </c>
      <c r="AC790" s="12" t="s">
        <v>21</v>
      </c>
      <c r="AD790" s="12">
        <v>0.11899999999999999</v>
      </c>
      <c r="AE790" s="12">
        <v>0.999</v>
      </c>
      <c r="AF790" s="12" t="s">
        <v>45</v>
      </c>
    </row>
    <row r="791" spans="1:32" x14ac:dyDescent="0.2">
      <c r="A791" s="12" t="s">
        <v>3781</v>
      </c>
      <c r="B791" s="12" t="s">
        <v>3781</v>
      </c>
      <c r="C791" s="12" t="s">
        <v>7540</v>
      </c>
      <c r="D791" s="12" t="s">
        <v>13</v>
      </c>
      <c r="E791" s="12" t="s">
        <v>8110</v>
      </c>
      <c r="F791" s="12" t="s">
        <v>5458</v>
      </c>
      <c r="G791" s="12" t="s">
        <v>5453</v>
      </c>
      <c r="H791" s="12" t="s">
        <v>6627</v>
      </c>
      <c r="I791" s="12">
        <v>2250</v>
      </c>
      <c r="J791" s="12" t="s">
        <v>7117</v>
      </c>
      <c r="K791" s="12" t="s">
        <v>179</v>
      </c>
      <c r="L791" s="12" t="s">
        <v>3782</v>
      </c>
      <c r="M791" s="12" t="s">
        <v>3782</v>
      </c>
      <c r="N791" s="12" t="s">
        <v>5785</v>
      </c>
      <c r="O791" s="12" t="s">
        <v>612</v>
      </c>
      <c r="P791" s="12" t="s">
        <v>173</v>
      </c>
      <c r="Q791" s="12" t="s">
        <v>6664</v>
      </c>
      <c r="R791" s="12">
        <v>34.757005555555558</v>
      </c>
      <c r="S791" s="12">
        <v>72.362380555555546</v>
      </c>
      <c r="T791" s="12" t="s">
        <v>11</v>
      </c>
      <c r="U791" s="12" t="s">
        <v>3222</v>
      </c>
      <c r="V791" s="12" t="s">
        <v>1710</v>
      </c>
      <c r="W791" s="12" t="s">
        <v>7415</v>
      </c>
      <c r="X791" s="12">
        <v>3.5059710000000002</v>
      </c>
      <c r="Y791" s="12">
        <v>869383</v>
      </c>
      <c r="Z791" s="12">
        <v>6.2350000000000001E-3</v>
      </c>
      <c r="AA791" s="12">
        <v>5.1445762057368425</v>
      </c>
      <c r="AB791" s="12" t="s">
        <v>3783</v>
      </c>
      <c r="AC791" s="12" t="s">
        <v>21</v>
      </c>
      <c r="AD791" s="12">
        <v>0.14799999999999999</v>
      </c>
      <c r="AE791" s="12">
        <v>0.99399999999999999</v>
      </c>
      <c r="AF791" s="12" t="s">
        <v>436</v>
      </c>
    </row>
    <row r="792" spans="1:32" x14ac:dyDescent="0.2">
      <c r="A792" s="12" t="s">
        <v>4504</v>
      </c>
      <c r="B792" s="12" t="s">
        <v>4504</v>
      </c>
      <c r="C792" s="12" t="s">
        <v>7536</v>
      </c>
      <c r="D792" s="12" t="s">
        <v>13</v>
      </c>
      <c r="E792" s="12" t="s">
        <v>8110</v>
      </c>
      <c r="F792" s="12" t="s">
        <v>5458</v>
      </c>
      <c r="G792" s="12" t="s">
        <v>5453</v>
      </c>
      <c r="H792" s="12" t="s">
        <v>6628</v>
      </c>
      <c r="I792" s="12">
        <v>2250</v>
      </c>
      <c r="J792" s="12" t="s">
        <v>7117</v>
      </c>
      <c r="K792" s="12" t="s">
        <v>179</v>
      </c>
      <c r="L792" s="12" t="s">
        <v>4485</v>
      </c>
      <c r="M792" s="12" t="s">
        <v>4484</v>
      </c>
      <c r="N792" s="12" t="s">
        <v>5785</v>
      </c>
      <c r="O792" s="12" t="s">
        <v>612</v>
      </c>
      <c r="P792" s="12" t="s">
        <v>173</v>
      </c>
      <c r="Q792" s="12" t="s">
        <v>6664</v>
      </c>
      <c r="R792" s="12">
        <v>34.757005555555558</v>
      </c>
      <c r="S792" s="12">
        <v>72.362380555555546</v>
      </c>
      <c r="T792" s="12" t="s">
        <v>11</v>
      </c>
      <c r="U792" s="12" t="s">
        <v>4506</v>
      </c>
      <c r="V792" s="12" t="s">
        <v>723</v>
      </c>
      <c r="W792" s="12" t="s">
        <v>7415</v>
      </c>
      <c r="X792" s="12">
        <v>2.0736659999999998</v>
      </c>
      <c r="Y792" s="12">
        <v>784177</v>
      </c>
      <c r="Z792" s="12">
        <v>9.1330000000000005E-3</v>
      </c>
      <c r="AA792" s="12">
        <v>4.7802288103390707</v>
      </c>
      <c r="AB792" s="12" t="s">
        <v>4505</v>
      </c>
      <c r="AC792" s="12" t="s">
        <v>21</v>
      </c>
      <c r="AD792" s="12">
        <v>0.13700000000000001</v>
      </c>
      <c r="AE792" s="12">
        <v>1</v>
      </c>
      <c r="AF792" s="12" t="s">
        <v>111</v>
      </c>
    </row>
    <row r="793" spans="1:32" x14ac:dyDescent="0.2">
      <c r="A793" s="12" t="s">
        <v>4510</v>
      </c>
      <c r="B793" s="12" t="s">
        <v>4510</v>
      </c>
      <c r="C793" s="12" t="s">
        <v>7538</v>
      </c>
      <c r="D793" s="12" t="s">
        <v>13</v>
      </c>
      <c r="E793" s="12" t="s">
        <v>8110</v>
      </c>
      <c r="F793" s="12" t="s">
        <v>5458</v>
      </c>
      <c r="G793" s="12" t="s">
        <v>5453</v>
      </c>
      <c r="H793" s="12" t="s">
        <v>6627</v>
      </c>
      <c r="I793" s="12">
        <v>2250</v>
      </c>
      <c r="J793" s="12" t="s">
        <v>7117</v>
      </c>
      <c r="K793" s="12" t="s">
        <v>179</v>
      </c>
      <c r="L793" s="12" t="s">
        <v>4485</v>
      </c>
      <c r="M793" s="12" t="s">
        <v>4484</v>
      </c>
      <c r="N793" s="12" t="s">
        <v>5785</v>
      </c>
      <c r="O793" s="12" t="s">
        <v>612</v>
      </c>
      <c r="P793" s="12" t="s">
        <v>173</v>
      </c>
      <c r="Q793" s="12" t="s">
        <v>6664</v>
      </c>
      <c r="R793" s="12">
        <v>34.757005555555558</v>
      </c>
      <c r="S793" s="12">
        <v>72.362380555555546</v>
      </c>
      <c r="T793" s="12" t="s">
        <v>25</v>
      </c>
      <c r="U793" s="12" t="s">
        <v>4154</v>
      </c>
      <c r="V793" s="12" t="s">
        <v>6639</v>
      </c>
      <c r="W793" s="12" t="s">
        <v>6639</v>
      </c>
      <c r="X793" s="12">
        <v>2.111027</v>
      </c>
      <c r="Y793" s="12">
        <v>797896</v>
      </c>
      <c r="Z793" s="12" t="s">
        <v>6639</v>
      </c>
      <c r="AA793" s="12" t="s">
        <v>6639</v>
      </c>
      <c r="AB793" s="12" t="s">
        <v>4511</v>
      </c>
      <c r="AC793" s="12" t="s">
        <v>21</v>
      </c>
      <c r="AD793" s="12">
        <v>0.129</v>
      </c>
      <c r="AE793" s="12">
        <v>0.995</v>
      </c>
      <c r="AF793" s="12" t="s">
        <v>45</v>
      </c>
    </row>
    <row r="794" spans="1:32" x14ac:dyDescent="0.2">
      <c r="A794" s="12" t="s">
        <v>4507</v>
      </c>
      <c r="B794" s="12" t="s">
        <v>4507</v>
      </c>
      <c r="C794" s="12" t="s">
        <v>7537</v>
      </c>
      <c r="D794" s="12" t="s">
        <v>13</v>
      </c>
      <c r="E794" s="12" t="s">
        <v>8110</v>
      </c>
      <c r="F794" s="12" t="s">
        <v>5458</v>
      </c>
      <c r="G794" s="12" t="s">
        <v>5453</v>
      </c>
      <c r="H794" s="12" t="s">
        <v>6627</v>
      </c>
      <c r="I794" s="12">
        <v>2250</v>
      </c>
      <c r="J794" s="12" t="s">
        <v>7117</v>
      </c>
      <c r="K794" s="12" t="s">
        <v>179</v>
      </c>
      <c r="L794" s="12" t="s">
        <v>4485</v>
      </c>
      <c r="M794" s="12" t="s">
        <v>4484</v>
      </c>
      <c r="N794" s="12" t="s">
        <v>5785</v>
      </c>
      <c r="O794" s="12" t="s">
        <v>612</v>
      </c>
      <c r="P794" s="12" t="s">
        <v>173</v>
      </c>
      <c r="Q794" s="12" t="s">
        <v>6664</v>
      </c>
      <c r="R794" s="16">
        <v>34.757005555555558</v>
      </c>
      <c r="S794" s="16">
        <v>72.362380555555546</v>
      </c>
      <c r="T794" s="12" t="s">
        <v>25</v>
      </c>
      <c r="U794" s="12" t="s">
        <v>4509</v>
      </c>
      <c r="V794" s="12" t="s">
        <v>6639</v>
      </c>
      <c r="W794" s="12" t="s">
        <v>6639</v>
      </c>
      <c r="X794" s="12">
        <v>2.9442979999999999</v>
      </c>
      <c r="Y794" s="12">
        <v>826439</v>
      </c>
      <c r="Z794" s="12" t="s">
        <v>6639</v>
      </c>
      <c r="AA794" s="12" t="s">
        <v>6639</v>
      </c>
      <c r="AB794" s="12" t="s">
        <v>4508</v>
      </c>
      <c r="AC794" s="12" t="s">
        <v>21</v>
      </c>
      <c r="AD794" s="12">
        <v>0.16600000000000001</v>
      </c>
      <c r="AE794" s="12">
        <v>0.98899999999999999</v>
      </c>
      <c r="AF794" s="12" t="s">
        <v>45</v>
      </c>
    </row>
    <row r="795" spans="1:32" x14ac:dyDescent="0.2">
      <c r="A795" s="12" t="s">
        <v>4515</v>
      </c>
      <c r="B795" s="12" t="s">
        <v>4515</v>
      </c>
      <c r="C795" s="12" t="s">
        <v>7541</v>
      </c>
      <c r="D795" s="12" t="s">
        <v>13</v>
      </c>
      <c r="E795" s="12" t="s">
        <v>8110</v>
      </c>
      <c r="F795" s="12" t="s">
        <v>5458</v>
      </c>
      <c r="G795" s="12" t="s">
        <v>5453</v>
      </c>
      <c r="H795" s="12" t="s">
        <v>6627</v>
      </c>
      <c r="I795" s="12">
        <v>2250</v>
      </c>
      <c r="J795" s="12" t="s">
        <v>7117</v>
      </c>
      <c r="K795" s="12" t="s">
        <v>179</v>
      </c>
      <c r="L795" s="12" t="s">
        <v>4485</v>
      </c>
      <c r="M795" s="12" t="s">
        <v>4484</v>
      </c>
      <c r="N795" s="12" t="s">
        <v>5785</v>
      </c>
      <c r="O795" s="12" t="s">
        <v>612</v>
      </c>
      <c r="P795" s="12" t="s">
        <v>173</v>
      </c>
      <c r="Q795" s="12" t="s">
        <v>6664</v>
      </c>
      <c r="R795" s="12">
        <v>34.757005555555558</v>
      </c>
      <c r="S795" s="12">
        <v>72.362380555555546</v>
      </c>
      <c r="T795" s="12" t="s">
        <v>25</v>
      </c>
      <c r="U795" s="12" t="s">
        <v>3236</v>
      </c>
      <c r="V795" s="12" t="s">
        <v>6639</v>
      </c>
      <c r="W795" s="12" t="s">
        <v>6639</v>
      </c>
      <c r="X795" s="12">
        <v>3.558173</v>
      </c>
      <c r="Y795" s="12">
        <v>864622</v>
      </c>
      <c r="Z795" s="12" t="s">
        <v>6639</v>
      </c>
      <c r="AA795" s="12" t="s">
        <v>6639</v>
      </c>
      <c r="AB795" s="12" t="s">
        <v>4516</v>
      </c>
      <c r="AC795" s="12" t="s">
        <v>21</v>
      </c>
      <c r="AD795" s="12">
        <v>0.11799999999999999</v>
      </c>
      <c r="AE795" s="12">
        <v>0.999</v>
      </c>
      <c r="AF795" s="12" t="s">
        <v>45</v>
      </c>
    </row>
    <row r="796" spans="1:32" x14ac:dyDescent="0.2">
      <c r="A796" s="12" t="s">
        <v>4512</v>
      </c>
      <c r="B796" s="12" t="s">
        <v>4512</v>
      </c>
      <c r="C796" s="12" t="s">
        <v>7539</v>
      </c>
      <c r="D796" s="12" t="s">
        <v>13</v>
      </c>
      <c r="E796" s="12" t="s">
        <v>8110</v>
      </c>
      <c r="F796" s="12" t="s">
        <v>5458</v>
      </c>
      <c r="G796" s="12" t="s">
        <v>5453</v>
      </c>
      <c r="H796" s="12" t="s">
        <v>6627</v>
      </c>
      <c r="I796" s="12">
        <v>2250</v>
      </c>
      <c r="J796" s="12" t="s">
        <v>7117</v>
      </c>
      <c r="K796" s="12" t="s">
        <v>179</v>
      </c>
      <c r="L796" s="12" t="s">
        <v>4485</v>
      </c>
      <c r="M796" s="12" t="s">
        <v>4484</v>
      </c>
      <c r="N796" s="12" t="s">
        <v>5785</v>
      </c>
      <c r="O796" s="12" t="s">
        <v>612</v>
      </c>
      <c r="P796" s="12" t="s">
        <v>173</v>
      </c>
      <c r="Q796" s="12" t="s">
        <v>6664</v>
      </c>
      <c r="R796" s="16">
        <v>34.757005555555558</v>
      </c>
      <c r="S796" s="16">
        <v>72.362380555555546</v>
      </c>
      <c r="T796" s="12" t="s">
        <v>11</v>
      </c>
      <c r="U796" s="12" t="s">
        <v>4514</v>
      </c>
      <c r="V796" s="12" t="s">
        <v>894</v>
      </c>
      <c r="W796" s="12" t="s">
        <v>7415</v>
      </c>
      <c r="X796" s="12">
        <v>4.1347060000000004</v>
      </c>
      <c r="Y796" s="12">
        <v>899370</v>
      </c>
      <c r="Z796" s="12">
        <v>4.3080000000000002E-3</v>
      </c>
      <c r="AA796" s="12">
        <v>4.1367548943917587</v>
      </c>
      <c r="AB796" s="12" t="s">
        <v>4513</v>
      </c>
      <c r="AC796" s="12" t="s">
        <v>21</v>
      </c>
      <c r="AD796" s="12">
        <v>0.112</v>
      </c>
      <c r="AE796" s="12">
        <v>0.996</v>
      </c>
      <c r="AF796" s="12" t="s">
        <v>59</v>
      </c>
    </row>
    <row r="797" spans="1:32" x14ac:dyDescent="0.2">
      <c r="A797" s="12" t="s">
        <v>4499</v>
      </c>
      <c r="B797" s="12" t="s">
        <v>4499</v>
      </c>
      <c r="C797" s="12" t="s">
        <v>6955</v>
      </c>
      <c r="D797" s="12" t="s">
        <v>13</v>
      </c>
      <c r="E797" s="12" t="s">
        <v>8110</v>
      </c>
      <c r="F797" s="12" t="s">
        <v>5458</v>
      </c>
      <c r="G797" s="12" t="s">
        <v>5453</v>
      </c>
      <c r="H797" s="12" t="s">
        <v>6628</v>
      </c>
      <c r="I797" s="12">
        <v>2250</v>
      </c>
      <c r="J797" s="12" t="s">
        <v>7117</v>
      </c>
      <c r="K797" s="12" t="s">
        <v>179</v>
      </c>
      <c r="L797" s="12" t="s">
        <v>4485</v>
      </c>
      <c r="M797" s="12" t="s">
        <v>4484</v>
      </c>
      <c r="N797" s="12" t="s">
        <v>5785</v>
      </c>
      <c r="O797" s="12" t="s">
        <v>612</v>
      </c>
      <c r="P797" s="12" t="s">
        <v>173</v>
      </c>
      <c r="Q797" s="12" t="s">
        <v>6664</v>
      </c>
      <c r="R797" s="16">
        <v>34.757005555555558</v>
      </c>
      <c r="S797" s="16">
        <v>72.362380555555546</v>
      </c>
      <c r="T797" s="12" t="s">
        <v>25</v>
      </c>
      <c r="U797" s="12" t="s">
        <v>4501</v>
      </c>
      <c r="V797" s="12" t="s">
        <v>6639</v>
      </c>
      <c r="W797" s="12" t="s">
        <v>6639</v>
      </c>
      <c r="X797" s="12">
        <v>5.9130079999999996</v>
      </c>
      <c r="Y797" s="12">
        <v>932517</v>
      </c>
      <c r="Z797" s="12" t="s">
        <v>6639</v>
      </c>
      <c r="AA797" s="12" t="s">
        <v>6639</v>
      </c>
      <c r="AB797" s="12" t="s">
        <v>4500</v>
      </c>
      <c r="AC797" s="12" t="s">
        <v>58</v>
      </c>
      <c r="AD797" s="12" t="s">
        <v>7920</v>
      </c>
      <c r="AE797" s="12" t="s">
        <v>7739</v>
      </c>
      <c r="AF797" s="12" t="s">
        <v>45</v>
      </c>
    </row>
    <row r="798" spans="1:32" x14ac:dyDescent="0.2">
      <c r="A798" s="12" t="s">
        <v>4483</v>
      </c>
      <c r="B798" s="12" t="s">
        <v>4527</v>
      </c>
      <c r="C798" s="12" t="s">
        <v>7532</v>
      </c>
      <c r="D798" s="12" t="s">
        <v>13</v>
      </c>
      <c r="E798" s="12" t="s">
        <v>8110</v>
      </c>
      <c r="F798" s="12" t="s">
        <v>5467</v>
      </c>
      <c r="G798" s="12" t="s">
        <v>5453</v>
      </c>
      <c r="H798" s="12" t="s">
        <v>6628</v>
      </c>
      <c r="I798" s="12">
        <v>2250</v>
      </c>
      <c r="J798" s="12" t="s">
        <v>6954</v>
      </c>
      <c r="K798" s="12" t="s">
        <v>179</v>
      </c>
      <c r="L798" s="12" t="s">
        <v>4485</v>
      </c>
      <c r="M798" s="12" t="s">
        <v>4484</v>
      </c>
      <c r="N798" s="12" t="s">
        <v>5785</v>
      </c>
      <c r="O798" s="12" t="s">
        <v>612</v>
      </c>
      <c r="P798" s="12" t="s">
        <v>173</v>
      </c>
      <c r="Q798" s="12" t="s">
        <v>6664</v>
      </c>
      <c r="R798" s="12">
        <v>34.757005555555558</v>
      </c>
      <c r="S798" s="12">
        <v>72.362380555555546</v>
      </c>
      <c r="T798" s="12" t="s">
        <v>11</v>
      </c>
      <c r="U798" s="12" t="s">
        <v>4487</v>
      </c>
      <c r="V798" s="12" t="s">
        <v>606</v>
      </c>
      <c r="W798" s="12" t="s">
        <v>7415</v>
      </c>
      <c r="X798" s="12">
        <v>3.842956</v>
      </c>
      <c r="Y798" s="12">
        <v>870281</v>
      </c>
      <c r="Z798" s="12">
        <v>6.084E-3</v>
      </c>
      <c r="AA798" s="12">
        <v>5.1863647368115968</v>
      </c>
      <c r="AB798" s="12" t="s">
        <v>4486</v>
      </c>
      <c r="AC798" s="12" t="s">
        <v>21</v>
      </c>
      <c r="AD798" s="12">
        <v>0.13100000000000001</v>
      </c>
      <c r="AE798" s="12">
        <v>0.996</v>
      </c>
      <c r="AF798" s="12" t="s">
        <v>436</v>
      </c>
    </row>
    <row r="799" spans="1:32" x14ac:dyDescent="0.2">
      <c r="A799" s="12" t="s">
        <v>4491</v>
      </c>
      <c r="B799" s="12" t="s">
        <v>4491</v>
      </c>
      <c r="C799" s="12" t="s">
        <v>7533</v>
      </c>
      <c r="D799" s="12" t="s">
        <v>13</v>
      </c>
      <c r="E799" s="12" t="s">
        <v>8110</v>
      </c>
      <c r="F799" s="12" t="s">
        <v>4493</v>
      </c>
      <c r="G799" s="12" t="s">
        <v>5453</v>
      </c>
      <c r="H799" s="12" t="s">
        <v>6628</v>
      </c>
      <c r="I799" s="12">
        <v>2232</v>
      </c>
      <c r="J799" s="12" t="s">
        <v>4493</v>
      </c>
      <c r="K799" s="12" t="s">
        <v>179</v>
      </c>
      <c r="L799" s="12" t="s">
        <v>4485</v>
      </c>
      <c r="M799" s="12" t="s">
        <v>4484</v>
      </c>
      <c r="N799" s="12" t="s">
        <v>5785</v>
      </c>
      <c r="O799" s="12" t="s">
        <v>612</v>
      </c>
      <c r="P799" s="12" t="s">
        <v>173</v>
      </c>
      <c r="Q799" s="12" t="s">
        <v>6664</v>
      </c>
      <c r="R799" s="16">
        <v>34.757005555555558</v>
      </c>
      <c r="S799" s="16">
        <v>72.362380555555546</v>
      </c>
      <c r="T799" s="12" t="s">
        <v>25</v>
      </c>
      <c r="U799" s="12" t="s">
        <v>4494</v>
      </c>
      <c r="V799" s="12" t="s">
        <v>6639</v>
      </c>
      <c r="W799" s="12" t="s">
        <v>6639</v>
      </c>
      <c r="X799" s="12">
        <v>1.0577669999999999</v>
      </c>
      <c r="Y799" s="12">
        <v>607991</v>
      </c>
      <c r="Z799" s="12" t="s">
        <v>6639</v>
      </c>
      <c r="AA799" s="12" t="s">
        <v>6639</v>
      </c>
      <c r="AB799" s="12" t="s">
        <v>4492</v>
      </c>
      <c r="AC799" s="12" t="s">
        <v>21</v>
      </c>
      <c r="AD799" s="12">
        <v>0.13700000000000001</v>
      </c>
      <c r="AE799" s="12">
        <v>1</v>
      </c>
      <c r="AF799" s="12" t="s">
        <v>45</v>
      </c>
    </row>
    <row r="800" spans="1:32" x14ac:dyDescent="0.2">
      <c r="A800" s="12" t="s">
        <v>4488</v>
      </c>
      <c r="B800" s="12" t="s">
        <v>4488</v>
      </c>
      <c r="C800" s="12" t="s">
        <v>7534</v>
      </c>
      <c r="D800" s="12" t="s">
        <v>13</v>
      </c>
      <c r="E800" s="12" t="s">
        <v>8110</v>
      </c>
      <c r="F800" s="12" t="s">
        <v>5468</v>
      </c>
      <c r="G800" s="12" t="s">
        <v>5453</v>
      </c>
      <c r="H800" s="12" t="s">
        <v>6628</v>
      </c>
      <c r="I800" s="12">
        <v>2216</v>
      </c>
      <c r="J800" s="12" t="s">
        <v>4490</v>
      </c>
      <c r="K800" s="12" t="s">
        <v>179</v>
      </c>
      <c r="L800" s="12" t="s">
        <v>4485</v>
      </c>
      <c r="M800" s="12" t="s">
        <v>4484</v>
      </c>
      <c r="N800" s="12" t="s">
        <v>5785</v>
      </c>
      <c r="O800" s="12" t="s">
        <v>612</v>
      </c>
      <c r="P800" s="12" t="s">
        <v>173</v>
      </c>
      <c r="Q800" s="12" t="s">
        <v>6664</v>
      </c>
      <c r="R800" s="12">
        <v>34.757005555555558</v>
      </c>
      <c r="S800" s="12">
        <v>72.362380555555546</v>
      </c>
      <c r="T800" s="12" t="s">
        <v>25</v>
      </c>
      <c r="U800" s="12" t="s">
        <v>17</v>
      </c>
      <c r="V800" s="12" t="s">
        <v>6639</v>
      </c>
      <c r="W800" s="12" t="s">
        <v>6639</v>
      </c>
      <c r="X800" s="12">
        <v>1.777793</v>
      </c>
      <c r="Y800" s="12">
        <v>785951</v>
      </c>
      <c r="Z800" s="12" t="s">
        <v>6639</v>
      </c>
      <c r="AA800" s="12" t="s">
        <v>6639</v>
      </c>
      <c r="AB800" s="12" t="s">
        <v>4489</v>
      </c>
      <c r="AC800" s="12" t="s">
        <v>21</v>
      </c>
      <c r="AD800" s="12">
        <v>0.115</v>
      </c>
      <c r="AE800" s="12">
        <v>0.99299999999999999</v>
      </c>
      <c r="AF800" s="12" t="s">
        <v>45</v>
      </c>
    </row>
    <row r="801" spans="1:32" x14ac:dyDescent="0.2">
      <c r="A801" s="12" t="s">
        <v>4521</v>
      </c>
      <c r="B801" s="12" t="s">
        <v>4521</v>
      </c>
      <c r="C801" s="12" t="s">
        <v>6942</v>
      </c>
      <c r="D801" s="12" t="s">
        <v>13</v>
      </c>
      <c r="E801" s="12" t="s">
        <v>8110</v>
      </c>
      <c r="F801" s="12" t="s">
        <v>8199</v>
      </c>
      <c r="G801" s="12" t="s">
        <v>5453</v>
      </c>
      <c r="H801" s="12" t="s">
        <v>6618</v>
      </c>
      <c r="I801" s="12">
        <v>2189</v>
      </c>
      <c r="J801" s="12" t="s">
        <v>8199</v>
      </c>
      <c r="K801" s="12" t="s">
        <v>179</v>
      </c>
      <c r="L801" s="12" t="s">
        <v>4485</v>
      </c>
      <c r="M801" s="12" t="s">
        <v>7116</v>
      </c>
      <c r="N801" s="12" t="s">
        <v>5785</v>
      </c>
      <c r="O801" s="12" t="s">
        <v>178</v>
      </c>
      <c r="P801" s="12" t="s">
        <v>173</v>
      </c>
      <c r="Q801" s="12" t="s">
        <v>6664</v>
      </c>
      <c r="R801" s="12">
        <v>34.804894444444443</v>
      </c>
      <c r="S801" s="12">
        <v>72.318169444444436</v>
      </c>
      <c r="T801" s="12" t="s">
        <v>11</v>
      </c>
      <c r="U801" s="12" t="s">
        <v>2734</v>
      </c>
      <c r="V801" s="12" t="s">
        <v>2258</v>
      </c>
      <c r="W801" s="12" t="s">
        <v>7415</v>
      </c>
      <c r="X801" s="12">
        <v>2.7021950000000001</v>
      </c>
      <c r="Y801" s="12">
        <v>962353</v>
      </c>
      <c r="Z801" s="12">
        <v>4.4219999999999997E-3</v>
      </c>
      <c r="AA801" s="12">
        <v>3.6048873859919714</v>
      </c>
      <c r="AB801" s="12" t="s">
        <v>4522</v>
      </c>
      <c r="AC801" s="12" t="s">
        <v>21</v>
      </c>
      <c r="AD801" s="12">
        <v>0.11</v>
      </c>
      <c r="AE801" s="12">
        <v>0.99099999999999999</v>
      </c>
      <c r="AF801" s="12" t="s">
        <v>59</v>
      </c>
    </row>
    <row r="802" spans="1:32" x14ac:dyDescent="0.2">
      <c r="A802" s="12" t="s">
        <v>4550</v>
      </c>
      <c r="B802" s="12" t="s">
        <v>4550</v>
      </c>
      <c r="C802" s="12" t="s">
        <v>6958</v>
      </c>
      <c r="D802" s="12" t="s">
        <v>13</v>
      </c>
      <c r="E802" s="12" t="s">
        <v>8110</v>
      </c>
      <c r="F802" s="12" t="s">
        <v>4552</v>
      </c>
      <c r="G802" s="12" t="s">
        <v>5453</v>
      </c>
      <c r="H802" s="12" t="s">
        <v>6618</v>
      </c>
      <c r="I802" s="12">
        <v>2057</v>
      </c>
      <c r="J802" s="12" t="s">
        <v>4552</v>
      </c>
      <c r="K802" s="12" t="s">
        <v>179</v>
      </c>
      <c r="L802" s="12" t="s">
        <v>4547</v>
      </c>
      <c r="M802" s="12" t="s">
        <v>4547</v>
      </c>
      <c r="N802" s="12" t="s">
        <v>5785</v>
      </c>
      <c r="O802" s="12" t="s">
        <v>7049</v>
      </c>
      <c r="P802" s="12" t="s">
        <v>173</v>
      </c>
      <c r="Q802" s="12" t="s">
        <v>6664</v>
      </c>
      <c r="R802" s="16">
        <v>34.761405555555555</v>
      </c>
      <c r="S802" s="16">
        <v>72.370080555555546</v>
      </c>
      <c r="T802" s="12" t="s">
        <v>11</v>
      </c>
      <c r="U802" s="12" t="s">
        <v>4501</v>
      </c>
      <c r="V802" s="12" t="s">
        <v>954</v>
      </c>
      <c r="W802" s="12" t="s">
        <v>7415</v>
      </c>
      <c r="X802" s="12">
        <v>0.91881900000000005</v>
      </c>
      <c r="Y802" s="12">
        <v>573555</v>
      </c>
      <c r="Z802" s="12">
        <v>4.1920000000000004E-3</v>
      </c>
      <c r="AA802" s="12">
        <v>1.6138688000123198</v>
      </c>
      <c r="AB802" s="12" t="s">
        <v>4551</v>
      </c>
      <c r="AC802" s="12" t="s">
        <v>21</v>
      </c>
      <c r="AD802" s="12">
        <v>0.111</v>
      </c>
      <c r="AE802" s="12">
        <v>0.998</v>
      </c>
      <c r="AF802" s="12" t="s">
        <v>45</v>
      </c>
    </row>
    <row r="803" spans="1:32" x14ac:dyDescent="0.2">
      <c r="A803" s="12" t="s">
        <v>4556</v>
      </c>
      <c r="B803" s="12" t="s">
        <v>4556</v>
      </c>
      <c r="C803" s="12" t="s">
        <v>6957</v>
      </c>
      <c r="D803" s="12" t="s">
        <v>13</v>
      </c>
      <c r="E803" s="12" t="s">
        <v>8110</v>
      </c>
      <c r="F803" s="12" t="s">
        <v>5458</v>
      </c>
      <c r="G803" s="12" t="s">
        <v>5453</v>
      </c>
      <c r="H803" s="12" t="s">
        <v>6618</v>
      </c>
      <c r="I803" s="12">
        <v>2050</v>
      </c>
      <c r="J803" s="12" t="s">
        <v>4559</v>
      </c>
      <c r="K803" s="12" t="s">
        <v>179</v>
      </c>
      <c r="L803" s="12" t="s">
        <v>4557</v>
      </c>
      <c r="M803" s="12" t="s">
        <v>4557</v>
      </c>
      <c r="N803" s="12" t="s">
        <v>24</v>
      </c>
      <c r="O803" s="12" t="s">
        <v>7049</v>
      </c>
      <c r="P803" s="12" t="s">
        <v>173</v>
      </c>
      <c r="Q803" s="12" t="s">
        <v>6664</v>
      </c>
      <c r="R803" s="12">
        <v>34.761405555555555</v>
      </c>
      <c r="S803" s="12">
        <v>72.370080555555546</v>
      </c>
      <c r="T803" s="12" t="s">
        <v>25</v>
      </c>
      <c r="U803" s="12" t="s">
        <v>4501</v>
      </c>
      <c r="V803" s="12" t="s">
        <v>6639</v>
      </c>
      <c r="W803" s="12" t="s">
        <v>6639</v>
      </c>
      <c r="X803" s="12">
        <v>0.68376499999999996</v>
      </c>
      <c r="Y803" s="12">
        <v>481782</v>
      </c>
      <c r="Z803" s="12" t="s">
        <v>6639</v>
      </c>
      <c r="AA803" s="12" t="s">
        <v>6639</v>
      </c>
      <c r="AB803" s="12" t="s">
        <v>4558</v>
      </c>
      <c r="AC803" s="12" t="s">
        <v>21</v>
      </c>
      <c r="AD803" s="12">
        <v>0.128</v>
      </c>
      <c r="AE803" s="12">
        <v>1</v>
      </c>
      <c r="AF803" s="12" t="s">
        <v>45</v>
      </c>
    </row>
    <row r="804" spans="1:32" x14ac:dyDescent="0.2">
      <c r="A804" s="12" t="s">
        <v>3936</v>
      </c>
      <c r="B804" s="12" t="s">
        <v>3936</v>
      </c>
      <c r="C804" s="12" t="s">
        <v>8178</v>
      </c>
      <c r="D804" s="12" t="s">
        <v>13</v>
      </c>
      <c r="E804" s="12" t="s">
        <v>8110</v>
      </c>
      <c r="F804" s="12" t="s">
        <v>5458</v>
      </c>
      <c r="G804" s="12" t="s">
        <v>5453</v>
      </c>
      <c r="H804" s="12" t="s">
        <v>6618</v>
      </c>
      <c r="I804" s="12">
        <v>2000</v>
      </c>
      <c r="J804" s="12" t="s">
        <v>4555</v>
      </c>
      <c r="K804" s="12" t="s">
        <v>179</v>
      </c>
      <c r="L804" s="12" t="s">
        <v>4547</v>
      </c>
      <c r="M804" s="12" t="s">
        <v>4547</v>
      </c>
      <c r="N804" s="12" t="s">
        <v>5785</v>
      </c>
      <c r="O804" s="12" t="s">
        <v>7049</v>
      </c>
      <c r="P804" s="12" t="s">
        <v>173</v>
      </c>
      <c r="Q804" s="12" t="s">
        <v>6664</v>
      </c>
      <c r="R804" s="12">
        <v>34.761405555555555</v>
      </c>
      <c r="S804" s="12">
        <v>72.370080555555546</v>
      </c>
      <c r="T804" s="12" t="s">
        <v>25</v>
      </c>
      <c r="U804" s="12" t="s">
        <v>588</v>
      </c>
      <c r="V804" s="12" t="s">
        <v>6639</v>
      </c>
      <c r="W804" s="12" t="s">
        <v>6639</v>
      </c>
      <c r="X804" s="12">
        <v>0.37628899999999998</v>
      </c>
      <c r="Y804" s="12">
        <v>336190</v>
      </c>
      <c r="Z804" s="12" t="s">
        <v>6639</v>
      </c>
      <c r="AA804" s="12" t="s">
        <v>6639</v>
      </c>
      <c r="AB804" s="12" t="s">
        <v>3937</v>
      </c>
      <c r="AC804" s="12" t="s">
        <v>21</v>
      </c>
      <c r="AD804" s="12">
        <v>0.10199999999999999</v>
      </c>
      <c r="AE804" s="12">
        <v>0.99099999999999999</v>
      </c>
      <c r="AF804" s="12" t="s">
        <v>45</v>
      </c>
    </row>
    <row r="805" spans="1:32" x14ac:dyDescent="0.2">
      <c r="A805" s="12" t="s">
        <v>4553</v>
      </c>
      <c r="B805" s="12" t="s">
        <v>4553</v>
      </c>
      <c r="C805" s="12" t="s">
        <v>6965</v>
      </c>
      <c r="D805" s="12" t="s">
        <v>13</v>
      </c>
      <c r="E805" s="12" t="s">
        <v>8110</v>
      </c>
      <c r="F805" s="12" t="s">
        <v>5458</v>
      </c>
      <c r="G805" s="12" t="s">
        <v>5453</v>
      </c>
      <c r="H805" s="12" t="s">
        <v>6618</v>
      </c>
      <c r="I805" s="12">
        <v>2000</v>
      </c>
      <c r="J805" s="12" t="s">
        <v>4555</v>
      </c>
      <c r="K805" s="12" t="s">
        <v>179</v>
      </c>
      <c r="L805" s="12" t="s">
        <v>4547</v>
      </c>
      <c r="M805" s="12" t="s">
        <v>4547</v>
      </c>
      <c r="N805" s="12" t="s">
        <v>5785</v>
      </c>
      <c r="O805" s="12" t="s">
        <v>7049</v>
      </c>
      <c r="P805" s="12" t="s">
        <v>173</v>
      </c>
      <c r="Q805" s="12" t="s">
        <v>6664</v>
      </c>
      <c r="R805" s="12">
        <v>34.761405555555555</v>
      </c>
      <c r="S805" s="12">
        <v>72.370080555555546</v>
      </c>
      <c r="T805" s="12" t="s">
        <v>25</v>
      </c>
      <c r="U805" s="12" t="s">
        <v>887</v>
      </c>
      <c r="V805" s="12" t="s">
        <v>6639</v>
      </c>
      <c r="W805" s="12" t="s">
        <v>6639</v>
      </c>
      <c r="X805" s="12">
        <v>1.1766179999999999</v>
      </c>
      <c r="Y805" s="12">
        <v>643702</v>
      </c>
      <c r="Z805" s="12" t="s">
        <v>6639</v>
      </c>
      <c r="AA805" s="12" t="s">
        <v>6639</v>
      </c>
      <c r="AB805" s="12" t="s">
        <v>4554</v>
      </c>
      <c r="AC805" s="12" t="s">
        <v>21</v>
      </c>
      <c r="AD805" s="12">
        <v>9.6000000000000002E-2</v>
      </c>
      <c r="AE805" s="12">
        <v>0.99399999999999999</v>
      </c>
      <c r="AF805" s="12" t="s">
        <v>45</v>
      </c>
    </row>
    <row r="806" spans="1:32" x14ac:dyDescent="0.2">
      <c r="A806" s="12" t="s">
        <v>4517</v>
      </c>
      <c r="B806" s="12" t="s">
        <v>4517</v>
      </c>
      <c r="C806" s="12" t="s">
        <v>6940</v>
      </c>
      <c r="D806" s="12" t="s">
        <v>17</v>
      </c>
      <c r="E806" s="12" t="s">
        <v>8110</v>
      </c>
      <c r="F806" s="12" t="s">
        <v>8197</v>
      </c>
      <c r="G806" s="12" t="s">
        <v>5453</v>
      </c>
      <c r="H806" s="12" t="s">
        <v>6618</v>
      </c>
      <c r="I806" s="12">
        <v>1949</v>
      </c>
      <c r="J806" s="12" t="s">
        <v>8197</v>
      </c>
      <c r="K806" s="12" t="s">
        <v>179</v>
      </c>
      <c r="L806" s="12" t="s">
        <v>4485</v>
      </c>
      <c r="M806" s="12" t="s">
        <v>7116</v>
      </c>
      <c r="N806" s="12" t="s">
        <v>5785</v>
      </c>
      <c r="O806" s="12" t="s">
        <v>178</v>
      </c>
      <c r="P806" s="12" t="s">
        <v>173</v>
      </c>
      <c r="Q806" s="12" t="s">
        <v>6664</v>
      </c>
      <c r="R806" s="12">
        <v>34.804894444444443</v>
      </c>
      <c r="S806" s="12">
        <v>72.318169444444436</v>
      </c>
      <c r="T806" s="12" t="s">
        <v>25</v>
      </c>
      <c r="U806" s="12" t="s">
        <v>17</v>
      </c>
      <c r="V806" s="12" t="s">
        <v>6639</v>
      </c>
      <c r="W806" s="12" t="s">
        <v>6639</v>
      </c>
      <c r="X806" s="12">
        <v>5.2127689999999998</v>
      </c>
      <c r="Y806" s="12">
        <v>1001498</v>
      </c>
      <c r="Z806" s="12" t="s">
        <v>6639</v>
      </c>
      <c r="AA806" s="12" t="s">
        <v>6639</v>
      </c>
      <c r="AB806" s="12" t="s">
        <v>4518</v>
      </c>
      <c r="AC806" s="12" t="s">
        <v>219</v>
      </c>
      <c r="AD806" s="12" t="s">
        <v>8105</v>
      </c>
      <c r="AE806" s="12" t="s">
        <v>8071</v>
      </c>
      <c r="AF806" s="12" t="s">
        <v>45</v>
      </c>
    </row>
    <row r="807" spans="1:32" x14ac:dyDescent="0.2">
      <c r="A807" s="12" t="s">
        <v>610</v>
      </c>
      <c r="B807" s="12" t="s">
        <v>610</v>
      </c>
      <c r="C807" s="12" t="s">
        <v>6960</v>
      </c>
      <c r="D807" s="12" t="s">
        <v>13</v>
      </c>
      <c r="E807" s="12" t="s">
        <v>8110</v>
      </c>
      <c r="F807" s="12" t="s">
        <v>8203</v>
      </c>
      <c r="G807" s="12" t="s">
        <v>5453</v>
      </c>
      <c r="H807" s="12" t="s">
        <v>6628</v>
      </c>
      <c r="I807" s="12">
        <v>1948</v>
      </c>
      <c r="J807" s="12" t="s">
        <v>8203</v>
      </c>
      <c r="K807" s="12" t="s">
        <v>179</v>
      </c>
      <c r="L807" s="12" t="s">
        <v>603</v>
      </c>
      <c r="M807" s="12" t="s">
        <v>603</v>
      </c>
      <c r="N807" s="12" t="s">
        <v>5785</v>
      </c>
      <c r="O807" s="12" t="s">
        <v>6946</v>
      </c>
      <c r="P807" s="12" t="s">
        <v>173</v>
      </c>
      <c r="Q807" s="12" t="s">
        <v>6664</v>
      </c>
      <c r="R807" s="12">
        <v>34.757005555555558</v>
      </c>
      <c r="S807" s="12">
        <v>72.362380555555546</v>
      </c>
      <c r="T807" s="12" t="s">
        <v>25</v>
      </c>
      <c r="U807" s="12" t="s">
        <v>613</v>
      </c>
      <c r="V807" s="12" t="s">
        <v>6639</v>
      </c>
      <c r="W807" s="12" t="s">
        <v>6639</v>
      </c>
      <c r="X807" s="12">
        <v>1.3298840000000001</v>
      </c>
      <c r="Y807" s="12">
        <v>690111</v>
      </c>
      <c r="Z807" s="12" t="s">
        <v>6639</v>
      </c>
      <c r="AA807" s="12" t="s">
        <v>6639</v>
      </c>
      <c r="AB807" s="12" t="s">
        <v>611</v>
      </c>
      <c r="AC807" s="12" t="s">
        <v>21</v>
      </c>
      <c r="AD807" s="12">
        <v>0.14799999999999999</v>
      </c>
      <c r="AE807" s="12">
        <v>0.99399999999999999</v>
      </c>
      <c r="AF807" s="12" t="s">
        <v>45</v>
      </c>
    </row>
    <row r="808" spans="1:32" x14ac:dyDescent="0.2">
      <c r="A808" s="12" t="s">
        <v>4546</v>
      </c>
      <c r="B808" s="12" t="s">
        <v>4546</v>
      </c>
      <c r="C808" s="12" t="s">
        <v>6956</v>
      </c>
      <c r="D808" s="12" t="s">
        <v>13</v>
      </c>
      <c r="E808" s="12" t="s">
        <v>8110</v>
      </c>
      <c r="F808" s="12" t="s">
        <v>4549</v>
      </c>
      <c r="G808" s="12" t="s">
        <v>5453</v>
      </c>
      <c r="H808" s="12" t="s">
        <v>6618</v>
      </c>
      <c r="I808" s="12">
        <v>1942</v>
      </c>
      <c r="J808" s="12" t="s">
        <v>4549</v>
      </c>
      <c r="K808" s="12" t="s">
        <v>179</v>
      </c>
      <c r="L808" s="12" t="s">
        <v>4547</v>
      </c>
      <c r="M808" s="12" t="s">
        <v>4547</v>
      </c>
      <c r="N808" s="12" t="s">
        <v>5785</v>
      </c>
      <c r="O808" s="12" t="s">
        <v>7049</v>
      </c>
      <c r="P808" s="12" t="s">
        <v>173</v>
      </c>
      <c r="Q808" s="12" t="s">
        <v>6664</v>
      </c>
      <c r="R808" s="12">
        <v>34.761405555555555</v>
      </c>
      <c r="S808" s="12">
        <v>72.370080555555546</v>
      </c>
      <c r="T808" s="12" t="s">
        <v>11</v>
      </c>
      <c r="U808" s="12" t="s">
        <v>4117</v>
      </c>
      <c r="V808" s="12" t="s">
        <v>954</v>
      </c>
      <c r="W808" s="12" t="s">
        <v>7415</v>
      </c>
      <c r="X808" s="12">
        <v>1.5965929999999999</v>
      </c>
      <c r="Y808" s="12">
        <v>714449</v>
      </c>
      <c r="Z808" s="12">
        <v>2.1749999999999999E-3</v>
      </c>
      <c r="AA808" s="12">
        <v>1.4232663143946209</v>
      </c>
      <c r="AB808" s="12" t="s">
        <v>4548</v>
      </c>
      <c r="AC808" s="12" t="s">
        <v>21</v>
      </c>
      <c r="AD808" s="12">
        <v>9.8000000000000004E-2</v>
      </c>
      <c r="AE808" s="12">
        <v>0.99299999999999999</v>
      </c>
      <c r="AF808" s="12" t="s">
        <v>45</v>
      </c>
    </row>
    <row r="809" spans="1:32" x14ac:dyDescent="0.2">
      <c r="A809" s="12" t="s">
        <v>3212</v>
      </c>
      <c r="B809" s="12" t="s">
        <v>3212</v>
      </c>
      <c r="C809" s="12" t="s">
        <v>7529</v>
      </c>
      <c r="D809" s="12" t="s">
        <v>105</v>
      </c>
      <c r="E809" s="12" t="s">
        <v>8109</v>
      </c>
      <c r="F809" s="12" t="s">
        <v>5458</v>
      </c>
      <c r="G809" s="12" t="s">
        <v>5453</v>
      </c>
      <c r="H809" s="12" t="s">
        <v>6618</v>
      </c>
      <c r="I809" s="12">
        <v>1450</v>
      </c>
      <c r="J809" s="12" t="s">
        <v>3210</v>
      </c>
      <c r="K809" s="12" t="s">
        <v>179</v>
      </c>
      <c r="L809" s="12" t="s">
        <v>7047</v>
      </c>
      <c r="M809" s="12" t="s">
        <v>7048</v>
      </c>
      <c r="N809" s="12" t="s">
        <v>24</v>
      </c>
      <c r="O809" s="12" t="s">
        <v>6949</v>
      </c>
      <c r="P809" s="12" t="s">
        <v>173</v>
      </c>
      <c r="Q809" s="12" t="s">
        <v>6664</v>
      </c>
      <c r="R809" s="12">
        <v>36.280247000000003</v>
      </c>
      <c r="S809" s="12">
        <v>72.414702000000005</v>
      </c>
      <c r="T809" s="12" t="s">
        <v>11</v>
      </c>
      <c r="U809" s="12" t="s">
        <v>3213</v>
      </c>
      <c r="V809" s="12" t="s">
        <v>6879</v>
      </c>
      <c r="W809" s="12" t="s">
        <v>7415</v>
      </c>
      <c r="X809" s="12">
        <v>8.8730000000000007E-3</v>
      </c>
      <c r="Y809" s="12">
        <v>10550</v>
      </c>
      <c r="Z809" s="12" t="s">
        <v>8052</v>
      </c>
      <c r="AA809" s="12" t="s">
        <v>8052</v>
      </c>
      <c r="AB809" s="12" t="s">
        <v>3211</v>
      </c>
      <c r="AC809" s="12" t="s">
        <v>21</v>
      </c>
      <c r="AD809" s="12">
        <v>8.2000000000000003E-2</v>
      </c>
      <c r="AE809" s="12">
        <v>0.93700000000000006</v>
      </c>
      <c r="AF809" s="12" t="s">
        <v>6632</v>
      </c>
    </row>
    <row r="810" spans="1:32" x14ac:dyDescent="0.2">
      <c r="A810" s="12" t="s">
        <v>3209</v>
      </c>
      <c r="B810" s="12" t="s">
        <v>3209</v>
      </c>
      <c r="C810" s="12" t="s">
        <v>7581</v>
      </c>
      <c r="D810" s="12" t="s">
        <v>105</v>
      </c>
      <c r="E810" s="12" t="s">
        <v>8109</v>
      </c>
      <c r="F810" s="12" t="s">
        <v>5458</v>
      </c>
      <c r="G810" s="12" t="s">
        <v>5453</v>
      </c>
      <c r="H810" s="12" t="s">
        <v>6618</v>
      </c>
      <c r="I810" s="12">
        <v>1450</v>
      </c>
      <c r="J810" s="12" t="s">
        <v>3210</v>
      </c>
      <c r="K810" s="12" t="s">
        <v>179</v>
      </c>
      <c r="L810" s="12" t="s">
        <v>7047</v>
      </c>
      <c r="M810" s="12" t="s">
        <v>7048</v>
      </c>
      <c r="N810" s="12" t="s">
        <v>24</v>
      </c>
      <c r="O810" s="12" t="s">
        <v>6949</v>
      </c>
      <c r="P810" s="12" t="s">
        <v>173</v>
      </c>
      <c r="Q810" s="12" t="s">
        <v>6664</v>
      </c>
      <c r="R810" s="12">
        <v>36.280247000000003</v>
      </c>
      <c r="S810" s="12">
        <v>72.414702000000005</v>
      </c>
      <c r="T810" s="12" t="s">
        <v>11</v>
      </c>
      <c r="U810" s="12" t="s">
        <v>17</v>
      </c>
      <c r="V810" s="12" t="s">
        <v>253</v>
      </c>
      <c r="W810" s="12" t="s">
        <v>7415</v>
      </c>
      <c r="X810" s="12">
        <v>1.503E-3</v>
      </c>
      <c r="Y810" s="12">
        <v>1794</v>
      </c>
      <c r="Z810" s="12" t="s">
        <v>8052</v>
      </c>
      <c r="AA810" s="12" t="s">
        <v>8052</v>
      </c>
      <c r="AB810" s="12" t="s">
        <v>3208</v>
      </c>
      <c r="AC810" s="12" t="s">
        <v>21</v>
      </c>
      <c r="AD810" s="12">
        <v>5.0999999999999997E-2</v>
      </c>
      <c r="AE810" s="12" t="s">
        <v>7796</v>
      </c>
      <c r="AF810" s="12" t="s">
        <v>6636</v>
      </c>
    </row>
    <row r="811" spans="1:32" x14ac:dyDescent="0.2">
      <c r="A811" s="12" t="s">
        <v>4529</v>
      </c>
      <c r="B811" s="12" t="s">
        <v>4529</v>
      </c>
      <c r="C811" s="12" t="s">
        <v>7530</v>
      </c>
      <c r="D811" s="12" t="s">
        <v>17</v>
      </c>
      <c r="E811" s="12" t="s">
        <v>8110</v>
      </c>
      <c r="F811" s="12" t="s">
        <v>4531</v>
      </c>
      <c r="G811" s="12" t="s">
        <v>5453</v>
      </c>
      <c r="H811" s="12" t="s">
        <v>6618</v>
      </c>
      <c r="I811" s="12">
        <v>1143</v>
      </c>
      <c r="J811" s="12" t="s">
        <v>4531</v>
      </c>
      <c r="K811" s="12" t="s">
        <v>179</v>
      </c>
      <c r="L811" s="12" t="s">
        <v>7044</v>
      </c>
      <c r="M811" s="12" t="s">
        <v>7151</v>
      </c>
      <c r="N811" s="12" t="s">
        <v>5785</v>
      </c>
      <c r="O811" s="12" t="s">
        <v>6949</v>
      </c>
      <c r="P811" s="12" t="s">
        <v>173</v>
      </c>
      <c r="Q811" s="12" t="s">
        <v>6664</v>
      </c>
      <c r="R811" s="12">
        <v>36.280247000000003</v>
      </c>
      <c r="S811" s="12">
        <v>72.414702000000005</v>
      </c>
      <c r="T811" s="12" t="s">
        <v>11</v>
      </c>
      <c r="U811" s="12" t="s">
        <v>3213</v>
      </c>
      <c r="V811" s="12" t="s">
        <v>262</v>
      </c>
      <c r="W811" s="12" t="s">
        <v>7415</v>
      </c>
      <c r="X811" s="12">
        <v>7.7326000000000006E-2</v>
      </c>
      <c r="Y811" s="12">
        <v>87450</v>
      </c>
      <c r="Z811" s="12" t="s">
        <v>8052</v>
      </c>
      <c r="AA811" s="12" t="s">
        <v>8052</v>
      </c>
      <c r="AB811" s="12" t="s">
        <v>4530</v>
      </c>
      <c r="AC811" s="12" t="s">
        <v>340</v>
      </c>
      <c r="AD811" s="12" t="s">
        <v>7829</v>
      </c>
      <c r="AE811" s="12" t="s">
        <v>7706</v>
      </c>
      <c r="AF811" s="12" t="s">
        <v>7660</v>
      </c>
    </row>
    <row r="812" spans="1:32" x14ac:dyDescent="0.2">
      <c r="A812" s="12" t="s">
        <v>607</v>
      </c>
      <c r="B812" s="12" t="s">
        <v>607</v>
      </c>
      <c r="C812" s="12" t="s">
        <v>6962</v>
      </c>
      <c r="D812" s="12" t="s">
        <v>13</v>
      </c>
      <c r="E812" s="12" t="s">
        <v>8110</v>
      </c>
      <c r="F812" s="12" t="s">
        <v>8202</v>
      </c>
      <c r="G812" s="12" t="s">
        <v>5453</v>
      </c>
      <c r="H812" s="12" t="s">
        <v>6628</v>
      </c>
      <c r="I812" s="12">
        <v>863</v>
      </c>
      <c r="J812" s="12" t="s">
        <v>8202</v>
      </c>
      <c r="K812" s="12" t="s">
        <v>179</v>
      </c>
      <c r="L812" s="12" t="s">
        <v>603</v>
      </c>
      <c r="M812" s="12" t="s">
        <v>603</v>
      </c>
      <c r="N812" s="12" t="s">
        <v>5785</v>
      </c>
      <c r="O812" s="12" t="s">
        <v>6946</v>
      </c>
      <c r="P812" s="12" t="s">
        <v>173</v>
      </c>
      <c r="Q812" s="12" t="s">
        <v>6664</v>
      </c>
      <c r="R812" s="16">
        <v>34.677602777777778</v>
      </c>
      <c r="S812" s="16">
        <v>72.212480555555558</v>
      </c>
      <c r="T812" s="12" t="s">
        <v>25</v>
      </c>
      <c r="U812" s="12" t="s">
        <v>609</v>
      </c>
      <c r="V812" s="12" t="s">
        <v>6639</v>
      </c>
      <c r="W812" s="12" t="s">
        <v>6639</v>
      </c>
      <c r="X812" s="12">
        <v>3.2578200000000002</v>
      </c>
      <c r="Y812" s="12">
        <v>810497</v>
      </c>
      <c r="Z812" s="12" t="s">
        <v>6639</v>
      </c>
      <c r="AA812" s="12" t="s">
        <v>6639</v>
      </c>
      <c r="AB812" s="12" t="s">
        <v>608</v>
      </c>
      <c r="AC812" s="12" t="s">
        <v>21</v>
      </c>
      <c r="AD812" s="12">
        <v>0.13</v>
      </c>
      <c r="AE812" s="12">
        <v>0.998</v>
      </c>
      <c r="AF812" s="12" t="s">
        <v>45</v>
      </c>
    </row>
    <row r="813" spans="1:32" x14ac:dyDescent="0.2">
      <c r="A813" s="12" t="s">
        <v>4539</v>
      </c>
      <c r="B813" s="12" t="s">
        <v>4539</v>
      </c>
      <c r="C813" s="12" t="s">
        <v>7553</v>
      </c>
      <c r="D813" s="12" t="s">
        <v>143</v>
      </c>
      <c r="E813" s="12" t="s">
        <v>8110</v>
      </c>
      <c r="F813" s="12" t="s">
        <v>4541</v>
      </c>
      <c r="G813" s="12" t="s">
        <v>5453</v>
      </c>
      <c r="H813" s="12" t="s">
        <v>6627</v>
      </c>
      <c r="I813" s="12">
        <v>828</v>
      </c>
      <c r="J813" s="12" t="s">
        <v>4541</v>
      </c>
      <c r="K813" s="12" t="s">
        <v>179</v>
      </c>
      <c r="L813" s="12" t="s">
        <v>7044</v>
      </c>
      <c r="M813" s="12" t="s">
        <v>7046</v>
      </c>
      <c r="N813" s="12" t="s">
        <v>5785</v>
      </c>
      <c r="O813" s="12" t="s">
        <v>7446</v>
      </c>
      <c r="P813" s="12" t="s">
        <v>173</v>
      </c>
      <c r="Q813" s="12" t="s">
        <v>6664</v>
      </c>
      <c r="R813" s="61">
        <v>36.743166670000001</v>
      </c>
      <c r="S813" s="12">
        <v>72.314166670000006</v>
      </c>
      <c r="T813" s="12" t="s">
        <v>11</v>
      </c>
      <c r="U813" s="12" t="s">
        <v>4542</v>
      </c>
      <c r="V813" s="12" t="s">
        <v>606</v>
      </c>
      <c r="W813" s="12" t="s">
        <v>7415</v>
      </c>
      <c r="X813" s="12">
        <v>1.4350000000000001</v>
      </c>
      <c r="Y813" s="12">
        <v>625567</v>
      </c>
      <c r="Z813" s="12">
        <v>5.3020000000000003E-3</v>
      </c>
      <c r="AA813" s="12">
        <v>2.9093024149075686</v>
      </c>
      <c r="AB813" s="12" t="s">
        <v>4540</v>
      </c>
      <c r="AC813" s="12" t="s">
        <v>21</v>
      </c>
      <c r="AD813" s="12">
        <v>9.8000000000000004E-2</v>
      </c>
      <c r="AE813" s="12">
        <v>0.99399999999999999</v>
      </c>
      <c r="AF813" s="12" t="s">
        <v>82</v>
      </c>
    </row>
    <row r="814" spans="1:32" x14ac:dyDescent="0.2">
      <c r="A814" s="12" t="s">
        <v>4543</v>
      </c>
      <c r="B814" s="12" t="s">
        <v>4543</v>
      </c>
      <c r="C814" s="12" t="s">
        <v>7554</v>
      </c>
      <c r="D814" s="12" t="s">
        <v>105</v>
      </c>
      <c r="E814" s="12" t="s">
        <v>8110</v>
      </c>
      <c r="F814" s="12" t="s">
        <v>5458</v>
      </c>
      <c r="G814" s="12" t="s">
        <v>5453</v>
      </c>
      <c r="H814" s="12" t="s">
        <v>6627</v>
      </c>
      <c r="I814" s="12">
        <v>825</v>
      </c>
      <c r="J814" s="12" t="s">
        <v>4545</v>
      </c>
      <c r="K814" s="12" t="s">
        <v>179</v>
      </c>
      <c r="L814" s="12" t="s">
        <v>8179</v>
      </c>
      <c r="M814" s="12" t="s">
        <v>8180</v>
      </c>
      <c r="N814" s="12" t="s">
        <v>24</v>
      </c>
      <c r="O814" s="12" t="s">
        <v>7446</v>
      </c>
      <c r="P814" s="12" t="s">
        <v>173</v>
      </c>
      <c r="Q814" s="12" t="s">
        <v>6664</v>
      </c>
      <c r="R814" s="61">
        <v>36.743166670000001</v>
      </c>
      <c r="S814" s="12">
        <v>72.314166670000006</v>
      </c>
      <c r="T814" s="12" t="s">
        <v>11</v>
      </c>
      <c r="U814" s="12" t="s">
        <v>17</v>
      </c>
      <c r="V814" s="12" t="s">
        <v>1375</v>
      </c>
      <c r="W814" s="12" t="s">
        <v>7160</v>
      </c>
      <c r="X814" s="12">
        <v>0.56529099999999999</v>
      </c>
      <c r="Y814" s="12">
        <v>467765</v>
      </c>
      <c r="Z814" s="12">
        <v>2.3112000000000001E-2</v>
      </c>
      <c r="AA814" s="12">
        <v>3.1392312632227486</v>
      </c>
      <c r="AB814" s="12" t="s">
        <v>4544</v>
      </c>
      <c r="AC814" s="12" t="s">
        <v>219</v>
      </c>
      <c r="AD814" s="12" t="s">
        <v>7807</v>
      </c>
      <c r="AE814" s="12" t="s">
        <v>7679</v>
      </c>
      <c r="AF814" s="12" t="s">
        <v>7671</v>
      </c>
    </row>
    <row r="815" spans="1:32" x14ac:dyDescent="0.2">
      <c r="A815" s="12" t="s">
        <v>4536</v>
      </c>
      <c r="B815" s="12" t="s">
        <v>4536</v>
      </c>
      <c r="C815" s="12" t="s">
        <v>7555</v>
      </c>
      <c r="D815" s="12" t="s">
        <v>13</v>
      </c>
      <c r="E815" s="12" t="s">
        <v>8110</v>
      </c>
      <c r="F815" s="12" t="s">
        <v>4538</v>
      </c>
      <c r="G815" s="12" t="s">
        <v>5453</v>
      </c>
      <c r="H815" s="12" t="s">
        <v>6628</v>
      </c>
      <c r="I815" s="12">
        <v>741</v>
      </c>
      <c r="J815" s="12" t="s">
        <v>4538</v>
      </c>
      <c r="K815" s="12" t="s">
        <v>179</v>
      </c>
      <c r="L815" s="12" t="s">
        <v>7044</v>
      </c>
      <c r="M815" s="12" t="s">
        <v>7046</v>
      </c>
      <c r="N815" s="12" t="s">
        <v>5785</v>
      </c>
      <c r="O815" s="12" t="s">
        <v>7446</v>
      </c>
      <c r="P815" s="12" t="s">
        <v>173</v>
      </c>
      <c r="Q815" s="12" t="s">
        <v>6664</v>
      </c>
      <c r="R815" s="61">
        <v>36.743166670000001</v>
      </c>
      <c r="S815" s="12">
        <v>72.314166670000006</v>
      </c>
      <c r="T815" s="12" t="s">
        <v>11</v>
      </c>
      <c r="U815" s="12" t="s">
        <v>2654</v>
      </c>
      <c r="V815" s="12" t="s">
        <v>500</v>
      </c>
      <c r="W815" s="12" t="s">
        <v>7415</v>
      </c>
      <c r="X815" s="12">
        <v>4.2892780000000004</v>
      </c>
      <c r="Y815" s="12">
        <v>899897</v>
      </c>
      <c r="Z815" s="12">
        <v>5.914E-3</v>
      </c>
      <c r="AA815" s="12">
        <v>5.1916357954246184</v>
      </c>
      <c r="AB815" s="12" t="s">
        <v>4537</v>
      </c>
      <c r="AC815" s="12" t="s">
        <v>21</v>
      </c>
      <c r="AD815" s="12">
        <v>0.115</v>
      </c>
      <c r="AE815" s="12">
        <v>0.995</v>
      </c>
      <c r="AF815" s="12" t="s">
        <v>436</v>
      </c>
    </row>
    <row r="816" spans="1:32" x14ac:dyDescent="0.2">
      <c r="A816" s="12" t="s">
        <v>4495</v>
      </c>
      <c r="B816" s="12" t="s">
        <v>4495</v>
      </c>
      <c r="C816" s="12" t="s">
        <v>6963</v>
      </c>
      <c r="D816" s="12" t="s">
        <v>13</v>
      </c>
      <c r="E816" s="12" t="s">
        <v>8110</v>
      </c>
      <c r="F816" s="12" t="s">
        <v>4497</v>
      </c>
      <c r="G816" s="12" t="s">
        <v>5453</v>
      </c>
      <c r="H816" s="12" t="s">
        <v>6628</v>
      </c>
      <c r="I816" s="12">
        <v>617</v>
      </c>
      <c r="J816" s="12" t="s">
        <v>4497</v>
      </c>
      <c r="K816" s="12" t="s">
        <v>179</v>
      </c>
      <c r="L816" s="12" t="s">
        <v>7044</v>
      </c>
      <c r="M816" s="12" t="s">
        <v>7400</v>
      </c>
      <c r="N816" s="12" t="s">
        <v>5785</v>
      </c>
      <c r="O816" s="12" t="s">
        <v>6946</v>
      </c>
      <c r="P816" s="12" t="s">
        <v>173</v>
      </c>
      <c r="Q816" s="12" t="s">
        <v>6664</v>
      </c>
      <c r="R816" s="16">
        <v>34.757005555555558</v>
      </c>
      <c r="S816" s="16">
        <v>72.362380555555546</v>
      </c>
      <c r="T816" s="12" t="s">
        <v>11</v>
      </c>
      <c r="U816" s="12" t="s">
        <v>4498</v>
      </c>
      <c r="V816" s="12" t="s">
        <v>954</v>
      </c>
      <c r="W816" s="12" t="s">
        <v>7415</v>
      </c>
      <c r="X816" s="12">
        <v>4.4490809999999996</v>
      </c>
      <c r="Y816" s="12">
        <v>914627</v>
      </c>
      <c r="Z816" s="12">
        <v>6.1710000000000003E-3</v>
      </c>
      <c r="AA816" s="12">
        <v>5.7907884142942674</v>
      </c>
      <c r="AB816" s="12" t="s">
        <v>4496</v>
      </c>
      <c r="AC816" s="12" t="s">
        <v>21</v>
      </c>
      <c r="AD816" s="12">
        <v>9.9000000000000005E-2</v>
      </c>
      <c r="AE816" s="12">
        <v>0.99299999999999999</v>
      </c>
      <c r="AF816" s="12" t="s">
        <v>436</v>
      </c>
    </row>
    <row r="817" spans="1:40" x14ac:dyDescent="0.2">
      <c r="A817" s="12" t="s">
        <v>602</v>
      </c>
      <c r="B817" s="12" t="s">
        <v>602</v>
      </c>
      <c r="C817" s="12" t="s">
        <v>6961</v>
      </c>
      <c r="D817" s="12" t="s">
        <v>13</v>
      </c>
      <c r="E817" s="12" t="s">
        <v>8110</v>
      </c>
      <c r="F817" s="12" t="s">
        <v>8201</v>
      </c>
      <c r="G817" s="12" t="s">
        <v>5453</v>
      </c>
      <c r="H817" s="12" t="s">
        <v>6628</v>
      </c>
      <c r="I817" s="12">
        <v>610</v>
      </c>
      <c r="J817" s="12" t="s">
        <v>8201</v>
      </c>
      <c r="K817" s="12" t="s">
        <v>179</v>
      </c>
      <c r="L817" s="12" t="s">
        <v>603</v>
      </c>
      <c r="M817" s="12" t="s">
        <v>603</v>
      </c>
      <c r="N817" s="12" t="s">
        <v>5785</v>
      </c>
      <c r="O817" s="12" t="s">
        <v>6946</v>
      </c>
      <c r="P817" s="12" t="s">
        <v>173</v>
      </c>
      <c r="Q817" s="12" t="s">
        <v>6664</v>
      </c>
      <c r="R817" s="12">
        <v>34.677602777777778</v>
      </c>
      <c r="S817" s="12">
        <v>72.212480555555558</v>
      </c>
      <c r="T817" s="12" t="s">
        <v>11</v>
      </c>
      <c r="U817" s="12" t="s">
        <v>605</v>
      </c>
      <c r="V817" s="12" t="s">
        <v>606</v>
      </c>
      <c r="W817" s="12" t="s">
        <v>7415</v>
      </c>
      <c r="X817" s="12">
        <v>4.3590629999999999</v>
      </c>
      <c r="Y817" s="12">
        <v>894836</v>
      </c>
      <c r="Z817" s="12">
        <v>5.9870000000000001E-3</v>
      </c>
      <c r="AA817" s="12">
        <v>5.6211634409369422</v>
      </c>
      <c r="AB817" s="12" t="s">
        <v>604</v>
      </c>
      <c r="AC817" s="12" t="s">
        <v>21</v>
      </c>
      <c r="AD817" s="12">
        <v>0.114</v>
      </c>
      <c r="AE817" s="12">
        <v>0.99399999999999999</v>
      </c>
      <c r="AF817" s="12" t="s">
        <v>436</v>
      </c>
    </row>
    <row r="818" spans="1:40" x14ac:dyDescent="0.2">
      <c r="A818" s="12" t="s">
        <v>4532</v>
      </c>
      <c r="B818" s="12" t="s">
        <v>4532</v>
      </c>
      <c r="C818" s="12" t="s">
        <v>7542</v>
      </c>
      <c r="D818" s="12" t="s">
        <v>100</v>
      </c>
      <c r="E818" s="12" t="s">
        <v>8110</v>
      </c>
      <c r="F818" s="12" t="s">
        <v>4534</v>
      </c>
      <c r="G818" s="12" t="s">
        <v>5453</v>
      </c>
      <c r="H818" s="12" t="s">
        <v>6618</v>
      </c>
      <c r="I818" s="12">
        <v>383</v>
      </c>
      <c r="J818" s="12" t="s">
        <v>4534</v>
      </c>
      <c r="K818" s="12" t="s">
        <v>179</v>
      </c>
      <c r="L818" s="12" t="s">
        <v>7044</v>
      </c>
      <c r="M818" s="12" t="s">
        <v>7045</v>
      </c>
      <c r="N818" s="12" t="s">
        <v>5785</v>
      </c>
      <c r="O818" s="12" t="s">
        <v>6950</v>
      </c>
      <c r="P818" s="12" t="s">
        <v>173</v>
      </c>
      <c r="Q818" s="12" t="s">
        <v>6664</v>
      </c>
      <c r="R818" s="12">
        <v>36.280277779999999</v>
      </c>
      <c r="S818" s="12">
        <v>72.414669439999997</v>
      </c>
      <c r="T818" s="12" t="s">
        <v>11</v>
      </c>
      <c r="U818" s="12" t="s">
        <v>4535</v>
      </c>
      <c r="V818" s="12" t="s">
        <v>1339</v>
      </c>
      <c r="W818" s="12" t="s">
        <v>7415</v>
      </c>
      <c r="X818" s="12">
        <v>0.81428299999999998</v>
      </c>
      <c r="Y818" s="12">
        <v>534798</v>
      </c>
      <c r="Z818" s="12">
        <v>4.313E-3</v>
      </c>
      <c r="AA818" s="12">
        <v>1.6328944369524048</v>
      </c>
      <c r="AB818" s="12" t="s">
        <v>4533</v>
      </c>
      <c r="AC818" s="12" t="s">
        <v>340</v>
      </c>
      <c r="AD818" s="12" t="s">
        <v>7847</v>
      </c>
      <c r="AE818" s="12" t="s">
        <v>7759</v>
      </c>
      <c r="AF818" s="12" t="s">
        <v>45</v>
      </c>
    </row>
    <row r="819" spans="1:40" x14ac:dyDescent="0.2">
      <c r="A819" s="12" t="s">
        <v>3999</v>
      </c>
      <c r="B819" s="12" t="s">
        <v>3999</v>
      </c>
      <c r="C819" s="12" t="s">
        <v>7551</v>
      </c>
      <c r="D819" s="12" t="s">
        <v>13</v>
      </c>
      <c r="E819" s="12" t="s">
        <v>8110</v>
      </c>
      <c r="F819" s="12" t="s">
        <v>5458</v>
      </c>
      <c r="G819" s="12" t="s">
        <v>5453</v>
      </c>
      <c r="H819" s="12" t="s">
        <v>6628</v>
      </c>
      <c r="I819" s="12">
        <v>3213</v>
      </c>
      <c r="J819" s="12" t="s">
        <v>6918</v>
      </c>
      <c r="K819" s="12" t="s">
        <v>8211</v>
      </c>
      <c r="L819" s="12" t="s">
        <v>3921</v>
      </c>
      <c r="M819" s="12" t="s">
        <v>3942</v>
      </c>
      <c r="N819" s="12" t="s">
        <v>5785</v>
      </c>
      <c r="O819" s="12" t="s">
        <v>6951</v>
      </c>
      <c r="P819" s="12" t="s">
        <v>173</v>
      </c>
      <c r="Q819" s="12" t="s">
        <v>6664</v>
      </c>
      <c r="R819" s="12">
        <v>34.748763888888888</v>
      </c>
      <c r="S819" s="12">
        <v>72.308358333333331</v>
      </c>
      <c r="T819" s="12" t="s">
        <v>11</v>
      </c>
      <c r="U819" s="12" t="s">
        <v>17</v>
      </c>
      <c r="V819" s="12" t="s">
        <v>485</v>
      </c>
      <c r="W819" s="12" t="s">
        <v>7415</v>
      </c>
      <c r="X819" s="12">
        <v>2.1158600000000001</v>
      </c>
      <c r="Y819" s="12">
        <v>764737</v>
      </c>
      <c r="Z819" s="12">
        <v>5.7619999999999998E-3</v>
      </c>
      <c r="AA819" s="12">
        <v>3.3547200130416051</v>
      </c>
      <c r="AB819" s="12" t="s">
        <v>4000</v>
      </c>
      <c r="AC819" s="12" t="s">
        <v>21</v>
      </c>
      <c r="AD819" s="12">
        <v>0.15</v>
      </c>
      <c r="AE819" s="12">
        <v>0.96399999999999997</v>
      </c>
      <c r="AF819" s="12" t="s">
        <v>436</v>
      </c>
    </row>
    <row r="820" spans="1:40" x14ac:dyDescent="0.2">
      <c r="A820" s="12" t="s">
        <v>4067</v>
      </c>
      <c r="B820" s="12" t="s">
        <v>4067</v>
      </c>
      <c r="C820" s="12" t="s">
        <v>7543</v>
      </c>
      <c r="D820" s="12" t="s">
        <v>100</v>
      </c>
      <c r="E820" s="12" t="s">
        <v>8110</v>
      </c>
      <c r="F820" s="12" t="s">
        <v>4069</v>
      </c>
      <c r="G820" s="12" t="s">
        <v>5453</v>
      </c>
      <c r="H820" s="12" t="s">
        <v>6628</v>
      </c>
      <c r="I820" s="12">
        <v>3157</v>
      </c>
      <c r="J820" s="12" t="s">
        <v>6922</v>
      </c>
      <c r="K820" s="12" t="s">
        <v>8211</v>
      </c>
      <c r="L820" s="12" t="s">
        <v>3921</v>
      </c>
      <c r="M820" s="12" t="s">
        <v>3942</v>
      </c>
      <c r="N820" s="12" t="s">
        <v>5785</v>
      </c>
      <c r="O820" s="12" t="s">
        <v>6951</v>
      </c>
      <c r="P820" s="12" t="s">
        <v>173</v>
      </c>
      <c r="Q820" s="12" t="s">
        <v>6664</v>
      </c>
      <c r="R820" s="12">
        <v>34.748763888888888</v>
      </c>
      <c r="S820" s="12">
        <v>72.308358333333331</v>
      </c>
      <c r="T820" s="12" t="s">
        <v>11</v>
      </c>
      <c r="U820" s="12" t="s">
        <v>4070</v>
      </c>
      <c r="V820" s="12" t="s">
        <v>485</v>
      </c>
      <c r="W820" s="12" t="s">
        <v>7160</v>
      </c>
      <c r="X820" s="12">
        <v>3.6386250000000002</v>
      </c>
      <c r="Y820" s="12">
        <v>817478</v>
      </c>
      <c r="Z820" s="12">
        <v>5.7910000000000001E-3</v>
      </c>
      <c r="AA820" s="12">
        <v>5.0551827626211532</v>
      </c>
      <c r="AB820" s="12" t="s">
        <v>4068</v>
      </c>
      <c r="AC820" s="12" t="s">
        <v>58</v>
      </c>
      <c r="AD820" s="12" t="s">
        <v>7925</v>
      </c>
      <c r="AE820" s="12" t="s">
        <v>8061</v>
      </c>
      <c r="AF820" s="12" t="s">
        <v>436</v>
      </c>
    </row>
    <row r="821" spans="1:40" x14ac:dyDescent="0.2">
      <c r="A821" s="12" t="s">
        <v>4003</v>
      </c>
      <c r="B821" s="12" t="s">
        <v>4003</v>
      </c>
      <c r="C821" s="12" t="s">
        <v>6914</v>
      </c>
      <c r="D821" s="12" t="s">
        <v>13</v>
      </c>
      <c r="E821" s="12" t="s">
        <v>8110</v>
      </c>
      <c r="F821" s="12" t="s">
        <v>5458</v>
      </c>
      <c r="G821" s="12" t="s">
        <v>5453</v>
      </c>
      <c r="H821" s="12" t="s">
        <v>6628</v>
      </c>
      <c r="I821" s="12">
        <f>ROUND(1950+(1372+1027)/2,0)</f>
        <v>3150</v>
      </c>
      <c r="J821" s="12" t="s">
        <v>6929</v>
      </c>
      <c r="K821" s="12" t="s">
        <v>8211</v>
      </c>
      <c r="L821" s="12" t="s">
        <v>3921</v>
      </c>
      <c r="M821" s="12" t="s">
        <v>7118</v>
      </c>
      <c r="N821" s="12" t="s">
        <v>5785</v>
      </c>
      <c r="O821" s="12" t="s">
        <v>6948</v>
      </c>
      <c r="P821" s="12" t="s">
        <v>173</v>
      </c>
      <c r="Q821" s="12" t="s">
        <v>6664</v>
      </c>
      <c r="R821" s="16">
        <v>34.748763888888888</v>
      </c>
      <c r="S821" s="16">
        <v>72.308358333333331</v>
      </c>
      <c r="T821" s="12" t="s">
        <v>25</v>
      </c>
      <c r="U821" s="12" t="s">
        <v>4005</v>
      </c>
      <c r="V821" s="12" t="s">
        <v>6639</v>
      </c>
      <c r="W821" s="12" t="s">
        <v>6639</v>
      </c>
      <c r="X821" s="12">
        <v>0.84629900000000002</v>
      </c>
      <c r="Y821" s="12">
        <v>560056</v>
      </c>
      <c r="Z821" s="12" t="s">
        <v>6639</v>
      </c>
      <c r="AA821" s="12" t="s">
        <v>6639</v>
      </c>
      <c r="AB821" s="12" t="s">
        <v>4004</v>
      </c>
      <c r="AC821" s="12" t="s">
        <v>21</v>
      </c>
      <c r="AD821" s="12">
        <v>0.151</v>
      </c>
      <c r="AE821" s="12">
        <v>0.97899999999999998</v>
      </c>
      <c r="AF821" s="12" t="s">
        <v>45</v>
      </c>
    </row>
    <row r="822" spans="1:40" x14ac:dyDescent="0.2">
      <c r="A822" s="12" t="s">
        <v>4042</v>
      </c>
      <c r="B822" s="12" t="s">
        <v>4042</v>
      </c>
      <c r="C822" s="12" t="s">
        <v>7545</v>
      </c>
      <c r="D822" s="12" t="s">
        <v>143</v>
      </c>
      <c r="E822" s="12" t="s">
        <v>8110</v>
      </c>
      <c r="F822" s="12" t="s">
        <v>4046</v>
      </c>
      <c r="G822" s="12" t="s">
        <v>5453</v>
      </c>
      <c r="H822" s="12" t="s">
        <v>6618</v>
      </c>
      <c r="I822" s="12">
        <v>3074</v>
      </c>
      <c r="J822" s="12" t="s">
        <v>6920</v>
      </c>
      <c r="K822" s="12" t="s">
        <v>8211</v>
      </c>
      <c r="L822" s="12" t="s">
        <v>4044</v>
      </c>
      <c r="M822" s="12" t="s">
        <v>4043</v>
      </c>
      <c r="N822" s="12" t="s">
        <v>24</v>
      </c>
      <c r="O822" s="12" t="s">
        <v>6951</v>
      </c>
      <c r="P822" s="12" t="s">
        <v>173</v>
      </c>
      <c r="Q822" s="12" t="s">
        <v>6664</v>
      </c>
      <c r="R822" s="12">
        <v>34.748763888888888</v>
      </c>
      <c r="S822" s="12">
        <v>72.308358333333331</v>
      </c>
      <c r="T822" s="12" t="s">
        <v>25</v>
      </c>
      <c r="U822" s="12" t="s">
        <v>1601</v>
      </c>
      <c r="V822" s="12" t="s">
        <v>6639</v>
      </c>
      <c r="W822" s="12" t="s">
        <v>6639</v>
      </c>
      <c r="X822" s="12">
        <v>1.1399090000000001</v>
      </c>
      <c r="Y822" s="12">
        <v>627968</v>
      </c>
      <c r="Z822" s="12" t="s">
        <v>6639</v>
      </c>
      <c r="AA822" s="12" t="s">
        <v>6639</v>
      </c>
      <c r="AB822" s="12" t="s">
        <v>4045</v>
      </c>
      <c r="AC822" s="12" t="s">
        <v>58</v>
      </c>
      <c r="AD822" s="12" t="s">
        <v>7927</v>
      </c>
      <c r="AE822" s="12" t="s">
        <v>8064</v>
      </c>
      <c r="AF822" s="12" t="s">
        <v>45</v>
      </c>
    </row>
    <row r="823" spans="1:40" x14ac:dyDescent="0.2">
      <c r="A823" s="12" t="s">
        <v>4035</v>
      </c>
      <c r="B823" s="12" t="s">
        <v>4035</v>
      </c>
      <c r="C823" s="12" t="s">
        <v>7470</v>
      </c>
      <c r="D823" s="12" t="s">
        <v>13</v>
      </c>
      <c r="E823" s="12" t="s">
        <v>8108</v>
      </c>
      <c r="F823" s="60" t="s">
        <v>7663</v>
      </c>
      <c r="G823" s="12" t="s">
        <v>5453</v>
      </c>
      <c r="H823" s="12" t="s">
        <v>6618</v>
      </c>
      <c r="I823" s="64">
        <v>3061</v>
      </c>
      <c r="J823" s="60" t="s">
        <v>7663</v>
      </c>
      <c r="K823" s="12" t="s">
        <v>8211</v>
      </c>
      <c r="L823" s="12" t="s">
        <v>3921</v>
      </c>
      <c r="M823" s="12" t="s">
        <v>3959</v>
      </c>
      <c r="N823" s="12" t="s">
        <v>5785</v>
      </c>
      <c r="O823" s="12" t="s">
        <v>6947</v>
      </c>
      <c r="P823" s="12" t="s">
        <v>173</v>
      </c>
      <c r="Q823" s="12" t="s">
        <v>6664</v>
      </c>
      <c r="R823" s="16">
        <v>34.765841666666667</v>
      </c>
      <c r="S823" s="16">
        <v>72.349133333333327</v>
      </c>
      <c r="T823" s="12" t="s">
        <v>11</v>
      </c>
      <c r="U823" s="12" t="s">
        <v>4036</v>
      </c>
      <c r="V823" s="12" t="s">
        <v>802</v>
      </c>
      <c r="W823" s="12" t="s">
        <v>7415</v>
      </c>
      <c r="X823" s="12">
        <v>0.54534800000000005</v>
      </c>
      <c r="Y823" s="12">
        <v>430947</v>
      </c>
      <c r="Z823" s="12">
        <v>8.5269999999999999E-3</v>
      </c>
      <c r="AA823" s="12">
        <v>1.6816135759679336</v>
      </c>
      <c r="AB823" s="12" t="s">
        <v>4034</v>
      </c>
      <c r="AC823" s="12" t="s">
        <v>21</v>
      </c>
      <c r="AD823" s="12">
        <v>0.20699999999999999</v>
      </c>
      <c r="AE823" s="12">
        <v>0.996</v>
      </c>
      <c r="AF823" s="12" t="s">
        <v>45</v>
      </c>
      <c r="AL823" s="71"/>
      <c r="AM823" s="12"/>
      <c r="AN823" s="12"/>
    </row>
    <row r="824" spans="1:40" x14ac:dyDescent="0.2">
      <c r="A824" s="12" t="s">
        <v>4056</v>
      </c>
      <c r="B824" s="12" t="s">
        <v>4056</v>
      </c>
      <c r="C824" s="12" t="s">
        <v>7544</v>
      </c>
      <c r="D824" s="12" t="s">
        <v>143</v>
      </c>
      <c r="E824" s="12" t="s">
        <v>8110</v>
      </c>
      <c r="F824" s="12" t="s">
        <v>4060</v>
      </c>
      <c r="G824" s="12" t="s">
        <v>5453</v>
      </c>
      <c r="H824" s="12" t="s">
        <v>6627</v>
      </c>
      <c r="I824" s="12">
        <v>3037</v>
      </c>
      <c r="J824" s="12" t="s">
        <v>4060</v>
      </c>
      <c r="K824" s="12" t="s">
        <v>8211</v>
      </c>
      <c r="L824" s="12" t="s">
        <v>4058</v>
      </c>
      <c r="M824" s="12" t="s">
        <v>4057</v>
      </c>
      <c r="N824" s="12" t="s">
        <v>5785</v>
      </c>
      <c r="O824" s="12" t="s">
        <v>6951</v>
      </c>
      <c r="P824" s="12" t="s">
        <v>173</v>
      </c>
      <c r="Q824" s="12" t="s">
        <v>6664</v>
      </c>
      <c r="R824" s="12">
        <v>34.748763888888888</v>
      </c>
      <c r="S824" s="12">
        <v>72.308358333333331</v>
      </c>
      <c r="T824" s="12" t="s">
        <v>11</v>
      </c>
      <c r="U824" s="12" t="s">
        <v>4061</v>
      </c>
      <c r="V824" s="12" t="s">
        <v>4062</v>
      </c>
      <c r="W824" s="12" t="s">
        <v>7415</v>
      </c>
      <c r="X824" s="12">
        <v>3.9648000000000003E-2</v>
      </c>
      <c r="Y824" s="12">
        <v>45938</v>
      </c>
      <c r="Z824" s="12" t="s">
        <v>8052</v>
      </c>
      <c r="AA824" s="12" t="s">
        <v>8052</v>
      </c>
      <c r="AB824" s="12" t="s">
        <v>4059</v>
      </c>
      <c r="AC824" s="12" t="s">
        <v>340</v>
      </c>
      <c r="AD824" s="12" t="s">
        <v>7872</v>
      </c>
      <c r="AE824" s="12" t="s">
        <v>7695</v>
      </c>
      <c r="AF824" s="12" t="s">
        <v>4063</v>
      </c>
      <c r="AL824" s="71"/>
      <c r="AM824" s="12"/>
      <c r="AN824" s="12"/>
    </row>
    <row r="825" spans="1:40" x14ac:dyDescent="0.2">
      <c r="A825" s="12" t="s">
        <v>3948</v>
      </c>
      <c r="B825" s="12" t="s">
        <v>3948</v>
      </c>
      <c r="C825" s="12" t="s">
        <v>6925</v>
      </c>
      <c r="D825" s="12" t="s">
        <v>100</v>
      </c>
      <c r="E825" s="12" t="s">
        <v>8110</v>
      </c>
      <c r="F825" s="12" t="s">
        <v>3949</v>
      </c>
      <c r="G825" s="12" t="s">
        <v>5453</v>
      </c>
      <c r="H825" s="12" t="s">
        <v>6627</v>
      </c>
      <c r="I825" s="12">
        <v>2958</v>
      </c>
      <c r="J825" s="12" t="s">
        <v>6926</v>
      </c>
      <c r="K825" s="12" t="s">
        <v>8211</v>
      </c>
      <c r="L825" s="12" t="s">
        <v>3921</v>
      </c>
      <c r="M825" s="12" t="s">
        <v>3942</v>
      </c>
      <c r="N825" s="12" t="s">
        <v>5785</v>
      </c>
      <c r="O825" s="12" t="s">
        <v>6951</v>
      </c>
      <c r="P825" s="12" t="s">
        <v>173</v>
      </c>
      <c r="Q825" s="12" t="s">
        <v>6664</v>
      </c>
      <c r="R825" s="12">
        <v>34.748763888888888</v>
      </c>
      <c r="S825" s="12">
        <v>72.308358333333331</v>
      </c>
      <c r="T825" s="12" t="s">
        <v>11</v>
      </c>
      <c r="U825" s="12" t="s">
        <v>11</v>
      </c>
      <c r="V825" s="12" t="s">
        <v>3950</v>
      </c>
      <c r="W825" s="12" t="s">
        <v>7415</v>
      </c>
      <c r="X825" s="12">
        <v>4.204466</v>
      </c>
      <c r="Y825" s="12">
        <v>897462</v>
      </c>
      <c r="Z825" s="12">
        <v>4.3959999999999997E-3</v>
      </c>
      <c r="AA825" s="12">
        <v>4.5856539339663742</v>
      </c>
      <c r="AB825" s="12" t="s">
        <v>5741</v>
      </c>
      <c r="AC825" s="12" t="s">
        <v>3793</v>
      </c>
      <c r="AD825" s="12" t="s">
        <v>7868</v>
      </c>
      <c r="AE825" s="12" t="s">
        <v>8066</v>
      </c>
      <c r="AF825" s="12" t="s">
        <v>59</v>
      </c>
    </row>
    <row r="826" spans="1:40" x14ac:dyDescent="0.2">
      <c r="A826" s="12" t="s">
        <v>4006</v>
      </c>
      <c r="B826" s="12" t="s">
        <v>4006</v>
      </c>
      <c r="C826" s="12" t="s">
        <v>6913</v>
      </c>
      <c r="D826" s="12" t="s">
        <v>13</v>
      </c>
      <c r="E826" s="12" t="s">
        <v>8110</v>
      </c>
      <c r="F826" s="12" t="s">
        <v>5458</v>
      </c>
      <c r="G826" s="12" t="s">
        <v>5453</v>
      </c>
      <c r="H826" s="12" t="s">
        <v>6627</v>
      </c>
      <c r="I826" s="12">
        <v>2950</v>
      </c>
      <c r="J826" s="12" t="s">
        <v>6930</v>
      </c>
      <c r="K826" s="12" t="s">
        <v>8211</v>
      </c>
      <c r="L826" s="12" t="s">
        <v>3921</v>
      </c>
      <c r="M826" s="12" t="s">
        <v>7118</v>
      </c>
      <c r="N826" s="12" t="s">
        <v>5785</v>
      </c>
      <c r="O826" s="12" t="s">
        <v>6948</v>
      </c>
      <c r="P826" s="12" t="s">
        <v>173</v>
      </c>
      <c r="Q826" s="12" t="s">
        <v>6664</v>
      </c>
      <c r="R826" s="16">
        <v>34.748763888888888</v>
      </c>
      <c r="S826" s="16">
        <v>72.308358333333331</v>
      </c>
      <c r="T826" s="12" t="s">
        <v>11</v>
      </c>
      <c r="U826" s="12" t="s">
        <v>4008</v>
      </c>
      <c r="V826" s="12" t="s">
        <v>694</v>
      </c>
      <c r="W826" s="12" t="s">
        <v>7415</v>
      </c>
      <c r="X826" s="12">
        <v>3.8670749999999998</v>
      </c>
      <c r="Y826" s="12">
        <v>831565</v>
      </c>
      <c r="Z826" s="12">
        <v>7.9120000000000006E-3</v>
      </c>
      <c r="AA826" s="12">
        <v>6.1935500032094994</v>
      </c>
      <c r="AB826" s="12" t="s">
        <v>4007</v>
      </c>
      <c r="AC826" s="12" t="s">
        <v>21</v>
      </c>
      <c r="AD826" s="12">
        <v>0.16200000000000001</v>
      </c>
      <c r="AE826" s="12">
        <v>0.99099999999999999</v>
      </c>
      <c r="AF826" s="12" t="s">
        <v>152</v>
      </c>
    </row>
    <row r="827" spans="1:40" x14ac:dyDescent="0.2">
      <c r="A827" s="12" t="s">
        <v>3993</v>
      </c>
      <c r="B827" s="12" t="s">
        <v>3993</v>
      </c>
      <c r="C827" s="12" t="s">
        <v>7549</v>
      </c>
      <c r="D827" s="12" t="s">
        <v>13</v>
      </c>
      <c r="E827" s="12" t="s">
        <v>8110</v>
      </c>
      <c r="F827" s="12" t="s">
        <v>5458</v>
      </c>
      <c r="G827" s="12" t="s">
        <v>5453</v>
      </c>
      <c r="H827" s="12" t="s">
        <v>6628</v>
      </c>
      <c r="I827" s="12">
        <v>2950</v>
      </c>
      <c r="J827" s="12" t="s">
        <v>3989</v>
      </c>
      <c r="K827" s="12" t="s">
        <v>8211</v>
      </c>
      <c r="L827" s="12" t="s">
        <v>3921</v>
      </c>
      <c r="M827" s="12" t="s">
        <v>3942</v>
      </c>
      <c r="N827" s="12" t="s">
        <v>5785</v>
      </c>
      <c r="O827" s="12" t="s">
        <v>6951</v>
      </c>
      <c r="P827" s="12" t="s">
        <v>173</v>
      </c>
      <c r="Q827" s="12" t="s">
        <v>6664</v>
      </c>
      <c r="R827" s="16">
        <v>34.748763888888888</v>
      </c>
      <c r="S827" s="16">
        <v>72.308358333333331</v>
      </c>
      <c r="T827" s="12" t="s">
        <v>25</v>
      </c>
      <c r="U827" s="12" t="s">
        <v>17</v>
      </c>
      <c r="V827" s="12" t="s">
        <v>6639</v>
      </c>
      <c r="W827" s="12" t="s">
        <v>6639</v>
      </c>
      <c r="X827" s="12">
        <v>0.71881899999999999</v>
      </c>
      <c r="Y827" s="12">
        <v>515354</v>
      </c>
      <c r="Z827" s="12" t="s">
        <v>6639</v>
      </c>
      <c r="AA827" s="12" t="s">
        <v>6639</v>
      </c>
      <c r="AB827" s="12" t="s">
        <v>3994</v>
      </c>
      <c r="AC827" s="12" t="s">
        <v>21</v>
      </c>
      <c r="AD827" s="12">
        <v>0.104</v>
      </c>
      <c r="AE827" s="12">
        <v>0.997</v>
      </c>
      <c r="AF827" s="12" t="s">
        <v>45</v>
      </c>
    </row>
    <row r="828" spans="1:40" x14ac:dyDescent="0.2">
      <c r="A828" s="12" t="s">
        <v>4001</v>
      </c>
      <c r="B828" s="12" t="s">
        <v>4001</v>
      </c>
      <c r="C828" s="12" t="s">
        <v>7552</v>
      </c>
      <c r="D828" s="12" t="s">
        <v>13</v>
      </c>
      <c r="E828" s="12" t="s">
        <v>8110</v>
      </c>
      <c r="F828" s="12" t="s">
        <v>5458</v>
      </c>
      <c r="G828" s="12" t="s">
        <v>5453</v>
      </c>
      <c r="H828" s="12" t="s">
        <v>6628</v>
      </c>
      <c r="I828" s="12">
        <v>2950</v>
      </c>
      <c r="J828" s="12" t="s">
        <v>3989</v>
      </c>
      <c r="K828" s="12" t="s">
        <v>8211</v>
      </c>
      <c r="L828" s="12" t="s">
        <v>3921</v>
      </c>
      <c r="M828" s="12" t="s">
        <v>3942</v>
      </c>
      <c r="N828" s="12" t="s">
        <v>5785</v>
      </c>
      <c r="O828" s="12" t="s">
        <v>6951</v>
      </c>
      <c r="P828" s="12" t="s">
        <v>173</v>
      </c>
      <c r="Q828" s="12" t="s">
        <v>6664</v>
      </c>
      <c r="R828" s="12">
        <v>34.748763888888888</v>
      </c>
      <c r="S828" s="12">
        <v>72.308358333333331</v>
      </c>
      <c r="T828" s="12" t="s">
        <v>25</v>
      </c>
      <c r="U828" s="12" t="s">
        <v>17</v>
      </c>
      <c r="V828" s="12" t="s">
        <v>6639</v>
      </c>
      <c r="W828" s="12" t="s">
        <v>6639</v>
      </c>
      <c r="X828" s="12">
        <v>1.7305900000000001</v>
      </c>
      <c r="Y828" s="12">
        <v>716629</v>
      </c>
      <c r="Z828" s="12" t="s">
        <v>6639</v>
      </c>
      <c r="AA828" s="12" t="s">
        <v>6639</v>
      </c>
      <c r="AB828" s="12" t="s">
        <v>4002</v>
      </c>
      <c r="AC828" s="12" t="s">
        <v>21</v>
      </c>
      <c r="AD828" s="12">
        <v>0.13500000000000001</v>
      </c>
      <c r="AE828" s="12">
        <v>0.999</v>
      </c>
      <c r="AF828" s="12" t="s">
        <v>45</v>
      </c>
    </row>
    <row r="829" spans="1:40" x14ac:dyDescent="0.2">
      <c r="A829" s="12" t="s">
        <v>3995</v>
      </c>
      <c r="B829" s="12" t="s">
        <v>3995</v>
      </c>
      <c r="C829" s="12" t="s">
        <v>6915</v>
      </c>
      <c r="D829" s="12" t="s">
        <v>13</v>
      </c>
      <c r="E829" s="12" t="s">
        <v>8110</v>
      </c>
      <c r="F829" s="12" t="s">
        <v>5458</v>
      </c>
      <c r="G829" s="12" t="s">
        <v>5453</v>
      </c>
      <c r="H829" s="12" t="s">
        <v>6628</v>
      </c>
      <c r="I829" s="12">
        <v>2950</v>
      </c>
      <c r="J829" s="12" t="s">
        <v>3989</v>
      </c>
      <c r="K829" s="12" t="s">
        <v>8211</v>
      </c>
      <c r="L829" s="12" t="s">
        <v>3921</v>
      </c>
      <c r="M829" s="12" t="s">
        <v>3942</v>
      </c>
      <c r="N829" s="12" t="s">
        <v>5785</v>
      </c>
      <c r="O829" s="12" t="s">
        <v>6951</v>
      </c>
      <c r="P829" s="12" t="s">
        <v>173</v>
      </c>
      <c r="Q829" s="12" t="s">
        <v>6664</v>
      </c>
      <c r="R829" s="12">
        <v>34.748763888888888</v>
      </c>
      <c r="S829" s="12">
        <v>72.308358333333331</v>
      </c>
      <c r="T829" s="12" t="s">
        <v>25</v>
      </c>
      <c r="U829" s="12" t="s">
        <v>17</v>
      </c>
      <c r="V829" s="12" t="s">
        <v>6639</v>
      </c>
      <c r="W829" s="12" t="s">
        <v>6639</v>
      </c>
      <c r="X829" s="12">
        <v>1.704088</v>
      </c>
      <c r="Y829" s="12">
        <v>718364</v>
      </c>
      <c r="Z829" s="12" t="s">
        <v>6639</v>
      </c>
      <c r="AA829" s="12" t="s">
        <v>6639</v>
      </c>
      <c r="AB829" s="12" t="s">
        <v>3996</v>
      </c>
      <c r="AC829" s="12" t="s">
        <v>21</v>
      </c>
      <c r="AD829" s="12">
        <v>0.14000000000000001</v>
      </c>
      <c r="AE829" s="12">
        <v>0.997</v>
      </c>
      <c r="AF829" s="12" t="s">
        <v>45</v>
      </c>
    </row>
    <row r="830" spans="1:40" x14ac:dyDescent="0.2">
      <c r="A830" s="12" t="s">
        <v>3987</v>
      </c>
      <c r="B830" s="12" t="s">
        <v>3987</v>
      </c>
      <c r="C830" s="12" t="s">
        <v>7548</v>
      </c>
      <c r="D830" s="12" t="s">
        <v>143</v>
      </c>
      <c r="E830" s="12" t="s">
        <v>8110</v>
      </c>
      <c r="F830" s="12" t="s">
        <v>5458</v>
      </c>
      <c r="G830" s="12" t="s">
        <v>5453</v>
      </c>
      <c r="H830" s="12" t="s">
        <v>6618</v>
      </c>
      <c r="I830" s="12">
        <v>2950</v>
      </c>
      <c r="J830" s="12" t="s">
        <v>3989</v>
      </c>
      <c r="K830" s="12" t="s">
        <v>8211</v>
      </c>
      <c r="L830" s="12" t="s">
        <v>3921</v>
      </c>
      <c r="M830" s="12" t="s">
        <v>3942</v>
      </c>
      <c r="N830" s="12" t="s">
        <v>5785</v>
      </c>
      <c r="O830" s="12" t="s">
        <v>6951</v>
      </c>
      <c r="P830" s="12" t="s">
        <v>173</v>
      </c>
      <c r="Q830" s="12" t="s">
        <v>6664</v>
      </c>
      <c r="R830" s="12">
        <v>34.748763888888888</v>
      </c>
      <c r="S830" s="12">
        <v>72.308358333333331</v>
      </c>
      <c r="T830" s="12" t="s">
        <v>11</v>
      </c>
      <c r="U830" s="12" t="s">
        <v>3627</v>
      </c>
      <c r="V830" s="12" t="s">
        <v>485</v>
      </c>
      <c r="W830" s="12" t="s">
        <v>7415</v>
      </c>
      <c r="X830" s="12">
        <v>2.163694</v>
      </c>
      <c r="Y830" s="12">
        <v>776502</v>
      </c>
      <c r="Z830" s="12">
        <v>8.4740000000000006E-3</v>
      </c>
      <c r="AA830" s="12">
        <v>4.9522627352456299</v>
      </c>
      <c r="AB830" s="12" t="s">
        <v>3988</v>
      </c>
      <c r="AC830" s="12" t="s">
        <v>58</v>
      </c>
      <c r="AD830" s="12" t="s">
        <v>7924</v>
      </c>
      <c r="AE830" s="12" t="s">
        <v>7712</v>
      </c>
      <c r="AF830" s="12" t="s">
        <v>152</v>
      </c>
    </row>
    <row r="831" spans="1:40" x14ac:dyDescent="0.2">
      <c r="A831" s="12" t="s">
        <v>3990</v>
      </c>
      <c r="B831" s="12" t="s">
        <v>3990</v>
      </c>
      <c r="C831" s="12" t="s">
        <v>6921</v>
      </c>
      <c r="D831" s="12" t="s">
        <v>143</v>
      </c>
      <c r="E831" s="12" t="s">
        <v>8110</v>
      </c>
      <c r="F831" s="12" t="s">
        <v>5458</v>
      </c>
      <c r="G831" s="12" t="s">
        <v>5453</v>
      </c>
      <c r="H831" s="12" t="s">
        <v>6618</v>
      </c>
      <c r="I831" s="12">
        <v>2950</v>
      </c>
      <c r="J831" s="12" t="s">
        <v>3989</v>
      </c>
      <c r="K831" s="12" t="s">
        <v>8211</v>
      </c>
      <c r="L831" s="12" t="s">
        <v>3921</v>
      </c>
      <c r="M831" s="12" t="s">
        <v>3942</v>
      </c>
      <c r="N831" s="12" t="s">
        <v>5785</v>
      </c>
      <c r="O831" s="12" t="s">
        <v>6951</v>
      </c>
      <c r="P831" s="12" t="s">
        <v>173</v>
      </c>
      <c r="Q831" s="12" t="s">
        <v>6664</v>
      </c>
      <c r="R831" s="12">
        <v>34.748763888888888</v>
      </c>
      <c r="S831" s="12">
        <v>72.308358333333331</v>
      </c>
      <c r="T831" s="12" t="s">
        <v>11</v>
      </c>
      <c r="U831" s="12" t="s">
        <v>3992</v>
      </c>
      <c r="V831" s="12" t="s">
        <v>485</v>
      </c>
      <c r="W831" s="12" t="s">
        <v>7415</v>
      </c>
      <c r="X831" s="12">
        <v>2.939387</v>
      </c>
      <c r="Y831" s="12">
        <v>836021</v>
      </c>
      <c r="Z831" s="12">
        <v>5.1980000000000004E-3</v>
      </c>
      <c r="AA831" s="12">
        <v>4.0516250929504221</v>
      </c>
      <c r="AB831" s="12" t="s">
        <v>3991</v>
      </c>
      <c r="AC831" s="12" t="s">
        <v>58</v>
      </c>
      <c r="AD831" s="12" t="s">
        <v>7926</v>
      </c>
      <c r="AE831" s="12" t="s">
        <v>8059</v>
      </c>
      <c r="AF831" s="12" t="s">
        <v>8086</v>
      </c>
    </row>
    <row r="832" spans="1:40" x14ac:dyDescent="0.2">
      <c r="A832" s="12" t="s">
        <v>4047</v>
      </c>
      <c r="B832" s="12" t="s">
        <v>4047</v>
      </c>
      <c r="C832" s="12" t="s">
        <v>7546</v>
      </c>
      <c r="D832" s="12" t="s">
        <v>13</v>
      </c>
      <c r="E832" s="12" t="s">
        <v>8110</v>
      </c>
      <c r="F832" s="12" t="s">
        <v>5458</v>
      </c>
      <c r="G832" s="12" t="s">
        <v>5453</v>
      </c>
      <c r="H832" s="12" t="s">
        <v>6628</v>
      </c>
      <c r="I832" s="12">
        <v>2950</v>
      </c>
      <c r="J832" s="12" t="s">
        <v>3989</v>
      </c>
      <c r="K832" s="12" t="s">
        <v>8211</v>
      </c>
      <c r="L832" s="12" t="s">
        <v>4049</v>
      </c>
      <c r="M832" s="12" t="s">
        <v>4048</v>
      </c>
      <c r="N832" s="12" t="s">
        <v>24</v>
      </c>
      <c r="O832" s="12" t="s">
        <v>6951</v>
      </c>
      <c r="P832" s="12" t="s">
        <v>173</v>
      </c>
      <c r="Q832" s="12" t="s">
        <v>6664</v>
      </c>
      <c r="R832" s="12">
        <v>34.748763888888888</v>
      </c>
      <c r="S832" s="12">
        <v>72.308358333333331</v>
      </c>
      <c r="T832" s="12" t="s">
        <v>11</v>
      </c>
      <c r="U832" s="12" t="s">
        <v>17</v>
      </c>
      <c r="V832" s="12" t="s">
        <v>2047</v>
      </c>
      <c r="W832" s="12" t="s">
        <v>7415</v>
      </c>
      <c r="X832" s="12">
        <v>2.1606E-2</v>
      </c>
      <c r="Y832" s="12">
        <v>25473</v>
      </c>
      <c r="Z832" s="12" t="s">
        <v>8052</v>
      </c>
      <c r="AA832" s="12" t="s">
        <v>8052</v>
      </c>
      <c r="AB832" s="12" t="s">
        <v>4050</v>
      </c>
      <c r="AC832" s="12" t="s">
        <v>58</v>
      </c>
      <c r="AD832" s="12" t="s">
        <v>7889</v>
      </c>
      <c r="AE832" s="12" t="s">
        <v>7685</v>
      </c>
      <c r="AF832" s="12" t="s">
        <v>45</v>
      </c>
    </row>
    <row r="833" spans="1:32" x14ac:dyDescent="0.2">
      <c r="A833" s="12" t="s">
        <v>4065</v>
      </c>
      <c r="B833" s="12" t="s">
        <v>4065</v>
      </c>
      <c r="C833" s="12" t="s">
        <v>7498</v>
      </c>
      <c r="D833" s="12" t="s">
        <v>13</v>
      </c>
      <c r="E833" s="12" t="s">
        <v>8108</v>
      </c>
      <c r="F833" s="12" t="s">
        <v>7405</v>
      </c>
      <c r="G833" s="12" t="s">
        <v>5453</v>
      </c>
      <c r="H833" s="12" t="s">
        <v>6618</v>
      </c>
      <c r="I833" s="12">
        <v>2948</v>
      </c>
      <c r="J833" s="12" t="s">
        <v>7405</v>
      </c>
      <c r="K833" s="12" t="s">
        <v>8211</v>
      </c>
      <c r="L833" s="12" t="s">
        <v>4058</v>
      </c>
      <c r="M833" s="12" t="s">
        <v>4066</v>
      </c>
      <c r="N833" s="12" t="s">
        <v>5785</v>
      </c>
      <c r="O833" s="12" t="s">
        <v>6952</v>
      </c>
      <c r="P833" s="12" t="s">
        <v>173</v>
      </c>
      <c r="Q833" s="12" t="s">
        <v>6664</v>
      </c>
      <c r="R833" s="12">
        <v>34.751461111111112</v>
      </c>
      <c r="S833" s="12">
        <v>72.401936111111112</v>
      </c>
      <c r="T833" s="12" t="s">
        <v>25</v>
      </c>
      <c r="U833" s="12" t="s">
        <v>36</v>
      </c>
      <c r="V833" s="12" t="s">
        <v>6639</v>
      </c>
      <c r="W833" s="12" t="s">
        <v>6639</v>
      </c>
      <c r="X833" s="12">
        <v>2.2097980000000002</v>
      </c>
      <c r="Y833" s="12">
        <v>666810</v>
      </c>
      <c r="Z833" s="12" t="s">
        <v>6639</v>
      </c>
      <c r="AA833" s="12" t="s">
        <v>6639</v>
      </c>
      <c r="AB833" s="12" t="s">
        <v>4064</v>
      </c>
      <c r="AC833" s="12" t="s">
        <v>21</v>
      </c>
      <c r="AD833" s="12">
        <v>0.13</v>
      </c>
      <c r="AE833" s="12">
        <v>0.996</v>
      </c>
      <c r="AF833" s="12" t="s">
        <v>45</v>
      </c>
    </row>
    <row r="834" spans="1:32" x14ac:dyDescent="0.2">
      <c r="A834" s="12" t="s">
        <v>3150</v>
      </c>
      <c r="B834" s="12" t="s">
        <v>3150</v>
      </c>
      <c r="C834" s="12" t="s">
        <v>7500</v>
      </c>
      <c r="D834" s="12" t="s">
        <v>13</v>
      </c>
      <c r="E834" s="12" t="s">
        <v>8109</v>
      </c>
      <c r="F834" s="12" t="s">
        <v>7407</v>
      </c>
      <c r="G834" s="12" t="s">
        <v>5453</v>
      </c>
      <c r="H834" s="12" t="s">
        <v>6618</v>
      </c>
      <c r="I834" s="12">
        <v>2933</v>
      </c>
      <c r="J834" s="12" t="s">
        <v>7407</v>
      </c>
      <c r="K834" s="12" t="s">
        <v>8211</v>
      </c>
      <c r="L834" s="12" t="s">
        <v>3921</v>
      </c>
      <c r="M834" s="12" t="s">
        <v>3920</v>
      </c>
      <c r="N834" s="12" t="s">
        <v>5785</v>
      </c>
      <c r="O834" s="12" t="s">
        <v>6952</v>
      </c>
      <c r="P834" s="12" t="s">
        <v>173</v>
      </c>
      <c r="Q834" s="12" t="s">
        <v>6664</v>
      </c>
      <c r="R834" s="16">
        <v>34.751461111111112</v>
      </c>
      <c r="S834" s="16">
        <v>72.401936111111112</v>
      </c>
      <c r="T834" s="12" t="s">
        <v>11</v>
      </c>
      <c r="U834" s="12" t="s">
        <v>1032</v>
      </c>
      <c r="V834" s="12" t="s">
        <v>606</v>
      </c>
      <c r="W834" s="12" t="s">
        <v>7160</v>
      </c>
      <c r="X834" s="12">
        <v>1.0108379999999999</v>
      </c>
      <c r="Y834" s="12">
        <v>574632</v>
      </c>
      <c r="Z834" s="12">
        <v>5.3150000000000003E-3</v>
      </c>
      <c r="AA834" s="12">
        <v>1.979241609728559</v>
      </c>
      <c r="AB834" s="12" t="s">
        <v>3149</v>
      </c>
      <c r="AC834" s="12" t="s">
        <v>21</v>
      </c>
      <c r="AD834" s="12">
        <v>0.158</v>
      </c>
      <c r="AE834" s="12">
        <v>0.98899999999999999</v>
      </c>
      <c r="AF834" s="12" t="s">
        <v>45</v>
      </c>
    </row>
    <row r="835" spans="1:32" x14ac:dyDescent="0.2">
      <c r="A835" s="12" t="s">
        <v>3945</v>
      </c>
      <c r="B835" s="12" t="s">
        <v>3945</v>
      </c>
      <c r="C835" s="12" t="s">
        <v>6917</v>
      </c>
      <c r="D835" s="12" t="s">
        <v>143</v>
      </c>
      <c r="E835" s="12" t="s">
        <v>8110</v>
      </c>
      <c r="F835" s="12" t="s">
        <v>3947</v>
      </c>
      <c r="G835" s="12" t="s">
        <v>5453</v>
      </c>
      <c r="H835" s="12" t="s">
        <v>6627</v>
      </c>
      <c r="I835" s="12">
        <v>2924</v>
      </c>
      <c r="J835" s="12" t="s">
        <v>6928</v>
      </c>
      <c r="K835" s="12" t="s">
        <v>8211</v>
      </c>
      <c r="L835" s="12" t="s">
        <v>3921</v>
      </c>
      <c r="M835" s="12" t="s">
        <v>3942</v>
      </c>
      <c r="N835" s="12" t="s">
        <v>5785</v>
      </c>
      <c r="O835" s="12" t="s">
        <v>6951</v>
      </c>
      <c r="P835" s="12" t="s">
        <v>173</v>
      </c>
      <c r="Q835" s="12" t="s">
        <v>6664</v>
      </c>
      <c r="R835" s="12">
        <v>34.748763888888888</v>
      </c>
      <c r="S835" s="12">
        <v>72.308358333333331</v>
      </c>
      <c r="T835" s="12" t="s">
        <v>25</v>
      </c>
      <c r="U835" s="12" t="s">
        <v>1032</v>
      </c>
      <c r="V835" s="12" t="s">
        <v>6639</v>
      </c>
      <c r="W835" s="12" t="s">
        <v>6639</v>
      </c>
      <c r="X835" s="12">
        <v>0.45524799999999999</v>
      </c>
      <c r="Y835" s="12">
        <v>370900</v>
      </c>
      <c r="Z835" s="12" t="s">
        <v>6639</v>
      </c>
      <c r="AA835" s="12" t="s">
        <v>6639</v>
      </c>
      <c r="AB835" s="12" t="s">
        <v>3946</v>
      </c>
      <c r="AC835" s="12" t="s">
        <v>340</v>
      </c>
      <c r="AD835" s="12" t="s">
        <v>7859</v>
      </c>
      <c r="AE835" s="12" t="s">
        <v>7745</v>
      </c>
      <c r="AF835" s="12" t="s">
        <v>45</v>
      </c>
    </row>
    <row r="836" spans="1:32" x14ac:dyDescent="0.2">
      <c r="A836" s="12" t="s">
        <v>3186</v>
      </c>
      <c r="B836" s="12" t="s">
        <v>3186</v>
      </c>
      <c r="C836" s="12" t="s">
        <v>7517</v>
      </c>
      <c r="D836" s="12" t="s">
        <v>13</v>
      </c>
      <c r="E836" s="12" t="s">
        <v>8109</v>
      </c>
      <c r="F836" s="12" t="s">
        <v>5458</v>
      </c>
      <c r="G836" s="12" t="s">
        <v>5453</v>
      </c>
      <c r="H836" s="12" t="s">
        <v>6618</v>
      </c>
      <c r="I836" s="16">
        <v>2910</v>
      </c>
      <c r="J836" s="12" t="s">
        <v>8135</v>
      </c>
      <c r="K836" s="12" t="s">
        <v>8211</v>
      </c>
      <c r="L836" s="12" t="s">
        <v>3921</v>
      </c>
      <c r="M836" s="12" t="s">
        <v>3920</v>
      </c>
      <c r="N836" s="12" t="s">
        <v>5785</v>
      </c>
      <c r="O836" s="12" t="s">
        <v>6952</v>
      </c>
      <c r="P836" s="12" t="s">
        <v>173</v>
      </c>
      <c r="Q836" s="12" t="s">
        <v>6664</v>
      </c>
      <c r="R836" s="12">
        <v>34.751461111111112</v>
      </c>
      <c r="S836" s="12">
        <v>72.401936111111112</v>
      </c>
      <c r="T836" s="12" t="s">
        <v>25</v>
      </c>
      <c r="U836" s="12" t="s">
        <v>583</v>
      </c>
      <c r="V836" s="12" t="s">
        <v>6639</v>
      </c>
      <c r="W836" s="12" t="s">
        <v>6639</v>
      </c>
      <c r="X836" s="12">
        <v>0.66220599999999996</v>
      </c>
      <c r="Y836" s="12">
        <v>463483</v>
      </c>
      <c r="Z836" s="12" t="s">
        <v>6639</v>
      </c>
      <c r="AA836" s="12" t="s">
        <v>6639</v>
      </c>
      <c r="AB836" s="12" t="s">
        <v>3185</v>
      </c>
      <c r="AC836" s="12" t="s">
        <v>21</v>
      </c>
      <c r="AD836" s="12">
        <v>0.183</v>
      </c>
      <c r="AE836" s="12">
        <v>0.97599999999999998</v>
      </c>
      <c r="AF836" s="12" t="s">
        <v>45</v>
      </c>
    </row>
    <row r="837" spans="1:32" x14ac:dyDescent="0.2">
      <c r="A837" s="12" t="s">
        <v>3976</v>
      </c>
      <c r="B837" s="12" t="s">
        <v>3976</v>
      </c>
      <c r="C837" s="12" t="s">
        <v>6916</v>
      </c>
      <c r="D837" s="12" t="s">
        <v>143</v>
      </c>
      <c r="E837" s="12" t="s">
        <v>8110</v>
      </c>
      <c r="F837" s="12" t="s">
        <v>3978</v>
      </c>
      <c r="G837" s="12" t="s">
        <v>5453</v>
      </c>
      <c r="H837" s="12" t="s">
        <v>6618</v>
      </c>
      <c r="I837" s="12">
        <v>2910</v>
      </c>
      <c r="J837" s="12" t="s">
        <v>3978</v>
      </c>
      <c r="K837" s="12" t="s">
        <v>8211</v>
      </c>
      <c r="L837" s="12" t="s">
        <v>3921</v>
      </c>
      <c r="M837" s="12" t="s">
        <v>3942</v>
      </c>
      <c r="N837" s="12" t="s">
        <v>5785</v>
      </c>
      <c r="O837" s="12" t="s">
        <v>6951</v>
      </c>
      <c r="P837" s="12" t="s">
        <v>173</v>
      </c>
      <c r="Q837" s="12" t="s">
        <v>6664</v>
      </c>
      <c r="R837" s="16">
        <v>34.748763888888888</v>
      </c>
      <c r="S837" s="16">
        <v>72.308358333333331</v>
      </c>
      <c r="T837" s="12" t="s">
        <v>25</v>
      </c>
      <c r="U837" s="12" t="s">
        <v>3979</v>
      </c>
      <c r="V837" s="12" t="s">
        <v>6639</v>
      </c>
      <c r="W837" s="12" t="s">
        <v>6639</v>
      </c>
      <c r="X837" s="12">
        <v>5.8368999999999997E-2</v>
      </c>
      <c r="Y837" s="12">
        <v>66220</v>
      </c>
      <c r="Z837" s="12" t="s">
        <v>6639</v>
      </c>
      <c r="AA837" s="12" t="s">
        <v>6639</v>
      </c>
      <c r="AB837" s="12" t="s">
        <v>3977</v>
      </c>
      <c r="AC837" s="12" t="s">
        <v>21</v>
      </c>
      <c r="AD837" s="12">
        <v>0.11799999999999999</v>
      </c>
      <c r="AE837" s="12">
        <v>1</v>
      </c>
      <c r="AF837" s="12" t="s">
        <v>45</v>
      </c>
    </row>
    <row r="838" spans="1:32" x14ac:dyDescent="0.2">
      <c r="A838" s="12" t="s">
        <v>3919</v>
      </c>
      <c r="B838" s="12" t="s">
        <v>3919</v>
      </c>
      <c r="C838" s="12" t="s">
        <v>6999</v>
      </c>
      <c r="D838" s="12" t="s">
        <v>13</v>
      </c>
      <c r="E838" s="12" t="s">
        <v>8110</v>
      </c>
      <c r="F838" s="12" t="s">
        <v>3923</v>
      </c>
      <c r="G838" s="12" t="s">
        <v>5453</v>
      </c>
      <c r="H838" s="12" t="s">
        <v>6618</v>
      </c>
      <c r="I838" s="12">
        <v>2905</v>
      </c>
      <c r="J838" s="12" t="s">
        <v>3923</v>
      </c>
      <c r="K838" s="12" t="s">
        <v>8211</v>
      </c>
      <c r="L838" s="12" t="s">
        <v>3921</v>
      </c>
      <c r="M838" s="12" t="s">
        <v>3920</v>
      </c>
      <c r="N838" s="12" t="s">
        <v>5785</v>
      </c>
      <c r="O838" s="12" t="s">
        <v>6952</v>
      </c>
      <c r="P838" s="12" t="s">
        <v>173</v>
      </c>
      <c r="Q838" s="12" t="s">
        <v>6664</v>
      </c>
      <c r="R838" s="12">
        <v>34.751461111111112</v>
      </c>
      <c r="S838" s="12">
        <v>72.401936111111112</v>
      </c>
      <c r="T838" s="12" t="s">
        <v>11</v>
      </c>
      <c r="U838" s="12" t="s">
        <v>883</v>
      </c>
      <c r="V838" s="12" t="s">
        <v>894</v>
      </c>
      <c r="W838" s="12" t="s">
        <v>7415</v>
      </c>
      <c r="X838" s="12">
        <v>1.229949</v>
      </c>
      <c r="Y838" s="12">
        <v>568563</v>
      </c>
      <c r="Z838" s="12">
        <v>4.4510000000000001E-3</v>
      </c>
      <c r="AA838" s="12">
        <v>2.10714882549295</v>
      </c>
      <c r="AB838" s="12" t="s">
        <v>3922</v>
      </c>
      <c r="AC838" s="12" t="s">
        <v>21</v>
      </c>
      <c r="AD838" s="12">
        <v>0.124</v>
      </c>
      <c r="AE838" s="12">
        <v>0.99299999999999999</v>
      </c>
      <c r="AF838" s="12" t="s">
        <v>59</v>
      </c>
    </row>
    <row r="839" spans="1:32" x14ac:dyDescent="0.2">
      <c r="A839" s="12" t="s">
        <v>3997</v>
      </c>
      <c r="B839" s="12" t="s">
        <v>3997</v>
      </c>
      <c r="C839" s="12" t="s">
        <v>7550</v>
      </c>
      <c r="D839" s="12" t="s">
        <v>13</v>
      </c>
      <c r="E839" s="12" t="s">
        <v>8110</v>
      </c>
      <c r="F839" s="12" t="s">
        <v>5458</v>
      </c>
      <c r="G839" s="12" t="s">
        <v>5453</v>
      </c>
      <c r="H839" s="12" t="s">
        <v>6628</v>
      </c>
      <c r="I839" s="12">
        <v>2868</v>
      </c>
      <c r="J839" s="12" t="s">
        <v>6927</v>
      </c>
      <c r="K839" s="12" t="s">
        <v>8211</v>
      </c>
      <c r="L839" s="12" t="s">
        <v>3921</v>
      </c>
      <c r="M839" s="12" t="s">
        <v>3942</v>
      </c>
      <c r="N839" s="12" t="s">
        <v>5785</v>
      </c>
      <c r="O839" s="12" t="s">
        <v>6951</v>
      </c>
      <c r="P839" s="12" t="s">
        <v>173</v>
      </c>
      <c r="Q839" s="12" t="s">
        <v>6664</v>
      </c>
      <c r="R839" s="12">
        <v>34.748763888888888</v>
      </c>
      <c r="S839" s="12">
        <v>72.308358333333331</v>
      </c>
      <c r="T839" s="12" t="s">
        <v>11</v>
      </c>
      <c r="U839" s="12" t="s">
        <v>17</v>
      </c>
      <c r="V839" s="12" t="s">
        <v>485</v>
      </c>
      <c r="W839" s="12" t="s">
        <v>7415</v>
      </c>
      <c r="X839" s="12">
        <v>2.8840110000000001</v>
      </c>
      <c r="Y839" s="12">
        <v>838191</v>
      </c>
      <c r="Z839" s="12">
        <v>5.3870000000000003E-3</v>
      </c>
      <c r="AA839" s="12">
        <v>4.2586394172770952</v>
      </c>
      <c r="AB839" s="12" t="s">
        <v>3998</v>
      </c>
      <c r="AC839" s="12" t="s">
        <v>21</v>
      </c>
      <c r="AD839" s="12">
        <v>0.13200000000000001</v>
      </c>
      <c r="AE839" s="12">
        <v>0.98099999999999998</v>
      </c>
      <c r="AF839" s="12" t="s">
        <v>82</v>
      </c>
    </row>
    <row r="840" spans="1:32" x14ac:dyDescent="0.2">
      <c r="A840" s="12" t="s">
        <v>3941</v>
      </c>
      <c r="B840" s="12" t="s">
        <v>3941</v>
      </c>
      <c r="C840" s="12" t="s">
        <v>6919</v>
      </c>
      <c r="D840" s="12" t="s">
        <v>13</v>
      </c>
      <c r="E840" s="12" t="s">
        <v>8110</v>
      </c>
      <c r="F840" s="12" t="s">
        <v>3944</v>
      </c>
      <c r="G840" s="12" t="s">
        <v>5453</v>
      </c>
      <c r="H840" s="12" t="s">
        <v>6628</v>
      </c>
      <c r="I840" s="12">
        <v>2861</v>
      </c>
      <c r="J840" s="12" t="s">
        <v>3944</v>
      </c>
      <c r="K840" s="12" t="s">
        <v>8211</v>
      </c>
      <c r="L840" s="12" t="s">
        <v>3921</v>
      </c>
      <c r="M840" s="12" t="s">
        <v>3942</v>
      </c>
      <c r="N840" s="12" t="s">
        <v>5785</v>
      </c>
      <c r="O840" s="12" t="s">
        <v>6951</v>
      </c>
      <c r="P840" s="12" t="s">
        <v>173</v>
      </c>
      <c r="Q840" s="12" t="s">
        <v>6664</v>
      </c>
      <c r="R840" s="12">
        <v>34.748763888888888</v>
      </c>
      <c r="S840" s="12">
        <v>72.308358333333331</v>
      </c>
      <c r="T840" s="12" t="s">
        <v>25</v>
      </c>
      <c r="U840" s="12" t="s">
        <v>1005</v>
      </c>
      <c r="V840" s="12" t="s">
        <v>6639</v>
      </c>
      <c r="W840" s="12" t="s">
        <v>6639</v>
      </c>
      <c r="X840" s="12">
        <v>0.91454100000000005</v>
      </c>
      <c r="Y840" s="12">
        <v>580106</v>
      </c>
      <c r="Z840" s="12" t="s">
        <v>6639</v>
      </c>
      <c r="AA840" s="12" t="s">
        <v>6639</v>
      </c>
      <c r="AB840" s="12" t="s">
        <v>3943</v>
      </c>
      <c r="AC840" s="12" t="s">
        <v>21</v>
      </c>
      <c r="AD840" s="12">
        <v>0.152</v>
      </c>
      <c r="AE840" s="12">
        <v>0.995</v>
      </c>
      <c r="AF840" s="12" t="s">
        <v>45</v>
      </c>
    </row>
    <row r="841" spans="1:32" x14ac:dyDescent="0.2">
      <c r="A841" s="12" t="s">
        <v>169</v>
      </c>
      <c r="B841" s="12" t="s">
        <v>169</v>
      </c>
      <c r="C841" s="12" t="s">
        <v>6939</v>
      </c>
      <c r="D841" s="12" t="s">
        <v>17</v>
      </c>
      <c r="E841" s="12" t="s">
        <v>8110</v>
      </c>
      <c r="F841" s="12" t="s">
        <v>172</v>
      </c>
      <c r="G841" s="12" t="s">
        <v>5453</v>
      </c>
      <c r="H841" s="12" t="s">
        <v>6618</v>
      </c>
      <c r="I841" s="12">
        <v>2855</v>
      </c>
      <c r="J841" s="12" t="s">
        <v>172</v>
      </c>
      <c r="K841" s="12" t="s">
        <v>8211</v>
      </c>
      <c r="L841" s="12" t="s">
        <v>170</v>
      </c>
      <c r="M841" s="12" t="s">
        <v>170</v>
      </c>
      <c r="N841" s="12" t="s">
        <v>5785</v>
      </c>
      <c r="O841" s="12" t="s">
        <v>178</v>
      </c>
      <c r="P841" s="12" t="s">
        <v>173</v>
      </c>
      <c r="Q841" s="12" t="s">
        <v>6664</v>
      </c>
      <c r="R841" s="12">
        <v>34.804894439999998</v>
      </c>
      <c r="S841" s="12">
        <v>72.318169440000005</v>
      </c>
      <c r="T841" s="12" t="s">
        <v>25</v>
      </c>
      <c r="U841" s="12" t="s">
        <v>174</v>
      </c>
      <c r="V841" s="12" t="s">
        <v>6639</v>
      </c>
      <c r="W841" s="12" t="s">
        <v>6639</v>
      </c>
      <c r="X841" s="12">
        <v>1.65374</v>
      </c>
      <c r="Y841" s="12">
        <v>856388</v>
      </c>
      <c r="Z841" s="12" t="s">
        <v>6639</v>
      </c>
      <c r="AA841" s="12" t="s">
        <v>6639</v>
      </c>
      <c r="AB841" s="12" t="s">
        <v>171</v>
      </c>
      <c r="AC841" s="12" t="s">
        <v>21</v>
      </c>
      <c r="AD841" s="12">
        <v>0.13600000000000001</v>
      </c>
      <c r="AE841" s="12">
        <v>0.997</v>
      </c>
      <c r="AF841" s="12" t="s">
        <v>45</v>
      </c>
    </row>
    <row r="842" spans="1:32" x14ac:dyDescent="0.2">
      <c r="A842" s="12" t="s">
        <v>3933</v>
      </c>
      <c r="B842" s="12" t="s">
        <v>3933</v>
      </c>
      <c r="C842" s="12" t="s">
        <v>8177</v>
      </c>
      <c r="D842" s="12" t="s">
        <v>13</v>
      </c>
      <c r="E842" s="12" t="s">
        <v>8110</v>
      </c>
      <c r="F842" s="12" t="s">
        <v>3935</v>
      </c>
      <c r="G842" s="12" t="s">
        <v>5453</v>
      </c>
      <c r="H842" s="12" t="s">
        <v>6618</v>
      </c>
      <c r="I842" s="12">
        <v>2855</v>
      </c>
      <c r="J842" s="12" t="s">
        <v>3935</v>
      </c>
      <c r="K842" s="12" t="s">
        <v>8211</v>
      </c>
      <c r="L842" s="12" t="s">
        <v>3921</v>
      </c>
      <c r="M842" s="12" t="s">
        <v>3929</v>
      </c>
      <c r="N842" s="12" t="s">
        <v>5785</v>
      </c>
      <c r="O842" s="12" t="s">
        <v>6946</v>
      </c>
      <c r="P842" s="12" t="s">
        <v>173</v>
      </c>
      <c r="Q842" s="12" t="s">
        <v>6664</v>
      </c>
      <c r="R842" s="12">
        <v>34.677602777777778</v>
      </c>
      <c r="S842" s="12">
        <v>72.212480555555558</v>
      </c>
      <c r="T842" s="12" t="s">
        <v>25</v>
      </c>
      <c r="U842" s="12" t="s">
        <v>174</v>
      </c>
      <c r="V842" s="12" t="s">
        <v>6639</v>
      </c>
      <c r="W842" s="12" t="s">
        <v>6639</v>
      </c>
      <c r="X842" s="12">
        <v>1.037839</v>
      </c>
      <c r="Y842" s="12">
        <v>597160</v>
      </c>
      <c r="Z842" s="12" t="s">
        <v>6639</v>
      </c>
      <c r="AA842" s="12" t="s">
        <v>6639</v>
      </c>
      <c r="AB842" s="12" t="s">
        <v>3934</v>
      </c>
      <c r="AC842" s="12" t="s">
        <v>21</v>
      </c>
      <c r="AD842" s="12">
        <v>0.123</v>
      </c>
      <c r="AE842" s="12">
        <v>0.996</v>
      </c>
      <c r="AF842" s="12" t="s">
        <v>45</v>
      </c>
    </row>
    <row r="843" spans="1:32" x14ac:dyDescent="0.2">
      <c r="A843" s="12" t="s">
        <v>4051</v>
      </c>
      <c r="B843" s="12" t="s">
        <v>4051</v>
      </c>
      <c r="C843" s="12" t="s">
        <v>7547</v>
      </c>
      <c r="D843" s="12" t="s">
        <v>4053</v>
      </c>
      <c r="E843" s="12" t="s">
        <v>8110</v>
      </c>
      <c r="F843" s="12" t="s">
        <v>4055</v>
      </c>
      <c r="G843" s="12" t="s">
        <v>5453</v>
      </c>
      <c r="H843" s="12" t="s">
        <v>6618</v>
      </c>
      <c r="I843" s="12">
        <v>2854</v>
      </c>
      <c r="J843" s="12" t="s">
        <v>4055</v>
      </c>
      <c r="K843" s="12" t="s">
        <v>8211</v>
      </c>
      <c r="L843" s="12" t="s">
        <v>6924</v>
      </c>
      <c r="M843" s="12" t="s">
        <v>4052</v>
      </c>
      <c r="N843" s="12" t="s">
        <v>24</v>
      </c>
      <c r="O843" s="12" t="s">
        <v>6951</v>
      </c>
      <c r="P843" s="12" t="s">
        <v>173</v>
      </c>
      <c r="Q843" s="12" t="s">
        <v>6664</v>
      </c>
      <c r="R843" s="12">
        <v>34.748763888888888</v>
      </c>
      <c r="S843" s="12">
        <v>72.308358333333331</v>
      </c>
      <c r="T843" s="12" t="s">
        <v>11</v>
      </c>
      <c r="U843" s="12" t="s">
        <v>1145</v>
      </c>
      <c r="V843" s="12" t="s">
        <v>3950</v>
      </c>
      <c r="W843" s="12" t="s">
        <v>7415</v>
      </c>
      <c r="X843" s="12">
        <v>3.0224799999999998</v>
      </c>
      <c r="Y843" s="12">
        <v>826940</v>
      </c>
      <c r="Z843" s="12">
        <v>7.6340000000000002E-3</v>
      </c>
      <c r="AA843" s="12">
        <v>5.1393183435426284</v>
      </c>
      <c r="AB843" s="12" t="s">
        <v>4054</v>
      </c>
      <c r="AC843" s="12" t="s">
        <v>340</v>
      </c>
      <c r="AD843" s="12" t="s">
        <v>7878</v>
      </c>
      <c r="AE843" s="12" t="s">
        <v>7766</v>
      </c>
      <c r="AF843" s="12" t="s">
        <v>152</v>
      </c>
    </row>
    <row r="844" spans="1:32" x14ac:dyDescent="0.2">
      <c r="A844" s="12" t="s">
        <v>3973</v>
      </c>
      <c r="B844" s="12" t="s">
        <v>3973</v>
      </c>
      <c r="C844" s="12" t="s">
        <v>7522</v>
      </c>
      <c r="D844" s="12" t="s">
        <v>13</v>
      </c>
      <c r="E844" s="12" t="s">
        <v>8110</v>
      </c>
      <c r="F844" s="12" t="s">
        <v>3975</v>
      </c>
      <c r="G844" s="12" t="s">
        <v>5453</v>
      </c>
      <c r="H844" s="12" t="s">
        <v>6618</v>
      </c>
      <c r="I844" s="12">
        <v>2853</v>
      </c>
      <c r="J844" s="12" t="s">
        <v>3975</v>
      </c>
      <c r="K844" s="12" t="s">
        <v>8211</v>
      </c>
      <c r="L844" s="12" t="s">
        <v>3921</v>
      </c>
      <c r="M844" s="12" t="s">
        <v>3920</v>
      </c>
      <c r="N844" s="12" t="s">
        <v>5785</v>
      </c>
      <c r="O844" s="12" t="s">
        <v>6952</v>
      </c>
      <c r="P844" s="12" t="s">
        <v>173</v>
      </c>
      <c r="Q844" s="12" t="s">
        <v>6664</v>
      </c>
      <c r="R844" s="12">
        <v>34.751461111111112</v>
      </c>
      <c r="S844" s="12">
        <v>72.401936111111112</v>
      </c>
      <c r="T844" s="12" t="s">
        <v>11</v>
      </c>
      <c r="U844" s="12" t="s">
        <v>1316</v>
      </c>
      <c r="V844" s="12" t="s">
        <v>3656</v>
      </c>
      <c r="W844" s="12" t="s">
        <v>7415</v>
      </c>
      <c r="X844" s="12">
        <v>0.60359499999999999</v>
      </c>
      <c r="Y844" s="12">
        <v>446528</v>
      </c>
      <c r="Z844" s="12">
        <v>1.4319999999999999E-3</v>
      </c>
      <c r="AA844" s="12">
        <v>0.54996818096103861</v>
      </c>
      <c r="AB844" s="12" t="s">
        <v>3974</v>
      </c>
      <c r="AC844" s="12" t="s">
        <v>21</v>
      </c>
      <c r="AD844" s="12">
        <v>0.10199999999999999</v>
      </c>
      <c r="AE844" s="12">
        <v>0.999</v>
      </c>
      <c r="AF844" s="12" t="s">
        <v>45</v>
      </c>
    </row>
    <row r="845" spans="1:32" x14ac:dyDescent="0.2">
      <c r="A845" s="12" t="s">
        <v>3969</v>
      </c>
      <c r="B845" s="12" t="s">
        <v>3969</v>
      </c>
      <c r="C845" s="12" t="s">
        <v>6934</v>
      </c>
      <c r="D845" s="12" t="s">
        <v>13</v>
      </c>
      <c r="E845" s="12" t="s">
        <v>8110</v>
      </c>
      <c r="F845" s="12" t="s">
        <v>3971</v>
      </c>
      <c r="G845" s="12" t="s">
        <v>5453</v>
      </c>
      <c r="H845" s="12" t="s">
        <v>6618</v>
      </c>
      <c r="I845" s="12">
        <v>2851</v>
      </c>
      <c r="J845" s="12" t="s">
        <v>3971</v>
      </c>
      <c r="K845" s="12" t="s">
        <v>8211</v>
      </c>
      <c r="L845" s="12" t="s">
        <v>3921</v>
      </c>
      <c r="M845" s="12" t="s">
        <v>3959</v>
      </c>
      <c r="N845" s="12" t="s">
        <v>5785</v>
      </c>
      <c r="O845" s="12" t="s">
        <v>6947</v>
      </c>
      <c r="P845" s="12" t="s">
        <v>173</v>
      </c>
      <c r="Q845" s="12" t="s">
        <v>6664</v>
      </c>
      <c r="R845" s="12">
        <v>34.765841666666667</v>
      </c>
      <c r="S845" s="12">
        <v>72.349133333333327</v>
      </c>
      <c r="T845" s="12" t="s">
        <v>25</v>
      </c>
      <c r="U845" s="12" t="s">
        <v>3972</v>
      </c>
      <c r="V845" s="12" t="s">
        <v>6639</v>
      </c>
      <c r="W845" s="12" t="s">
        <v>6639</v>
      </c>
      <c r="X845" s="12">
        <v>2.75</v>
      </c>
      <c r="Y845" s="12">
        <v>839349</v>
      </c>
      <c r="Z845" s="12" t="s">
        <v>6639</v>
      </c>
      <c r="AA845" s="12" t="s">
        <v>6639</v>
      </c>
      <c r="AB845" s="12" t="s">
        <v>3970</v>
      </c>
      <c r="AC845" s="12" t="s">
        <v>21</v>
      </c>
      <c r="AD845" s="12">
        <v>0.13500000000000001</v>
      </c>
      <c r="AE845" s="12">
        <v>1</v>
      </c>
      <c r="AF845" s="12" t="s">
        <v>45</v>
      </c>
    </row>
    <row r="846" spans="1:32" x14ac:dyDescent="0.2">
      <c r="A846" s="12" t="s">
        <v>3980</v>
      </c>
      <c r="B846" s="12" t="s">
        <v>3980</v>
      </c>
      <c r="C846" s="12" t="s">
        <v>6936</v>
      </c>
      <c r="D846" s="12" t="s">
        <v>13</v>
      </c>
      <c r="E846" s="12" t="s">
        <v>8110</v>
      </c>
      <c r="F846" s="12" t="s">
        <v>5458</v>
      </c>
      <c r="G846" s="12" t="s">
        <v>5453</v>
      </c>
      <c r="H846" s="12" t="s">
        <v>6618</v>
      </c>
      <c r="I846" s="12">
        <v>2850</v>
      </c>
      <c r="J846" s="12" t="s">
        <v>3144</v>
      </c>
      <c r="K846" s="12" t="s">
        <v>8211</v>
      </c>
      <c r="L846" s="12" t="s">
        <v>3921</v>
      </c>
      <c r="M846" s="12" t="s">
        <v>3981</v>
      </c>
      <c r="N846" s="12" t="s">
        <v>5785</v>
      </c>
      <c r="O846" s="12" t="s">
        <v>6953</v>
      </c>
      <c r="P846" s="12" t="s">
        <v>173</v>
      </c>
      <c r="Q846" s="12" t="s">
        <v>6664</v>
      </c>
      <c r="R846" s="12">
        <v>34.862558333333332</v>
      </c>
      <c r="S846" s="12">
        <v>72.240944444444452</v>
      </c>
      <c r="T846" s="12" t="s">
        <v>25</v>
      </c>
      <c r="U846" s="12" t="s">
        <v>1281</v>
      </c>
      <c r="V846" s="12" t="s">
        <v>6639</v>
      </c>
      <c r="W846" s="12" t="s">
        <v>6639</v>
      </c>
      <c r="X846" s="12">
        <v>0.25699300000000003</v>
      </c>
      <c r="Y846" s="12">
        <v>244325</v>
      </c>
      <c r="Z846" s="12" t="s">
        <v>6639</v>
      </c>
      <c r="AA846" s="12" t="s">
        <v>6639</v>
      </c>
      <c r="AB846" s="12" t="s">
        <v>3982</v>
      </c>
      <c r="AC846" s="12" t="s">
        <v>21</v>
      </c>
      <c r="AD846" s="12">
        <v>0.13900000000000001</v>
      </c>
      <c r="AE846" s="12">
        <v>0.999</v>
      </c>
      <c r="AF846" s="12" t="s">
        <v>45</v>
      </c>
    </row>
    <row r="847" spans="1:32" x14ac:dyDescent="0.2">
      <c r="A847" s="12" t="s">
        <v>3938</v>
      </c>
      <c r="B847" s="12" t="s">
        <v>3938</v>
      </c>
      <c r="C847" s="12" t="s">
        <v>8176</v>
      </c>
      <c r="D847" s="12" t="s">
        <v>13</v>
      </c>
      <c r="E847" s="12" t="s">
        <v>8110</v>
      </c>
      <c r="F847" s="12" t="s">
        <v>5458</v>
      </c>
      <c r="G847" s="12" t="s">
        <v>5453</v>
      </c>
      <c r="H847" s="12" t="s">
        <v>6618</v>
      </c>
      <c r="I847" s="12">
        <v>2850</v>
      </c>
      <c r="J847" s="12" t="s">
        <v>3144</v>
      </c>
      <c r="K847" s="12" t="s">
        <v>8211</v>
      </c>
      <c r="L847" s="12" t="s">
        <v>3921</v>
      </c>
      <c r="M847" s="12" t="s">
        <v>3929</v>
      </c>
      <c r="N847" s="12" t="s">
        <v>5785</v>
      </c>
      <c r="O847" s="12" t="s">
        <v>6946</v>
      </c>
      <c r="P847" s="12" t="s">
        <v>173</v>
      </c>
      <c r="Q847" s="12" t="s">
        <v>6664</v>
      </c>
      <c r="R847" s="16">
        <v>34.677602777777778</v>
      </c>
      <c r="S847" s="16">
        <v>72.212480555555558</v>
      </c>
      <c r="T847" s="12" t="s">
        <v>11</v>
      </c>
      <c r="U847" s="12" t="s">
        <v>179</v>
      </c>
      <c r="V847" s="12" t="s">
        <v>3940</v>
      </c>
      <c r="W847" s="12" t="s">
        <v>7415</v>
      </c>
      <c r="X847" s="12">
        <v>0.179339</v>
      </c>
      <c r="Y847" s="12">
        <v>188029</v>
      </c>
      <c r="Z847" s="12" t="s">
        <v>8052</v>
      </c>
      <c r="AA847" s="12" t="s">
        <v>8052</v>
      </c>
      <c r="AB847" s="12" t="s">
        <v>3939</v>
      </c>
      <c r="AC847" s="12" t="s">
        <v>21</v>
      </c>
      <c r="AD847" s="12">
        <v>0.129</v>
      </c>
      <c r="AE847" s="12">
        <v>0.96499999999999997</v>
      </c>
      <c r="AF847" s="12" t="s">
        <v>45</v>
      </c>
    </row>
    <row r="848" spans="1:32" x14ac:dyDescent="0.2">
      <c r="A848" s="12" t="s">
        <v>3200</v>
      </c>
      <c r="B848" s="12" t="s">
        <v>3200</v>
      </c>
      <c r="C848" s="12" t="s">
        <v>7462</v>
      </c>
      <c r="D848" s="12" t="s">
        <v>13</v>
      </c>
      <c r="E848" s="12" t="s">
        <v>8109</v>
      </c>
      <c r="F848" s="12" t="s">
        <v>5458</v>
      </c>
      <c r="G848" s="12" t="s">
        <v>5453</v>
      </c>
      <c r="H848" s="12" t="s">
        <v>6618</v>
      </c>
      <c r="I848" s="12">
        <v>2850</v>
      </c>
      <c r="J848" s="12" t="s">
        <v>3144</v>
      </c>
      <c r="K848" s="12" t="s">
        <v>8211</v>
      </c>
      <c r="L848" s="12" t="s">
        <v>3921</v>
      </c>
      <c r="M848" s="12" t="s">
        <v>7051</v>
      </c>
      <c r="N848" s="12" t="s">
        <v>5785</v>
      </c>
      <c r="O848" s="12" t="s">
        <v>7052</v>
      </c>
      <c r="P848" s="12" t="s">
        <v>173</v>
      </c>
      <c r="Q848" s="12" t="s">
        <v>6664</v>
      </c>
      <c r="R848" s="16">
        <v>34.759386111111112</v>
      </c>
      <c r="S848" s="16">
        <v>72.370833333333323</v>
      </c>
      <c r="T848" s="12" t="s">
        <v>11</v>
      </c>
      <c r="U848" s="12" t="s">
        <v>908</v>
      </c>
      <c r="V848" s="12" t="s">
        <v>500</v>
      </c>
      <c r="W848" s="12" t="s">
        <v>7415</v>
      </c>
      <c r="X848" s="12">
        <v>0.74226700000000001</v>
      </c>
      <c r="Y848" s="12">
        <v>510322</v>
      </c>
      <c r="Z848" s="12">
        <v>5.5640000000000004E-3</v>
      </c>
      <c r="AA848" s="12">
        <v>1.3975794546777593</v>
      </c>
      <c r="AB848" s="12" t="s">
        <v>3199</v>
      </c>
      <c r="AC848" s="12" t="s">
        <v>21</v>
      </c>
      <c r="AD848" s="12">
        <v>0.16500000000000001</v>
      </c>
      <c r="AE848" s="12">
        <v>0.99399999999999999</v>
      </c>
      <c r="AF848" s="12" t="s">
        <v>45</v>
      </c>
    </row>
    <row r="849" spans="1:40" x14ac:dyDescent="0.2">
      <c r="A849" s="12" t="s">
        <v>3196</v>
      </c>
      <c r="B849" s="12" t="s">
        <v>3196</v>
      </c>
      <c r="C849" s="12" t="s">
        <v>7464</v>
      </c>
      <c r="D849" s="12" t="s">
        <v>13</v>
      </c>
      <c r="E849" s="12" t="s">
        <v>8109</v>
      </c>
      <c r="F849" s="12" t="s">
        <v>5458</v>
      </c>
      <c r="G849" s="12" t="s">
        <v>5453</v>
      </c>
      <c r="H849" s="12" t="s">
        <v>6618</v>
      </c>
      <c r="I849" s="12">
        <v>2850</v>
      </c>
      <c r="J849" s="12" t="s">
        <v>3144</v>
      </c>
      <c r="K849" s="12" t="s">
        <v>8211</v>
      </c>
      <c r="L849" s="12" t="s">
        <v>3921</v>
      </c>
      <c r="M849" s="12" t="s">
        <v>7051</v>
      </c>
      <c r="N849" s="12" t="s">
        <v>5785</v>
      </c>
      <c r="O849" s="12" t="s">
        <v>7052</v>
      </c>
      <c r="P849" s="12" t="s">
        <v>173</v>
      </c>
      <c r="Q849" s="12" t="s">
        <v>6664</v>
      </c>
      <c r="R849" s="12">
        <v>34.759386111111112</v>
      </c>
      <c r="S849" s="12">
        <v>72.370833333333323</v>
      </c>
      <c r="T849" s="12" t="s">
        <v>25</v>
      </c>
      <c r="U849" s="12" t="s">
        <v>1032</v>
      </c>
      <c r="V849" s="12" t="s">
        <v>6639</v>
      </c>
      <c r="W849" s="12" t="s">
        <v>6639</v>
      </c>
      <c r="X849" s="12">
        <v>1.316398</v>
      </c>
      <c r="Y849" s="12">
        <v>669748</v>
      </c>
      <c r="Z849" s="12" t="s">
        <v>6639</v>
      </c>
      <c r="AA849" s="12" t="s">
        <v>6639</v>
      </c>
      <c r="AB849" s="12" t="s">
        <v>3195</v>
      </c>
      <c r="AC849" s="12" t="s">
        <v>21</v>
      </c>
      <c r="AD849" s="12">
        <v>0.13</v>
      </c>
      <c r="AE849" s="12">
        <v>0.98799999999999999</v>
      </c>
      <c r="AF849" s="12" t="s">
        <v>45</v>
      </c>
    </row>
    <row r="850" spans="1:40" x14ac:dyDescent="0.2">
      <c r="A850" s="12" t="s">
        <v>3215</v>
      </c>
      <c r="B850" s="12" t="s">
        <v>3215</v>
      </c>
      <c r="C850" s="12" t="s">
        <v>7463</v>
      </c>
      <c r="D850" s="12" t="s">
        <v>13</v>
      </c>
      <c r="E850" s="12" t="s">
        <v>8109</v>
      </c>
      <c r="F850" s="12" t="s">
        <v>5458</v>
      </c>
      <c r="G850" s="12" t="s">
        <v>5453</v>
      </c>
      <c r="H850" s="12" t="s">
        <v>6618</v>
      </c>
      <c r="I850" s="12">
        <v>2850</v>
      </c>
      <c r="J850" s="12" t="s">
        <v>3144</v>
      </c>
      <c r="K850" s="12" t="s">
        <v>8211</v>
      </c>
      <c r="L850" s="12" t="s">
        <v>3921</v>
      </c>
      <c r="M850" s="12" t="s">
        <v>7051</v>
      </c>
      <c r="N850" s="12" t="s">
        <v>5785</v>
      </c>
      <c r="O850" s="12" t="s">
        <v>7052</v>
      </c>
      <c r="P850" s="12" t="s">
        <v>173</v>
      </c>
      <c r="Q850" s="12" t="s">
        <v>6664</v>
      </c>
      <c r="R850" s="16">
        <v>34.765841666666667</v>
      </c>
      <c r="S850" s="16">
        <v>72.349133333333327</v>
      </c>
      <c r="T850" s="12" t="s">
        <v>11</v>
      </c>
      <c r="U850" s="12" t="s">
        <v>1601</v>
      </c>
      <c r="V850" s="12" t="s">
        <v>780</v>
      </c>
      <c r="W850" s="12" t="s">
        <v>7415</v>
      </c>
      <c r="X850" s="12">
        <v>1.619783</v>
      </c>
      <c r="Y850" s="12">
        <v>715206</v>
      </c>
      <c r="Z850" s="12">
        <v>5.1989999999999996E-3</v>
      </c>
      <c r="AA850" s="12">
        <v>2.619144896294658</v>
      </c>
      <c r="AB850" s="12" t="s">
        <v>3214</v>
      </c>
      <c r="AC850" s="12" t="s">
        <v>21</v>
      </c>
      <c r="AD850" s="12">
        <v>0.16300000000000001</v>
      </c>
      <c r="AE850" s="12">
        <v>0.995</v>
      </c>
      <c r="AF850" s="12" t="s">
        <v>82</v>
      </c>
    </row>
    <row r="851" spans="1:40" x14ac:dyDescent="0.2">
      <c r="A851" s="12" t="s">
        <v>3258</v>
      </c>
      <c r="B851" s="12" t="s">
        <v>3258</v>
      </c>
      <c r="C851" s="12" t="s">
        <v>7489</v>
      </c>
      <c r="D851" s="12" t="s">
        <v>13</v>
      </c>
      <c r="E851" s="12" t="s">
        <v>8109</v>
      </c>
      <c r="F851" s="12" t="s">
        <v>5458</v>
      </c>
      <c r="G851" s="12" t="s">
        <v>5453</v>
      </c>
      <c r="H851" s="12" t="s">
        <v>6618</v>
      </c>
      <c r="I851" s="12">
        <v>2850</v>
      </c>
      <c r="J851" s="12" t="s">
        <v>3144</v>
      </c>
      <c r="K851" s="12" t="s">
        <v>8211</v>
      </c>
      <c r="L851" s="12" t="s">
        <v>3921</v>
      </c>
      <c r="M851" s="12" t="s">
        <v>3959</v>
      </c>
      <c r="N851" s="12" t="s">
        <v>5785</v>
      </c>
      <c r="O851" s="12" t="s">
        <v>6947</v>
      </c>
      <c r="P851" s="12" t="s">
        <v>173</v>
      </c>
      <c r="Q851" s="12" t="s">
        <v>6664</v>
      </c>
      <c r="R851" s="16">
        <v>34.765841666666667</v>
      </c>
      <c r="S851" s="16">
        <v>72.349133333333327</v>
      </c>
      <c r="T851" s="12" t="s">
        <v>11</v>
      </c>
      <c r="U851" s="12" t="s">
        <v>5771</v>
      </c>
      <c r="V851" s="12" t="s">
        <v>780</v>
      </c>
      <c r="W851" s="12" t="s">
        <v>7415</v>
      </c>
      <c r="X851" s="12">
        <v>5.2200999999999997E-2</v>
      </c>
      <c r="Y851" s="12">
        <v>60145</v>
      </c>
      <c r="Z851" s="12" t="s">
        <v>8052</v>
      </c>
      <c r="AA851" s="12" t="s">
        <v>8052</v>
      </c>
      <c r="AB851" s="12" t="s">
        <v>3257</v>
      </c>
      <c r="AC851" s="12" t="s">
        <v>21</v>
      </c>
      <c r="AD851" s="12">
        <v>0.16649999999999901</v>
      </c>
      <c r="AE851" s="12">
        <v>0.94499999999999995</v>
      </c>
      <c r="AF851" s="12" t="s">
        <v>45</v>
      </c>
    </row>
    <row r="852" spans="1:40" x14ac:dyDescent="0.2">
      <c r="A852" s="12" t="s">
        <v>3217</v>
      </c>
      <c r="B852" s="12" t="s">
        <v>3217</v>
      </c>
      <c r="C852" s="12" t="s">
        <v>7472</v>
      </c>
      <c r="D852" s="12" t="s">
        <v>13</v>
      </c>
      <c r="E852" s="12" t="s">
        <v>8109</v>
      </c>
      <c r="F852" s="12" t="s">
        <v>5458</v>
      </c>
      <c r="G852" s="12" t="s">
        <v>5453</v>
      </c>
      <c r="H852" s="12" t="s">
        <v>6618</v>
      </c>
      <c r="I852" s="12">
        <v>2850</v>
      </c>
      <c r="J852" s="12" t="s">
        <v>3144</v>
      </c>
      <c r="K852" s="12" t="s">
        <v>8211</v>
      </c>
      <c r="L852" s="12" t="s">
        <v>3921</v>
      </c>
      <c r="M852" s="12" t="s">
        <v>3959</v>
      </c>
      <c r="N852" s="12" t="s">
        <v>5785</v>
      </c>
      <c r="O852" s="12" t="s">
        <v>6947</v>
      </c>
      <c r="P852" s="12" t="s">
        <v>173</v>
      </c>
      <c r="Q852" s="12" t="s">
        <v>6664</v>
      </c>
      <c r="R852" s="12">
        <v>34.765841666666667</v>
      </c>
      <c r="S852" s="12">
        <v>72.349133333333327</v>
      </c>
      <c r="T852" s="12" t="s">
        <v>25</v>
      </c>
      <c r="U852" s="12" t="s">
        <v>11</v>
      </c>
      <c r="V852" s="12" t="s">
        <v>6639</v>
      </c>
      <c r="W852" s="12" t="s">
        <v>6639</v>
      </c>
      <c r="X852" s="12">
        <v>7.4732000000000007E-2</v>
      </c>
      <c r="Y852" s="12">
        <v>82148</v>
      </c>
      <c r="Z852" s="12" t="s">
        <v>6639</v>
      </c>
      <c r="AA852" s="12" t="s">
        <v>6639</v>
      </c>
      <c r="AB852" s="12" t="s">
        <v>3216</v>
      </c>
      <c r="AC852" s="12" t="s">
        <v>21</v>
      </c>
      <c r="AD852" s="12">
        <v>0.19800000000000001</v>
      </c>
      <c r="AE852" s="12">
        <v>0.96399999999999997</v>
      </c>
      <c r="AF852" s="12" t="s">
        <v>45</v>
      </c>
    </row>
    <row r="853" spans="1:40" x14ac:dyDescent="0.2">
      <c r="A853" s="12" t="s">
        <v>4032</v>
      </c>
      <c r="B853" s="12" t="s">
        <v>4032</v>
      </c>
      <c r="C853" s="12" t="s">
        <v>7468</v>
      </c>
      <c r="D853" s="12" t="s">
        <v>13</v>
      </c>
      <c r="E853" s="12" t="s">
        <v>8108</v>
      </c>
      <c r="F853" s="12" t="s">
        <v>5458</v>
      </c>
      <c r="G853" s="12" t="s">
        <v>5453</v>
      </c>
      <c r="H853" s="12" t="s">
        <v>6618</v>
      </c>
      <c r="I853" s="12">
        <v>2850</v>
      </c>
      <c r="J853" s="12" t="s">
        <v>3144</v>
      </c>
      <c r="K853" s="12" t="s">
        <v>8211</v>
      </c>
      <c r="L853" s="12" t="s">
        <v>3921</v>
      </c>
      <c r="M853" s="12" t="s">
        <v>3959</v>
      </c>
      <c r="N853" s="12" t="s">
        <v>5785</v>
      </c>
      <c r="O853" s="12" t="s">
        <v>6947</v>
      </c>
      <c r="P853" s="12" t="s">
        <v>173</v>
      </c>
      <c r="Q853" s="12" t="s">
        <v>6664</v>
      </c>
      <c r="R853" s="12">
        <v>34.765841666666667</v>
      </c>
      <c r="S853" s="12">
        <v>72.349133333333327</v>
      </c>
      <c r="T853" s="12" t="s">
        <v>25</v>
      </c>
      <c r="U853" s="12" t="s">
        <v>4033</v>
      </c>
      <c r="V853" s="12" t="s">
        <v>6639</v>
      </c>
      <c r="W853" s="12" t="s">
        <v>6639</v>
      </c>
      <c r="X853" s="12">
        <v>7.6340000000000005E-2</v>
      </c>
      <c r="Y853" s="12">
        <v>91557</v>
      </c>
      <c r="Z853" s="12" t="s">
        <v>6639</v>
      </c>
      <c r="AA853" s="12" t="s">
        <v>6639</v>
      </c>
      <c r="AB853" s="12" t="s">
        <v>4031</v>
      </c>
      <c r="AC853" s="12" t="s">
        <v>21</v>
      </c>
      <c r="AD853" s="12">
        <v>0.23599999999999999</v>
      </c>
      <c r="AE853" s="12">
        <v>0.98799999999999999</v>
      </c>
      <c r="AF853" s="12" t="s">
        <v>45</v>
      </c>
    </row>
    <row r="854" spans="1:40" x14ac:dyDescent="0.2">
      <c r="A854" s="12" t="s">
        <v>3226</v>
      </c>
      <c r="B854" s="12" t="s">
        <v>3226</v>
      </c>
      <c r="C854" s="12" t="s">
        <v>7476</v>
      </c>
      <c r="D854" s="12" t="s">
        <v>13</v>
      </c>
      <c r="E854" s="12" t="s">
        <v>8109</v>
      </c>
      <c r="F854" s="12" t="s">
        <v>5458</v>
      </c>
      <c r="G854" s="12" t="s">
        <v>5453</v>
      </c>
      <c r="H854" s="12" t="s">
        <v>6618</v>
      </c>
      <c r="I854" s="12">
        <v>2850</v>
      </c>
      <c r="J854" s="12" t="s">
        <v>3144</v>
      </c>
      <c r="K854" s="12" t="s">
        <v>8211</v>
      </c>
      <c r="L854" s="12" t="s">
        <v>3921</v>
      </c>
      <c r="M854" s="12" t="s">
        <v>3959</v>
      </c>
      <c r="N854" s="12" t="s">
        <v>5785</v>
      </c>
      <c r="O854" s="12" t="s">
        <v>6947</v>
      </c>
      <c r="P854" s="12" t="s">
        <v>173</v>
      </c>
      <c r="Q854" s="12" t="s">
        <v>6664</v>
      </c>
      <c r="R854" s="12">
        <v>34.765841666666667</v>
      </c>
      <c r="S854" s="12">
        <v>72.349133333333327</v>
      </c>
      <c r="T854" s="12" t="s">
        <v>25</v>
      </c>
      <c r="U854" s="12" t="s">
        <v>3227</v>
      </c>
      <c r="V854" s="12" t="s">
        <v>6639</v>
      </c>
      <c r="W854" s="12" t="s">
        <v>6639</v>
      </c>
      <c r="X854" s="12">
        <v>0.15049299999999999</v>
      </c>
      <c r="Y854" s="12">
        <v>157093</v>
      </c>
      <c r="Z854" s="12" t="s">
        <v>6639</v>
      </c>
      <c r="AA854" s="12" t="s">
        <v>6639</v>
      </c>
      <c r="AB854" s="12" t="s">
        <v>3225</v>
      </c>
      <c r="AC854" s="12" t="s">
        <v>21</v>
      </c>
      <c r="AD854" s="12">
        <v>0.13900000000000001</v>
      </c>
      <c r="AE854" s="12">
        <v>0.99299999999999999</v>
      </c>
      <c r="AF854" s="12" t="s">
        <v>45</v>
      </c>
    </row>
    <row r="855" spans="1:40" x14ac:dyDescent="0.2">
      <c r="A855" s="12" t="s">
        <v>4025</v>
      </c>
      <c r="B855" s="12" t="s">
        <v>4025</v>
      </c>
      <c r="C855" s="12" t="s">
        <v>7579</v>
      </c>
      <c r="D855" s="12" t="s">
        <v>13</v>
      </c>
      <c r="E855" s="12" t="s">
        <v>8108</v>
      </c>
      <c r="F855" s="12" t="s">
        <v>5458</v>
      </c>
      <c r="G855" s="12" t="s">
        <v>5453</v>
      </c>
      <c r="H855" s="12" t="s">
        <v>6618</v>
      </c>
      <c r="I855" s="12">
        <v>2850</v>
      </c>
      <c r="J855" s="12" t="s">
        <v>3144</v>
      </c>
      <c r="K855" s="12" t="s">
        <v>8211</v>
      </c>
      <c r="L855" s="12" t="s">
        <v>3921</v>
      </c>
      <c r="M855" s="12" t="s">
        <v>3959</v>
      </c>
      <c r="N855" s="12" t="s">
        <v>5785</v>
      </c>
      <c r="O855" s="12" t="s">
        <v>6947</v>
      </c>
      <c r="P855" s="12" t="s">
        <v>173</v>
      </c>
      <c r="Q855" s="12" t="s">
        <v>6664</v>
      </c>
      <c r="R855" s="16">
        <v>34.765841666666667</v>
      </c>
      <c r="S855" s="16">
        <v>72.349133333333327</v>
      </c>
      <c r="T855" s="12" t="s">
        <v>25</v>
      </c>
      <c r="U855" s="12" t="s">
        <v>4026</v>
      </c>
      <c r="V855" s="12" t="s">
        <v>6639</v>
      </c>
      <c r="W855" s="12" t="s">
        <v>6639</v>
      </c>
      <c r="X855" s="12">
        <v>0.17471300000000001</v>
      </c>
      <c r="Y855" s="12">
        <v>190382</v>
      </c>
      <c r="Z855" s="12" t="s">
        <v>6639</v>
      </c>
      <c r="AA855" s="12" t="s">
        <v>6639</v>
      </c>
      <c r="AB855" s="12" t="s">
        <v>4024</v>
      </c>
      <c r="AC855" s="12" t="s">
        <v>21</v>
      </c>
      <c r="AD855" s="12">
        <v>0.30099999999999999</v>
      </c>
      <c r="AE855" s="12">
        <v>0.997</v>
      </c>
      <c r="AF855" s="12" t="s">
        <v>45</v>
      </c>
    </row>
    <row r="856" spans="1:40" x14ac:dyDescent="0.2">
      <c r="A856" s="12" t="s">
        <v>3245</v>
      </c>
      <c r="B856" s="12" t="s">
        <v>3245</v>
      </c>
      <c r="C856" s="12" t="s">
        <v>7484</v>
      </c>
      <c r="D856" s="12" t="s">
        <v>13</v>
      </c>
      <c r="E856" s="12" t="s">
        <v>8109</v>
      </c>
      <c r="F856" s="12" t="s">
        <v>5458</v>
      </c>
      <c r="G856" s="12" t="s">
        <v>5453</v>
      </c>
      <c r="H856" s="12" t="s">
        <v>6618</v>
      </c>
      <c r="I856" s="12">
        <v>2850</v>
      </c>
      <c r="J856" s="12" t="s">
        <v>3144</v>
      </c>
      <c r="K856" s="12" t="s">
        <v>8211</v>
      </c>
      <c r="L856" s="12" t="s">
        <v>3921</v>
      </c>
      <c r="M856" s="12" t="s">
        <v>3959</v>
      </c>
      <c r="N856" s="12" t="s">
        <v>5785</v>
      </c>
      <c r="O856" s="12" t="s">
        <v>6947</v>
      </c>
      <c r="P856" s="12" t="s">
        <v>173</v>
      </c>
      <c r="Q856" s="12" t="s">
        <v>6664</v>
      </c>
      <c r="R856" s="12">
        <v>34.765841666666667</v>
      </c>
      <c r="S856" s="12">
        <v>72.349133333333327</v>
      </c>
      <c r="T856" s="12" t="s">
        <v>11</v>
      </c>
      <c r="U856" s="12" t="s">
        <v>4036</v>
      </c>
      <c r="V856" s="12" t="s">
        <v>262</v>
      </c>
      <c r="W856" s="12" t="s">
        <v>7415</v>
      </c>
      <c r="X856" s="12">
        <v>0.19664100000000001</v>
      </c>
      <c r="Y856" s="12">
        <v>200090</v>
      </c>
      <c r="Z856" s="12" t="s">
        <v>8052</v>
      </c>
      <c r="AA856" s="12" t="s">
        <v>8052</v>
      </c>
      <c r="AB856" s="12" t="s">
        <v>3244</v>
      </c>
      <c r="AC856" s="12" t="s">
        <v>21</v>
      </c>
      <c r="AD856" s="12">
        <v>0.1575</v>
      </c>
      <c r="AE856" s="12">
        <v>0.98399999999999999</v>
      </c>
      <c r="AF856" s="12" t="s">
        <v>45</v>
      </c>
    </row>
    <row r="857" spans="1:40" x14ac:dyDescent="0.2">
      <c r="A857" s="12" t="s">
        <v>3260</v>
      </c>
      <c r="B857" s="12" t="s">
        <v>3260</v>
      </c>
      <c r="C857" s="12" t="s">
        <v>7490</v>
      </c>
      <c r="D857" s="12" t="s">
        <v>13</v>
      </c>
      <c r="E857" s="12" t="s">
        <v>8109</v>
      </c>
      <c r="F857" s="12" t="s">
        <v>5458</v>
      </c>
      <c r="G857" s="12" t="s">
        <v>5453</v>
      </c>
      <c r="H857" s="12" t="s">
        <v>6618</v>
      </c>
      <c r="I857" s="12">
        <v>2850</v>
      </c>
      <c r="J857" s="12" t="s">
        <v>3144</v>
      </c>
      <c r="K857" s="12" t="s">
        <v>8211</v>
      </c>
      <c r="L857" s="12" t="s">
        <v>3921</v>
      </c>
      <c r="M857" s="12" t="s">
        <v>3959</v>
      </c>
      <c r="N857" s="12" t="s">
        <v>5785</v>
      </c>
      <c r="O857" s="12" t="s">
        <v>6947</v>
      </c>
      <c r="P857" s="12" t="s">
        <v>173</v>
      </c>
      <c r="Q857" s="12" t="s">
        <v>6664</v>
      </c>
      <c r="R857" s="12">
        <v>34.765841666666667</v>
      </c>
      <c r="S857" s="12">
        <v>72.349133333333327</v>
      </c>
      <c r="T857" s="12" t="s">
        <v>11</v>
      </c>
      <c r="U857" s="12" t="s">
        <v>3261</v>
      </c>
      <c r="V857" s="12" t="s">
        <v>894</v>
      </c>
      <c r="W857" s="12" t="s">
        <v>7415</v>
      </c>
      <c r="X857" s="12">
        <v>0.26061000000000001</v>
      </c>
      <c r="Y857" s="12">
        <v>250250</v>
      </c>
      <c r="Z857" s="12" t="s">
        <v>8052</v>
      </c>
      <c r="AA857" s="12" t="s">
        <v>8052</v>
      </c>
      <c r="AB857" s="12" t="s">
        <v>3259</v>
      </c>
      <c r="AC857" s="12" t="s">
        <v>21</v>
      </c>
      <c r="AD857" s="12">
        <v>0.16500000000000001</v>
      </c>
      <c r="AE857" s="12">
        <v>0.99099999999999999</v>
      </c>
      <c r="AF857" s="12" t="s">
        <v>45</v>
      </c>
    </row>
    <row r="858" spans="1:40" x14ac:dyDescent="0.2">
      <c r="A858" s="12" t="s">
        <v>3240</v>
      </c>
      <c r="B858" s="12" t="s">
        <v>3240</v>
      </c>
      <c r="C858" s="12" t="s">
        <v>7482</v>
      </c>
      <c r="D858" s="12" t="s">
        <v>13</v>
      </c>
      <c r="E858" s="12" t="s">
        <v>8109</v>
      </c>
      <c r="F858" s="12" t="s">
        <v>5458</v>
      </c>
      <c r="G858" s="12" t="s">
        <v>5453</v>
      </c>
      <c r="H858" s="12" t="s">
        <v>6618</v>
      </c>
      <c r="I858" s="12">
        <v>2850</v>
      </c>
      <c r="J858" s="12" t="s">
        <v>3144</v>
      </c>
      <c r="K858" s="12" t="s">
        <v>8211</v>
      </c>
      <c r="L858" s="12" t="s">
        <v>3921</v>
      </c>
      <c r="M858" s="12" t="s">
        <v>3959</v>
      </c>
      <c r="N858" s="12" t="s">
        <v>5785</v>
      </c>
      <c r="O858" s="12" t="s">
        <v>6947</v>
      </c>
      <c r="P858" s="12" t="s">
        <v>173</v>
      </c>
      <c r="Q858" s="12" t="s">
        <v>6664</v>
      </c>
      <c r="R858" s="16">
        <v>34.765841666666667</v>
      </c>
      <c r="S858" s="16">
        <v>72.349133333333327</v>
      </c>
      <c r="T858" s="12" t="s">
        <v>11</v>
      </c>
      <c r="U858" s="12" t="s">
        <v>3241</v>
      </c>
      <c r="V858" s="12" t="s">
        <v>628</v>
      </c>
      <c r="W858" s="12" t="s">
        <v>7415</v>
      </c>
      <c r="X858" s="12">
        <v>0.31659599999999999</v>
      </c>
      <c r="Y858" s="12">
        <v>287981</v>
      </c>
      <c r="Z858" s="12" t="s">
        <v>8052</v>
      </c>
      <c r="AA858" s="12" t="s">
        <v>8052</v>
      </c>
      <c r="AB858" s="12" t="s">
        <v>3239</v>
      </c>
      <c r="AC858" s="12" t="s">
        <v>21</v>
      </c>
      <c r="AD858" s="12">
        <v>0.16400000000000001</v>
      </c>
      <c r="AE858" s="12">
        <v>0.98199999999999998</v>
      </c>
      <c r="AF858" s="12" t="s">
        <v>45</v>
      </c>
    </row>
    <row r="859" spans="1:40" x14ac:dyDescent="0.2">
      <c r="A859" s="12" t="s">
        <v>3267</v>
      </c>
      <c r="B859" s="12" t="s">
        <v>3267</v>
      </c>
      <c r="C859" s="12" t="s">
        <v>6935</v>
      </c>
      <c r="D859" s="12" t="s">
        <v>13</v>
      </c>
      <c r="E859" s="12" t="s">
        <v>8110</v>
      </c>
      <c r="F859" s="12" t="s">
        <v>5458</v>
      </c>
      <c r="G859" s="12" t="s">
        <v>5453</v>
      </c>
      <c r="H859" s="12" t="s">
        <v>6618</v>
      </c>
      <c r="I859" s="12">
        <v>2850</v>
      </c>
      <c r="J859" s="12" t="s">
        <v>3144</v>
      </c>
      <c r="K859" s="12" t="s">
        <v>8211</v>
      </c>
      <c r="L859" s="12" t="s">
        <v>3921</v>
      </c>
      <c r="M859" s="12" t="s">
        <v>3959</v>
      </c>
      <c r="N859" s="12" t="s">
        <v>5785</v>
      </c>
      <c r="O859" s="12" t="s">
        <v>6947</v>
      </c>
      <c r="P859" s="12" t="s">
        <v>173</v>
      </c>
      <c r="Q859" s="12" t="s">
        <v>6664</v>
      </c>
      <c r="R859" s="12">
        <v>34.76584167</v>
      </c>
      <c r="S859" s="12">
        <v>72.349133330000001</v>
      </c>
      <c r="T859" s="12" t="s">
        <v>11</v>
      </c>
      <c r="U859" s="12" t="s">
        <v>3268</v>
      </c>
      <c r="V859" s="12" t="s">
        <v>780</v>
      </c>
      <c r="W859" s="12" t="s">
        <v>7415</v>
      </c>
      <c r="X859" s="12">
        <v>0.32800000000000001</v>
      </c>
      <c r="Y859" s="12">
        <v>313441</v>
      </c>
      <c r="Z859" s="12" t="s">
        <v>8052</v>
      </c>
      <c r="AA859" s="12" t="s">
        <v>8052</v>
      </c>
      <c r="AB859" s="12" t="s">
        <v>3986</v>
      </c>
      <c r="AC859" s="12" t="s">
        <v>21</v>
      </c>
      <c r="AD859" s="12">
        <v>0.14899999999999999</v>
      </c>
      <c r="AE859" s="12">
        <v>0.998</v>
      </c>
      <c r="AF859" s="12" t="s">
        <v>45</v>
      </c>
    </row>
    <row r="860" spans="1:40" x14ac:dyDescent="0.2">
      <c r="A860" s="12" t="s">
        <v>3235</v>
      </c>
      <c r="B860" s="12" t="s">
        <v>3235</v>
      </c>
      <c r="C860" s="12" t="s">
        <v>7480</v>
      </c>
      <c r="D860" s="12" t="s">
        <v>13</v>
      </c>
      <c r="E860" s="12" t="s">
        <v>8109</v>
      </c>
      <c r="F860" s="12" t="s">
        <v>5458</v>
      </c>
      <c r="G860" s="12" t="s">
        <v>5453</v>
      </c>
      <c r="H860" s="12" t="s">
        <v>6618</v>
      </c>
      <c r="I860" s="12">
        <v>2850</v>
      </c>
      <c r="J860" s="12" t="s">
        <v>3144</v>
      </c>
      <c r="K860" s="12" t="s">
        <v>8211</v>
      </c>
      <c r="L860" s="12" t="s">
        <v>3921</v>
      </c>
      <c r="M860" s="12" t="s">
        <v>3959</v>
      </c>
      <c r="N860" s="12" t="s">
        <v>5785</v>
      </c>
      <c r="O860" s="12" t="s">
        <v>6947</v>
      </c>
      <c r="P860" s="12" t="s">
        <v>173</v>
      </c>
      <c r="Q860" s="12" t="s">
        <v>6664</v>
      </c>
      <c r="R860" s="16">
        <v>34.765841666666667</v>
      </c>
      <c r="S860" s="16">
        <v>72.349133333333327</v>
      </c>
      <c r="T860" s="12" t="s">
        <v>25</v>
      </c>
      <c r="U860" s="12" t="s">
        <v>3236</v>
      </c>
      <c r="V860" s="12" t="s">
        <v>6639</v>
      </c>
      <c r="W860" s="12" t="s">
        <v>6639</v>
      </c>
      <c r="X860" s="12">
        <v>0.50535600000000003</v>
      </c>
      <c r="Y860" s="12">
        <v>399222</v>
      </c>
      <c r="Z860" s="12" t="s">
        <v>6639</v>
      </c>
      <c r="AA860" s="12" t="s">
        <v>6639</v>
      </c>
      <c r="AB860" s="12" t="s">
        <v>3234</v>
      </c>
      <c r="AC860" s="12" t="s">
        <v>21</v>
      </c>
      <c r="AD860" s="12">
        <v>0.23400000000000001</v>
      </c>
      <c r="AE860" s="12">
        <v>0.97299999999999998</v>
      </c>
      <c r="AF860" s="12" t="s">
        <v>45</v>
      </c>
    </row>
    <row r="861" spans="1:40" x14ac:dyDescent="0.2">
      <c r="A861" s="12" t="s">
        <v>3221</v>
      </c>
      <c r="B861" s="12" t="s">
        <v>3221</v>
      </c>
      <c r="C861" s="12" t="s">
        <v>7474</v>
      </c>
      <c r="D861" s="12" t="s">
        <v>13</v>
      </c>
      <c r="E861" s="12" t="s">
        <v>8109</v>
      </c>
      <c r="F861" s="12" t="s">
        <v>5458</v>
      </c>
      <c r="G861" s="12" t="s">
        <v>5453</v>
      </c>
      <c r="H861" s="12" t="s">
        <v>6618</v>
      </c>
      <c r="I861" s="12">
        <v>2850</v>
      </c>
      <c r="J861" s="12" t="s">
        <v>3144</v>
      </c>
      <c r="K861" s="12" t="s">
        <v>8211</v>
      </c>
      <c r="L861" s="12" t="s">
        <v>3921</v>
      </c>
      <c r="M861" s="12" t="s">
        <v>3959</v>
      </c>
      <c r="N861" s="12" t="s">
        <v>5785</v>
      </c>
      <c r="O861" s="12" t="s">
        <v>6947</v>
      </c>
      <c r="P861" s="12" t="s">
        <v>173</v>
      </c>
      <c r="Q861" s="12" t="s">
        <v>6664</v>
      </c>
      <c r="R861" s="12">
        <v>34.765841666666667</v>
      </c>
      <c r="S861" s="12">
        <v>72.349133333333327</v>
      </c>
      <c r="T861" s="12" t="s">
        <v>25</v>
      </c>
      <c r="U861" s="12" t="s">
        <v>3222</v>
      </c>
      <c r="V861" s="12" t="s">
        <v>6639</v>
      </c>
      <c r="W861" s="12" t="s">
        <v>6639</v>
      </c>
      <c r="X861" s="12">
        <v>0.552728</v>
      </c>
      <c r="Y861" s="12">
        <v>420926</v>
      </c>
      <c r="Z861" s="12" t="s">
        <v>6639</v>
      </c>
      <c r="AA861" s="12" t="s">
        <v>6639</v>
      </c>
      <c r="AB861" s="12" t="s">
        <v>3220</v>
      </c>
      <c r="AC861" s="12" t="s">
        <v>21</v>
      </c>
      <c r="AD861" s="12">
        <v>0.16800000000000001</v>
      </c>
      <c r="AE861" s="12">
        <v>0.98899999999999999</v>
      </c>
      <c r="AF861" s="12" t="s">
        <v>45</v>
      </c>
    </row>
    <row r="862" spans="1:40" x14ac:dyDescent="0.2">
      <c r="A862" s="12" t="s">
        <v>3224</v>
      </c>
      <c r="B862" s="12" t="s">
        <v>3224</v>
      </c>
      <c r="C862" s="12" t="s">
        <v>7475</v>
      </c>
      <c r="D862" s="12" t="s">
        <v>13</v>
      </c>
      <c r="E862" s="12" t="s">
        <v>8109</v>
      </c>
      <c r="F862" s="12" t="s">
        <v>5458</v>
      </c>
      <c r="G862" s="12" t="s">
        <v>5453</v>
      </c>
      <c r="H862" s="12" t="s">
        <v>6618</v>
      </c>
      <c r="I862" s="12">
        <v>2850</v>
      </c>
      <c r="J862" s="12" t="s">
        <v>3144</v>
      </c>
      <c r="K862" s="12" t="s">
        <v>8211</v>
      </c>
      <c r="L862" s="12" t="s">
        <v>3921</v>
      </c>
      <c r="M862" s="12" t="s">
        <v>3959</v>
      </c>
      <c r="N862" s="12" t="s">
        <v>5785</v>
      </c>
      <c r="O862" s="12" t="s">
        <v>6947</v>
      </c>
      <c r="P862" s="12" t="s">
        <v>173</v>
      </c>
      <c r="Q862" s="12" t="s">
        <v>6664</v>
      </c>
      <c r="R862" s="16">
        <v>34.765841666666667</v>
      </c>
      <c r="S862" s="16">
        <v>72.349133333333327</v>
      </c>
      <c r="T862" s="12" t="s">
        <v>11</v>
      </c>
      <c r="U862" s="12" t="s">
        <v>613</v>
      </c>
      <c r="V862" s="12" t="s">
        <v>1182</v>
      </c>
      <c r="W862" s="12" t="s">
        <v>7415</v>
      </c>
      <c r="X862" s="12">
        <v>0.63189899999999999</v>
      </c>
      <c r="Y862" s="12">
        <v>460430</v>
      </c>
      <c r="Z862" s="12">
        <v>7.587E-3</v>
      </c>
      <c r="AA862" s="12">
        <v>1.7701336664398102</v>
      </c>
      <c r="AB862" s="12" t="s">
        <v>3223</v>
      </c>
      <c r="AC862" s="12" t="s">
        <v>21</v>
      </c>
      <c r="AD862" s="12">
        <v>0.15</v>
      </c>
      <c r="AE862" s="12">
        <v>0.995</v>
      </c>
      <c r="AF862" s="12" t="s">
        <v>45</v>
      </c>
      <c r="AL862" s="71"/>
      <c r="AM862" s="12"/>
      <c r="AN862" s="12"/>
    </row>
    <row r="863" spans="1:40" x14ac:dyDescent="0.2">
      <c r="A863" s="12" t="s">
        <v>4030</v>
      </c>
      <c r="B863" s="12" t="s">
        <v>4030</v>
      </c>
      <c r="C863" s="12" t="s">
        <v>7467</v>
      </c>
      <c r="D863" s="12" t="s">
        <v>13</v>
      </c>
      <c r="E863" s="12" t="s">
        <v>8108</v>
      </c>
      <c r="F863" s="12" t="s">
        <v>5458</v>
      </c>
      <c r="G863" s="12" t="s">
        <v>5453</v>
      </c>
      <c r="H863" s="12" t="s">
        <v>6618</v>
      </c>
      <c r="I863" s="12">
        <v>2850</v>
      </c>
      <c r="J863" s="12" t="s">
        <v>3144</v>
      </c>
      <c r="K863" s="12" t="s">
        <v>8211</v>
      </c>
      <c r="L863" s="12" t="s">
        <v>3921</v>
      </c>
      <c r="M863" s="12" t="s">
        <v>3959</v>
      </c>
      <c r="N863" s="12" t="s">
        <v>5785</v>
      </c>
      <c r="O863" s="12" t="s">
        <v>6947</v>
      </c>
      <c r="P863" s="12" t="s">
        <v>173</v>
      </c>
      <c r="Q863" s="12" t="s">
        <v>6664</v>
      </c>
      <c r="R863" s="12">
        <v>34.765841666666667</v>
      </c>
      <c r="S863" s="12">
        <v>72.349133333333327</v>
      </c>
      <c r="T863" s="12" t="s">
        <v>11</v>
      </c>
      <c r="U863" s="12" t="s">
        <v>2654</v>
      </c>
      <c r="V863" s="12" t="s">
        <v>1182</v>
      </c>
      <c r="W863" s="12" t="s">
        <v>7415</v>
      </c>
      <c r="X863" s="12">
        <v>0.62156400000000001</v>
      </c>
      <c r="Y863" s="12">
        <v>469049</v>
      </c>
      <c r="Z863" s="12">
        <v>6.7130000000000002E-3</v>
      </c>
      <c r="AA863" s="12">
        <v>1.5872524218426551</v>
      </c>
      <c r="AB863" s="12" t="s">
        <v>4029</v>
      </c>
      <c r="AC863" s="12" t="s">
        <v>21</v>
      </c>
      <c r="AD863" s="12">
        <v>0.20200000000000001</v>
      </c>
      <c r="AE863" s="12">
        <v>0.999</v>
      </c>
      <c r="AF863" s="12" t="s">
        <v>45</v>
      </c>
    </row>
    <row r="864" spans="1:40" x14ac:dyDescent="0.2">
      <c r="A864" s="12" t="s">
        <v>4028</v>
      </c>
      <c r="B864" s="12" t="s">
        <v>4028</v>
      </c>
      <c r="C864" s="12" t="s">
        <v>7466</v>
      </c>
      <c r="D864" s="12" t="s">
        <v>13</v>
      </c>
      <c r="E864" s="12" t="s">
        <v>8108</v>
      </c>
      <c r="F864" s="12" t="s">
        <v>5458</v>
      </c>
      <c r="G864" s="12" t="s">
        <v>5453</v>
      </c>
      <c r="H864" s="12" t="s">
        <v>6618</v>
      </c>
      <c r="I864" s="12">
        <v>2850</v>
      </c>
      <c r="J864" s="12" t="s">
        <v>3144</v>
      </c>
      <c r="K864" s="12" t="s">
        <v>8211</v>
      </c>
      <c r="L864" s="12" t="s">
        <v>3921</v>
      </c>
      <c r="M864" s="12" t="s">
        <v>3959</v>
      </c>
      <c r="N864" s="12" t="s">
        <v>5785</v>
      </c>
      <c r="O864" s="12" t="s">
        <v>6947</v>
      </c>
      <c r="P864" s="12" t="s">
        <v>173</v>
      </c>
      <c r="Q864" s="12" t="s">
        <v>6664</v>
      </c>
      <c r="R864" s="12">
        <v>34.765841666666667</v>
      </c>
      <c r="S864" s="12">
        <v>72.349133333333327</v>
      </c>
      <c r="T864" s="12" t="s">
        <v>25</v>
      </c>
      <c r="U864" s="12" t="s">
        <v>3222</v>
      </c>
      <c r="V864" s="12" t="s">
        <v>6639</v>
      </c>
      <c r="W864" s="12" t="s">
        <v>6639</v>
      </c>
      <c r="X864" s="12">
        <v>0.682392</v>
      </c>
      <c r="Y864" s="12">
        <v>473073</v>
      </c>
      <c r="Z864" s="12" t="s">
        <v>6639</v>
      </c>
      <c r="AA864" s="12" t="s">
        <v>6639</v>
      </c>
      <c r="AB864" s="12" t="s">
        <v>4027</v>
      </c>
      <c r="AC864" s="12" t="s">
        <v>21</v>
      </c>
      <c r="AD864" s="12">
        <v>0.185</v>
      </c>
      <c r="AE864" s="12">
        <v>0.96699999999999997</v>
      </c>
      <c r="AF864" s="12" t="s">
        <v>45</v>
      </c>
    </row>
    <row r="865" spans="1:32" x14ac:dyDescent="0.2">
      <c r="A865" s="12" t="s">
        <v>3252</v>
      </c>
      <c r="B865" s="12" t="s">
        <v>3252</v>
      </c>
      <c r="C865" s="12" t="s">
        <v>7487</v>
      </c>
      <c r="D865" s="12" t="s">
        <v>13</v>
      </c>
      <c r="E865" s="12" t="s">
        <v>8109</v>
      </c>
      <c r="F865" s="12" t="s">
        <v>5458</v>
      </c>
      <c r="G865" s="12" t="s">
        <v>5453</v>
      </c>
      <c r="H865" s="12" t="s">
        <v>6618</v>
      </c>
      <c r="I865" s="12">
        <v>2850</v>
      </c>
      <c r="J865" s="12" t="s">
        <v>3144</v>
      </c>
      <c r="K865" s="12" t="s">
        <v>8211</v>
      </c>
      <c r="L865" s="12" t="s">
        <v>3921</v>
      </c>
      <c r="M865" s="12" t="s">
        <v>3959</v>
      </c>
      <c r="N865" s="12" t="s">
        <v>5785</v>
      </c>
      <c r="O865" s="12" t="s">
        <v>6947</v>
      </c>
      <c r="P865" s="12" t="s">
        <v>173</v>
      </c>
      <c r="Q865" s="12" t="s">
        <v>6664</v>
      </c>
      <c r="R865" s="12">
        <v>34.765841666666667</v>
      </c>
      <c r="S865" s="12">
        <v>72.349133333333327</v>
      </c>
      <c r="T865" s="12" t="s">
        <v>11</v>
      </c>
      <c r="U865" s="12" t="s">
        <v>3253</v>
      </c>
      <c r="V865" s="12" t="s">
        <v>3254</v>
      </c>
      <c r="W865" s="12" t="s">
        <v>7160</v>
      </c>
      <c r="X865" s="12">
        <v>0.73913700000000004</v>
      </c>
      <c r="Y865" s="12">
        <v>501631</v>
      </c>
      <c r="Z865" s="12">
        <v>2.3119999999999998E-3</v>
      </c>
      <c r="AA865" s="12">
        <v>1.0413401218620169</v>
      </c>
      <c r="AB865" s="12" t="s">
        <v>3251</v>
      </c>
      <c r="AC865" s="12" t="s">
        <v>21</v>
      </c>
      <c r="AD865" s="12">
        <v>0.17</v>
      </c>
      <c r="AE865" s="12">
        <v>0.998</v>
      </c>
      <c r="AF865" s="12" t="s">
        <v>45</v>
      </c>
    </row>
    <row r="866" spans="1:32" x14ac:dyDescent="0.2">
      <c r="A866" s="12" t="s">
        <v>3207</v>
      </c>
      <c r="B866" s="12" t="s">
        <v>3207</v>
      </c>
      <c r="C866" s="12" t="s">
        <v>7469</v>
      </c>
      <c r="D866" s="12" t="s">
        <v>13</v>
      </c>
      <c r="E866" s="12" t="s">
        <v>8108</v>
      </c>
      <c r="F866" s="12" t="s">
        <v>5458</v>
      </c>
      <c r="G866" s="12" t="s">
        <v>5453</v>
      </c>
      <c r="H866" s="12" t="s">
        <v>6618</v>
      </c>
      <c r="I866" s="12">
        <v>2850</v>
      </c>
      <c r="J866" s="12" t="s">
        <v>3144</v>
      </c>
      <c r="K866" s="12" t="s">
        <v>8211</v>
      </c>
      <c r="L866" s="12" t="s">
        <v>3921</v>
      </c>
      <c r="M866" s="12" t="s">
        <v>3959</v>
      </c>
      <c r="N866" s="12" t="s">
        <v>5785</v>
      </c>
      <c r="O866" s="12" t="s">
        <v>6947</v>
      </c>
      <c r="P866" s="12" t="s">
        <v>173</v>
      </c>
      <c r="Q866" s="12" t="s">
        <v>6664</v>
      </c>
      <c r="R866" s="12">
        <v>34.765841666666667</v>
      </c>
      <c r="S866" s="12">
        <v>72.349133333333327</v>
      </c>
      <c r="T866" s="12" t="s">
        <v>25</v>
      </c>
      <c r="U866" s="12" t="s">
        <v>1045</v>
      </c>
      <c r="V866" s="12" t="s">
        <v>6639</v>
      </c>
      <c r="W866" s="12" t="s">
        <v>6639</v>
      </c>
      <c r="X866" s="12">
        <v>1.2693099999999999</v>
      </c>
      <c r="Y866" s="12">
        <v>609366</v>
      </c>
      <c r="Z866" s="12" t="s">
        <v>6639</v>
      </c>
      <c r="AA866" s="12" t="s">
        <v>6639</v>
      </c>
      <c r="AB866" s="12" t="s">
        <v>3206</v>
      </c>
      <c r="AC866" s="12" t="s">
        <v>21</v>
      </c>
      <c r="AD866" s="12">
        <v>0.20799999999999999</v>
      </c>
      <c r="AE866" s="12">
        <v>0.99299999999999999</v>
      </c>
      <c r="AF866" s="12" t="s">
        <v>45</v>
      </c>
    </row>
    <row r="867" spans="1:32" x14ac:dyDescent="0.2">
      <c r="A867" s="12" t="s">
        <v>3265</v>
      </c>
      <c r="B867" s="12" t="s">
        <v>3265</v>
      </c>
      <c r="C867" s="12" t="s">
        <v>7471</v>
      </c>
      <c r="D867" s="12" t="s">
        <v>13</v>
      </c>
      <c r="E867" s="12" t="s">
        <v>8108</v>
      </c>
      <c r="F867" s="12" t="s">
        <v>5458</v>
      </c>
      <c r="G867" s="12" t="s">
        <v>5453</v>
      </c>
      <c r="H867" s="12" t="s">
        <v>6618</v>
      </c>
      <c r="I867" s="12">
        <v>2850</v>
      </c>
      <c r="J867" s="12" t="s">
        <v>3144</v>
      </c>
      <c r="K867" s="12" t="s">
        <v>8211</v>
      </c>
      <c r="L867" s="12" t="s">
        <v>3921</v>
      </c>
      <c r="M867" s="12" t="s">
        <v>3959</v>
      </c>
      <c r="N867" s="12" t="s">
        <v>5785</v>
      </c>
      <c r="O867" s="12" t="s">
        <v>6947</v>
      </c>
      <c r="P867" s="12" t="s">
        <v>173</v>
      </c>
      <c r="Q867" s="12" t="s">
        <v>6664</v>
      </c>
      <c r="R867" s="12">
        <v>34.76584167</v>
      </c>
      <c r="S867" s="12">
        <v>72.349133330000001</v>
      </c>
      <c r="T867" s="12" t="s">
        <v>11</v>
      </c>
      <c r="U867" s="12" t="s">
        <v>3250</v>
      </c>
      <c r="V867" s="12" t="s">
        <v>3254</v>
      </c>
      <c r="W867" s="12" t="s">
        <v>7160</v>
      </c>
      <c r="X867" s="12">
        <v>1.4639869999999999</v>
      </c>
      <c r="Y867" s="12">
        <v>620955</v>
      </c>
      <c r="Z867" s="12">
        <v>8.1239999999999993E-3</v>
      </c>
      <c r="AA867" s="12">
        <v>3.8083130354561252</v>
      </c>
      <c r="AB867" s="12" t="s">
        <v>4037</v>
      </c>
      <c r="AC867" s="12" t="s">
        <v>21</v>
      </c>
      <c r="AD867" s="12">
        <v>0.224</v>
      </c>
      <c r="AE867" s="12">
        <v>0.995</v>
      </c>
      <c r="AF867" s="12" t="s">
        <v>152</v>
      </c>
    </row>
    <row r="868" spans="1:32" x14ac:dyDescent="0.2">
      <c r="A868" s="12" t="s">
        <v>3263</v>
      </c>
      <c r="B868" s="12" t="s">
        <v>3263</v>
      </c>
      <c r="C868" s="12" t="s">
        <v>7491</v>
      </c>
      <c r="D868" s="12" t="s">
        <v>13</v>
      </c>
      <c r="E868" s="12" t="s">
        <v>8109</v>
      </c>
      <c r="F868" s="12" t="s">
        <v>5458</v>
      </c>
      <c r="G868" s="12" t="s">
        <v>5453</v>
      </c>
      <c r="H868" s="12" t="s">
        <v>6618</v>
      </c>
      <c r="I868" s="12">
        <v>2850</v>
      </c>
      <c r="J868" s="12" t="s">
        <v>3144</v>
      </c>
      <c r="K868" s="12" t="s">
        <v>8211</v>
      </c>
      <c r="L868" s="12" t="s">
        <v>3921</v>
      </c>
      <c r="M868" s="12" t="s">
        <v>3959</v>
      </c>
      <c r="N868" s="12" t="s">
        <v>5785</v>
      </c>
      <c r="O868" s="12" t="s">
        <v>6947</v>
      </c>
      <c r="P868" s="12" t="s">
        <v>173</v>
      </c>
      <c r="Q868" s="12" t="s">
        <v>6664</v>
      </c>
      <c r="R868" s="16">
        <v>34.765841666666667</v>
      </c>
      <c r="S868" s="16">
        <v>72.349133333333327</v>
      </c>
      <c r="T868" s="12" t="s">
        <v>25</v>
      </c>
      <c r="U868" s="12" t="s">
        <v>1032</v>
      </c>
      <c r="V868" s="12" t="s">
        <v>6639</v>
      </c>
      <c r="W868" s="12" t="s">
        <v>6639</v>
      </c>
      <c r="X868" s="12">
        <v>1.1458870000000001</v>
      </c>
      <c r="Y868" s="12">
        <v>625449</v>
      </c>
      <c r="Z868" s="12" t="s">
        <v>6639</v>
      </c>
      <c r="AA868" s="12" t="s">
        <v>6639</v>
      </c>
      <c r="AB868" s="12" t="s">
        <v>3262</v>
      </c>
      <c r="AC868" s="12" t="s">
        <v>21</v>
      </c>
      <c r="AD868" s="12">
        <v>0.17899999999999999</v>
      </c>
      <c r="AE868" s="12">
        <v>0.99199999999999999</v>
      </c>
      <c r="AF868" s="12" t="s">
        <v>45</v>
      </c>
    </row>
    <row r="869" spans="1:32" x14ac:dyDescent="0.2">
      <c r="A869" s="12" t="s">
        <v>3243</v>
      </c>
      <c r="B869" s="12" t="s">
        <v>3243</v>
      </c>
      <c r="C869" s="12" t="s">
        <v>7483</v>
      </c>
      <c r="D869" s="12" t="s">
        <v>13</v>
      </c>
      <c r="E869" s="12" t="s">
        <v>8109</v>
      </c>
      <c r="F869" s="12" t="s">
        <v>5458</v>
      </c>
      <c r="G869" s="12" t="s">
        <v>5453</v>
      </c>
      <c r="H869" s="12" t="s">
        <v>6618</v>
      </c>
      <c r="I869" s="12">
        <v>2850</v>
      </c>
      <c r="J869" s="12" t="s">
        <v>3144</v>
      </c>
      <c r="K869" s="12" t="s">
        <v>8211</v>
      </c>
      <c r="L869" s="12" t="s">
        <v>3921</v>
      </c>
      <c r="M869" s="12" t="s">
        <v>3959</v>
      </c>
      <c r="N869" s="12" t="s">
        <v>5785</v>
      </c>
      <c r="O869" s="12" t="s">
        <v>6947</v>
      </c>
      <c r="P869" s="12" t="s">
        <v>173</v>
      </c>
      <c r="Q869" s="12" t="s">
        <v>6664</v>
      </c>
      <c r="R869" s="12">
        <v>34.765841666666667</v>
      </c>
      <c r="S869" s="12">
        <v>72.349133333333327</v>
      </c>
      <c r="T869" s="12" t="s">
        <v>25</v>
      </c>
      <c r="U869" s="12" t="s">
        <v>266</v>
      </c>
      <c r="V869" s="12" t="s">
        <v>6639</v>
      </c>
      <c r="W869" s="12" t="s">
        <v>6639</v>
      </c>
      <c r="X869" s="12">
        <v>1.427916</v>
      </c>
      <c r="Y869" s="12">
        <v>635165</v>
      </c>
      <c r="Z869" s="12" t="s">
        <v>6639</v>
      </c>
      <c r="AA869" s="12" t="s">
        <v>6639</v>
      </c>
      <c r="AB869" s="12" t="s">
        <v>3242</v>
      </c>
      <c r="AC869" s="12" t="s">
        <v>21</v>
      </c>
      <c r="AD869" s="12">
        <v>0.17699999999999999</v>
      </c>
      <c r="AE869" s="12">
        <v>0.98499999999999999</v>
      </c>
      <c r="AF869" s="12" t="s">
        <v>45</v>
      </c>
    </row>
    <row r="870" spans="1:32" x14ac:dyDescent="0.2">
      <c r="A870" s="12" t="s">
        <v>3219</v>
      </c>
      <c r="B870" s="12" t="s">
        <v>3219</v>
      </c>
      <c r="C870" s="12" t="s">
        <v>7473</v>
      </c>
      <c r="D870" s="12" t="s">
        <v>13</v>
      </c>
      <c r="E870" s="12" t="s">
        <v>8109</v>
      </c>
      <c r="F870" s="12" t="s">
        <v>5458</v>
      </c>
      <c r="G870" s="12" t="s">
        <v>5453</v>
      </c>
      <c r="H870" s="12" t="s">
        <v>6618</v>
      </c>
      <c r="I870" s="12">
        <v>2850</v>
      </c>
      <c r="J870" s="12" t="s">
        <v>3144</v>
      </c>
      <c r="K870" s="12" t="s">
        <v>8211</v>
      </c>
      <c r="L870" s="12" t="s">
        <v>3921</v>
      </c>
      <c r="M870" s="12" t="s">
        <v>3959</v>
      </c>
      <c r="N870" s="12" t="s">
        <v>5785</v>
      </c>
      <c r="O870" s="12" t="s">
        <v>6947</v>
      </c>
      <c r="P870" s="12" t="s">
        <v>173</v>
      </c>
      <c r="Q870" s="12" t="s">
        <v>6664</v>
      </c>
      <c r="R870" s="12">
        <v>34.765841666666667</v>
      </c>
      <c r="S870" s="12">
        <v>72.349133333333327</v>
      </c>
      <c r="T870" s="12" t="s">
        <v>11</v>
      </c>
      <c r="U870" s="12" t="s">
        <v>1005</v>
      </c>
      <c r="V870" s="12" t="s">
        <v>894</v>
      </c>
      <c r="W870" s="12" t="s">
        <v>7415</v>
      </c>
      <c r="X870" s="12">
        <v>1.700993</v>
      </c>
      <c r="Y870" s="12">
        <v>665526</v>
      </c>
      <c r="Z870" s="12">
        <v>6.241E-3</v>
      </c>
      <c r="AA870" s="12">
        <v>3.4100880907550062</v>
      </c>
      <c r="AB870" s="12" t="s">
        <v>3218</v>
      </c>
      <c r="AC870" s="12" t="s">
        <v>21</v>
      </c>
      <c r="AD870" s="12">
        <v>0.21</v>
      </c>
      <c r="AE870" s="12">
        <v>0.995</v>
      </c>
      <c r="AF870" s="12" t="s">
        <v>436</v>
      </c>
    </row>
    <row r="871" spans="1:32" x14ac:dyDescent="0.2">
      <c r="A871" s="12" t="s">
        <v>3238</v>
      </c>
      <c r="B871" s="12" t="s">
        <v>3238</v>
      </c>
      <c r="C871" s="12" t="s">
        <v>7481</v>
      </c>
      <c r="D871" s="12" t="s">
        <v>13</v>
      </c>
      <c r="E871" s="12" t="s">
        <v>8109</v>
      </c>
      <c r="F871" s="12" t="s">
        <v>5458</v>
      </c>
      <c r="G871" s="12" t="s">
        <v>5453</v>
      </c>
      <c r="H871" s="12" t="s">
        <v>6618</v>
      </c>
      <c r="I871" s="12">
        <v>2850</v>
      </c>
      <c r="J871" s="12" t="s">
        <v>3144</v>
      </c>
      <c r="K871" s="12" t="s">
        <v>8211</v>
      </c>
      <c r="L871" s="12" t="s">
        <v>3921</v>
      </c>
      <c r="M871" s="12" t="s">
        <v>3959</v>
      </c>
      <c r="N871" s="12" t="s">
        <v>5785</v>
      </c>
      <c r="O871" s="12" t="s">
        <v>6947</v>
      </c>
      <c r="P871" s="12" t="s">
        <v>173</v>
      </c>
      <c r="Q871" s="12" t="s">
        <v>6664</v>
      </c>
      <c r="R871" s="12">
        <v>34.765841666666667</v>
      </c>
      <c r="S871" s="12">
        <v>72.349133333333327</v>
      </c>
      <c r="T871" s="12" t="s">
        <v>11</v>
      </c>
      <c r="U871" s="12" t="s">
        <v>1089</v>
      </c>
      <c r="V871" s="12" t="s">
        <v>802</v>
      </c>
      <c r="W871" s="12" t="s">
        <v>7415</v>
      </c>
      <c r="X871" s="12">
        <v>1.5194570000000001</v>
      </c>
      <c r="Y871" s="12">
        <v>679046</v>
      </c>
      <c r="Z871" s="12">
        <v>1.0330000000000001E-3</v>
      </c>
      <c r="AA871" s="12">
        <v>0.81127587070791485</v>
      </c>
      <c r="AB871" s="12" t="s">
        <v>3237</v>
      </c>
      <c r="AC871" s="12" t="s">
        <v>21</v>
      </c>
      <c r="AD871" s="12">
        <v>0.154</v>
      </c>
      <c r="AE871" s="12">
        <v>0.99199999999999999</v>
      </c>
      <c r="AF871" s="12" t="s">
        <v>45</v>
      </c>
    </row>
    <row r="872" spans="1:32" x14ac:dyDescent="0.2">
      <c r="A872" s="12" t="s">
        <v>3233</v>
      </c>
      <c r="B872" s="12" t="s">
        <v>3233</v>
      </c>
      <c r="C872" s="12" t="s">
        <v>7479</v>
      </c>
      <c r="D872" s="12" t="s">
        <v>13</v>
      </c>
      <c r="E872" s="12" t="s">
        <v>8109</v>
      </c>
      <c r="F872" s="12" t="s">
        <v>5458</v>
      </c>
      <c r="G872" s="12" t="s">
        <v>5453</v>
      </c>
      <c r="H872" s="12" t="s">
        <v>6618</v>
      </c>
      <c r="I872" s="12">
        <v>2850</v>
      </c>
      <c r="J872" s="12" t="s">
        <v>3144</v>
      </c>
      <c r="K872" s="12" t="s">
        <v>8211</v>
      </c>
      <c r="L872" s="12" t="s">
        <v>3921</v>
      </c>
      <c r="M872" s="12" t="s">
        <v>3959</v>
      </c>
      <c r="N872" s="12" t="s">
        <v>5785</v>
      </c>
      <c r="O872" s="12" t="s">
        <v>6947</v>
      </c>
      <c r="P872" s="12" t="s">
        <v>173</v>
      </c>
      <c r="Q872" s="12" t="s">
        <v>6664</v>
      </c>
      <c r="R872" s="16">
        <v>34.765841666666667</v>
      </c>
      <c r="S872" s="16">
        <v>72.349133333333327</v>
      </c>
      <c r="T872" s="12" t="s">
        <v>25</v>
      </c>
      <c r="U872" s="12" t="s">
        <v>3040</v>
      </c>
      <c r="V872" s="12" t="s">
        <v>6639</v>
      </c>
      <c r="W872" s="12" t="s">
        <v>6639</v>
      </c>
      <c r="X872" s="12">
        <v>1.6215349999999999</v>
      </c>
      <c r="Y872" s="12">
        <v>682756</v>
      </c>
      <c r="Z872" s="12" t="s">
        <v>6639</v>
      </c>
      <c r="AA872" s="12" t="s">
        <v>6639</v>
      </c>
      <c r="AB872" s="12" t="s">
        <v>3232</v>
      </c>
      <c r="AC872" s="12" t="s">
        <v>21</v>
      </c>
      <c r="AD872" s="12">
        <v>9.1999999999999998E-2</v>
      </c>
      <c r="AE872" s="12">
        <v>0.97899999999999998</v>
      </c>
      <c r="AF872" s="12" t="s">
        <v>45</v>
      </c>
    </row>
    <row r="873" spans="1:32" x14ac:dyDescent="0.2">
      <c r="A873" s="12" t="s">
        <v>4014</v>
      </c>
      <c r="B873" s="12" t="s">
        <v>4014</v>
      </c>
      <c r="C873" s="12" t="s">
        <v>7465</v>
      </c>
      <c r="D873" s="12" t="s">
        <v>13</v>
      </c>
      <c r="E873" s="12" t="s">
        <v>8108</v>
      </c>
      <c r="F873" s="12" t="s">
        <v>5458</v>
      </c>
      <c r="G873" s="12" t="s">
        <v>5453</v>
      </c>
      <c r="H873" s="12" t="s">
        <v>6618</v>
      </c>
      <c r="I873" s="12">
        <v>2850</v>
      </c>
      <c r="J873" s="12" t="s">
        <v>3144</v>
      </c>
      <c r="K873" s="12" t="s">
        <v>8211</v>
      </c>
      <c r="L873" s="12" t="s">
        <v>3921</v>
      </c>
      <c r="M873" s="12" t="s">
        <v>3959</v>
      </c>
      <c r="N873" s="12" t="s">
        <v>5785</v>
      </c>
      <c r="O873" s="12" t="s">
        <v>6947</v>
      </c>
      <c r="P873" s="12" t="s">
        <v>173</v>
      </c>
      <c r="Q873" s="12" t="s">
        <v>6664</v>
      </c>
      <c r="R873" s="12">
        <v>34.765841666666667</v>
      </c>
      <c r="S873" s="12">
        <v>72.349133333333327</v>
      </c>
      <c r="T873" s="12" t="s">
        <v>11</v>
      </c>
      <c r="U873" s="12" t="s">
        <v>2085</v>
      </c>
      <c r="V873" s="12" t="s">
        <v>601</v>
      </c>
      <c r="W873" s="12" t="s">
        <v>7415</v>
      </c>
      <c r="X873" s="12">
        <v>1.5399750000000001</v>
      </c>
      <c r="Y873" s="12">
        <v>691959</v>
      </c>
      <c r="Z873" s="12">
        <v>5.2760000000000003E-3</v>
      </c>
      <c r="AA873" s="12">
        <v>2.6343540539892794</v>
      </c>
      <c r="AB873" s="12" t="s">
        <v>4013</v>
      </c>
      <c r="AC873" s="12" t="s">
        <v>21</v>
      </c>
      <c r="AD873" s="12">
        <v>0.157</v>
      </c>
      <c r="AE873" s="12">
        <v>0.97899999999999998</v>
      </c>
      <c r="AF873" s="12" t="s">
        <v>82</v>
      </c>
    </row>
    <row r="874" spans="1:32" x14ac:dyDescent="0.2">
      <c r="A874" s="12" t="s">
        <v>3231</v>
      </c>
      <c r="B874" s="12" t="s">
        <v>3231</v>
      </c>
      <c r="C874" s="12" t="s">
        <v>7478</v>
      </c>
      <c r="D874" s="12" t="s">
        <v>13</v>
      </c>
      <c r="E874" s="12" t="s">
        <v>8109</v>
      </c>
      <c r="F874" s="12" t="s">
        <v>5458</v>
      </c>
      <c r="G874" s="12" t="s">
        <v>5453</v>
      </c>
      <c r="H874" s="12" t="s">
        <v>6618</v>
      </c>
      <c r="I874" s="12">
        <v>2850</v>
      </c>
      <c r="J874" s="12" t="s">
        <v>3144</v>
      </c>
      <c r="K874" s="12" t="s">
        <v>8211</v>
      </c>
      <c r="L874" s="12" t="s">
        <v>3921</v>
      </c>
      <c r="M874" s="12" t="s">
        <v>3959</v>
      </c>
      <c r="N874" s="12" t="s">
        <v>5785</v>
      </c>
      <c r="O874" s="12" t="s">
        <v>6947</v>
      </c>
      <c r="P874" s="12" t="s">
        <v>173</v>
      </c>
      <c r="Q874" s="12" t="s">
        <v>6664</v>
      </c>
      <c r="R874" s="12">
        <v>34.765841666666667</v>
      </c>
      <c r="S874" s="12">
        <v>72.349133333333327</v>
      </c>
      <c r="T874" s="12" t="s">
        <v>25</v>
      </c>
      <c r="U874" s="12" t="s">
        <v>998</v>
      </c>
      <c r="V874" s="12" t="s">
        <v>6639</v>
      </c>
      <c r="W874" s="12" t="s">
        <v>6639</v>
      </c>
      <c r="X874" s="12">
        <v>2.759312</v>
      </c>
      <c r="Y874" s="12">
        <v>735296</v>
      </c>
      <c r="Z874" s="12" t="s">
        <v>6639</v>
      </c>
      <c r="AA874" s="12" t="s">
        <v>6639</v>
      </c>
      <c r="AB874" s="12" t="s">
        <v>3230</v>
      </c>
      <c r="AC874" s="12" t="s">
        <v>21</v>
      </c>
      <c r="AD874" s="12">
        <v>0.154</v>
      </c>
      <c r="AE874" s="12">
        <v>0.97199999999999998</v>
      </c>
      <c r="AF874" s="12" t="s">
        <v>45</v>
      </c>
    </row>
    <row r="875" spans="1:32" x14ac:dyDescent="0.2">
      <c r="A875" s="12" t="s">
        <v>3249</v>
      </c>
      <c r="B875" s="12" t="s">
        <v>3249</v>
      </c>
      <c r="C875" s="12" t="s">
        <v>7486</v>
      </c>
      <c r="D875" s="12" t="s">
        <v>13</v>
      </c>
      <c r="E875" s="12" t="s">
        <v>8109</v>
      </c>
      <c r="F875" s="12" t="s">
        <v>5458</v>
      </c>
      <c r="G875" s="12" t="s">
        <v>5453</v>
      </c>
      <c r="H875" s="12" t="s">
        <v>6618</v>
      </c>
      <c r="I875" s="12">
        <v>2850</v>
      </c>
      <c r="J875" s="12" t="s">
        <v>3144</v>
      </c>
      <c r="K875" s="12" t="s">
        <v>8211</v>
      </c>
      <c r="L875" s="12" t="s">
        <v>3921</v>
      </c>
      <c r="M875" s="12" t="s">
        <v>3959</v>
      </c>
      <c r="N875" s="12" t="s">
        <v>5785</v>
      </c>
      <c r="O875" s="12" t="s">
        <v>6947</v>
      </c>
      <c r="P875" s="12" t="s">
        <v>173</v>
      </c>
      <c r="Q875" s="12" t="s">
        <v>6664</v>
      </c>
      <c r="R875" s="12">
        <v>34.765841666666667</v>
      </c>
      <c r="S875" s="12">
        <v>72.349133333333327</v>
      </c>
      <c r="T875" s="12" t="s">
        <v>11</v>
      </c>
      <c r="U875" s="12" t="s">
        <v>3250</v>
      </c>
      <c r="V875" s="12" t="s">
        <v>780</v>
      </c>
      <c r="W875" s="12" t="s">
        <v>7415</v>
      </c>
      <c r="X875" s="12">
        <v>2.3731499999999999</v>
      </c>
      <c r="Y875" s="12">
        <v>746244</v>
      </c>
      <c r="Z875" s="12">
        <v>4.1110000000000001E-3</v>
      </c>
      <c r="AA875" s="12">
        <v>3.2682960181008429</v>
      </c>
      <c r="AB875" s="12" t="s">
        <v>3248</v>
      </c>
      <c r="AC875" s="12" t="s">
        <v>21</v>
      </c>
      <c r="AD875" s="12">
        <v>0.159</v>
      </c>
      <c r="AE875" s="12">
        <v>0.99099999999999999</v>
      </c>
      <c r="AF875" s="12" t="s">
        <v>59</v>
      </c>
    </row>
    <row r="876" spans="1:32" x14ac:dyDescent="0.2">
      <c r="A876" s="12" t="s">
        <v>3983</v>
      </c>
      <c r="B876" s="12" t="s">
        <v>3983</v>
      </c>
      <c r="C876" s="12" t="s">
        <v>7492</v>
      </c>
      <c r="D876" s="12" t="s">
        <v>13</v>
      </c>
      <c r="E876" s="12" t="s">
        <v>8110</v>
      </c>
      <c r="F876" s="12" t="s">
        <v>5458</v>
      </c>
      <c r="G876" s="12" t="s">
        <v>5453</v>
      </c>
      <c r="H876" s="12" t="s">
        <v>6618</v>
      </c>
      <c r="I876" s="12">
        <v>2850</v>
      </c>
      <c r="J876" s="12" t="s">
        <v>3144</v>
      </c>
      <c r="K876" s="12" t="s">
        <v>8211</v>
      </c>
      <c r="L876" s="12" t="s">
        <v>3921</v>
      </c>
      <c r="M876" s="12" t="s">
        <v>3959</v>
      </c>
      <c r="N876" s="12" t="s">
        <v>5785</v>
      </c>
      <c r="O876" s="12" t="s">
        <v>6947</v>
      </c>
      <c r="P876" s="12" t="s">
        <v>173</v>
      </c>
      <c r="Q876" s="12" t="s">
        <v>6664</v>
      </c>
      <c r="R876" s="12">
        <v>34.765841666666667</v>
      </c>
      <c r="S876" s="12">
        <v>72.349133333333327</v>
      </c>
      <c r="T876" s="12" t="s">
        <v>25</v>
      </c>
      <c r="U876" s="12" t="s">
        <v>3985</v>
      </c>
      <c r="V876" s="12" t="s">
        <v>6639</v>
      </c>
      <c r="W876" s="12" t="s">
        <v>6639</v>
      </c>
      <c r="X876" s="12">
        <v>3.052</v>
      </c>
      <c r="Y876" s="12">
        <v>850658</v>
      </c>
      <c r="Z876" s="12" t="s">
        <v>6639</v>
      </c>
      <c r="AA876" s="12" t="s">
        <v>6639</v>
      </c>
      <c r="AB876" s="12" t="s">
        <v>3984</v>
      </c>
      <c r="AC876" s="12" t="s">
        <v>21</v>
      </c>
      <c r="AD876" s="12">
        <v>0.129</v>
      </c>
      <c r="AE876" s="12">
        <v>1</v>
      </c>
      <c r="AF876" s="12" t="s">
        <v>45</v>
      </c>
    </row>
    <row r="877" spans="1:32" x14ac:dyDescent="0.2">
      <c r="A877" s="12" t="s">
        <v>3160</v>
      </c>
      <c r="B877" s="12" t="s">
        <v>3160</v>
      </c>
      <c r="C877" s="12" t="s">
        <v>7504</v>
      </c>
      <c r="D877" s="12" t="s">
        <v>13</v>
      </c>
      <c r="E877" s="12" t="s">
        <v>8109</v>
      </c>
      <c r="F877" s="12" t="s">
        <v>5458</v>
      </c>
      <c r="G877" s="12" t="s">
        <v>5453</v>
      </c>
      <c r="H877" s="12" t="s">
        <v>6618</v>
      </c>
      <c r="I877" s="12">
        <v>2850</v>
      </c>
      <c r="J877" s="12" t="s">
        <v>3144</v>
      </c>
      <c r="K877" s="12" t="s">
        <v>8211</v>
      </c>
      <c r="L877" s="12" t="s">
        <v>3921</v>
      </c>
      <c r="M877" s="12" t="s">
        <v>3920</v>
      </c>
      <c r="N877" s="12" t="s">
        <v>5785</v>
      </c>
      <c r="O877" s="12" t="s">
        <v>6952</v>
      </c>
      <c r="P877" s="12" t="s">
        <v>173</v>
      </c>
      <c r="Q877" s="12" t="s">
        <v>6664</v>
      </c>
      <c r="R877" s="12">
        <v>34.751461111111112</v>
      </c>
      <c r="S877" s="12">
        <v>72.401936111111112</v>
      </c>
      <c r="T877" s="12" t="s">
        <v>11</v>
      </c>
      <c r="U877" s="12" t="s">
        <v>2519</v>
      </c>
      <c r="V877" s="12" t="s">
        <v>17</v>
      </c>
      <c r="W877" s="12" t="s">
        <v>17</v>
      </c>
      <c r="X877" s="12">
        <v>2.0434000000000001E-2</v>
      </c>
      <c r="Y877" s="12">
        <v>24259</v>
      </c>
      <c r="Z877" s="12" t="s">
        <v>8052</v>
      </c>
      <c r="AA877" s="12" t="s">
        <v>8052</v>
      </c>
      <c r="AB877" s="12" t="s">
        <v>3159</v>
      </c>
      <c r="AC877" s="12" t="s">
        <v>21</v>
      </c>
      <c r="AD877" s="12">
        <v>0.16800000000000001</v>
      </c>
      <c r="AE877" s="12">
        <v>0.84899999999999998</v>
      </c>
      <c r="AF877" s="12" t="s">
        <v>6634</v>
      </c>
    </row>
    <row r="878" spans="1:32" x14ac:dyDescent="0.2">
      <c r="A878" s="12" t="s">
        <v>3178</v>
      </c>
      <c r="B878" s="12" t="s">
        <v>3178</v>
      </c>
      <c r="C878" s="12" t="s">
        <v>7513</v>
      </c>
      <c r="D878" s="12" t="s">
        <v>13</v>
      </c>
      <c r="E878" s="12" t="s">
        <v>8109</v>
      </c>
      <c r="F878" s="12" t="s">
        <v>5458</v>
      </c>
      <c r="G878" s="12" t="s">
        <v>5453</v>
      </c>
      <c r="H878" s="12" t="s">
        <v>6618</v>
      </c>
      <c r="I878" s="12">
        <v>2850</v>
      </c>
      <c r="J878" s="12" t="s">
        <v>3144</v>
      </c>
      <c r="K878" s="12" t="s">
        <v>8211</v>
      </c>
      <c r="L878" s="12" t="s">
        <v>3921</v>
      </c>
      <c r="M878" s="12" t="s">
        <v>3920</v>
      </c>
      <c r="N878" s="12" t="s">
        <v>5785</v>
      </c>
      <c r="O878" s="12" t="s">
        <v>6952</v>
      </c>
      <c r="P878" s="12" t="s">
        <v>173</v>
      </c>
      <c r="Q878" s="12" t="s">
        <v>6664</v>
      </c>
      <c r="R878" s="12">
        <v>34.751461111111112</v>
      </c>
      <c r="S878" s="12">
        <v>72.401936111111112</v>
      </c>
      <c r="T878" s="12" t="s">
        <v>11</v>
      </c>
      <c r="U878" s="12" t="s">
        <v>2493</v>
      </c>
      <c r="V878" s="12" t="s">
        <v>392</v>
      </c>
      <c r="W878" s="12" t="s">
        <v>7415</v>
      </c>
      <c r="X878" s="12">
        <v>0.100439</v>
      </c>
      <c r="Y878" s="12">
        <v>110704</v>
      </c>
      <c r="Z878" s="12" t="s">
        <v>8052</v>
      </c>
      <c r="AA878" s="12" t="s">
        <v>8052</v>
      </c>
      <c r="AB878" s="12" t="s">
        <v>3177</v>
      </c>
      <c r="AC878" s="12" t="s">
        <v>21</v>
      </c>
      <c r="AD878" s="12">
        <v>0.19600000000000001</v>
      </c>
      <c r="AE878" s="12">
        <v>0.96699999999999997</v>
      </c>
      <c r="AF878" s="12" t="s">
        <v>45</v>
      </c>
    </row>
    <row r="879" spans="1:32" x14ac:dyDescent="0.2">
      <c r="A879" s="12" t="s">
        <v>3147</v>
      </c>
      <c r="B879" s="12" t="s">
        <v>3147</v>
      </c>
      <c r="C879" s="12" t="s">
        <v>7499</v>
      </c>
      <c r="D879" s="12" t="s">
        <v>13</v>
      </c>
      <c r="E879" s="12" t="s">
        <v>8109</v>
      </c>
      <c r="F879" s="12" t="s">
        <v>5458</v>
      </c>
      <c r="G879" s="12" t="s">
        <v>5453</v>
      </c>
      <c r="H879" s="12" t="s">
        <v>6618</v>
      </c>
      <c r="I879" s="12">
        <v>2850</v>
      </c>
      <c r="J879" s="12" t="s">
        <v>3144</v>
      </c>
      <c r="K879" s="12" t="s">
        <v>8211</v>
      </c>
      <c r="L879" s="12" t="s">
        <v>3921</v>
      </c>
      <c r="M879" s="12" t="s">
        <v>3920</v>
      </c>
      <c r="N879" s="12" t="s">
        <v>5785</v>
      </c>
      <c r="O879" s="12" t="s">
        <v>6952</v>
      </c>
      <c r="P879" s="12" t="s">
        <v>173</v>
      </c>
      <c r="Q879" s="12" t="s">
        <v>6664</v>
      </c>
      <c r="R879" s="12">
        <v>34.751461111111112</v>
      </c>
      <c r="S879" s="12">
        <v>72.401936111111112</v>
      </c>
      <c r="T879" s="12" t="s">
        <v>25</v>
      </c>
      <c r="U879" s="12" t="s">
        <v>3148</v>
      </c>
      <c r="V879" s="12" t="s">
        <v>6639</v>
      </c>
      <c r="W879" s="12" t="s">
        <v>6639</v>
      </c>
      <c r="X879" s="12">
        <v>0.30649599999999999</v>
      </c>
      <c r="Y879" s="12">
        <v>273904</v>
      </c>
      <c r="Z879" s="12" t="s">
        <v>6639</v>
      </c>
      <c r="AA879" s="12" t="s">
        <v>6639</v>
      </c>
      <c r="AB879" s="12" t="s">
        <v>3146</v>
      </c>
      <c r="AC879" s="12" t="s">
        <v>21</v>
      </c>
      <c r="AD879" s="12">
        <v>0.24099999999999999</v>
      </c>
      <c r="AE879" s="12">
        <v>0.97399999999999998</v>
      </c>
      <c r="AF879" s="12" t="s">
        <v>45</v>
      </c>
    </row>
    <row r="880" spans="1:32" x14ac:dyDescent="0.2">
      <c r="A880" s="12" t="s">
        <v>3180</v>
      </c>
      <c r="B880" s="12" t="s">
        <v>3180</v>
      </c>
      <c r="C880" s="12" t="s">
        <v>7514</v>
      </c>
      <c r="D880" s="12" t="s">
        <v>13</v>
      </c>
      <c r="E880" s="12" t="s">
        <v>8109</v>
      </c>
      <c r="F880" s="12" t="s">
        <v>5458</v>
      </c>
      <c r="G880" s="12" t="s">
        <v>5453</v>
      </c>
      <c r="H880" s="12" t="s">
        <v>6618</v>
      </c>
      <c r="I880" s="12">
        <v>2850</v>
      </c>
      <c r="J880" s="12" t="s">
        <v>3144</v>
      </c>
      <c r="K880" s="12" t="s">
        <v>8211</v>
      </c>
      <c r="L880" s="12" t="s">
        <v>3921</v>
      </c>
      <c r="M880" s="12" t="s">
        <v>3920</v>
      </c>
      <c r="N880" s="12" t="s">
        <v>5785</v>
      </c>
      <c r="O880" s="12" t="s">
        <v>6952</v>
      </c>
      <c r="P880" s="12" t="s">
        <v>173</v>
      </c>
      <c r="Q880" s="12" t="s">
        <v>6664</v>
      </c>
      <c r="R880" s="12">
        <v>34.751461111111112</v>
      </c>
      <c r="S880" s="12">
        <v>72.401936111111112</v>
      </c>
      <c r="T880" s="12" t="s">
        <v>11</v>
      </c>
      <c r="U880" s="12" t="s">
        <v>3145</v>
      </c>
      <c r="V880" s="12" t="s">
        <v>601</v>
      </c>
      <c r="W880" s="12" t="s">
        <v>7415</v>
      </c>
      <c r="X880" s="12">
        <v>0.35419099999999998</v>
      </c>
      <c r="Y880" s="12">
        <v>330079</v>
      </c>
      <c r="Z880" s="12">
        <v>1.2226000000000001E-2</v>
      </c>
      <c r="AA880" s="12">
        <v>1.432035810031419</v>
      </c>
      <c r="AB880" s="12" t="s">
        <v>3179</v>
      </c>
      <c r="AC880" s="12" t="s">
        <v>21</v>
      </c>
      <c r="AD880" s="12">
        <v>0.17399999999999999</v>
      </c>
      <c r="AE880" s="12">
        <v>0.98099999999999998</v>
      </c>
      <c r="AF880" s="12" t="s">
        <v>45</v>
      </c>
    </row>
    <row r="881" spans="1:40" x14ac:dyDescent="0.2">
      <c r="A881" s="12" t="s">
        <v>3143</v>
      </c>
      <c r="B881" s="12" t="s">
        <v>3143</v>
      </c>
      <c r="C881" s="12" t="s">
        <v>7580</v>
      </c>
      <c r="D881" s="12" t="s">
        <v>13</v>
      </c>
      <c r="E881" s="12" t="s">
        <v>8109</v>
      </c>
      <c r="F881" s="12" t="s">
        <v>5458</v>
      </c>
      <c r="G881" s="12" t="s">
        <v>5453</v>
      </c>
      <c r="H881" s="12" t="s">
        <v>6618</v>
      </c>
      <c r="I881" s="12">
        <v>2850</v>
      </c>
      <c r="J881" s="12" t="s">
        <v>3144</v>
      </c>
      <c r="K881" s="12" t="s">
        <v>8211</v>
      </c>
      <c r="L881" s="12" t="s">
        <v>3921</v>
      </c>
      <c r="M881" s="12" t="s">
        <v>3920</v>
      </c>
      <c r="N881" s="12" t="s">
        <v>5785</v>
      </c>
      <c r="O881" s="12" t="s">
        <v>6952</v>
      </c>
      <c r="P881" s="12" t="s">
        <v>173</v>
      </c>
      <c r="Q881" s="12" t="s">
        <v>6664</v>
      </c>
      <c r="R881" s="12">
        <v>34.751461111111112</v>
      </c>
      <c r="S881" s="12">
        <v>72.401936111111112</v>
      </c>
      <c r="T881" s="12" t="s">
        <v>25</v>
      </c>
      <c r="U881" s="12" t="s">
        <v>3145</v>
      </c>
      <c r="V881" s="12" t="s">
        <v>6639</v>
      </c>
      <c r="W881" s="12" t="s">
        <v>6639</v>
      </c>
      <c r="X881" s="12">
        <v>0.40446500000000002</v>
      </c>
      <c r="Y881" s="12">
        <v>337335</v>
      </c>
      <c r="Z881" s="12" t="s">
        <v>6639</v>
      </c>
      <c r="AA881" s="12" t="s">
        <v>6639</v>
      </c>
      <c r="AB881" s="12" t="s">
        <v>3142</v>
      </c>
      <c r="AC881" s="12" t="s">
        <v>21</v>
      </c>
      <c r="AD881" s="12">
        <v>0.16200000000000001</v>
      </c>
      <c r="AE881" s="12">
        <v>0.996</v>
      </c>
      <c r="AF881" s="12" t="s">
        <v>45</v>
      </c>
    </row>
    <row r="882" spans="1:40" x14ac:dyDescent="0.2">
      <c r="A882" s="12" t="s">
        <v>3184</v>
      </c>
      <c r="B882" s="12" t="s">
        <v>3184</v>
      </c>
      <c r="C882" s="12" t="s">
        <v>7516</v>
      </c>
      <c r="D882" s="12" t="s">
        <v>13</v>
      </c>
      <c r="E882" s="12" t="s">
        <v>8109</v>
      </c>
      <c r="F882" s="12" t="s">
        <v>5458</v>
      </c>
      <c r="G882" s="12" t="s">
        <v>5453</v>
      </c>
      <c r="H882" s="12" t="s">
        <v>6618</v>
      </c>
      <c r="I882" s="12">
        <v>2850</v>
      </c>
      <c r="J882" s="12" t="s">
        <v>3144</v>
      </c>
      <c r="K882" s="12" t="s">
        <v>8211</v>
      </c>
      <c r="L882" s="12" t="s">
        <v>3921</v>
      </c>
      <c r="M882" s="12" t="s">
        <v>3920</v>
      </c>
      <c r="N882" s="12" t="s">
        <v>5785</v>
      </c>
      <c r="O882" s="12" t="s">
        <v>6952</v>
      </c>
      <c r="P882" s="12" t="s">
        <v>173</v>
      </c>
      <c r="Q882" s="12" t="s">
        <v>6664</v>
      </c>
      <c r="R882" s="16">
        <v>34.751461111111112</v>
      </c>
      <c r="S882" s="16">
        <v>72.401936111111112</v>
      </c>
      <c r="T882" s="12" t="s">
        <v>25</v>
      </c>
      <c r="U882" s="12" t="s">
        <v>1062</v>
      </c>
      <c r="V882" s="12" t="s">
        <v>6639</v>
      </c>
      <c r="W882" s="12" t="s">
        <v>6639</v>
      </c>
      <c r="X882" s="12">
        <v>0.85477300000000001</v>
      </c>
      <c r="Y882" s="12">
        <v>560151</v>
      </c>
      <c r="Z882" s="12" t="s">
        <v>6639</v>
      </c>
      <c r="AA882" s="12" t="s">
        <v>6639</v>
      </c>
      <c r="AB882" s="12" t="s">
        <v>3183</v>
      </c>
      <c r="AC882" s="12" t="s">
        <v>21</v>
      </c>
      <c r="AD882" s="12">
        <v>0.16800000000000001</v>
      </c>
      <c r="AE882" s="12">
        <v>0.999</v>
      </c>
      <c r="AF882" s="12" t="s">
        <v>45</v>
      </c>
    </row>
    <row r="883" spans="1:40" x14ac:dyDescent="0.2">
      <c r="A883" s="12" t="s">
        <v>3176</v>
      </c>
      <c r="B883" s="12" t="s">
        <v>3176</v>
      </c>
      <c r="C883" s="12" t="s">
        <v>7512</v>
      </c>
      <c r="D883" s="12" t="s">
        <v>13</v>
      </c>
      <c r="E883" s="12" t="s">
        <v>8109</v>
      </c>
      <c r="F883" s="12" t="s">
        <v>5458</v>
      </c>
      <c r="G883" s="12" t="s">
        <v>5453</v>
      </c>
      <c r="H883" s="12" t="s">
        <v>6618</v>
      </c>
      <c r="I883" s="12">
        <v>2850</v>
      </c>
      <c r="J883" s="12" t="s">
        <v>3144</v>
      </c>
      <c r="K883" s="12" t="s">
        <v>8211</v>
      </c>
      <c r="L883" s="12" t="s">
        <v>3921</v>
      </c>
      <c r="M883" s="12" t="s">
        <v>3920</v>
      </c>
      <c r="N883" s="12" t="s">
        <v>5785</v>
      </c>
      <c r="O883" s="12" t="s">
        <v>6952</v>
      </c>
      <c r="P883" s="12" t="s">
        <v>173</v>
      </c>
      <c r="Q883" s="12" t="s">
        <v>6664</v>
      </c>
      <c r="R883" s="12">
        <v>34.751461111111112</v>
      </c>
      <c r="S883" s="12">
        <v>72.401936111111112</v>
      </c>
      <c r="T883" s="12" t="s">
        <v>25</v>
      </c>
      <c r="U883" s="12" t="s">
        <v>36</v>
      </c>
      <c r="V883" s="12" t="s">
        <v>6639</v>
      </c>
      <c r="W883" s="12" t="s">
        <v>6639</v>
      </c>
      <c r="X883" s="12">
        <v>0.90199499999999999</v>
      </c>
      <c r="Y883" s="12">
        <v>568917</v>
      </c>
      <c r="Z883" s="12" t="s">
        <v>6639</v>
      </c>
      <c r="AA883" s="12" t="s">
        <v>6639</v>
      </c>
      <c r="AB883" s="12" t="s">
        <v>3175</v>
      </c>
      <c r="AC883" s="12" t="s">
        <v>21</v>
      </c>
      <c r="AD883" s="12">
        <v>0.13200000000000001</v>
      </c>
      <c r="AE883" s="12">
        <v>0.998</v>
      </c>
      <c r="AF883" s="12" t="s">
        <v>45</v>
      </c>
    </row>
    <row r="884" spans="1:40" x14ac:dyDescent="0.2">
      <c r="A884" s="12" t="s">
        <v>3182</v>
      </c>
      <c r="B884" s="12" t="s">
        <v>3182</v>
      </c>
      <c r="C884" s="12" t="s">
        <v>7515</v>
      </c>
      <c r="D884" s="12" t="s">
        <v>13</v>
      </c>
      <c r="E884" s="12" t="s">
        <v>8109</v>
      </c>
      <c r="F884" s="12" t="s">
        <v>5458</v>
      </c>
      <c r="G884" s="12" t="s">
        <v>5453</v>
      </c>
      <c r="H884" s="12" t="s">
        <v>6618</v>
      </c>
      <c r="I884" s="12">
        <v>2850</v>
      </c>
      <c r="J884" s="12" t="s">
        <v>3144</v>
      </c>
      <c r="K884" s="12" t="s">
        <v>8211</v>
      </c>
      <c r="L884" s="12" t="s">
        <v>3921</v>
      </c>
      <c r="M884" s="12" t="s">
        <v>3920</v>
      </c>
      <c r="N884" s="12" t="s">
        <v>5785</v>
      </c>
      <c r="O884" s="12" t="s">
        <v>6952</v>
      </c>
      <c r="P884" s="12" t="s">
        <v>173</v>
      </c>
      <c r="Q884" s="12" t="s">
        <v>6664</v>
      </c>
      <c r="R884" s="12">
        <v>34.751461111111112</v>
      </c>
      <c r="S884" s="12">
        <v>72.401936111111112</v>
      </c>
      <c r="T884" s="12" t="s">
        <v>11</v>
      </c>
      <c r="U884" s="12" t="s">
        <v>3040</v>
      </c>
      <c r="V884" s="12" t="s">
        <v>894</v>
      </c>
      <c r="W884" s="12" t="s">
        <v>7415</v>
      </c>
      <c r="X884" s="12">
        <v>0.82948699999999997</v>
      </c>
      <c r="Y884" s="12">
        <v>570490</v>
      </c>
      <c r="Z884" s="12">
        <v>1.311E-2</v>
      </c>
      <c r="AA884" s="12">
        <v>2.7872256198547412</v>
      </c>
      <c r="AB884" s="12" t="s">
        <v>3181</v>
      </c>
      <c r="AC884" s="12" t="s">
        <v>21</v>
      </c>
      <c r="AD884" s="12">
        <v>0.16300000000000001</v>
      </c>
      <c r="AE884" s="12">
        <v>0.97899999999999998</v>
      </c>
      <c r="AF884" s="12" t="s">
        <v>561</v>
      </c>
    </row>
    <row r="885" spans="1:40" x14ac:dyDescent="0.2">
      <c r="A885" s="12" t="s">
        <v>3188</v>
      </c>
      <c r="B885" s="12" t="s">
        <v>3188</v>
      </c>
      <c r="C885" s="12" t="s">
        <v>7518</v>
      </c>
      <c r="D885" s="12" t="s">
        <v>13</v>
      </c>
      <c r="E885" s="12" t="s">
        <v>8109</v>
      </c>
      <c r="F885" s="12" t="s">
        <v>5458</v>
      </c>
      <c r="G885" s="12" t="s">
        <v>5453</v>
      </c>
      <c r="H885" s="12" t="s">
        <v>6618</v>
      </c>
      <c r="I885" s="12">
        <v>2850</v>
      </c>
      <c r="J885" s="12" t="s">
        <v>3144</v>
      </c>
      <c r="K885" s="12" t="s">
        <v>8211</v>
      </c>
      <c r="L885" s="12" t="s">
        <v>3921</v>
      </c>
      <c r="M885" s="12" t="s">
        <v>3920</v>
      </c>
      <c r="N885" s="12" t="s">
        <v>5785</v>
      </c>
      <c r="O885" s="12" t="s">
        <v>6952</v>
      </c>
      <c r="P885" s="12" t="s">
        <v>173</v>
      </c>
      <c r="Q885" s="12" t="s">
        <v>6664</v>
      </c>
      <c r="R885" s="12">
        <v>34.751461111111112</v>
      </c>
      <c r="S885" s="12">
        <v>72.401936111111112</v>
      </c>
      <c r="T885" s="12" t="s">
        <v>25</v>
      </c>
      <c r="U885" s="12" t="s">
        <v>1029</v>
      </c>
      <c r="V885" s="12" t="s">
        <v>6639</v>
      </c>
      <c r="W885" s="12" t="s">
        <v>6639</v>
      </c>
      <c r="X885" s="12">
        <v>1.018669</v>
      </c>
      <c r="Y885" s="12">
        <v>619767</v>
      </c>
      <c r="Z885" s="12" t="s">
        <v>6639</v>
      </c>
      <c r="AA885" s="12" t="s">
        <v>6639</v>
      </c>
      <c r="AB885" s="12" t="s">
        <v>3187</v>
      </c>
      <c r="AC885" s="12" t="s">
        <v>21</v>
      </c>
      <c r="AD885" s="12">
        <v>0.128</v>
      </c>
      <c r="AE885" s="12">
        <v>0.99</v>
      </c>
      <c r="AF885" s="12" t="s">
        <v>45</v>
      </c>
    </row>
    <row r="886" spans="1:40" x14ac:dyDescent="0.2">
      <c r="A886" s="12" t="s">
        <v>4023</v>
      </c>
      <c r="B886" s="12" t="s">
        <v>4023</v>
      </c>
      <c r="C886" s="12" t="s">
        <v>7497</v>
      </c>
      <c r="D886" s="12" t="s">
        <v>13</v>
      </c>
      <c r="E886" s="12" t="s">
        <v>8108</v>
      </c>
      <c r="F886" s="12" t="s">
        <v>5458</v>
      </c>
      <c r="G886" s="12" t="s">
        <v>5453</v>
      </c>
      <c r="H886" s="12" t="s">
        <v>6618</v>
      </c>
      <c r="I886" s="12">
        <v>2850</v>
      </c>
      <c r="J886" s="12" t="s">
        <v>3144</v>
      </c>
      <c r="K886" s="12" t="s">
        <v>8211</v>
      </c>
      <c r="L886" s="12" t="s">
        <v>3921</v>
      </c>
      <c r="M886" s="12" t="s">
        <v>3920</v>
      </c>
      <c r="N886" s="12" t="s">
        <v>5785</v>
      </c>
      <c r="O886" s="12" t="s">
        <v>6952</v>
      </c>
      <c r="P886" s="12" t="s">
        <v>173</v>
      </c>
      <c r="Q886" s="12" t="s">
        <v>6664</v>
      </c>
      <c r="R886" s="12">
        <v>34.751461111111112</v>
      </c>
      <c r="S886" s="12">
        <v>72.401936111111112</v>
      </c>
      <c r="T886" s="12" t="s">
        <v>25</v>
      </c>
      <c r="U886" s="12" t="s">
        <v>912</v>
      </c>
      <c r="V886" s="12" t="s">
        <v>6639</v>
      </c>
      <c r="W886" s="12" t="s">
        <v>6639</v>
      </c>
      <c r="X886" s="12">
        <v>2.2158060000000002</v>
      </c>
      <c r="Y886" s="12">
        <v>668321</v>
      </c>
      <c r="Z886" s="12" t="s">
        <v>6639</v>
      </c>
      <c r="AA886" s="12" t="s">
        <v>6639</v>
      </c>
      <c r="AB886" s="12" t="s">
        <v>4022</v>
      </c>
      <c r="AC886" s="12" t="s">
        <v>21</v>
      </c>
      <c r="AD886" s="12">
        <v>0.16900000000000001</v>
      </c>
      <c r="AE886" s="12">
        <v>0.997</v>
      </c>
      <c r="AF886" s="12" t="s">
        <v>45</v>
      </c>
      <c r="AL886" s="71"/>
      <c r="AM886" s="12"/>
      <c r="AN886" s="12"/>
    </row>
    <row r="887" spans="1:40" x14ac:dyDescent="0.2">
      <c r="A887" s="12" t="s">
        <v>3152</v>
      </c>
      <c r="B887" s="12" t="s">
        <v>3152</v>
      </c>
      <c r="C887" s="12" t="s">
        <v>7501</v>
      </c>
      <c r="D887" s="12" t="s">
        <v>13</v>
      </c>
      <c r="E887" s="12" t="s">
        <v>8109</v>
      </c>
      <c r="F887" s="12" t="s">
        <v>5458</v>
      </c>
      <c r="G887" s="12" t="s">
        <v>5453</v>
      </c>
      <c r="H887" s="12" t="s">
        <v>6618</v>
      </c>
      <c r="I887" s="12">
        <v>2850</v>
      </c>
      <c r="J887" s="12" t="s">
        <v>3144</v>
      </c>
      <c r="K887" s="12" t="s">
        <v>8211</v>
      </c>
      <c r="L887" s="12" t="s">
        <v>3921</v>
      </c>
      <c r="M887" s="12" t="s">
        <v>3920</v>
      </c>
      <c r="N887" s="12" t="s">
        <v>5785</v>
      </c>
      <c r="O887" s="12" t="s">
        <v>6952</v>
      </c>
      <c r="P887" s="12" t="s">
        <v>173</v>
      </c>
      <c r="Q887" s="12" t="s">
        <v>6664</v>
      </c>
      <c r="R887" s="12">
        <v>34.751461111111112</v>
      </c>
      <c r="S887" s="12">
        <v>72.401936111111112</v>
      </c>
      <c r="T887" s="12" t="s">
        <v>11</v>
      </c>
      <c r="U887" s="12" t="s">
        <v>5770</v>
      </c>
      <c r="V887" s="12" t="s">
        <v>2871</v>
      </c>
      <c r="W887" s="12" t="s">
        <v>7415</v>
      </c>
      <c r="X887" s="12">
        <v>1.5114639999999999</v>
      </c>
      <c r="Y887" s="12">
        <v>672007</v>
      </c>
      <c r="Z887" s="12">
        <v>4.091E-3</v>
      </c>
      <c r="AA887" s="12">
        <v>2.1354137305380343</v>
      </c>
      <c r="AB887" s="12" t="s">
        <v>3151</v>
      </c>
      <c r="AC887" s="12" t="s">
        <v>21</v>
      </c>
      <c r="AD887" s="12">
        <v>0.1855</v>
      </c>
      <c r="AE887" s="12">
        <v>0.996</v>
      </c>
      <c r="AF887" s="12" t="s">
        <v>8120</v>
      </c>
    </row>
    <row r="888" spans="1:40" x14ac:dyDescent="0.2">
      <c r="A888" s="12" t="s">
        <v>3154</v>
      </c>
      <c r="B888" s="12" t="s">
        <v>3154</v>
      </c>
      <c r="C888" s="12" t="s">
        <v>7502</v>
      </c>
      <c r="D888" s="12" t="s">
        <v>13</v>
      </c>
      <c r="E888" s="12" t="s">
        <v>8109</v>
      </c>
      <c r="F888" s="12" t="s">
        <v>5458</v>
      </c>
      <c r="G888" s="12" t="s">
        <v>5453</v>
      </c>
      <c r="H888" s="12" t="s">
        <v>6618</v>
      </c>
      <c r="I888" s="12">
        <v>2850</v>
      </c>
      <c r="J888" s="12" t="s">
        <v>3144</v>
      </c>
      <c r="K888" s="12" t="s">
        <v>8211</v>
      </c>
      <c r="L888" s="12" t="s">
        <v>3921</v>
      </c>
      <c r="M888" s="12" t="s">
        <v>3920</v>
      </c>
      <c r="N888" s="12" t="s">
        <v>5785</v>
      </c>
      <c r="O888" s="12" t="s">
        <v>6952</v>
      </c>
      <c r="P888" s="12" t="s">
        <v>173</v>
      </c>
      <c r="Q888" s="12" t="s">
        <v>6664</v>
      </c>
      <c r="R888" s="12">
        <v>34.751461111111112</v>
      </c>
      <c r="S888" s="12">
        <v>72.401936111111112</v>
      </c>
      <c r="T888" s="12" t="s">
        <v>11</v>
      </c>
      <c r="U888" s="12" t="s">
        <v>3155</v>
      </c>
      <c r="V888" s="12" t="s">
        <v>3156</v>
      </c>
      <c r="W888" s="12" t="s">
        <v>7415</v>
      </c>
      <c r="X888" s="12">
        <v>1.554009</v>
      </c>
      <c r="Y888" s="12">
        <v>692717</v>
      </c>
      <c r="Z888" s="12">
        <v>4.6100000000000004E-3</v>
      </c>
      <c r="AA888" s="12">
        <v>2.6693147504248613</v>
      </c>
      <c r="AB888" s="12" t="s">
        <v>3153</v>
      </c>
      <c r="AC888" s="12" t="s">
        <v>21</v>
      </c>
      <c r="AD888" s="12">
        <v>0.13900000000000001</v>
      </c>
      <c r="AE888" s="12">
        <v>0.997</v>
      </c>
      <c r="AF888" s="12" t="s">
        <v>82</v>
      </c>
    </row>
    <row r="889" spans="1:40" x14ac:dyDescent="0.2">
      <c r="A889" s="12" t="s">
        <v>4018</v>
      </c>
      <c r="B889" s="12" t="s">
        <v>4018</v>
      </c>
      <c r="C889" s="12" t="s">
        <v>7495</v>
      </c>
      <c r="D889" s="12" t="s">
        <v>13</v>
      </c>
      <c r="E889" s="12" t="s">
        <v>8108</v>
      </c>
      <c r="F889" s="12" t="s">
        <v>5458</v>
      </c>
      <c r="G889" s="12" t="s">
        <v>5453</v>
      </c>
      <c r="H889" s="12" t="s">
        <v>6618</v>
      </c>
      <c r="I889" s="12">
        <v>2850</v>
      </c>
      <c r="J889" s="12" t="s">
        <v>3144</v>
      </c>
      <c r="K889" s="12" t="s">
        <v>8211</v>
      </c>
      <c r="L889" s="12" t="s">
        <v>3921</v>
      </c>
      <c r="M889" s="12" t="s">
        <v>3920</v>
      </c>
      <c r="N889" s="12" t="s">
        <v>5785</v>
      </c>
      <c r="O889" s="12" t="s">
        <v>6952</v>
      </c>
      <c r="P889" s="12" t="s">
        <v>173</v>
      </c>
      <c r="Q889" s="12" t="s">
        <v>6664</v>
      </c>
      <c r="R889" s="16">
        <v>34.751461111111112</v>
      </c>
      <c r="S889" s="16">
        <v>72.401936111111112</v>
      </c>
      <c r="T889" s="12" t="s">
        <v>11</v>
      </c>
      <c r="U889" s="12" t="s">
        <v>4019</v>
      </c>
      <c r="V889" s="12" t="s">
        <v>2408</v>
      </c>
      <c r="W889" s="12" t="s">
        <v>7415</v>
      </c>
      <c r="X889" s="12">
        <v>2.354609</v>
      </c>
      <c r="Y889" s="12">
        <v>693958</v>
      </c>
      <c r="Z889" s="12">
        <v>3.0799999999999998E-3</v>
      </c>
      <c r="AA889" s="12">
        <v>2.6990837136587658</v>
      </c>
      <c r="AB889" s="12" t="s">
        <v>4017</v>
      </c>
      <c r="AC889" s="12" t="s">
        <v>21</v>
      </c>
      <c r="AD889" s="12">
        <v>0.151</v>
      </c>
      <c r="AE889" s="12">
        <v>0.98399999999999999</v>
      </c>
      <c r="AF889" s="12" t="s">
        <v>427</v>
      </c>
    </row>
    <row r="890" spans="1:40" x14ac:dyDescent="0.2">
      <c r="A890" s="12" t="s">
        <v>3190</v>
      </c>
      <c r="B890" s="12" t="s">
        <v>3190</v>
      </c>
      <c r="C890" s="12" t="s">
        <v>7519</v>
      </c>
      <c r="D890" s="12" t="s">
        <v>13</v>
      </c>
      <c r="E890" s="12" t="s">
        <v>8109</v>
      </c>
      <c r="F890" s="12" t="s">
        <v>5458</v>
      </c>
      <c r="G890" s="12" t="s">
        <v>5453</v>
      </c>
      <c r="H890" s="12" t="s">
        <v>6618</v>
      </c>
      <c r="I890" s="12">
        <v>2850</v>
      </c>
      <c r="J890" s="12" t="s">
        <v>3144</v>
      </c>
      <c r="K890" s="12" t="s">
        <v>8211</v>
      </c>
      <c r="L890" s="12" t="s">
        <v>3921</v>
      </c>
      <c r="M890" s="12" t="s">
        <v>3920</v>
      </c>
      <c r="N890" s="12" t="s">
        <v>5785</v>
      </c>
      <c r="O890" s="12" t="s">
        <v>6952</v>
      </c>
      <c r="P890" s="12" t="s">
        <v>173</v>
      </c>
      <c r="Q890" s="12" t="s">
        <v>6664</v>
      </c>
      <c r="R890" s="12">
        <v>34.751461111111112</v>
      </c>
      <c r="S890" s="12">
        <v>72.401936111111112</v>
      </c>
      <c r="T890" s="12" t="s">
        <v>11</v>
      </c>
      <c r="U890" s="12" t="s">
        <v>3145</v>
      </c>
      <c r="V890" s="12" t="s">
        <v>723</v>
      </c>
      <c r="W890" s="12" t="s">
        <v>7415</v>
      </c>
      <c r="X890" s="12">
        <v>1.6826460000000001</v>
      </c>
      <c r="Y890" s="12">
        <v>750512</v>
      </c>
      <c r="Z890" s="12">
        <v>3.3609999999999998E-3</v>
      </c>
      <c r="AA890" s="12">
        <v>2.0117544881398661</v>
      </c>
      <c r="AB890" s="12" t="s">
        <v>3189</v>
      </c>
      <c r="AC890" s="12" t="s">
        <v>21</v>
      </c>
      <c r="AD890" s="12">
        <v>0.129</v>
      </c>
      <c r="AE890" s="12">
        <v>0.999</v>
      </c>
      <c r="AF890" s="12" t="s">
        <v>427</v>
      </c>
    </row>
    <row r="891" spans="1:40" x14ac:dyDescent="0.2">
      <c r="A891" s="12" t="s">
        <v>3168</v>
      </c>
      <c r="B891" s="12" t="s">
        <v>3168</v>
      </c>
      <c r="C891" s="12" t="s">
        <v>7508</v>
      </c>
      <c r="D891" s="12" t="s">
        <v>13</v>
      </c>
      <c r="E891" s="12" t="s">
        <v>8109</v>
      </c>
      <c r="F891" s="12" t="s">
        <v>5458</v>
      </c>
      <c r="G891" s="12" t="s">
        <v>5453</v>
      </c>
      <c r="H891" s="12" t="s">
        <v>6618</v>
      </c>
      <c r="I891" s="12">
        <v>2850</v>
      </c>
      <c r="J891" s="12" t="s">
        <v>3144</v>
      </c>
      <c r="K891" s="12" t="s">
        <v>8211</v>
      </c>
      <c r="L891" s="12" t="s">
        <v>3921</v>
      </c>
      <c r="M891" s="12" t="s">
        <v>3920</v>
      </c>
      <c r="N891" s="12" t="s">
        <v>5785</v>
      </c>
      <c r="O891" s="12" t="s">
        <v>6952</v>
      </c>
      <c r="P891" s="12" t="s">
        <v>173</v>
      </c>
      <c r="Q891" s="12" t="s">
        <v>6664</v>
      </c>
      <c r="R891" s="12">
        <v>34.751461111111112</v>
      </c>
      <c r="S891" s="12">
        <v>72.401936111111112</v>
      </c>
      <c r="T891" s="12" t="s">
        <v>25</v>
      </c>
      <c r="U891" s="12" t="s">
        <v>179</v>
      </c>
      <c r="V891" s="12" t="s">
        <v>6639</v>
      </c>
      <c r="W891" s="12" t="s">
        <v>6639</v>
      </c>
      <c r="X891" s="12">
        <v>2.2800579999999999</v>
      </c>
      <c r="Y891" s="12">
        <v>760311</v>
      </c>
      <c r="Z891" s="12" t="s">
        <v>6639</v>
      </c>
      <c r="AA891" s="12" t="s">
        <v>6639</v>
      </c>
      <c r="AB891" s="12" t="s">
        <v>3167</v>
      </c>
      <c r="AC891" s="12" t="s">
        <v>21</v>
      </c>
      <c r="AD891" s="12">
        <v>0.16900000000000001</v>
      </c>
      <c r="AE891" s="12">
        <v>0.98799999999999999</v>
      </c>
      <c r="AF891" s="12" t="s">
        <v>45</v>
      </c>
    </row>
    <row r="892" spans="1:40" x14ac:dyDescent="0.2">
      <c r="A892" s="12" t="s">
        <v>4009</v>
      </c>
      <c r="B892" s="12" t="s">
        <v>4009</v>
      </c>
      <c r="C892" s="12" t="s">
        <v>7493</v>
      </c>
      <c r="D892" s="12" t="s">
        <v>13</v>
      </c>
      <c r="E892" s="12" t="s">
        <v>8110</v>
      </c>
      <c r="F892" s="12" t="s">
        <v>5458</v>
      </c>
      <c r="G892" s="12" t="s">
        <v>5453</v>
      </c>
      <c r="H892" s="12" t="s">
        <v>6618</v>
      </c>
      <c r="I892" s="12">
        <v>2850</v>
      </c>
      <c r="J892" s="12" t="s">
        <v>3144</v>
      </c>
      <c r="K892" s="12" t="s">
        <v>8211</v>
      </c>
      <c r="L892" s="12" t="s">
        <v>3921</v>
      </c>
      <c r="M892" s="12" t="s">
        <v>3920</v>
      </c>
      <c r="N892" s="12" t="s">
        <v>5785</v>
      </c>
      <c r="O892" s="12" t="s">
        <v>6952</v>
      </c>
      <c r="P892" s="12" t="s">
        <v>173</v>
      </c>
      <c r="Q892" s="12" t="s">
        <v>6664</v>
      </c>
      <c r="R892" s="12">
        <v>34.751461111111112</v>
      </c>
      <c r="S892" s="12">
        <v>72.401936111111112</v>
      </c>
      <c r="T892" s="12" t="s">
        <v>11</v>
      </c>
      <c r="U892" s="12" t="s">
        <v>1005</v>
      </c>
      <c r="V892" s="12" t="s">
        <v>601</v>
      </c>
      <c r="W892" s="12" t="s">
        <v>7415</v>
      </c>
      <c r="X892" s="12">
        <v>1.6810050000000001</v>
      </c>
      <c r="Y892" s="12">
        <v>766731</v>
      </c>
      <c r="Z892" s="12">
        <v>1.013E-3</v>
      </c>
      <c r="AA892" s="12">
        <v>0.75708543780165705</v>
      </c>
      <c r="AB892" s="12" t="s">
        <v>4010</v>
      </c>
      <c r="AC892" s="12" t="s">
        <v>21</v>
      </c>
      <c r="AD892" s="12">
        <v>0.11700000000000001</v>
      </c>
      <c r="AE892" s="12">
        <v>0.98899999999999999</v>
      </c>
      <c r="AF892" s="12" t="s">
        <v>45</v>
      </c>
    </row>
    <row r="893" spans="1:40" x14ac:dyDescent="0.2">
      <c r="A893" s="12" t="s">
        <v>3165</v>
      </c>
      <c r="B893" s="12" t="s">
        <v>3165</v>
      </c>
      <c r="C893" s="12" t="s">
        <v>7506</v>
      </c>
      <c r="D893" s="12" t="s">
        <v>13</v>
      </c>
      <c r="E893" s="12" t="s">
        <v>8109</v>
      </c>
      <c r="F893" s="12" t="s">
        <v>5458</v>
      </c>
      <c r="G893" s="12" t="s">
        <v>5453</v>
      </c>
      <c r="H893" s="12" t="s">
        <v>6618</v>
      </c>
      <c r="I893" s="12">
        <v>2850</v>
      </c>
      <c r="J893" s="12" t="s">
        <v>3144</v>
      </c>
      <c r="K893" s="12" t="s">
        <v>8211</v>
      </c>
      <c r="L893" s="12" t="s">
        <v>3921</v>
      </c>
      <c r="M893" s="12" t="s">
        <v>3920</v>
      </c>
      <c r="N893" s="12" t="s">
        <v>5785</v>
      </c>
      <c r="O893" s="12" t="s">
        <v>6952</v>
      </c>
      <c r="P893" s="12" t="s">
        <v>173</v>
      </c>
      <c r="Q893" s="12" t="s">
        <v>6664</v>
      </c>
      <c r="R893" s="12">
        <v>34.751461111111112</v>
      </c>
      <c r="S893" s="12">
        <v>72.401936111111112</v>
      </c>
      <c r="T893" s="12" t="s">
        <v>11</v>
      </c>
      <c r="U893" s="12" t="s">
        <v>3166</v>
      </c>
      <c r="V893" s="12" t="s">
        <v>1979</v>
      </c>
      <c r="W893" s="12" t="s">
        <v>7415</v>
      </c>
      <c r="X893" s="12">
        <v>2.2615799999999999</v>
      </c>
      <c r="Y893" s="12">
        <v>768526</v>
      </c>
      <c r="Z893" s="12">
        <v>4.0990000000000002E-3</v>
      </c>
      <c r="AA893" s="12">
        <v>3.1071531987986787</v>
      </c>
      <c r="AB893" s="12" t="s">
        <v>3164</v>
      </c>
      <c r="AC893" s="12" t="s">
        <v>21</v>
      </c>
      <c r="AD893" s="12">
        <v>0.14599999999999999</v>
      </c>
      <c r="AE893" s="12">
        <v>0.999</v>
      </c>
      <c r="AF893" s="12" t="s">
        <v>59</v>
      </c>
    </row>
    <row r="894" spans="1:40" x14ac:dyDescent="0.2">
      <c r="A894" s="12" t="s">
        <v>3173</v>
      </c>
      <c r="B894" s="12" t="s">
        <v>3173</v>
      </c>
      <c r="C894" s="12" t="s">
        <v>7511</v>
      </c>
      <c r="D894" s="12" t="s">
        <v>13</v>
      </c>
      <c r="E894" s="12" t="s">
        <v>8109</v>
      </c>
      <c r="F894" s="12" t="s">
        <v>5458</v>
      </c>
      <c r="G894" s="12" t="s">
        <v>5453</v>
      </c>
      <c r="H894" s="12" t="s">
        <v>6618</v>
      </c>
      <c r="I894" s="12">
        <v>2850</v>
      </c>
      <c r="J894" s="12" t="s">
        <v>3144</v>
      </c>
      <c r="K894" s="12" t="s">
        <v>8211</v>
      </c>
      <c r="L894" s="12" t="s">
        <v>3921</v>
      </c>
      <c r="M894" s="12" t="s">
        <v>3920</v>
      </c>
      <c r="N894" s="12" t="s">
        <v>5785</v>
      </c>
      <c r="O894" s="12" t="s">
        <v>6952</v>
      </c>
      <c r="P894" s="12" t="s">
        <v>173</v>
      </c>
      <c r="Q894" s="12" t="s">
        <v>6664</v>
      </c>
      <c r="R894" s="12">
        <v>34.751461111111112</v>
      </c>
      <c r="S894" s="12">
        <v>72.401936111111112</v>
      </c>
      <c r="T894" s="12" t="s">
        <v>11</v>
      </c>
      <c r="U894" s="12" t="s">
        <v>3174</v>
      </c>
      <c r="V894" s="12" t="s">
        <v>894</v>
      </c>
      <c r="W894" s="12" t="s">
        <v>7415</v>
      </c>
      <c r="X894" s="12">
        <v>2.264351</v>
      </c>
      <c r="Y894" s="12">
        <v>778923</v>
      </c>
      <c r="Z894" s="12">
        <v>4.3509999999999998E-3</v>
      </c>
      <c r="AA894" s="12">
        <v>3.1405638723275251</v>
      </c>
      <c r="AB894" s="12" t="s">
        <v>3172</v>
      </c>
      <c r="AC894" s="12" t="s">
        <v>21</v>
      </c>
      <c r="AD894" s="12">
        <v>0.13300000000000001</v>
      </c>
      <c r="AE894" s="12">
        <v>0.996</v>
      </c>
      <c r="AF894" s="12" t="s">
        <v>59</v>
      </c>
    </row>
    <row r="895" spans="1:40" x14ac:dyDescent="0.2">
      <c r="A895" s="12" t="s">
        <v>3194</v>
      </c>
      <c r="B895" s="12" t="s">
        <v>3194</v>
      </c>
      <c r="C895" s="12" t="s">
        <v>7507</v>
      </c>
      <c r="D895" s="12" t="s">
        <v>13</v>
      </c>
      <c r="E895" s="12" t="s">
        <v>8109</v>
      </c>
      <c r="F895" s="12" t="s">
        <v>5458</v>
      </c>
      <c r="G895" s="12" t="s">
        <v>5453</v>
      </c>
      <c r="H895" s="12" t="s">
        <v>6618</v>
      </c>
      <c r="I895" s="12">
        <v>2850</v>
      </c>
      <c r="J895" s="12" t="s">
        <v>3144</v>
      </c>
      <c r="K895" s="12" t="s">
        <v>8211</v>
      </c>
      <c r="L895" s="12" t="s">
        <v>3921</v>
      </c>
      <c r="M895" s="12" t="s">
        <v>3920</v>
      </c>
      <c r="N895" s="12" t="s">
        <v>5785</v>
      </c>
      <c r="O895" s="12" t="s">
        <v>6952</v>
      </c>
      <c r="P895" s="12" t="s">
        <v>173</v>
      </c>
      <c r="Q895" s="12" t="s">
        <v>6664</v>
      </c>
      <c r="R895" s="12">
        <v>34.751461110000001</v>
      </c>
      <c r="S895" s="12">
        <v>72.401936109999994</v>
      </c>
      <c r="T895" s="12" t="s">
        <v>25</v>
      </c>
      <c r="U895" s="12" t="s">
        <v>174</v>
      </c>
      <c r="V895" s="12" t="s">
        <v>6639</v>
      </c>
      <c r="W895" s="12" t="s">
        <v>6639</v>
      </c>
      <c r="X895" s="12">
        <v>2.503762</v>
      </c>
      <c r="Y895" s="12">
        <v>780943</v>
      </c>
      <c r="Z895" s="12" t="s">
        <v>6639</v>
      </c>
      <c r="AA895" s="12" t="s">
        <v>6639</v>
      </c>
      <c r="AB895" s="12" t="s">
        <v>3169</v>
      </c>
      <c r="AC895" s="12" t="s">
        <v>21</v>
      </c>
      <c r="AD895" s="12">
        <v>0.127</v>
      </c>
      <c r="AE895" s="12">
        <v>0.99399999999999999</v>
      </c>
      <c r="AF895" s="12" t="s">
        <v>45</v>
      </c>
    </row>
    <row r="896" spans="1:40" x14ac:dyDescent="0.2">
      <c r="A896" s="12" t="s">
        <v>3158</v>
      </c>
      <c r="B896" s="12" t="s">
        <v>3158</v>
      </c>
      <c r="C896" s="12" t="s">
        <v>7503</v>
      </c>
      <c r="D896" s="12" t="s">
        <v>13</v>
      </c>
      <c r="E896" s="12" t="s">
        <v>8109</v>
      </c>
      <c r="F896" s="12" t="s">
        <v>5458</v>
      </c>
      <c r="G896" s="12" t="s">
        <v>5453</v>
      </c>
      <c r="H896" s="12" t="s">
        <v>6618</v>
      </c>
      <c r="I896" s="12">
        <v>2850</v>
      </c>
      <c r="J896" s="12" t="s">
        <v>3144</v>
      </c>
      <c r="K896" s="12" t="s">
        <v>8211</v>
      </c>
      <c r="L896" s="12" t="s">
        <v>3921</v>
      </c>
      <c r="M896" s="12" t="s">
        <v>3920</v>
      </c>
      <c r="N896" s="12" t="s">
        <v>5785</v>
      </c>
      <c r="O896" s="12" t="s">
        <v>6952</v>
      </c>
      <c r="P896" s="12" t="s">
        <v>173</v>
      </c>
      <c r="Q896" s="12" t="s">
        <v>6664</v>
      </c>
      <c r="R896" s="12">
        <v>34.751461111111112</v>
      </c>
      <c r="S896" s="12">
        <v>72.401936111111112</v>
      </c>
      <c r="T896" s="12" t="s">
        <v>25</v>
      </c>
      <c r="U896" s="12" t="s">
        <v>36</v>
      </c>
      <c r="V896" s="12" t="s">
        <v>6639</v>
      </c>
      <c r="W896" s="12" t="s">
        <v>6639</v>
      </c>
      <c r="X896" s="12">
        <v>2.4555180000000001</v>
      </c>
      <c r="Y896" s="12">
        <v>782741</v>
      </c>
      <c r="Z896" s="12" t="s">
        <v>6639</v>
      </c>
      <c r="AA896" s="12" t="s">
        <v>6639</v>
      </c>
      <c r="AB896" s="12" t="s">
        <v>3157</v>
      </c>
      <c r="AC896" s="12" t="s">
        <v>21</v>
      </c>
      <c r="AD896" s="12">
        <v>0.123</v>
      </c>
      <c r="AE896" s="12">
        <v>0.999</v>
      </c>
      <c r="AF896" s="12" t="s">
        <v>45</v>
      </c>
    </row>
    <row r="897" spans="1:32" x14ac:dyDescent="0.2">
      <c r="A897" s="12" t="s">
        <v>3162</v>
      </c>
      <c r="B897" s="12" t="s">
        <v>3162</v>
      </c>
      <c r="C897" s="12" t="s">
        <v>7505</v>
      </c>
      <c r="D897" s="12" t="s">
        <v>13</v>
      </c>
      <c r="E897" s="12" t="s">
        <v>8109</v>
      </c>
      <c r="F897" s="12" t="s">
        <v>5458</v>
      </c>
      <c r="G897" s="12" t="s">
        <v>5453</v>
      </c>
      <c r="H897" s="12" t="s">
        <v>6618</v>
      </c>
      <c r="I897" s="12">
        <v>2850</v>
      </c>
      <c r="J897" s="12" t="s">
        <v>3144</v>
      </c>
      <c r="K897" s="12" t="s">
        <v>8211</v>
      </c>
      <c r="L897" s="12" t="s">
        <v>3921</v>
      </c>
      <c r="M897" s="12" t="s">
        <v>3920</v>
      </c>
      <c r="N897" s="12" t="s">
        <v>5785</v>
      </c>
      <c r="O897" s="12" t="s">
        <v>6952</v>
      </c>
      <c r="P897" s="12" t="s">
        <v>173</v>
      </c>
      <c r="Q897" s="12" t="s">
        <v>6664</v>
      </c>
      <c r="R897" s="12">
        <v>34.751461111111112</v>
      </c>
      <c r="S897" s="12">
        <v>72.401936111111112</v>
      </c>
      <c r="T897" s="12" t="s">
        <v>25</v>
      </c>
      <c r="U897" s="12" t="s">
        <v>3163</v>
      </c>
      <c r="V897" s="12" t="s">
        <v>6639</v>
      </c>
      <c r="W897" s="12" t="s">
        <v>6639</v>
      </c>
      <c r="X897" s="12">
        <v>3.2455219999999998</v>
      </c>
      <c r="Y897" s="12">
        <v>803520</v>
      </c>
      <c r="Z897" s="12" t="s">
        <v>6639</v>
      </c>
      <c r="AA897" s="12" t="s">
        <v>6639</v>
      </c>
      <c r="AB897" s="12" t="s">
        <v>3161</v>
      </c>
      <c r="AC897" s="12" t="s">
        <v>21</v>
      </c>
      <c r="AD897" s="12">
        <v>0.14099999999999999</v>
      </c>
      <c r="AE897" s="12">
        <v>0.98699999999999999</v>
      </c>
      <c r="AF897" s="12" t="s">
        <v>45</v>
      </c>
    </row>
    <row r="898" spans="1:32" x14ac:dyDescent="0.2">
      <c r="A898" s="12" t="s">
        <v>3171</v>
      </c>
      <c r="B898" s="12" t="s">
        <v>3171</v>
      </c>
      <c r="C898" s="12" t="s">
        <v>7510</v>
      </c>
      <c r="D898" s="12" t="s">
        <v>13</v>
      </c>
      <c r="E898" s="12" t="s">
        <v>8109</v>
      </c>
      <c r="F898" s="12" t="s">
        <v>5458</v>
      </c>
      <c r="G898" s="12" t="s">
        <v>5453</v>
      </c>
      <c r="H898" s="12" t="s">
        <v>6618</v>
      </c>
      <c r="I898" s="12">
        <v>2850</v>
      </c>
      <c r="J898" s="12" t="s">
        <v>3144</v>
      </c>
      <c r="K898" s="12" t="s">
        <v>8211</v>
      </c>
      <c r="L898" s="12" t="s">
        <v>3921</v>
      </c>
      <c r="M898" s="12" t="s">
        <v>3920</v>
      </c>
      <c r="N898" s="12" t="s">
        <v>5785</v>
      </c>
      <c r="O898" s="12" t="s">
        <v>6952</v>
      </c>
      <c r="P898" s="12" t="s">
        <v>173</v>
      </c>
      <c r="Q898" s="12" t="s">
        <v>6664</v>
      </c>
      <c r="R898" s="16">
        <v>34.751461111111112</v>
      </c>
      <c r="S898" s="16">
        <v>72.401936111111112</v>
      </c>
      <c r="T898" s="12" t="s">
        <v>25</v>
      </c>
      <c r="U898" s="12" t="s">
        <v>1045</v>
      </c>
      <c r="V898" s="12" t="s">
        <v>6639</v>
      </c>
      <c r="W898" s="12" t="s">
        <v>6639</v>
      </c>
      <c r="X898" s="12">
        <v>3.4598</v>
      </c>
      <c r="Y898" s="12">
        <v>806323</v>
      </c>
      <c r="Z898" s="12" t="s">
        <v>6639</v>
      </c>
      <c r="AA898" s="12" t="s">
        <v>6639</v>
      </c>
      <c r="AB898" s="12" t="s">
        <v>3170</v>
      </c>
      <c r="AC898" s="12" t="s">
        <v>21</v>
      </c>
      <c r="AD898" s="12">
        <v>0.14199999999999999</v>
      </c>
      <c r="AE898" s="12">
        <v>0.99399999999999999</v>
      </c>
      <c r="AF898" s="12" t="s">
        <v>45</v>
      </c>
    </row>
    <row r="899" spans="1:32" x14ac:dyDescent="0.2">
      <c r="A899" s="12" t="s">
        <v>4011</v>
      </c>
      <c r="B899" s="12" t="s">
        <v>4011</v>
      </c>
      <c r="C899" s="12" t="s">
        <v>7494</v>
      </c>
      <c r="D899" s="12" t="s">
        <v>13</v>
      </c>
      <c r="E899" s="12" t="s">
        <v>8110</v>
      </c>
      <c r="F899" s="12" t="s">
        <v>5458</v>
      </c>
      <c r="G899" s="12" t="s">
        <v>5453</v>
      </c>
      <c r="H899" s="12" t="s">
        <v>6618</v>
      </c>
      <c r="I899" s="12">
        <v>2850</v>
      </c>
      <c r="J899" s="12" t="s">
        <v>3144</v>
      </c>
      <c r="K899" s="12" t="s">
        <v>8211</v>
      </c>
      <c r="L899" s="12" t="s">
        <v>3921</v>
      </c>
      <c r="M899" s="12" t="s">
        <v>3920</v>
      </c>
      <c r="N899" s="12" t="s">
        <v>5785</v>
      </c>
      <c r="O899" s="12" t="s">
        <v>6952</v>
      </c>
      <c r="P899" s="12" t="s">
        <v>173</v>
      </c>
      <c r="Q899" s="12" t="s">
        <v>6664</v>
      </c>
      <c r="R899" s="12">
        <v>34.751461111111112</v>
      </c>
      <c r="S899" s="12">
        <v>72.401936111111112</v>
      </c>
      <c r="T899" s="12" t="s">
        <v>11</v>
      </c>
      <c r="U899" s="12" t="s">
        <v>613</v>
      </c>
      <c r="V899" s="12" t="s">
        <v>894</v>
      </c>
      <c r="W899" s="12" t="s">
        <v>7415</v>
      </c>
      <c r="X899" s="12">
        <v>3.3665219999999998</v>
      </c>
      <c r="Y899" s="12">
        <v>866802</v>
      </c>
      <c r="Z899" s="12">
        <v>4.7780000000000001E-3</v>
      </c>
      <c r="AA899" s="12">
        <v>3.9290630607220334</v>
      </c>
      <c r="AB899" s="12" t="s">
        <v>4012</v>
      </c>
      <c r="AC899" s="12" t="s">
        <v>21</v>
      </c>
      <c r="AD899" s="12">
        <v>0.12</v>
      </c>
      <c r="AE899" s="12">
        <v>0.99</v>
      </c>
      <c r="AF899" s="12" t="s">
        <v>82</v>
      </c>
    </row>
    <row r="900" spans="1:32" x14ac:dyDescent="0.2">
      <c r="A900" s="12" t="s">
        <v>4015</v>
      </c>
      <c r="B900" s="12" t="s">
        <v>4015</v>
      </c>
      <c r="C900" s="12" t="s">
        <v>7527</v>
      </c>
      <c r="D900" s="12" t="s">
        <v>13</v>
      </c>
      <c r="E900" s="12" t="s">
        <v>8110</v>
      </c>
      <c r="F900" s="12" t="s">
        <v>5458</v>
      </c>
      <c r="G900" s="12" t="s">
        <v>5453</v>
      </c>
      <c r="H900" s="12" t="s">
        <v>6618</v>
      </c>
      <c r="I900" s="12">
        <v>2850</v>
      </c>
      <c r="J900" s="12" t="s">
        <v>3144</v>
      </c>
      <c r="K900" s="12" t="s">
        <v>8211</v>
      </c>
      <c r="L900" s="12" t="s">
        <v>3921</v>
      </c>
      <c r="M900" s="12" t="s">
        <v>3920</v>
      </c>
      <c r="N900" s="12" t="s">
        <v>5785</v>
      </c>
      <c r="O900" s="12" t="s">
        <v>6952</v>
      </c>
      <c r="P900" s="12" t="s">
        <v>173</v>
      </c>
      <c r="Q900" s="12" t="s">
        <v>6664</v>
      </c>
      <c r="R900" s="12">
        <v>34.751461111111112</v>
      </c>
      <c r="S900" s="12">
        <v>72.401936111111112</v>
      </c>
      <c r="T900" s="12" t="s">
        <v>11</v>
      </c>
      <c r="U900" s="12" t="s">
        <v>2075</v>
      </c>
      <c r="V900" s="12" t="s">
        <v>1059</v>
      </c>
      <c r="W900" s="12" t="s">
        <v>7415</v>
      </c>
      <c r="X900" s="12">
        <v>3.9546399999999999</v>
      </c>
      <c r="Y900" s="12">
        <v>880790</v>
      </c>
      <c r="Z900" s="12">
        <v>4.6239999999999996E-3</v>
      </c>
      <c r="AA900" s="12">
        <v>4.4089364870959473</v>
      </c>
      <c r="AB900" s="12" t="s">
        <v>4016</v>
      </c>
      <c r="AC900" s="12" t="s">
        <v>21</v>
      </c>
      <c r="AD900" s="12">
        <v>0.14299999999999999</v>
      </c>
      <c r="AE900" s="12">
        <v>0.99</v>
      </c>
      <c r="AF900" s="12" t="s">
        <v>82</v>
      </c>
    </row>
    <row r="901" spans="1:32" x14ac:dyDescent="0.2">
      <c r="A901" s="12" t="s">
        <v>7146</v>
      </c>
      <c r="B901" s="12" t="s">
        <v>7146</v>
      </c>
      <c r="C901" s="12" t="s">
        <v>7488</v>
      </c>
      <c r="D901" s="12" t="s">
        <v>13</v>
      </c>
      <c r="E901" s="12" t="s">
        <v>8109</v>
      </c>
      <c r="F901" s="12" t="s">
        <v>5458</v>
      </c>
      <c r="G901" s="12" t="s">
        <v>5453</v>
      </c>
      <c r="H901" s="12" t="s">
        <v>6618</v>
      </c>
      <c r="I901" s="12">
        <v>2850</v>
      </c>
      <c r="J901" s="12" t="s">
        <v>3144</v>
      </c>
      <c r="K901" s="12" t="s">
        <v>8211</v>
      </c>
      <c r="L901" s="12" t="s">
        <v>3921</v>
      </c>
      <c r="M901" s="12" t="s">
        <v>3959</v>
      </c>
      <c r="N901" s="12" t="s">
        <v>5785</v>
      </c>
      <c r="O901" s="12" t="s">
        <v>6947</v>
      </c>
      <c r="P901" s="12" t="s">
        <v>173</v>
      </c>
      <c r="Q901" s="12" t="s">
        <v>6664</v>
      </c>
      <c r="R901" s="12">
        <v>34.76584167</v>
      </c>
      <c r="S901" s="12">
        <v>72.349133330000001</v>
      </c>
      <c r="T901" s="12" t="s">
        <v>11</v>
      </c>
      <c r="U901" s="12" t="s">
        <v>174</v>
      </c>
      <c r="V901" s="12" t="s">
        <v>485</v>
      </c>
      <c r="W901" s="12" t="s">
        <v>7415</v>
      </c>
      <c r="X901" s="12">
        <v>0.12984299999999999</v>
      </c>
      <c r="Y901" s="12">
        <v>136826</v>
      </c>
      <c r="Z901" s="12" t="s">
        <v>8052</v>
      </c>
      <c r="AA901" s="12" t="s">
        <v>8052</v>
      </c>
      <c r="AB901" s="12" t="s">
        <v>3255</v>
      </c>
      <c r="AC901" s="12" t="s">
        <v>21</v>
      </c>
      <c r="AD901" s="12">
        <v>0.22800000000000001</v>
      </c>
      <c r="AE901" s="12">
        <v>0.998</v>
      </c>
      <c r="AF901" s="12" t="s">
        <v>45</v>
      </c>
    </row>
    <row r="902" spans="1:32" x14ac:dyDescent="0.2">
      <c r="A902" s="12" t="s">
        <v>4039</v>
      </c>
      <c r="B902" s="12" t="s">
        <v>4039</v>
      </c>
      <c r="C902" s="12" t="s">
        <v>6945</v>
      </c>
      <c r="D902" s="12" t="s">
        <v>13</v>
      </c>
      <c r="E902" s="12" t="s">
        <v>8108</v>
      </c>
      <c r="F902" s="12" t="s">
        <v>5458</v>
      </c>
      <c r="G902" s="12" t="s">
        <v>5453</v>
      </c>
      <c r="H902" s="12" t="s">
        <v>6618</v>
      </c>
      <c r="I902" s="12">
        <v>2850</v>
      </c>
      <c r="J902" s="12" t="s">
        <v>3144</v>
      </c>
      <c r="K902" s="12" t="s">
        <v>8211</v>
      </c>
      <c r="L902" s="12" t="s">
        <v>4041</v>
      </c>
      <c r="M902" s="12" t="s">
        <v>4040</v>
      </c>
      <c r="N902" s="12" t="s">
        <v>24</v>
      </c>
      <c r="O902" s="12" t="s">
        <v>6947</v>
      </c>
      <c r="P902" s="12" t="s">
        <v>173</v>
      </c>
      <c r="Q902" s="12" t="s">
        <v>6664</v>
      </c>
      <c r="R902" s="12">
        <v>34.765841666666667</v>
      </c>
      <c r="S902" s="12">
        <v>72.349133333333327</v>
      </c>
      <c r="T902" s="12" t="s">
        <v>11</v>
      </c>
      <c r="U902" s="12" t="s">
        <v>17</v>
      </c>
      <c r="V902" s="12" t="s">
        <v>854</v>
      </c>
      <c r="W902" s="12" t="s">
        <v>7415</v>
      </c>
      <c r="X902" s="12">
        <v>9.7370000000000009E-3</v>
      </c>
      <c r="Y902" s="12">
        <v>12681</v>
      </c>
      <c r="Z902" s="12" t="s">
        <v>8052</v>
      </c>
      <c r="AA902" s="12" t="s">
        <v>8052</v>
      </c>
      <c r="AB902" s="12" t="s">
        <v>4038</v>
      </c>
      <c r="AC902" s="12" t="s">
        <v>21</v>
      </c>
      <c r="AD902" s="12">
        <v>0.30299999999999999</v>
      </c>
      <c r="AE902" s="12" t="s">
        <v>7796</v>
      </c>
      <c r="AF902" s="12" t="s">
        <v>45</v>
      </c>
    </row>
    <row r="903" spans="1:32" x14ac:dyDescent="0.2">
      <c r="A903" s="12" t="s">
        <v>4076</v>
      </c>
      <c r="B903" s="12" t="s">
        <v>4076</v>
      </c>
      <c r="C903" s="12" t="s">
        <v>7526</v>
      </c>
      <c r="D903" s="12" t="s">
        <v>13</v>
      </c>
      <c r="E903" s="12" t="s">
        <v>8110</v>
      </c>
      <c r="F903" s="12" t="s">
        <v>5458</v>
      </c>
      <c r="G903" s="12" t="s">
        <v>5453</v>
      </c>
      <c r="H903" s="12" t="s">
        <v>6618</v>
      </c>
      <c r="I903" s="12">
        <v>2850</v>
      </c>
      <c r="J903" s="12" t="s">
        <v>3144</v>
      </c>
      <c r="K903" s="12" t="s">
        <v>8211</v>
      </c>
      <c r="L903" s="12" t="s">
        <v>7143</v>
      </c>
      <c r="M903" s="12" t="s">
        <v>7144</v>
      </c>
      <c r="N903" s="12" t="s">
        <v>24</v>
      </c>
      <c r="O903" s="12" t="s">
        <v>6952</v>
      </c>
      <c r="P903" s="12" t="s">
        <v>173</v>
      </c>
      <c r="Q903" s="12" t="s">
        <v>6664</v>
      </c>
      <c r="R903" s="16">
        <v>34.751461111111112</v>
      </c>
      <c r="S903" s="16">
        <v>72.401936111111112</v>
      </c>
      <c r="T903" s="12" t="s">
        <v>11</v>
      </c>
      <c r="U903" s="12" t="s">
        <v>2075</v>
      </c>
      <c r="V903" s="12" t="s">
        <v>904</v>
      </c>
      <c r="W903" s="12" t="s">
        <v>7415</v>
      </c>
      <c r="X903" s="12">
        <v>3.533623</v>
      </c>
      <c r="Y903" s="12">
        <v>841098</v>
      </c>
      <c r="Z903" s="12">
        <v>4.3070000000000001E-3</v>
      </c>
      <c r="AA903" s="12">
        <v>4.118394027133399</v>
      </c>
      <c r="AB903" s="12" t="s">
        <v>4077</v>
      </c>
      <c r="AC903" s="12" t="s">
        <v>21</v>
      </c>
      <c r="AD903" s="12">
        <v>0.126</v>
      </c>
      <c r="AE903" s="12">
        <v>0.996</v>
      </c>
      <c r="AF903" s="12" t="s">
        <v>59</v>
      </c>
    </row>
    <row r="904" spans="1:32" x14ac:dyDescent="0.2">
      <c r="A904" s="12" t="s">
        <v>3204</v>
      </c>
      <c r="B904" s="12" t="s">
        <v>3204</v>
      </c>
      <c r="C904" s="12" t="s">
        <v>7461</v>
      </c>
      <c r="D904" s="12" t="s">
        <v>13</v>
      </c>
      <c r="E904" s="12" t="s">
        <v>8109</v>
      </c>
      <c r="F904" s="12" t="s">
        <v>5458</v>
      </c>
      <c r="G904" s="12" t="s">
        <v>5453</v>
      </c>
      <c r="H904" s="12" t="s">
        <v>6618</v>
      </c>
      <c r="I904" s="12">
        <v>2850</v>
      </c>
      <c r="J904" s="12" t="s">
        <v>3144</v>
      </c>
      <c r="K904" s="12" t="s">
        <v>8211</v>
      </c>
      <c r="L904" s="12" t="s">
        <v>6995</v>
      </c>
      <c r="M904" s="12" t="s">
        <v>7050</v>
      </c>
      <c r="N904" s="12" t="s">
        <v>24</v>
      </c>
      <c r="O904" s="12" t="s">
        <v>7052</v>
      </c>
      <c r="P904" s="12" t="s">
        <v>173</v>
      </c>
      <c r="Q904" s="12" t="s">
        <v>6664</v>
      </c>
      <c r="R904" s="12">
        <v>34.759386111111112</v>
      </c>
      <c r="S904" s="12">
        <v>72.370833333333323</v>
      </c>
      <c r="T904" s="12" t="s">
        <v>11</v>
      </c>
      <c r="U904" s="12" t="s">
        <v>3205</v>
      </c>
      <c r="V904" s="12" t="s">
        <v>780</v>
      </c>
      <c r="W904" s="12" t="s">
        <v>7415</v>
      </c>
      <c r="X904" s="12">
        <v>0.60036299999999998</v>
      </c>
      <c r="Y904" s="12">
        <v>446983</v>
      </c>
      <c r="Z904" s="12">
        <v>1.5430000000000001E-3</v>
      </c>
      <c r="AA904" s="12">
        <v>0.4740298899961875</v>
      </c>
      <c r="AB904" s="12" t="s">
        <v>3203</v>
      </c>
      <c r="AC904" s="12" t="s">
        <v>21</v>
      </c>
      <c r="AD904" s="12">
        <v>0.161</v>
      </c>
      <c r="AE904" s="12">
        <v>0.995</v>
      </c>
      <c r="AF904" s="12" t="s">
        <v>45</v>
      </c>
    </row>
    <row r="905" spans="1:32" x14ac:dyDescent="0.2">
      <c r="A905" s="12" t="s">
        <v>3247</v>
      </c>
      <c r="B905" s="12" t="s">
        <v>3247</v>
      </c>
      <c r="C905" s="12" t="s">
        <v>7485</v>
      </c>
      <c r="D905" s="12" t="s">
        <v>13</v>
      </c>
      <c r="E905" s="12" t="s">
        <v>8109</v>
      </c>
      <c r="F905" s="12" t="s">
        <v>5458</v>
      </c>
      <c r="G905" s="12" t="s">
        <v>5453</v>
      </c>
      <c r="H905" s="12" t="s">
        <v>6618</v>
      </c>
      <c r="I905" s="12">
        <v>2850</v>
      </c>
      <c r="J905" s="12" t="s">
        <v>3144</v>
      </c>
      <c r="K905" s="12" t="s">
        <v>8211</v>
      </c>
      <c r="L905" s="12" t="s">
        <v>6679</v>
      </c>
      <c r="M905" s="12" t="s">
        <v>6678</v>
      </c>
      <c r="N905" s="12" t="s">
        <v>24</v>
      </c>
      <c r="O905" s="12" t="s">
        <v>6947</v>
      </c>
      <c r="P905" s="12" t="s">
        <v>173</v>
      </c>
      <c r="Q905" s="12" t="s">
        <v>6664</v>
      </c>
      <c r="R905" s="12">
        <v>34.765841666666667</v>
      </c>
      <c r="S905" s="12">
        <v>72.349133333333327</v>
      </c>
      <c r="T905" s="12" t="s">
        <v>11</v>
      </c>
      <c r="U905" s="12" t="s">
        <v>17</v>
      </c>
      <c r="V905" s="12" t="s">
        <v>1619</v>
      </c>
      <c r="W905" s="12" t="s">
        <v>7415</v>
      </c>
      <c r="X905" s="12">
        <v>2.483E-3</v>
      </c>
      <c r="Y905" s="12">
        <v>2901</v>
      </c>
      <c r="Z905" s="12" t="s">
        <v>8052</v>
      </c>
      <c r="AA905" s="12" t="s">
        <v>8052</v>
      </c>
      <c r="AB905" s="12" t="s">
        <v>3246</v>
      </c>
      <c r="AC905" s="12" t="s">
        <v>21</v>
      </c>
      <c r="AD905" s="12">
        <v>0.27900000000000003</v>
      </c>
      <c r="AE905" s="12" t="s">
        <v>7796</v>
      </c>
      <c r="AF905" s="12" t="s">
        <v>3026</v>
      </c>
    </row>
    <row r="906" spans="1:32" x14ac:dyDescent="0.2">
      <c r="A906" s="12" t="s">
        <v>3229</v>
      </c>
      <c r="B906" s="12" t="s">
        <v>3229</v>
      </c>
      <c r="C906" s="12" t="s">
        <v>7477</v>
      </c>
      <c r="D906" s="12" t="s">
        <v>13</v>
      </c>
      <c r="E906" s="12" t="s">
        <v>8109</v>
      </c>
      <c r="F906" s="12" t="s">
        <v>5458</v>
      </c>
      <c r="G906" s="12" t="s">
        <v>5453</v>
      </c>
      <c r="H906" s="12" t="s">
        <v>6618</v>
      </c>
      <c r="I906" s="12">
        <v>2850</v>
      </c>
      <c r="J906" s="12" t="s">
        <v>3144</v>
      </c>
      <c r="K906" s="12" t="s">
        <v>8211</v>
      </c>
      <c r="L906" s="12" t="s">
        <v>6679</v>
      </c>
      <c r="M906" s="12" t="s">
        <v>6678</v>
      </c>
      <c r="N906" s="12" t="s">
        <v>24</v>
      </c>
      <c r="O906" s="12" t="s">
        <v>6947</v>
      </c>
      <c r="P906" s="12" t="s">
        <v>173</v>
      </c>
      <c r="Q906" s="12" t="s">
        <v>6664</v>
      </c>
      <c r="R906" s="12">
        <v>34.765841666666667</v>
      </c>
      <c r="S906" s="12">
        <v>72.349133333333327</v>
      </c>
      <c r="T906" s="12" t="s">
        <v>11</v>
      </c>
      <c r="U906" s="12" t="s">
        <v>17</v>
      </c>
      <c r="V906" s="12" t="s">
        <v>262</v>
      </c>
      <c r="W906" s="12" t="s">
        <v>7415</v>
      </c>
      <c r="X906" s="12">
        <v>9.4310000000000001E-3</v>
      </c>
      <c r="Y906" s="12">
        <v>11308</v>
      </c>
      <c r="Z906" s="12" t="s">
        <v>8052</v>
      </c>
      <c r="AA906" s="12" t="s">
        <v>8052</v>
      </c>
      <c r="AB906" s="12" t="s">
        <v>3228</v>
      </c>
      <c r="AC906" s="12" t="s">
        <v>21</v>
      </c>
      <c r="AD906" s="12">
        <v>0.17599999999999999</v>
      </c>
      <c r="AE906" s="12" t="s">
        <v>7796</v>
      </c>
      <c r="AF906" s="12" t="s">
        <v>45</v>
      </c>
    </row>
    <row r="907" spans="1:32" x14ac:dyDescent="0.2">
      <c r="A907" s="12" t="s">
        <v>3192</v>
      </c>
      <c r="B907" s="12" t="s">
        <v>3192</v>
      </c>
      <c r="C907" s="12" t="s">
        <v>7509</v>
      </c>
      <c r="D907" s="12" t="s">
        <v>13</v>
      </c>
      <c r="E907" s="12" t="s">
        <v>8109</v>
      </c>
      <c r="F907" s="12" t="s">
        <v>5458</v>
      </c>
      <c r="G907" s="12" t="s">
        <v>5453</v>
      </c>
      <c r="H907" s="12" t="s">
        <v>6618</v>
      </c>
      <c r="I907" s="12">
        <v>2850</v>
      </c>
      <c r="J907" s="12" t="s">
        <v>3144</v>
      </c>
      <c r="K907" s="12" t="s">
        <v>8211</v>
      </c>
      <c r="L907" s="12" t="s">
        <v>6681</v>
      </c>
      <c r="M907" s="12" t="s">
        <v>6680</v>
      </c>
      <c r="N907" s="12" t="s">
        <v>24</v>
      </c>
      <c r="O907" s="12" t="s">
        <v>6952</v>
      </c>
      <c r="P907" s="12" t="s">
        <v>173</v>
      </c>
      <c r="Q907" s="12" t="s">
        <v>6664</v>
      </c>
      <c r="R907" s="16">
        <v>34.751461111111112</v>
      </c>
      <c r="S907" s="16">
        <v>72.401936111111112</v>
      </c>
      <c r="T907" s="12" t="s">
        <v>25</v>
      </c>
      <c r="U907" s="12" t="s">
        <v>613</v>
      </c>
      <c r="V907" s="12" t="s">
        <v>6639</v>
      </c>
      <c r="W907" s="12" t="s">
        <v>6639</v>
      </c>
      <c r="X907" s="12">
        <v>3.0914649999999999</v>
      </c>
      <c r="Y907" s="12">
        <v>793575</v>
      </c>
      <c r="Z907" s="12" t="s">
        <v>6639</v>
      </c>
      <c r="AA907" s="12" t="s">
        <v>6639</v>
      </c>
      <c r="AB907" s="12" t="s">
        <v>3191</v>
      </c>
      <c r="AC907" s="12" t="s">
        <v>21</v>
      </c>
      <c r="AD907" s="12">
        <v>0.13700000000000001</v>
      </c>
      <c r="AE907" s="12">
        <v>0.98199999999999998</v>
      </c>
      <c r="AF907" s="12" t="s">
        <v>45</v>
      </c>
    </row>
    <row r="908" spans="1:32" x14ac:dyDescent="0.2">
      <c r="A908" s="12" t="s">
        <v>4021</v>
      </c>
      <c r="B908" s="12" t="s">
        <v>4021</v>
      </c>
      <c r="C908" s="12" t="s">
        <v>7496</v>
      </c>
      <c r="D908" s="12" t="s">
        <v>13</v>
      </c>
      <c r="E908" s="12" t="s">
        <v>8108</v>
      </c>
      <c r="F908" s="12" t="s">
        <v>5458</v>
      </c>
      <c r="G908" s="12" t="s">
        <v>5453</v>
      </c>
      <c r="H908" s="12" t="s">
        <v>6618</v>
      </c>
      <c r="I908" s="12">
        <v>2850</v>
      </c>
      <c r="J908" s="12" t="s">
        <v>3144</v>
      </c>
      <c r="K908" s="12" t="s">
        <v>8211</v>
      </c>
      <c r="L908" s="12" t="s">
        <v>6932</v>
      </c>
      <c r="M908" s="12" t="s">
        <v>6931</v>
      </c>
      <c r="N908" s="12" t="s">
        <v>24</v>
      </c>
      <c r="O908" s="12" t="s">
        <v>6952</v>
      </c>
      <c r="P908" s="12" t="s">
        <v>173</v>
      </c>
      <c r="Q908" s="12" t="s">
        <v>6664</v>
      </c>
      <c r="R908" s="16">
        <v>34.751461111111112</v>
      </c>
      <c r="S908" s="16">
        <v>72.401936111111112</v>
      </c>
      <c r="T908" s="12" t="s">
        <v>25</v>
      </c>
      <c r="U908" s="12" t="s">
        <v>3965</v>
      </c>
      <c r="V908" s="12" t="s">
        <v>6639</v>
      </c>
      <c r="W908" s="12" t="s">
        <v>6639</v>
      </c>
      <c r="X908" s="12">
        <v>2.0810080000000002</v>
      </c>
      <c r="Y908" s="12">
        <v>662397</v>
      </c>
      <c r="Z908" s="12" t="s">
        <v>6639</v>
      </c>
      <c r="AA908" s="12" t="s">
        <v>6639</v>
      </c>
      <c r="AB908" s="12" t="s">
        <v>4020</v>
      </c>
      <c r="AC908" s="12" t="s">
        <v>21</v>
      </c>
      <c r="AD908" s="12">
        <v>0.157</v>
      </c>
      <c r="AE908" s="12">
        <v>0.99099999999999999</v>
      </c>
      <c r="AF908" s="12" t="s">
        <v>45</v>
      </c>
    </row>
    <row r="909" spans="1:32" x14ac:dyDescent="0.2">
      <c r="A909" s="12" t="s">
        <v>3966</v>
      </c>
      <c r="B909" s="12" t="s">
        <v>3966</v>
      </c>
      <c r="C909" s="12" t="s">
        <v>7520</v>
      </c>
      <c r="D909" s="12" t="s">
        <v>13</v>
      </c>
      <c r="E909" s="12" t="s">
        <v>8110</v>
      </c>
      <c r="F909" s="12" t="s">
        <v>3968</v>
      </c>
      <c r="G909" s="12" t="s">
        <v>5453</v>
      </c>
      <c r="H909" s="12" t="s">
        <v>6618</v>
      </c>
      <c r="I909" s="12">
        <v>2829</v>
      </c>
      <c r="J909" s="12" t="s">
        <v>3968</v>
      </c>
      <c r="K909" s="12" t="s">
        <v>8211</v>
      </c>
      <c r="L909" s="12" t="s">
        <v>3921</v>
      </c>
      <c r="M909" s="12" t="s">
        <v>3920</v>
      </c>
      <c r="N909" s="12" t="s">
        <v>5785</v>
      </c>
      <c r="O909" s="12" t="s">
        <v>6952</v>
      </c>
      <c r="P909" s="12" t="s">
        <v>173</v>
      </c>
      <c r="Q909" s="12" t="s">
        <v>6664</v>
      </c>
      <c r="R909" s="12">
        <v>34.751461111111112</v>
      </c>
      <c r="S909" s="12">
        <v>72.401936111111112</v>
      </c>
      <c r="T909" s="12" t="s">
        <v>11</v>
      </c>
      <c r="U909" s="12" t="s">
        <v>3145</v>
      </c>
      <c r="V909" s="12" t="s">
        <v>723</v>
      </c>
      <c r="W909" s="12" t="s">
        <v>7415</v>
      </c>
      <c r="X909" s="12">
        <v>1.9690000000000001</v>
      </c>
      <c r="Y909" s="12">
        <v>800820</v>
      </c>
      <c r="Z909" s="12">
        <v>8.3169999999999997E-3</v>
      </c>
      <c r="AA909" s="12">
        <v>4.3686105066211995</v>
      </c>
      <c r="AB909" s="12" t="s">
        <v>3967</v>
      </c>
      <c r="AC909" s="12" t="s">
        <v>21</v>
      </c>
      <c r="AD909" s="12">
        <v>0.13200000000000001</v>
      </c>
      <c r="AE909" s="12">
        <v>1</v>
      </c>
      <c r="AF909" s="12" t="s">
        <v>152</v>
      </c>
    </row>
    <row r="910" spans="1:32" x14ac:dyDescent="0.2">
      <c r="A910" s="12" t="s">
        <v>3928</v>
      </c>
      <c r="B910" s="12" t="s">
        <v>3928</v>
      </c>
      <c r="C910" s="12" t="s">
        <v>7460</v>
      </c>
      <c r="D910" s="12" t="s">
        <v>13</v>
      </c>
      <c r="E910" s="12" t="s">
        <v>8110</v>
      </c>
      <c r="F910" s="12" t="s">
        <v>3931</v>
      </c>
      <c r="G910" s="12" t="s">
        <v>5453</v>
      </c>
      <c r="H910" s="12" t="s">
        <v>6618</v>
      </c>
      <c r="I910" s="12">
        <v>2826</v>
      </c>
      <c r="J910" s="12" t="s">
        <v>3931</v>
      </c>
      <c r="K910" s="12" t="s">
        <v>8211</v>
      </c>
      <c r="L910" s="12" t="s">
        <v>3921</v>
      </c>
      <c r="M910" s="12" t="s">
        <v>3929</v>
      </c>
      <c r="N910" s="12" t="s">
        <v>5785</v>
      </c>
      <c r="O910" s="12" t="s">
        <v>6946</v>
      </c>
      <c r="P910" s="12" t="s">
        <v>173</v>
      </c>
      <c r="Q910" s="12" t="s">
        <v>6664</v>
      </c>
      <c r="R910" s="12">
        <v>34.677602777777778</v>
      </c>
      <c r="S910" s="12">
        <v>72.212480555555558</v>
      </c>
      <c r="T910" s="12" t="s">
        <v>25</v>
      </c>
      <c r="U910" s="12" t="s">
        <v>3932</v>
      </c>
      <c r="V910" s="12" t="s">
        <v>6639</v>
      </c>
      <c r="W910" s="12" t="s">
        <v>6639</v>
      </c>
      <c r="X910" s="12">
        <v>0.74473699999999998</v>
      </c>
      <c r="Y910" s="12">
        <v>506337</v>
      </c>
      <c r="Z910" s="12" t="s">
        <v>6639</v>
      </c>
      <c r="AA910" s="12" t="s">
        <v>6639</v>
      </c>
      <c r="AB910" s="12" t="s">
        <v>3930</v>
      </c>
      <c r="AC910" s="12" t="s">
        <v>21</v>
      </c>
      <c r="AD910" s="12">
        <v>0.13700000000000001</v>
      </c>
      <c r="AE910" s="12">
        <v>0.99299999999999999</v>
      </c>
      <c r="AF910" s="12" t="s">
        <v>45</v>
      </c>
    </row>
    <row r="911" spans="1:32" x14ac:dyDescent="0.2">
      <c r="A911" s="12" t="s">
        <v>3924</v>
      </c>
      <c r="B911" s="12" t="s">
        <v>3924</v>
      </c>
      <c r="C911" s="12" t="s">
        <v>7528</v>
      </c>
      <c r="D911" s="12" t="s">
        <v>13</v>
      </c>
      <c r="E911" s="12" t="s">
        <v>8110</v>
      </c>
      <c r="F911" s="12" t="s">
        <v>3926</v>
      </c>
      <c r="G911" s="12" t="s">
        <v>5453</v>
      </c>
      <c r="H911" s="12" t="s">
        <v>6618</v>
      </c>
      <c r="I911" s="12">
        <v>2817</v>
      </c>
      <c r="J911" s="12" t="s">
        <v>3926</v>
      </c>
      <c r="K911" s="12" t="s">
        <v>8211</v>
      </c>
      <c r="L911" s="12" t="s">
        <v>3921</v>
      </c>
      <c r="M911" s="12" t="s">
        <v>3920</v>
      </c>
      <c r="N911" s="12" t="s">
        <v>5785</v>
      </c>
      <c r="O911" s="12" t="s">
        <v>6952</v>
      </c>
      <c r="P911" s="12" t="s">
        <v>173</v>
      </c>
      <c r="Q911" s="12" t="s">
        <v>6664</v>
      </c>
      <c r="R911" s="12">
        <v>34.751461111111112</v>
      </c>
      <c r="S911" s="12">
        <v>72.401936111111112</v>
      </c>
      <c r="T911" s="12" t="s">
        <v>25</v>
      </c>
      <c r="U911" s="12" t="s">
        <v>3927</v>
      </c>
      <c r="V911" s="12" t="s">
        <v>6639</v>
      </c>
      <c r="W911" s="12" t="s">
        <v>6639</v>
      </c>
      <c r="X911" s="12">
        <v>2.192132</v>
      </c>
      <c r="Y911" s="12">
        <v>803813</v>
      </c>
      <c r="Z911" s="12" t="s">
        <v>6639</v>
      </c>
      <c r="AA911" s="12" t="s">
        <v>6639</v>
      </c>
      <c r="AB911" s="12" t="s">
        <v>3925</v>
      </c>
      <c r="AC911" s="12" t="s">
        <v>21</v>
      </c>
      <c r="AD911" s="12">
        <v>0.115</v>
      </c>
      <c r="AE911" s="12">
        <v>0.995</v>
      </c>
      <c r="AF911" s="12" t="s">
        <v>45</v>
      </c>
    </row>
    <row r="912" spans="1:32" x14ac:dyDescent="0.2">
      <c r="A912" s="12" t="s">
        <v>3962</v>
      </c>
      <c r="B912" s="12" t="s">
        <v>3962</v>
      </c>
      <c r="C912" s="12" t="s">
        <v>7524</v>
      </c>
      <c r="D912" s="12" t="s">
        <v>13</v>
      </c>
      <c r="E912" s="12" t="s">
        <v>8110</v>
      </c>
      <c r="F912" s="12" t="s">
        <v>3964</v>
      </c>
      <c r="G912" s="12" t="s">
        <v>5453</v>
      </c>
      <c r="H912" s="12" t="s">
        <v>6618</v>
      </c>
      <c r="I912" s="12">
        <v>2813</v>
      </c>
      <c r="J912" s="12" t="s">
        <v>3964</v>
      </c>
      <c r="K912" s="12" t="s">
        <v>8211</v>
      </c>
      <c r="L912" s="12" t="s">
        <v>3921</v>
      </c>
      <c r="M912" s="12" t="s">
        <v>3920</v>
      </c>
      <c r="N912" s="12" t="s">
        <v>5785</v>
      </c>
      <c r="O912" s="12" t="s">
        <v>6952</v>
      </c>
      <c r="P912" s="12" t="s">
        <v>173</v>
      </c>
      <c r="Q912" s="12" t="s">
        <v>6664</v>
      </c>
      <c r="R912" s="12">
        <v>34.751461111111112</v>
      </c>
      <c r="S912" s="12">
        <v>72.401936111111112</v>
      </c>
      <c r="T912" s="12" t="s">
        <v>11</v>
      </c>
      <c r="U912" s="12" t="s">
        <v>3965</v>
      </c>
      <c r="V912" s="12" t="s">
        <v>894</v>
      </c>
      <c r="W912" s="12" t="s">
        <v>7415</v>
      </c>
      <c r="X912" s="12">
        <v>3.9029560000000001</v>
      </c>
      <c r="Y912" s="12">
        <v>822908</v>
      </c>
      <c r="Z912" s="12">
        <v>6.3550000000000004E-3</v>
      </c>
      <c r="AA912" s="12">
        <v>5.4587497186875638</v>
      </c>
      <c r="AB912" s="12" t="s">
        <v>3963</v>
      </c>
      <c r="AC912" s="12" t="s">
        <v>21</v>
      </c>
      <c r="AD912" s="12">
        <v>9.5000000000000001E-2</v>
      </c>
      <c r="AE912" s="12">
        <v>0.99</v>
      </c>
      <c r="AF912" s="12" t="s">
        <v>436</v>
      </c>
    </row>
    <row r="913" spans="1:40" x14ac:dyDescent="0.2">
      <c r="A913" s="12" t="s">
        <v>3958</v>
      </c>
      <c r="B913" s="12" t="s">
        <v>3958</v>
      </c>
      <c r="C913" s="12" t="s">
        <v>6933</v>
      </c>
      <c r="D913" s="12" t="s">
        <v>13</v>
      </c>
      <c r="E913" s="12" t="s">
        <v>8110</v>
      </c>
      <c r="F913" s="12" t="s">
        <v>3961</v>
      </c>
      <c r="G913" s="12" t="s">
        <v>5453</v>
      </c>
      <c r="H913" s="12" t="s">
        <v>6618</v>
      </c>
      <c r="I913" s="12">
        <v>2811</v>
      </c>
      <c r="J913" s="12" t="s">
        <v>3961</v>
      </c>
      <c r="K913" s="12" t="s">
        <v>8211</v>
      </c>
      <c r="L913" s="12" t="s">
        <v>3921</v>
      </c>
      <c r="M913" s="12" t="s">
        <v>3959</v>
      </c>
      <c r="N913" s="12" t="s">
        <v>5785</v>
      </c>
      <c r="O913" s="12" t="s">
        <v>6947</v>
      </c>
      <c r="P913" s="12" t="s">
        <v>173</v>
      </c>
      <c r="Q913" s="12" t="s">
        <v>6664</v>
      </c>
      <c r="R913" s="12">
        <v>34.765841666666667</v>
      </c>
      <c r="S913" s="12">
        <v>72.349133333333327</v>
      </c>
      <c r="T913" s="12" t="s">
        <v>11</v>
      </c>
      <c r="U913" s="12" t="s">
        <v>1515</v>
      </c>
      <c r="V913" s="12" t="s">
        <v>628</v>
      </c>
      <c r="W913" s="12" t="s">
        <v>7415</v>
      </c>
      <c r="X913" s="12">
        <v>1.127</v>
      </c>
      <c r="Y913" s="12">
        <v>665846</v>
      </c>
      <c r="Z913" s="12">
        <v>6.6109999999999997E-3</v>
      </c>
      <c r="AA913" s="12">
        <v>2.5511444454820698</v>
      </c>
      <c r="AB913" s="12" t="s">
        <v>3960</v>
      </c>
      <c r="AC913" s="12" t="s">
        <v>21</v>
      </c>
      <c r="AD913" s="12">
        <v>0.14099999999999999</v>
      </c>
      <c r="AE913" s="12">
        <v>1</v>
      </c>
      <c r="AF913" s="12" t="s">
        <v>22</v>
      </c>
    </row>
    <row r="914" spans="1:40" x14ac:dyDescent="0.2">
      <c r="A914" s="12" t="s">
        <v>3954</v>
      </c>
      <c r="B914" s="12" t="s">
        <v>3954</v>
      </c>
      <c r="C914" s="12" t="s">
        <v>7521</v>
      </c>
      <c r="D914" s="12" t="s">
        <v>13</v>
      </c>
      <c r="E914" s="12" t="s">
        <v>8110</v>
      </c>
      <c r="F914" s="12" t="s">
        <v>3956</v>
      </c>
      <c r="G914" s="12" t="s">
        <v>5453</v>
      </c>
      <c r="H914" s="12" t="s">
        <v>6618</v>
      </c>
      <c r="I914" s="12">
        <v>2798</v>
      </c>
      <c r="J914" s="12" t="s">
        <v>3956</v>
      </c>
      <c r="K914" s="12" t="s">
        <v>8211</v>
      </c>
      <c r="L914" s="12" t="s">
        <v>3921</v>
      </c>
      <c r="M914" s="12" t="s">
        <v>3920</v>
      </c>
      <c r="N914" s="12" t="s">
        <v>5785</v>
      </c>
      <c r="O914" s="12" t="s">
        <v>6952</v>
      </c>
      <c r="P914" s="12" t="s">
        <v>173</v>
      </c>
      <c r="Q914" s="12" t="s">
        <v>6664</v>
      </c>
      <c r="R914" s="16">
        <v>34.751461111111112</v>
      </c>
      <c r="S914" s="16">
        <v>72.401936111111112</v>
      </c>
      <c r="T914" s="12" t="s">
        <v>25</v>
      </c>
      <c r="U914" s="12" t="s">
        <v>3957</v>
      </c>
      <c r="V914" s="12" t="s">
        <v>6639</v>
      </c>
      <c r="W914" s="12" t="s">
        <v>6639</v>
      </c>
      <c r="X914" s="12">
        <v>2.717336</v>
      </c>
      <c r="Y914" s="12">
        <v>833971</v>
      </c>
      <c r="Z914" s="12" t="s">
        <v>6639</v>
      </c>
      <c r="AA914" s="12" t="s">
        <v>6639</v>
      </c>
      <c r="AB914" s="12" t="s">
        <v>3955</v>
      </c>
      <c r="AC914" s="12" t="s">
        <v>21</v>
      </c>
      <c r="AD914" s="12">
        <v>0.11899999999999999</v>
      </c>
      <c r="AE914" s="12">
        <v>0.995</v>
      </c>
      <c r="AF914" s="12" t="s">
        <v>45</v>
      </c>
    </row>
    <row r="915" spans="1:40" x14ac:dyDescent="0.2">
      <c r="A915" s="12" t="s">
        <v>3951</v>
      </c>
      <c r="B915" s="12" t="s">
        <v>3951</v>
      </c>
      <c r="C915" s="12" t="s">
        <v>7525</v>
      </c>
      <c r="D915" s="12" t="s">
        <v>13</v>
      </c>
      <c r="E915" s="12" t="s">
        <v>8110</v>
      </c>
      <c r="F915" s="12" t="s">
        <v>3953</v>
      </c>
      <c r="G915" s="12" t="s">
        <v>5453</v>
      </c>
      <c r="H915" s="12" t="s">
        <v>6618</v>
      </c>
      <c r="I915" s="12">
        <v>2796</v>
      </c>
      <c r="J915" s="12" t="s">
        <v>3953</v>
      </c>
      <c r="K915" s="12" t="s">
        <v>8211</v>
      </c>
      <c r="L915" s="12" t="s">
        <v>3921</v>
      </c>
      <c r="M915" s="12" t="s">
        <v>3920</v>
      </c>
      <c r="N915" s="12" t="s">
        <v>5785</v>
      </c>
      <c r="O915" s="12" t="s">
        <v>6952</v>
      </c>
      <c r="P915" s="12" t="s">
        <v>173</v>
      </c>
      <c r="Q915" s="12" t="s">
        <v>6664</v>
      </c>
      <c r="R915" s="12">
        <v>34.751461111111112</v>
      </c>
      <c r="S915" s="12">
        <v>72.401936111111112</v>
      </c>
      <c r="T915" s="12" t="s">
        <v>25</v>
      </c>
      <c r="U915" s="12" t="s">
        <v>2085</v>
      </c>
      <c r="V915" s="12" t="s">
        <v>6639</v>
      </c>
      <c r="W915" s="12" t="s">
        <v>6639</v>
      </c>
      <c r="X915" s="12">
        <v>1.353164</v>
      </c>
      <c r="Y915" s="12">
        <v>667506</v>
      </c>
      <c r="Z915" s="12" t="s">
        <v>6639</v>
      </c>
      <c r="AA915" s="12" t="s">
        <v>6639</v>
      </c>
      <c r="AB915" s="12" t="s">
        <v>3952</v>
      </c>
      <c r="AC915" s="12" t="s">
        <v>21</v>
      </c>
      <c r="AD915" s="12">
        <v>0.113</v>
      </c>
      <c r="AE915" s="12">
        <v>0.995</v>
      </c>
      <c r="AF915" s="12" t="s">
        <v>45</v>
      </c>
      <c r="AL915" s="71"/>
      <c r="AM915" s="12"/>
      <c r="AN915" s="12"/>
    </row>
    <row r="916" spans="1:40" x14ac:dyDescent="0.2">
      <c r="A916" s="12" t="s">
        <v>4071</v>
      </c>
      <c r="B916" s="12" t="s">
        <v>4071</v>
      </c>
      <c r="C916" s="12" t="s">
        <v>7523</v>
      </c>
      <c r="D916" s="12" t="s">
        <v>13</v>
      </c>
      <c r="E916" s="12" t="s">
        <v>8110</v>
      </c>
      <c r="F916" s="12" t="s">
        <v>4075</v>
      </c>
      <c r="G916" s="12" t="s">
        <v>5453</v>
      </c>
      <c r="H916" s="12" t="s">
        <v>6618</v>
      </c>
      <c r="I916" s="12">
        <v>2764</v>
      </c>
      <c r="J916" s="12" t="s">
        <v>4075</v>
      </c>
      <c r="K916" s="12" t="s">
        <v>8211</v>
      </c>
      <c r="L916" s="12" t="s">
        <v>4073</v>
      </c>
      <c r="M916" s="12" t="s">
        <v>4072</v>
      </c>
      <c r="N916" s="12" t="s">
        <v>24</v>
      </c>
      <c r="O916" s="12" t="s">
        <v>6952</v>
      </c>
      <c r="P916" s="12" t="s">
        <v>173</v>
      </c>
      <c r="Q916" s="12" t="s">
        <v>6664</v>
      </c>
      <c r="R916" s="12">
        <v>34.751461111111112</v>
      </c>
      <c r="S916" s="12">
        <v>72.401936111111112</v>
      </c>
      <c r="T916" s="12" t="s">
        <v>11</v>
      </c>
      <c r="U916" s="12" t="s">
        <v>3957</v>
      </c>
      <c r="V916" s="12" t="s">
        <v>894</v>
      </c>
      <c r="W916" s="12" t="s">
        <v>7415</v>
      </c>
      <c r="X916" s="12">
        <v>3.0805380000000002</v>
      </c>
      <c r="Y916" s="12">
        <v>795803</v>
      </c>
      <c r="Z916" s="12">
        <v>6.8580000000000004E-3</v>
      </c>
      <c r="AA916" s="12">
        <v>5.1717038871485652</v>
      </c>
      <c r="AB916" s="12" t="s">
        <v>4074</v>
      </c>
      <c r="AC916" s="12" t="s">
        <v>21</v>
      </c>
      <c r="AD916" s="12">
        <v>0.125</v>
      </c>
      <c r="AE916" s="12">
        <v>0.999</v>
      </c>
      <c r="AF916" s="12" t="s">
        <v>22</v>
      </c>
    </row>
    <row r="917" spans="1:40" x14ac:dyDescent="0.2">
      <c r="A917" s="12" t="s">
        <v>3198</v>
      </c>
      <c r="B917" s="12" t="s">
        <v>3198</v>
      </c>
      <c r="C917" s="12" t="s">
        <v>6964</v>
      </c>
      <c r="D917" s="12" t="s">
        <v>13</v>
      </c>
      <c r="E917" s="12" t="s">
        <v>8109</v>
      </c>
      <c r="F917" s="12" t="s">
        <v>7406</v>
      </c>
      <c r="G917" s="12" t="s">
        <v>5453</v>
      </c>
      <c r="H917" s="12" t="s">
        <v>6618</v>
      </c>
      <c r="I917" s="12">
        <v>2758</v>
      </c>
      <c r="J917" s="12" t="s">
        <v>7406</v>
      </c>
      <c r="K917" s="12" t="s">
        <v>8211</v>
      </c>
      <c r="L917" s="12" t="s">
        <v>3921</v>
      </c>
      <c r="M917" s="12" t="s">
        <v>7051</v>
      </c>
      <c r="N917" s="12" t="s">
        <v>5785</v>
      </c>
      <c r="O917" s="12" t="s">
        <v>7052</v>
      </c>
      <c r="P917" s="12" t="s">
        <v>173</v>
      </c>
      <c r="Q917" s="12" t="s">
        <v>6664</v>
      </c>
      <c r="R917" s="16">
        <v>34.759386111111112</v>
      </c>
      <c r="S917" s="16">
        <v>72.370833333333323</v>
      </c>
      <c r="T917" s="12" t="s">
        <v>11</v>
      </c>
      <c r="U917" s="12" t="s">
        <v>609</v>
      </c>
      <c r="V917" s="12" t="s">
        <v>1459</v>
      </c>
      <c r="W917" s="12" t="s">
        <v>7160</v>
      </c>
      <c r="X917" s="12">
        <v>1.0948830000000001</v>
      </c>
      <c r="Y917" s="12">
        <v>594351</v>
      </c>
      <c r="Z917" s="12">
        <v>9.6410000000000003E-3</v>
      </c>
      <c r="AA917" s="12">
        <v>2.8535074226414165</v>
      </c>
      <c r="AB917" s="12" t="s">
        <v>3197</v>
      </c>
      <c r="AC917" s="12" t="s">
        <v>21</v>
      </c>
      <c r="AD917" s="12">
        <v>0.161</v>
      </c>
      <c r="AE917" s="12">
        <v>0.98299999999999998</v>
      </c>
      <c r="AF917" s="12" t="s">
        <v>317</v>
      </c>
    </row>
    <row r="918" spans="1:40" x14ac:dyDescent="0.2">
      <c r="A918" s="12" t="s">
        <v>175</v>
      </c>
      <c r="B918" s="12" t="s">
        <v>175</v>
      </c>
      <c r="C918" s="12" t="s">
        <v>6937</v>
      </c>
      <c r="D918" s="12" t="s">
        <v>13</v>
      </c>
      <c r="E918" s="12" t="s">
        <v>8110</v>
      </c>
      <c r="F918" s="12" t="s">
        <v>177</v>
      </c>
      <c r="G918" s="12" t="s">
        <v>5453</v>
      </c>
      <c r="H918" s="12" t="s">
        <v>6628</v>
      </c>
      <c r="I918" s="12">
        <v>2754</v>
      </c>
      <c r="J918" s="12" t="s">
        <v>177</v>
      </c>
      <c r="K918" s="12" t="s">
        <v>8211</v>
      </c>
      <c r="L918" s="12" t="s">
        <v>170</v>
      </c>
      <c r="M918" s="12" t="s">
        <v>170</v>
      </c>
      <c r="N918" s="12" t="s">
        <v>5785</v>
      </c>
      <c r="O918" s="12" t="s">
        <v>178</v>
      </c>
      <c r="P918" s="12" t="s">
        <v>173</v>
      </c>
      <c r="Q918" s="12" t="s">
        <v>6664</v>
      </c>
      <c r="R918" s="16">
        <v>34.804894444444443</v>
      </c>
      <c r="S918" s="16">
        <v>72.318169444444436</v>
      </c>
      <c r="T918" s="12" t="s">
        <v>25</v>
      </c>
      <c r="U918" s="12" t="s">
        <v>179</v>
      </c>
      <c r="V918" s="12" t="s">
        <v>6639</v>
      </c>
      <c r="W918" s="12" t="s">
        <v>6639</v>
      </c>
      <c r="X918" s="12">
        <v>1.288297</v>
      </c>
      <c r="Y918" s="12">
        <v>687206</v>
      </c>
      <c r="Z918" s="12" t="s">
        <v>6639</v>
      </c>
      <c r="AA918" s="12" t="s">
        <v>6639</v>
      </c>
      <c r="AB918" s="12" t="s">
        <v>176</v>
      </c>
      <c r="AC918" s="12" t="s">
        <v>21</v>
      </c>
      <c r="AD918" s="12">
        <v>0.13</v>
      </c>
      <c r="AE918" s="12">
        <v>1</v>
      </c>
      <c r="AF918" s="12" t="s">
        <v>45</v>
      </c>
    </row>
    <row r="919" spans="1:40" x14ac:dyDescent="0.2">
      <c r="A919" s="12" t="s">
        <v>180</v>
      </c>
      <c r="B919" s="12" t="s">
        <v>180</v>
      </c>
      <c r="C919" s="12" t="s">
        <v>6938</v>
      </c>
      <c r="D919" s="12" t="s">
        <v>13</v>
      </c>
      <c r="E919" s="12" t="s">
        <v>8110</v>
      </c>
      <c r="F919" s="12" t="s">
        <v>5458</v>
      </c>
      <c r="G919" s="12" t="s">
        <v>5453</v>
      </c>
      <c r="H919" s="12" t="s">
        <v>6618</v>
      </c>
      <c r="I919" s="12">
        <v>2710</v>
      </c>
      <c r="J919" s="12" t="s">
        <v>3202</v>
      </c>
      <c r="K919" s="12" t="s">
        <v>8211</v>
      </c>
      <c r="L919" s="12" t="s">
        <v>170</v>
      </c>
      <c r="M919" s="12" t="s">
        <v>170</v>
      </c>
      <c r="N919" s="12" t="s">
        <v>5785</v>
      </c>
      <c r="O919" s="12" t="s">
        <v>178</v>
      </c>
      <c r="P919" s="12" t="s">
        <v>173</v>
      </c>
      <c r="Q919" s="12" t="s">
        <v>6664</v>
      </c>
      <c r="R919" s="12">
        <v>34.804894444444443</v>
      </c>
      <c r="S919" s="12">
        <v>72.318169444444436</v>
      </c>
      <c r="T919" s="12" t="s">
        <v>11</v>
      </c>
      <c r="U919" s="12" t="s">
        <v>182</v>
      </c>
      <c r="V919" s="12" t="s">
        <v>183</v>
      </c>
      <c r="W919" s="12" t="s">
        <v>7415</v>
      </c>
      <c r="X919" s="12">
        <v>0.60531199999999996</v>
      </c>
      <c r="Y919" s="12">
        <v>661402</v>
      </c>
      <c r="Z919" s="12">
        <v>1.1634E-2</v>
      </c>
      <c r="AA919" s="12">
        <v>1.9022550895624666</v>
      </c>
      <c r="AB919" s="12" t="s">
        <v>181</v>
      </c>
      <c r="AC919" s="12" t="s">
        <v>21</v>
      </c>
      <c r="AD919" s="12">
        <v>0.09</v>
      </c>
      <c r="AE919" s="12">
        <v>0.999</v>
      </c>
      <c r="AF919" s="12" t="s">
        <v>45</v>
      </c>
    </row>
    <row r="920" spans="1:40" x14ac:dyDescent="0.2">
      <c r="A920" s="12" t="s">
        <v>158</v>
      </c>
      <c r="B920" s="12" t="s">
        <v>160</v>
      </c>
      <c r="C920" s="12" t="s">
        <v>160</v>
      </c>
      <c r="D920" s="12" t="s">
        <v>163</v>
      </c>
      <c r="E920" s="12" t="s">
        <v>7676</v>
      </c>
      <c r="F920" s="12" t="s">
        <v>5458</v>
      </c>
      <c r="G920" s="12" t="s">
        <v>159</v>
      </c>
      <c r="H920" s="12" t="s">
        <v>6613</v>
      </c>
      <c r="I920" s="12">
        <v>0</v>
      </c>
      <c r="J920" s="12" t="s">
        <v>164</v>
      </c>
      <c r="K920" s="12" t="s">
        <v>6646</v>
      </c>
      <c r="L920" s="12" t="s">
        <v>162</v>
      </c>
      <c r="M920" s="12" t="s">
        <v>161</v>
      </c>
      <c r="N920" s="12" t="s">
        <v>5785</v>
      </c>
      <c r="O920" s="12" t="s">
        <v>165</v>
      </c>
      <c r="P920" s="12" t="s">
        <v>166</v>
      </c>
      <c r="Q920" s="12" t="s">
        <v>6664</v>
      </c>
      <c r="R920" s="12">
        <v>11.66666667</v>
      </c>
      <c r="S920" s="12">
        <v>92.65</v>
      </c>
      <c r="T920" s="12" t="s">
        <v>25</v>
      </c>
      <c r="U920" s="12" t="s">
        <v>17</v>
      </c>
      <c r="V920" s="12" t="s">
        <v>6639</v>
      </c>
      <c r="W920" s="12" t="s">
        <v>6639</v>
      </c>
      <c r="X920" s="12">
        <v>42.38</v>
      </c>
      <c r="Y920" s="12">
        <v>1112423</v>
      </c>
      <c r="Z920" s="12" t="s">
        <v>6613</v>
      </c>
      <c r="AA920" s="12" t="s">
        <v>6613</v>
      </c>
      <c r="AB920" s="12" t="s">
        <v>6613</v>
      </c>
      <c r="AC920" s="12" t="s">
        <v>6613</v>
      </c>
      <c r="AD920" s="12" t="s">
        <v>6613</v>
      </c>
      <c r="AE920" s="12" t="s">
        <v>6613</v>
      </c>
      <c r="AF920" s="12" t="s">
        <v>45</v>
      </c>
    </row>
    <row r="921" spans="1:40" x14ac:dyDescent="0.2">
      <c r="A921" s="12" t="s">
        <v>167</v>
      </c>
      <c r="B921" s="12" t="s">
        <v>168</v>
      </c>
      <c r="C921" s="12" t="s">
        <v>168</v>
      </c>
      <c r="D921" s="12" t="s">
        <v>163</v>
      </c>
      <c r="E921" s="12" t="s">
        <v>7676</v>
      </c>
      <c r="F921" s="12" t="s">
        <v>5458</v>
      </c>
      <c r="G921" s="12" t="s">
        <v>159</v>
      </c>
      <c r="H921" s="12" t="s">
        <v>6613</v>
      </c>
      <c r="I921" s="12">
        <v>0</v>
      </c>
      <c r="J921" s="12" t="s">
        <v>164</v>
      </c>
      <c r="K921" s="12" t="s">
        <v>6646</v>
      </c>
      <c r="L921" s="12" t="s">
        <v>162</v>
      </c>
      <c r="M921" s="12" t="s">
        <v>161</v>
      </c>
      <c r="N921" s="12" t="s">
        <v>5785</v>
      </c>
      <c r="O921" s="12" t="s">
        <v>165</v>
      </c>
      <c r="P921" s="12" t="s">
        <v>166</v>
      </c>
      <c r="Q921" s="12" t="s">
        <v>6664</v>
      </c>
      <c r="R921" s="12">
        <v>11.66666667</v>
      </c>
      <c r="S921" s="12">
        <v>92.65</v>
      </c>
      <c r="T921" s="12" t="s">
        <v>25</v>
      </c>
      <c r="U921" s="12" t="s">
        <v>17</v>
      </c>
      <c r="V921" s="12" t="s">
        <v>6639</v>
      </c>
      <c r="W921" s="12" t="s">
        <v>6639</v>
      </c>
      <c r="X921" s="12">
        <v>40.770000000000003</v>
      </c>
      <c r="Y921" s="12">
        <v>1117446</v>
      </c>
      <c r="Z921" s="12" t="s">
        <v>6613</v>
      </c>
      <c r="AA921" s="12" t="s">
        <v>6613</v>
      </c>
      <c r="AB921" s="12" t="s">
        <v>6613</v>
      </c>
      <c r="AC921" s="12" t="s">
        <v>6613</v>
      </c>
      <c r="AD921" s="12" t="s">
        <v>6613</v>
      </c>
      <c r="AE921" s="12" t="s">
        <v>6613</v>
      </c>
      <c r="AF921" s="12" t="s">
        <v>45</v>
      </c>
    </row>
    <row r="922" spans="1:40" x14ac:dyDescent="0.2">
      <c r="A922" s="12" t="s">
        <v>599</v>
      </c>
      <c r="B922" s="12" t="s">
        <v>600</v>
      </c>
      <c r="C922" s="12" t="s">
        <v>600</v>
      </c>
      <c r="D922" s="12" t="s">
        <v>17</v>
      </c>
      <c r="E922" s="12" t="s">
        <v>7676</v>
      </c>
      <c r="F922" s="12" t="s">
        <v>5458</v>
      </c>
      <c r="G922" s="12" t="s">
        <v>159</v>
      </c>
      <c r="H922" s="12" t="s">
        <v>6613</v>
      </c>
      <c r="I922" s="12">
        <v>0</v>
      </c>
      <c r="J922" s="12" t="s">
        <v>164</v>
      </c>
      <c r="K922" s="12" t="s">
        <v>6646</v>
      </c>
      <c r="L922" s="12" t="s">
        <v>597</v>
      </c>
      <c r="M922" s="12" t="s">
        <v>597</v>
      </c>
      <c r="N922" s="12" t="s">
        <v>5785</v>
      </c>
      <c r="O922" s="12" t="s">
        <v>17</v>
      </c>
      <c r="P922" s="12" t="s">
        <v>173</v>
      </c>
      <c r="Q922" s="12" t="s">
        <v>6664</v>
      </c>
      <c r="R922" s="12">
        <v>30.498714920000001</v>
      </c>
      <c r="S922" s="12">
        <v>66.5</v>
      </c>
      <c r="T922" s="12" t="s">
        <v>11</v>
      </c>
      <c r="U922" s="12" t="s">
        <v>17</v>
      </c>
      <c r="V922" s="12" t="s">
        <v>601</v>
      </c>
      <c r="W922" s="12" t="s">
        <v>7415</v>
      </c>
      <c r="X922" s="12">
        <v>42.88</v>
      </c>
      <c r="Y922" s="12">
        <v>1118330</v>
      </c>
      <c r="Z922" s="12" t="s">
        <v>6613</v>
      </c>
      <c r="AA922" s="12" t="s">
        <v>6613</v>
      </c>
      <c r="AB922" s="12" t="s">
        <v>6613</v>
      </c>
      <c r="AC922" s="12" t="s">
        <v>6613</v>
      </c>
      <c r="AD922" s="12" t="s">
        <v>6613</v>
      </c>
      <c r="AE922" s="12" t="s">
        <v>6613</v>
      </c>
      <c r="AF922" s="12" t="s">
        <v>45</v>
      </c>
    </row>
    <row r="923" spans="1:40" x14ac:dyDescent="0.2">
      <c r="A923" s="12" t="s">
        <v>595</v>
      </c>
      <c r="B923" s="12" t="s">
        <v>596</v>
      </c>
      <c r="C923" s="12" t="s">
        <v>596</v>
      </c>
      <c r="D923" s="12" t="s">
        <v>163</v>
      </c>
      <c r="E923" s="12" t="s">
        <v>7676</v>
      </c>
      <c r="F923" s="12" t="s">
        <v>5458</v>
      </c>
      <c r="G923" s="12" t="s">
        <v>159</v>
      </c>
      <c r="H923" s="12" t="s">
        <v>6613</v>
      </c>
      <c r="I923" s="12">
        <v>0</v>
      </c>
      <c r="J923" s="12" t="s">
        <v>164</v>
      </c>
      <c r="K923" s="12" t="s">
        <v>6646</v>
      </c>
      <c r="L923" s="12" t="s">
        <v>597</v>
      </c>
      <c r="M923" s="12" t="s">
        <v>597</v>
      </c>
      <c r="N923" s="12" t="s">
        <v>5785</v>
      </c>
      <c r="O923" s="12" t="s">
        <v>17</v>
      </c>
      <c r="P923" s="12" t="s">
        <v>173</v>
      </c>
      <c r="Q923" s="12" t="s">
        <v>6664</v>
      </c>
      <c r="R923" s="12">
        <v>30.498714920000001</v>
      </c>
      <c r="S923" s="12">
        <v>66.5</v>
      </c>
      <c r="T923" s="12" t="s">
        <v>11</v>
      </c>
      <c r="U923" s="12" t="s">
        <v>17</v>
      </c>
      <c r="V923" s="12" t="s">
        <v>598</v>
      </c>
      <c r="W923" s="12" t="s">
        <v>7415</v>
      </c>
      <c r="X923" s="12">
        <v>42.69</v>
      </c>
      <c r="Y923" s="12">
        <v>1118834</v>
      </c>
      <c r="Z923" s="12" t="s">
        <v>6613</v>
      </c>
      <c r="AA923" s="12" t="s">
        <v>6613</v>
      </c>
      <c r="AB923" s="12" t="s">
        <v>6613</v>
      </c>
      <c r="AC923" s="12" t="s">
        <v>6613</v>
      </c>
      <c r="AD923" s="12" t="s">
        <v>6613</v>
      </c>
      <c r="AE923" s="12" t="s">
        <v>6613</v>
      </c>
      <c r="AF923" s="12" t="s">
        <v>45</v>
      </c>
    </row>
    <row r="924" spans="1:40" x14ac:dyDescent="0.2">
      <c r="A924" s="12" t="s">
        <v>671</v>
      </c>
      <c r="B924" s="12" t="s">
        <v>672</v>
      </c>
      <c r="C924" s="12" t="s">
        <v>17</v>
      </c>
      <c r="D924" s="12" t="s">
        <v>17</v>
      </c>
      <c r="E924" s="12" t="s">
        <v>7678</v>
      </c>
      <c r="F924" s="12" t="s">
        <v>5458</v>
      </c>
      <c r="G924" s="12" t="s">
        <v>615</v>
      </c>
      <c r="H924" s="12" t="s">
        <v>6613</v>
      </c>
      <c r="I924" s="12">
        <v>0</v>
      </c>
      <c r="J924" s="12" t="s">
        <v>164</v>
      </c>
      <c r="K924" s="12" t="s">
        <v>6646</v>
      </c>
      <c r="L924" s="12" t="s">
        <v>617</v>
      </c>
      <c r="M924" s="12" t="s">
        <v>617</v>
      </c>
      <c r="N924" s="12" t="s">
        <v>5785</v>
      </c>
      <c r="O924" s="12" t="s">
        <v>624</v>
      </c>
      <c r="P924" s="12" t="s">
        <v>618</v>
      </c>
      <c r="Q924" s="12" t="s">
        <v>6664</v>
      </c>
      <c r="R924" s="12" t="s">
        <v>17</v>
      </c>
      <c r="S924" s="12" t="s">
        <v>17</v>
      </c>
      <c r="T924" s="12" t="s">
        <v>25</v>
      </c>
      <c r="U924" s="12" t="s">
        <v>17</v>
      </c>
      <c r="V924" s="12" t="s">
        <v>6639</v>
      </c>
      <c r="W924" s="12" t="s">
        <v>6639</v>
      </c>
      <c r="X924" s="12" t="s">
        <v>17</v>
      </c>
      <c r="Y924" s="12">
        <v>1039371</v>
      </c>
      <c r="Z924" s="12" t="s">
        <v>6613</v>
      </c>
      <c r="AA924" s="12" t="s">
        <v>6613</v>
      </c>
      <c r="AB924" s="12" t="s">
        <v>6613</v>
      </c>
      <c r="AC924" s="12" t="s">
        <v>6613</v>
      </c>
      <c r="AD924" s="12" t="s">
        <v>6613</v>
      </c>
      <c r="AE924" s="12" t="s">
        <v>6613</v>
      </c>
      <c r="AF924" s="12" t="s">
        <v>45</v>
      </c>
    </row>
    <row r="925" spans="1:40" x14ac:dyDescent="0.2">
      <c r="A925" s="12" t="s">
        <v>778</v>
      </c>
      <c r="B925" s="12" t="s">
        <v>779</v>
      </c>
      <c r="C925" s="12" t="s">
        <v>17</v>
      </c>
      <c r="D925" s="12" t="s">
        <v>17</v>
      </c>
      <c r="E925" s="12" t="s">
        <v>7678</v>
      </c>
      <c r="F925" s="12" t="s">
        <v>5458</v>
      </c>
      <c r="G925" s="12" t="s">
        <v>615</v>
      </c>
      <c r="H925" s="12" t="s">
        <v>6613</v>
      </c>
      <c r="I925" s="12">
        <v>0</v>
      </c>
      <c r="J925" s="12" t="s">
        <v>164</v>
      </c>
      <c r="K925" s="12" t="s">
        <v>6646</v>
      </c>
      <c r="L925" s="12" t="s">
        <v>617</v>
      </c>
      <c r="M925" s="12" t="s">
        <v>617</v>
      </c>
      <c r="N925" s="12" t="s">
        <v>5785</v>
      </c>
      <c r="O925" s="12" t="s">
        <v>624</v>
      </c>
      <c r="P925" s="12" t="s">
        <v>618</v>
      </c>
      <c r="Q925" s="12" t="s">
        <v>6664</v>
      </c>
      <c r="R925" s="12" t="s">
        <v>17</v>
      </c>
      <c r="S925" s="12" t="s">
        <v>17</v>
      </c>
      <c r="T925" s="12" t="s">
        <v>11</v>
      </c>
      <c r="U925" s="12" t="s">
        <v>17</v>
      </c>
      <c r="V925" s="12" t="s">
        <v>780</v>
      </c>
      <c r="W925" s="12" t="s">
        <v>7415</v>
      </c>
      <c r="X925" s="12" t="s">
        <v>17</v>
      </c>
      <c r="Y925" s="12">
        <v>1045214</v>
      </c>
      <c r="Z925" s="12" t="s">
        <v>6613</v>
      </c>
      <c r="AA925" s="12" t="s">
        <v>6613</v>
      </c>
      <c r="AB925" s="12" t="s">
        <v>6613</v>
      </c>
      <c r="AC925" s="12" t="s">
        <v>6613</v>
      </c>
      <c r="AD925" s="12" t="s">
        <v>6613</v>
      </c>
      <c r="AE925" s="12" t="s">
        <v>6613</v>
      </c>
      <c r="AF925" s="12" t="s">
        <v>45</v>
      </c>
    </row>
    <row r="926" spans="1:40" x14ac:dyDescent="0.2">
      <c r="A926" s="12" t="s">
        <v>704</v>
      </c>
      <c r="B926" s="12" t="s">
        <v>705</v>
      </c>
      <c r="C926" s="12" t="s">
        <v>17</v>
      </c>
      <c r="D926" s="12" t="s">
        <v>17</v>
      </c>
      <c r="E926" s="12" t="s">
        <v>7678</v>
      </c>
      <c r="F926" s="12" t="s">
        <v>5458</v>
      </c>
      <c r="G926" s="12" t="s">
        <v>615</v>
      </c>
      <c r="H926" s="12" t="s">
        <v>6613</v>
      </c>
      <c r="I926" s="12">
        <v>0</v>
      </c>
      <c r="J926" s="12" t="s">
        <v>164</v>
      </c>
      <c r="K926" s="12" t="s">
        <v>6646</v>
      </c>
      <c r="L926" s="12" t="s">
        <v>617</v>
      </c>
      <c r="M926" s="12" t="s">
        <v>617</v>
      </c>
      <c r="N926" s="12" t="s">
        <v>5785</v>
      </c>
      <c r="O926" s="12" t="s">
        <v>624</v>
      </c>
      <c r="P926" s="12" t="s">
        <v>618</v>
      </c>
      <c r="Q926" s="12" t="s">
        <v>6664</v>
      </c>
      <c r="R926" s="12" t="s">
        <v>17</v>
      </c>
      <c r="S926" s="12" t="s">
        <v>17</v>
      </c>
      <c r="T926" s="12" t="s">
        <v>11</v>
      </c>
      <c r="U926" s="12" t="s">
        <v>17</v>
      </c>
      <c r="V926" s="12" t="s">
        <v>653</v>
      </c>
      <c r="W926" s="12" t="s">
        <v>7415</v>
      </c>
      <c r="X926" s="12" t="s">
        <v>17</v>
      </c>
      <c r="Y926" s="12">
        <v>1108407</v>
      </c>
      <c r="Z926" s="12" t="s">
        <v>6613</v>
      </c>
      <c r="AA926" s="12" t="s">
        <v>6613</v>
      </c>
      <c r="AB926" s="12" t="s">
        <v>6613</v>
      </c>
      <c r="AC926" s="12" t="s">
        <v>6613</v>
      </c>
      <c r="AD926" s="12" t="s">
        <v>6613</v>
      </c>
      <c r="AE926" s="12" t="s">
        <v>6613</v>
      </c>
      <c r="AF926" s="12" t="s">
        <v>45</v>
      </c>
    </row>
    <row r="927" spans="1:40" x14ac:dyDescent="0.2">
      <c r="A927" s="12" t="s">
        <v>803</v>
      </c>
      <c r="B927" s="12" t="s">
        <v>804</v>
      </c>
      <c r="C927" s="12" t="s">
        <v>17</v>
      </c>
      <c r="D927" s="12" t="s">
        <v>17</v>
      </c>
      <c r="E927" s="12" t="s">
        <v>7678</v>
      </c>
      <c r="F927" s="12" t="s">
        <v>5458</v>
      </c>
      <c r="G927" s="12" t="s">
        <v>615</v>
      </c>
      <c r="H927" s="12" t="s">
        <v>6613</v>
      </c>
      <c r="I927" s="12">
        <v>0</v>
      </c>
      <c r="J927" s="12" t="s">
        <v>164</v>
      </c>
      <c r="K927" s="12" t="s">
        <v>6646</v>
      </c>
      <c r="L927" s="12" t="s">
        <v>617</v>
      </c>
      <c r="M927" s="12" t="s">
        <v>617</v>
      </c>
      <c r="N927" s="12" t="s">
        <v>5785</v>
      </c>
      <c r="O927" s="12" t="s">
        <v>624</v>
      </c>
      <c r="P927" s="12" t="s">
        <v>618</v>
      </c>
      <c r="Q927" s="12" t="s">
        <v>6664</v>
      </c>
      <c r="R927" s="16" t="s">
        <v>17</v>
      </c>
      <c r="S927" s="16" t="s">
        <v>17</v>
      </c>
      <c r="T927" s="12" t="s">
        <v>25</v>
      </c>
      <c r="U927" s="12" t="s">
        <v>17</v>
      </c>
      <c r="V927" s="12" t="s">
        <v>6639</v>
      </c>
      <c r="W927" s="12" t="s">
        <v>6639</v>
      </c>
      <c r="X927" s="12" t="s">
        <v>17</v>
      </c>
      <c r="Y927" s="12">
        <v>1120115</v>
      </c>
      <c r="Z927" s="12" t="s">
        <v>6613</v>
      </c>
      <c r="AA927" s="12" t="s">
        <v>6613</v>
      </c>
      <c r="AB927" s="12" t="s">
        <v>6613</v>
      </c>
      <c r="AC927" s="12" t="s">
        <v>6613</v>
      </c>
      <c r="AD927" s="12" t="s">
        <v>6613</v>
      </c>
      <c r="AE927" s="12" t="s">
        <v>6613</v>
      </c>
      <c r="AF927" s="12" t="s">
        <v>45</v>
      </c>
    </row>
    <row r="928" spans="1:40" x14ac:dyDescent="0.2">
      <c r="A928" s="12" t="s">
        <v>762</v>
      </c>
      <c r="B928" s="12" t="s">
        <v>763</v>
      </c>
      <c r="C928" s="12" t="s">
        <v>17</v>
      </c>
      <c r="D928" s="12" t="s">
        <v>17</v>
      </c>
      <c r="E928" s="12" t="s">
        <v>7678</v>
      </c>
      <c r="F928" s="12" t="s">
        <v>5458</v>
      </c>
      <c r="G928" s="12" t="s">
        <v>615</v>
      </c>
      <c r="H928" s="12" t="s">
        <v>6613</v>
      </c>
      <c r="I928" s="12">
        <v>0</v>
      </c>
      <c r="J928" s="12" t="s">
        <v>164</v>
      </c>
      <c r="K928" s="12" t="s">
        <v>6646</v>
      </c>
      <c r="L928" s="12" t="s">
        <v>617</v>
      </c>
      <c r="M928" s="12" t="s">
        <v>617</v>
      </c>
      <c r="N928" s="12" t="s">
        <v>5785</v>
      </c>
      <c r="O928" s="12" t="s">
        <v>624</v>
      </c>
      <c r="P928" s="12" t="s">
        <v>618</v>
      </c>
      <c r="Q928" s="12" t="s">
        <v>6664</v>
      </c>
      <c r="R928" s="12" t="s">
        <v>17</v>
      </c>
      <c r="S928" s="12" t="s">
        <v>17</v>
      </c>
      <c r="T928" s="12" t="s">
        <v>25</v>
      </c>
      <c r="U928" s="12" t="s">
        <v>17</v>
      </c>
      <c r="V928" s="12" t="s">
        <v>6639</v>
      </c>
      <c r="W928" s="12" t="s">
        <v>6639</v>
      </c>
      <c r="X928" s="12" t="s">
        <v>17</v>
      </c>
      <c r="Y928" s="12">
        <v>1128623</v>
      </c>
      <c r="Z928" s="12" t="s">
        <v>6613</v>
      </c>
      <c r="AA928" s="12" t="s">
        <v>6613</v>
      </c>
      <c r="AB928" s="12" t="s">
        <v>6613</v>
      </c>
      <c r="AC928" s="12" t="s">
        <v>6613</v>
      </c>
      <c r="AD928" s="12" t="s">
        <v>6613</v>
      </c>
      <c r="AE928" s="12" t="s">
        <v>6613</v>
      </c>
      <c r="AF928" s="12" t="s">
        <v>45</v>
      </c>
    </row>
    <row r="929" spans="1:32" x14ac:dyDescent="0.2">
      <c r="A929" s="12" t="s">
        <v>719</v>
      </c>
      <c r="B929" s="12" t="s">
        <v>720</v>
      </c>
      <c r="C929" s="12" t="s">
        <v>17</v>
      </c>
      <c r="D929" s="12" t="s">
        <v>17</v>
      </c>
      <c r="E929" s="12" t="s">
        <v>7678</v>
      </c>
      <c r="F929" s="12" t="s">
        <v>5458</v>
      </c>
      <c r="G929" s="12" t="s">
        <v>615</v>
      </c>
      <c r="H929" s="12" t="s">
        <v>6613</v>
      </c>
      <c r="I929" s="12">
        <v>0</v>
      </c>
      <c r="J929" s="12" t="s">
        <v>164</v>
      </c>
      <c r="K929" s="12" t="s">
        <v>6646</v>
      </c>
      <c r="L929" s="12" t="s">
        <v>617</v>
      </c>
      <c r="M929" s="12" t="s">
        <v>617</v>
      </c>
      <c r="N929" s="12" t="s">
        <v>5785</v>
      </c>
      <c r="O929" s="12" t="s">
        <v>624</v>
      </c>
      <c r="P929" s="12" t="s">
        <v>618</v>
      </c>
      <c r="Q929" s="12" t="s">
        <v>6664</v>
      </c>
      <c r="R929" s="16" t="s">
        <v>17</v>
      </c>
      <c r="S929" s="16" t="s">
        <v>17</v>
      </c>
      <c r="T929" s="12" t="s">
        <v>25</v>
      </c>
      <c r="U929" s="12" t="s">
        <v>17</v>
      </c>
      <c r="V929" s="12" t="s">
        <v>6639</v>
      </c>
      <c r="W929" s="12" t="s">
        <v>6639</v>
      </c>
      <c r="X929" s="12" t="s">
        <v>17</v>
      </c>
      <c r="Y929" s="12">
        <v>1129589</v>
      </c>
      <c r="Z929" s="12" t="s">
        <v>6613</v>
      </c>
      <c r="AA929" s="12" t="s">
        <v>6613</v>
      </c>
      <c r="AB929" s="12" t="s">
        <v>6613</v>
      </c>
      <c r="AC929" s="12" t="s">
        <v>6613</v>
      </c>
      <c r="AD929" s="12" t="s">
        <v>6613</v>
      </c>
      <c r="AE929" s="12" t="s">
        <v>6613</v>
      </c>
      <c r="AF929" s="12" t="s">
        <v>45</v>
      </c>
    </row>
    <row r="930" spans="1:32" x14ac:dyDescent="0.2">
      <c r="A930" s="12" t="s">
        <v>724</v>
      </c>
      <c r="B930" s="12" t="s">
        <v>725</v>
      </c>
      <c r="C930" s="12" t="s">
        <v>17</v>
      </c>
      <c r="D930" s="12" t="s">
        <v>17</v>
      </c>
      <c r="E930" s="12" t="s">
        <v>7678</v>
      </c>
      <c r="F930" s="12" t="s">
        <v>5458</v>
      </c>
      <c r="G930" s="12" t="s">
        <v>615</v>
      </c>
      <c r="H930" s="12" t="s">
        <v>6613</v>
      </c>
      <c r="I930" s="12">
        <v>0</v>
      </c>
      <c r="J930" s="12" t="s">
        <v>164</v>
      </c>
      <c r="K930" s="12" t="s">
        <v>6646</v>
      </c>
      <c r="L930" s="12" t="s">
        <v>617</v>
      </c>
      <c r="M930" s="12" t="s">
        <v>617</v>
      </c>
      <c r="N930" s="12" t="s">
        <v>5785</v>
      </c>
      <c r="O930" s="12" t="s">
        <v>624</v>
      </c>
      <c r="P930" s="12" t="s">
        <v>618</v>
      </c>
      <c r="Q930" s="12" t="s">
        <v>6664</v>
      </c>
      <c r="R930" s="16" t="s">
        <v>17</v>
      </c>
      <c r="S930" s="16" t="s">
        <v>17</v>
      </c>
      <c r="T930" s="12" t="s">
        <v>25</v>
      </c>
      <c r="U930" s="12" t="s">
        <v>17</v>
      </c>
      <c r="V930" s="12" t="s">
        <v>6639</v>
      </c>
      <c r="W930" s="12" t="s">
        <v>6639</v>
      </c>
      <c r="X930" s="12" t="s">
        <v>17</v>
      </c>
      <c r="Y930" s="12">
        <v>1130173</v>
      </c>
      <c r="Z930" s="12" t="s">
        <v>6613</v>
      </c>
      <c r="AA930" s="12" t="s">
        <v>6613</v>
      </c>
      <c r="AB930" s="12" t="s">
        <v>6613</v>
      </c>
      <c r="AC930" s="12" t="s">
        <v>6613</v>
      </c>
      <c r="AD930" s="12" t="s">
        <v>6613</v>
      </c>
      <c r="AE930" s="12" t="s">
        <v>6613</v>
      </c>
      <c r="AF930" s="12" t="s">
        <v>45</v>
      </c>
    </row>
    <row r="931" spans="1:32" x14ac:dyDescent="0.2">
      <c r="A931" s="12" t="s">
        <v>702</v>
      </c>
      <c r="B931" s="12" t="s">
        <v>703</v>
      </c>
      <c r="C931" s="12" t="s">
        <v>17</v>
      </c>
      <c r="D931" s="12" t="s">
        <v>17</v>
      </c>
      <c r="E931" s="12" t="s">
        <v>7678</v>
      </c>
      <c r="F931" s="12" t="s">
        <v>5458</v>
      </c>
      <c r="G931" s="12" t="s">
        <v>615</v>
      </c>
      <c r="H931" s="12" t="s">
        <v>6613</v>
      </c>
      <c r="I931" s="12">
        <v>0</v>
      </c>
      <c r="J931" s="12" t="s">
        <v>164</v>
      </c>
      <c r="K931" s="12" t="s">
        <v>6646</v>
      </c>
      <c r="L931" s="12" t="s">
        <v>617</v>
      </c>
      <c r="M931" s="12" t="s">
        <v>617</v>
      </c>
      <c r="N931" s="12" t="s">
        <v>5785</v>
      </c>
      <c r="O931" s="12" t="s">
        <v>624</v>
      </c>
      <c r="P931" s="12" t="s">
        <v>618</v>
      </c>
      <c r="Q931" s="12" t="s">
        <v>6664</v>
      </c>
      <c r="R931" s="16" t="s">
        <v>17</v>
      </c>
      <c r="S931" s="16" t="s">
        <v>17</v>
      </c>
      <c r="T931" s="12" t="s">
        <v>25</v>
      </c>
      <c r="U931" s="12" t="s">
        <v>17</v>
      </c>
      <c r="V931" s="12" t="s">
        <v>6639</v>
      </c>
      <c r="W931" s="12" t="s">
        <v>6639</v>
      </c>
      <c r="X931" s="12" t="s">
        <v>17</v>
      </c>
      <c r="Y931" s="12">
        <v>1130220</v>
      </c>
      <c r="Z931" s="12" t="s">
        <v>6613</v>
      </c>
      <c r="AA931" s="12" t="s">
        <v>6613</v>
      </c>
      <c r="AB931" s="12" t="s">
        <v>6613</v>
      </c>
      <c r="AC931" s="12" t="s">
        <v>6613</v>
      </c>
      <c r="AD931" s="12" t="s">
        <v>6613</v>
      </c>
      <c r="AE931" s="12" t="s">
        <v>6613</v>
      </c>
      <c r="AF931" s="12" t="s">
        <v>45</v>
      </c>
    </row>
    <row r="932" spans="1:32" x14ac:dyDescent="0.2">
      <c r="A932" s="12" t="s">
        <v>686</v>
      </c>
      <c r="B932" s="12" t="s">
        <v>687</v>
      </c>
      <c r="C932" s="12" t="s">
        <v>17</v>
      </c>
      <c r="D932" s="12" t="s">
        <v>17</v>
      </c>
      <c r="E932" s="12" t="s">
        <v>7678</v>
      </c>
      <c r="F932" s="12" t="s">
        <v>5458</v>
      </c>
      <c r="G932" s="12" t="s">
        <v>615</v>
      </c>
      <c r="H932" s="12" t="s">
        <v>6613</v>
      </c>
      <c r="I932" s="12">
        <v>0</v>
      </c>
      <c r="J932" s="12" t="s">
        <v>164</v>
      </c>
      <c r="K932" s="12" t="s">
        <v>6646</v>
      </c>
      <c r="L932" s="12" t="s">
        <v>617</v>
      </c>
      <c r="M932" s="12" t="s">
        <v>617</v>
      </c>
      <c r="N932" s="12" t="s">
        <v>5785</v>
      </c>
      <c r="O932" s="12" t="s">
        <v>624</v>
      </c>
      <c r="P932" s="12" t="s">
        <v>618</v>
      </c>
      <c r="Q932" s="12" t="s">
        <v>6664</v>
      </c>
      <c r="R932" s="12" t="s">
        <v>17</v>
      </c>
      <c r="S932" s="12" t="s">
        <v>17</v>
      </c>
      <c r="T932" s="12" t="s">
        <v>25</v>
      </c>
      <c r="U932" s="12" t="s">
        <v>17</v>
      </c>
      <c r="V932" s="12" t="s">
        <v>6639</v>
      </c>
      <c r="W932" s="12" t="s">
        <v>6639</v>
      </c>
      <c r="X932" s="12" t="s">
        <v>17</v>
      </c>
      <c r="Y932" s="12">
        <v>1130399</v>
      </c>
      <c r="Z932" s="12" t="s">
        <v>6613</v>
      </c>
      <c r="AA932" s="12" t="s">
        <v>6613</v>
      </c>
      <c r="AB932" s="12" t="s">
        <v>6613</v>
      </c>
      <c r="AC932" s="12" t="s">
        <v>6613</v>
      </c>
      <c r="AD932" s="12" t="s">
        <v>6613</v>
      </c>
      <c r="AE932" s="12" t="s">
        <v>6613</v>
      </c>
      <c r="AF932" s="12" t="s">
        <v>45</v>
      </c>
    </row>
    <row r="933" spans="1:32" x14ac:dyDescent="0.2">
      <c r="A933" s="12" t="s">
        <v>776</v>
      </c>
      <c r="B933" s="12" t="s">
        <v>777</v>
      </c>
      <c r="C933" s="12" t="s">
        <v>17</v>
      </c>
      <c r="D933" s="12" t="s">
        <v>17</v>
      </c>
      <c r="E933" s="12" t="s">
        <v>7678</v>
      </c>
      <c r="F933" s="12" t="s">
        <v>5458</v>
      </c>
      <c r="G933" s="12" t="s">
        <v>615</v>
      </c>
      <c r="H933" s="12" t="s">
        <v>6613</v>
      </c>
      <c r="I933" s="12">
        <v>0</v>
      </c>
      <c r="J933" s="12" t="s">
        <v>164</v>
      </c>
      <c r="K933" s="12" t="s">
        <v>6646</v>
      </c>
      <c r="L933" s="12" t="s">
        <v>617</v>
      </c>
      <c r="M933" s="12" t="s">
        <v>617</v>
      </c>
      <c r="N933" s="12" t="s">
        <v>5785</v>
      </c>
      <c r="O933" s="12" t="s">
        <v>624</v>
      </c>
      <c r="P933" s="12" t="s">
        <v>618</v>
      </c>
      <c r="Q933" s="12" t="s">
        <v>6664</v>
      </c>
      <c r="R933" s="12" t="s">
        <v>17</v>
      </c>
      <c r="S933" s="12" t="s">
        <v>17</v>
      </c>
      <c r="T933" s="12" t="s">
        <v>25</v>
      </c>
      <c r="U933" s="12" t="s">
        <v>17</v>
      </c>
      <c r="V933" s="12" t="s">
        <v>6639</v>
      </c>
      <c r="W933" s="12" t="s">
        <v>6639</v>
      </c>
      <c r="X933" s="12" t="s">
        <v>17</v>
      </c>
      <c r="Y933" s="12">
        <v>1132292</v>
      </c>
      <c r="Z933" s="12" t="s">
        <v>6613</v>
      </c>
      <c r="AA933" s="12" t="s">
        <v>6613</v>
      </c>
      <c r="AB933" s="12" t="s">
        <v>6613</v>
      </c>
      <c r="AC933" s="12" t="s">
        <v>6613</v>
      </c>
      <c r="AD933" s="12" t="s">
        <v>6613</v>
      </c>
      <c r="AE933" s="12" t="s">
        <v>6613</v>
      </c>
      <c r="AF933" s="12" t="s">
        <v>45</v>
      </c>
    </row>
    <row r="934" spans="1:32" x14ac:dyDescent="0.2">
      <c r="A934" s="12" t="s">
        <v>729</v>
      </c>
      <c r="B934" s="12" t="s">
        <v>730</v>
      </c>
      <c r="C934" s="12" t="s">
        <v>17</v>
      </c>
      <c r="D934" s="12" t="s">
        <v>17</v>
      </c>
      <c r="E934" s="12" t="s">
        <v>7678</v>
      </c>
      <c r="F934" s="12" t="s">
        <v>5458</v>
      </c>
      <c r="G934" s="12" t="s">
        <v>615</v>
      </c>
      <c r="H934" s="12" t="s">
        <v>6613</v>
      </c>
      <c r="I934" s="12">
        <v>0</v>
      </c>
      <c r="J934" s="12" t="s">
        <v>164</v>
      </c>
      <c r="K934" s="12" t="s">
        <v>6646</v>
      </c>
      <c r="L934" s="12" t="s">
        <v>617</v>
      </c>
      <c r="M934" s="12" t="s">
        <v>617</v>
      </c>
      <c r="N934" s="12" t="s">
        <v>5785</v>
      </c>
      <c r="O934" s="12" t="s">
        <v>624</v>
      </c>
      <c r="P934" s="12" t="s">
        <v>618</v>
      </c>
      <c r="Q934" s="12" t="s">
        <v>6664</v>
      </c>
      <c r="R934" s="12" t="s">
        <v>17</v>
      </c>
      <c r="S934" s="12" t="s">
        <v>17</v>
      </c>
      <c r="T934" s="12" t="s">
        <v>25</v>
      </c>
      <c r="U934" s="12" t="s">
        <v>17</v>
      </c>
      <c r="V934" s="12" t="s">
        <v>6639</v>
      </c>
      <c r="W934" s="12" t="s">
        <v>6639</v>
      </c>
      <c r="X934" s="12" t="s">
        <v>17</v>
      </c>
      <c r="Y934" s="12">
        <v>1135699</v>
      </c>
      <c r="Z934" s="12" t="s">
        <v>6613</v>
      </c>
      <c r="AA934" s="12" t="s">
        <v>6613</v>
      </c>
      <c r="AB934" s="12" t="s">
        <v>6613</v>
      </c>
      <c r="AC934" s="12" t="s">
        <v>6613</v>
      </c>
      <c r="AD934" s="12" t="s">
        <v>6613</v>
      </c>
      <c r="AE934" s="12" t="s">
        <v>6613</v>
      </c>
      <c r="AF934" s="12" t="s">
        <v>45</v>
      </c>
    </row>
    <row r="935" spans="1:32" x14ac:dyDescent="0.2">
      <c r="A935" s="12" t="s">
        <v>715</v>
      </c>
      <c r="B935" s="12" t="s">
        <v>716</v>
      </c>
      <c r="C935" s="12" t="s">
        <v>17</v>
      </c>
      <c r="D935" s="12" t="s">
        <v>17</v>
      </c>
      <c r="E935" s="12" t="s">
        <v>7678</v>
      </c>
      <c r="F935" s="12" t="s">
        <v>5458</v>
      </c>
      <c r="G935" s="12" t="s">
        <v>615</v>
      </c>
      <c r="H935" s="12" t="s">
        <v>6613</v>
      </c>
      <c r="I935" s="12">
        <v>0</v>
      </c>
      <c r="J935" s="12" t="s">
        <v>164</v>
      </c>
      <c r="K935" s="12" t="s">
        <v>6646</v>
      </c>
      <c r="L935" s="12" t="s">
        <v>617</v>
      </c>
      <c r="M935" s="12" t="s">
        <v>617</v>
      </c>
      <c r="N935" s="12" t="s">
        <v>5785</v>
      </c>
      <c r="O935" s="12" t="s">
        <v>624</v>
      </c>
      <c r="P935" s="12" t="s">
        <v>618</v>
      </c>
      <c r="Q935" s="12" t="s">
        <v>6664</v>
      </c>
      <c r="R935" s="12" t="s">
        <v>17</v>
      </c>
      <c r="S935" s="12" t="s">
        <v>17</v>
      </c>
      <c r="T935" s="12" t="s">
        <v>25</v>
      </c>
      <c r="U935" s="12" t="s">
        <v>17</v>
      </c>
      <c r="V935" s="12" t="s">
        <v>6639</v>
      </c>
      <c r="W935" s="12" t="s">
        <v>6639</v>
      </c>
      <c r="X935" s="12" t="s">
        <v>17</v>
      </c>
      <c r="Y935" s="12">
        <v>1138191</v>
      </c>
      <c r="Z935" s="12" t="s">
        <v>6613</v>
      </c>
      <c r="AA935" s="12" t="s">
        <v>6613</v>
      </c>
      <c r="AB935" s="12" t="s">
        <v>6613</v>
      </c>
      <c r="AC935" s="12" t="s">
        <v>6613</v>
      </c>
      <c r="AD935" s="12" t="s">
        <v>6613</v>
      </c>
      <c r="AE935" s="12" t="s">
        <v>6613</v>
      </c>
      <c r="AF935" s="12" t="s">
        <v>45</v>
      </c>
    </row>
    <row r="936" spans="1:32" x14ac:dyDescent="0.2">
      <c r="A936" s="12" t="s">
        <v>690</v>
      </c>
      <c r="B936" s="12" t="s">
        <v>691</v>
      </c>
      <c r="C936" s="12" t="s">
        <v>17</v>
      </c>
      <c r="D936" s="12" t="s">
        <v>17</v>
      </c>
      <c r="E936" s="12" t="s">
        <v>7678</v>
      </c>
      <c r="F936" s="12" t="s">
        <v>5458</v>
      </c>
      <c r="G936" s="12" t="s">
        <v>615</v>
      </c>
      <c r="H936" s="12" t="s">
        <v>6613</v>
      </c>
      <c r="I936" s="12">
        <v>0</v>
      </c>
      <c r="J936" s="12" t="s">
        <v>164</v>
      </c>
      <c r="K936" s="12" t="s">
        <v>6646</v>
      </c>
      <c r="L936" s="12" t="s">
        <v>617</v>
      </c>
      <c r="M936" s="12" t="s">
        <v>617</v>
      </c>
      <c r="N936" s="12" t="s">
        <v>5785</v>
      </c>
      <c r="O936" s="12" t="s">
        <v>624</v>
      </c>
      <c r="P936" s="12" t="s">
        <v>618</v>
      </c>
      <c r="Q936" s="12" t="s">
        <v>6664</v>
      </c>
      <c r="R936" s="12" t="s">
        <v>17</v>
      </c>
      <c r="S936" s="12" t="s">
        <v>17</v>
      </c>
      <c r="T936" s="12" t="s">
        <v>25</v>
      </c>
      <c r="U936" s="12" t="s">
        <v>17</v>
      </c>
      <c r="V936" s="12" t="s">
        <v>6639</v>
      </c>
      <c r="W936" s="12" t="s">
        <v>6639</v>
      </c>
      <c r="X936" s="12" t="s">
        <v>17</v>
      </c>
      <c r="Y936" s="12">
        <v>1138287</v>
      </c>
      <c r="Z936" s="12" t="s">
        <v>6613</v>
      </c>
      <c r="AA936" s="12" t="s">
        <v>6613</v>
      </c>
      <c r="AB936" s="12" t="s">
        <v>6613</v>
      </c>
      <c r="AC936" s="12" t="s">
        <v>6613</v>
      </c>
      <c r="AD936" s="12" t="s">
        <v>6613</v>
      </c>
      <c r="AE936" s="12" t="s">
        <v>6613</v>
      </c>
      <c r="AF936" s="12" t="s">
        <v>45</v>
      </c>
    </row>
    <row r="937" spans="1:32" x14ac:dyDescent="0.2">
      <c r="A937" s="12" t="s">
        <v>654</v>
      </c>
      <c r="B937" s="12" t="s">
        <v>655</v>
      </c>
      <c r="C937" s="12" t="s">
        <v>17</v>
      </c>
      <c r="D937" s="12" t="s">
        <v>17</v>
      </c>
      <c r="E937" s="12" t="s">
        <v>7678</v>
      </c>
      <c r="F937" s="12" t="s">
        <v>5458</v>
      </c>
      <c r="G937" s="12" t="s">
        <v>615</v>
      </c>
      <c r="H937" s="12" t="s">
        <v>6613</v>
      </c>
      <c r="I937" s="12">
        <v>0</v>
      </c>
      <c r="J937" s="12" t="s">
        <v>164</v>
      </c>
      <c r="K937" s="12" t="s">
        <v>6646</v>
      </c>
      <c r="L937" s="12" t="s">
        <v>617</v>
      </c>
      <c r="M937" s="12" t="s">
        <v>617</v>
      </c>
      <c r="N937" s="12" t="s">
        <v>5785</v>
      </c>
      <c r="O937" s="12" t="s">
        <v>624</v>
      </c>
      <c r="P937" s="12" t="s">
        <v>618</v>
      </c>
      <c r="Q937" s="12" t="s">
        <v>6664</v>
      </c>
      <c r="R937" s="12" t="s">
        <v>17</v>
      </c>
      <c r="S937" s="12" t="s">
        <v>17</v>
      </c>
      <c r="T937" s="12" t="s">
        <v>25</v>
      </c>
      <c r="U937" s="12" t="s">
        <v>17</v>
      </c>
      <c r="V937" s="12" t="s">
        <v>6639</v>
      </c>
      <c r="W937" s="12" t="s">
        <v>6639</v>
      </c>
      <c r="X937" s="12" t="s">
        <v>17</v>
      </c>
      <c r="Y937" s="12">
        <v>1138570</v>
      </c>
      <c r="Z937" s="12" t="s">
        <v>6613</v>
      </c>
      <c r="AA937" s="12" t="s">
        <v>6613</v>
      </c>
      <c r="AB937" s="12" t="s">
        <v>6613</v>
      </c>
      <c r="AC937" s="12" t="s">
        <v>6613</v>
      </c>
      <c r="AD937" s="12" t="s">
        <v>6613</v>
      </c>
      <c r="AE937" s="12" t="s">
        <v>6613</v>
      </c>
      <c r="AF937" s="12" t="s">
        <v>45</v>
      </c>
    </row>
    <row r="938" spans="1:32" x14ac:dyDescent="0.2">
      <c r="A938" s="12" t="s">
        <v>632</v>
      </c>
      <c r="B938" s="12" t="s">
        <v>633</v>
      </c>
      <c r="C938" s="12" t="s">
        <v>17</v>
      </c>
      <c r="D938" s="12" t="s">
        <v>17</v>
      </c>
      <c r="E938" s="12" t="s">
        <v>7678</v>
      </c>
      <c r="F938" s="12" t="s">
        <v>5458</v>
      </c>
      <c r="G938" s="12" t="s">
        <v>615</v>
      </c>
      <c r="H938" s="12" t="s">
        <v>6613</v>
      </c>
      <c r="I938" s="12">
        <v>0</v>
      </c>
      <c r="J938" s="12" t="s">
        <v>164</v>
      </c>
      <c r="K938" s="12" t="s">
        <v>6646</v>
      </c>
      <c r="L938" s="12" t="s">
        <v>617</v>
      </c>
      <c r="M938" s="12" t="s">
        <v>617</v>
      </c>
      <c r="N938" s="12" t="s">
        <v>5785</v>
      </c>
      <c r="O938" s="12" t="s">
        <v>624</v>
      </c>
      <c r="P938" s="12" t="s">
        <v>618</v>
      </c>
      <c r="Q938" s="12" t="s">
        <v>6664</v>
      </c>
      <c r="R938" s="12" t="s">
        <v>17</v>
      </c>
      <c r="S938" s="12" t="s">
        <v>17</v>
      </c>
      <c r="T938" s="12" t="s">
        <v>25</v>
      </c>
      <c r="U938" s="12" t="s">
        <v>17</v>
      </c>
      <c r="V938" s="12" t="s">
        <v>6639</v>
      </c>
      <c r="W938" s="12" t="s">
        <v>6639</v>
      </c>
      <c r="X938" s="12" t="s">
        <v>17</v>
      </c>
      <c r="Y938" s="12">
        <v>1138807</v>
      </c>
      <c r="Z938" s="12" t="s">
        <v>6613</v>
      </c>
      <c r="AA938" s="12" t="s">
        <v>6613</v>
      </c>
      <c r="AB938" s="12" t="s">
        <v>6613</v>
      </c>
      <c r="AC938" s="12" t="s">
        <v>6613</v>
      </c>
      <c r="AD938" s="12" t="s">
        <v>6613</v>
      </c>
      <c r="AE938" s="12" t="s">
        <v>6613</v>
      </c>
      <c r="AF938" s="12" t="s">
        <v>45</v>
      </c>
    </row>
    <row r="939" spans="1:32" x14ac:dyDescent="0.2">
      <c r="A939" s="12" t="s">
        <v>781</v>
      </c>
      <c r="B939" s="12" t="s">
        <v>782</v>
      </c>
      <c r="C939" s="12" t="s">
        <v>17</v>
      </c>
      <c r="D939" s="12" t="s">
        <v>17</v>
      </c>
      <c r="E939" s="12" t="s">
        <v>7678</v>
      </c>
      <c r="F939" s="12" t="s">
        <v>5458</v>
      </c>
      <c r="G939" s="12" t="s">
        <v>615</v>
      </c>
      <c r="H939" s="12" t="s">
        <v>6613</v>
      </c>
      <c r="I939" s="12">
        <v>0</v>
      </c>
      <c r="J939" s="12" t="s">
        <v>164</v>
      </c>
      <c r="K939" s="12" t="s">
        <v>6646</v>
      </c>
      <c r="L939" s="12" t="s">
        <v>617</v>
      </c>
      <c r="M939" s="12" t="s">
        <v>617</v>
      </c>
      <c r="N939" s="12" t="s">
        <v>5785</v>
      </c>
      <c r="O939" s="12" t="s">
        <v>624</v>
      </c>
      <c r="P939" s="12" t="s">
        <v>618</v>
      </c>
      <c r="Q939" s="12" t="s">
        <v>6664</v>
      </c>
      <c r="R939" s="12" t="s">
        <v>17</v>
      </c>
      <c r="S939" s="12" t="s">
        <v>17</v>
      </c>
      <c r="T939" s="12" t="s">
        <v>25</v>
      </c>
      <c r="U939" s="12" t="s">
        <v>17</v>
      </c>
      <c r="V939" s="12" t="s">
        <v>6639</v>
      </c>
      <c r="W939" s="12" t="s">
        <v>6639</v>
      </c>
      <c r="X939" s="12" t="s">
        <v>17</v>
      </c>
      <c r="Y939" s="12">
        <v>1138906</v>
      </c>
      <c r="Z939" s="12" t="s">
        <v>6613</v>
      </c>
      <c r="AA939" s="12" t="s">
        <v>6613</v>
      </c>
      <c r="AB939" s="12" t="s">
        <v>6613</v>
      </c>
      <c r="AC939" s="12" t="s">
        <v>6613</v>
      </c>
      <c r="AD939" s="12" t="s">
        <v>6613</v>
      </c>
      <c r="AE939" s="12" t="s">
        <v>6613</v>
      </c>
      <c r="AF939" s="12" t="s">
        <v>45</v>
      </c>
    </row>
    <row r="940" spans="1:32" x14ac:dyDescent="0.2">
      <c r="A940" s="12" t="s">
        <v>744</v>
      </c>
      <c r="B940" s="12" t="s">
        <v>745</v>
      </c>
      <c r="C940" s="12" t="s">
        <v>17</v>
      </c>
      <c r="D940" s="12" t="s">
        <v>17</v>
      </c>
      <c r="E940" s="12" t="s">
        <v>7678</v>
      </c>
      <c r="F940" s="12" t="s">
        <v>5458</v>
      </c>
      <c r="G940" s="12" t="s">
        <v>615</v>
      </c>
      <c r="H940" s="12" t="s">
        <v>6613</v>
      </c>
      <c r="I940" s="12">
        <v>0</v>
      </c>
      <c r="J940" s="12" t="s">
        <v>164</v>
      </c>
      <c r="K940" s="12" t="s">
        <v>6646</v>
      </c>
      <c r="L940" s="12" t="s">
        <v>617</v>
      </c>
      <c r="M940" s="12" t="s">
        <v>617</v>
      </c>
      <c r="N940" s="12" t="s">
        <v>5785</v>
      </c>
      <c r="O940" s="12" t="s">
        <v>624</v>
      </c>
      <c r="P940" s="12" t="s">
        <v>618</v>
      </c>
      <c r="Q940" s="12" t="s">
        <v>6664</v>
      </c>
      <c r="R940" s="12" t="s">
        <v>17</v>
      </c>
      <c r="S940" s="12" t="s">
        <v>17</v>
      </c>
      <c r="T940" s="12" t="s">
        <v>25</v>
      </c>
      <c r="U940" s="12" t="s">
        <v>17</v>
      </c>
      <c r="V940" s="12" t="s">
        <v>6639</v>
      </c>
      <c r="W940" s="12" t="s">
        <v>6639</v>
      </c>
      <c r="X940" s="12" t="s">
        <v>17</v>
      </c>
      <c r="Y940" s="12">
        <v>1139582</v>
      </c>
      <c r="Z940" s="12" t="s">
        <v>6613</v>
      </c>
      <c r="AA940" s="12" t="s">
        <v>6613</v>
      </c>
      <c r="AB940" s="12" t="s">
        <v>6613</v>
      </c>
      <c r="AC940" s="12" t="s">
        <v>6613</v>
      </c>
      <c r="AD940" s="12" t="s">
        <v>6613</v>
      </c>
      <c r="AE940" s="12" t="s">
        <v>6613</v>
      </c>
      <c r="AF940" s="12" t="s">
        <v>45</v>
      </c>
    </row>
    <row r="941" spans="1:32" x14ac:dyDescent="0.2">
      <c r="A941" s="12" t="s">
        <v>673</v>
      </c>
      <c r="B941" s="12" t="s">
        <v>674</v>
      </c>
      <c r="C941" s="12" t="s">
        <v>17</v>
      </c>
      <c r="D941" s="12" t="s">
        <v>17</v>
      </c>
      <c r="E941" s="12" t="s">
        <v>7678</v>
      </c>
      <c r="F941" s="12" t="s">
        <v>5458</v>
      </c>
      <c r="G941" s="12" t="s">
        <v>615</v>
      </c>
      <c r="H941" s="12" t="s">
        <v>6613</v>
      </c>
      <c r="I941" s="12">
        <v>0</v>
      </c>
      <c r="J941" s="12" t="s">
        <v>164</v>
      </c>
      <c r="K941" s="12" t="s">
        <v>6646</v>
      </c>
      <c r="L941" s="12" t="s">
        <v>617</v>
      </c>
      <c r="M941" s="12" t="s">
        <v>617</v>
      </c>
      <c r="N941" s="12" t="s">
        <v>5785</v>
      </c>
      <c r="O941" s="12" t="s">
        <v>624</v>
      </c>
      <c r="P941" s="12" t="s">
        <v>618</v>
      </c>
      <c r="Q941" s="12" t="s">
        <v>6664</v>
      </c>
      <c r="R941" s="12" t="s">
        <v>17</v>
      </c>
      <c r="S941" s="12" t="s">
        <v>17</v>
      </c>
      <c r="T941" s="12" t="s">
        <v>25</v>
      </c>
      <c r="U941" s="12" t="s">
        <v>17</v>
      </c>
      <c r="V941" s="12" t="s">
        <v>6639</v>
      </c>
      <c r="W941" s="12" t="s">
        <v>6639</v>
      </c>
      <c r="X941" s="12" t="s">
        <v>17</v>
      </c>
      <c r="Y941" s="12">
        <v>1139918</v>
      </c>
      <c r="Z941" s="12" t="s">
        <v>6613</v>
      </c>
      <c r="AA941" s="12" t="s">
        <v>6613</v>
      </c>
      <c r="AB941" s="12" t="s">
        <v>6613</v>
      </c>
      <c r="AC941" s="12" t="s">
        <v>6613</v>
      </c>
      <c r="AD941" s="12" t="s">
        <v>6613</v>
      </c>
      <c r="AE941" s="12" t="s">
        <v>6613</v>
      </c>
      <c r="AF941" s="12" t="s">
        <v>45</v>
      </c>
    </row>
    <row r="942" spans="1:32" x14ac:dyDescent="0.2">
      <c r="A942" s="12" t="s">
        <v>646</v>
      </c>
      <c r="B942" s="12" t="s">
        <v>647</v>
      </c>
      <c r="C942" s="12" t="s">
        <v>17</v>
      </c>
      <c r="D942" s="12" t="s">
        <v>17</v>
      </c>
      <c r="E942" s="12" t="s">
        <v>7678</v>
      </c>
      <c r="F942" s="12" t="s">
        <v>5458</v>
      </c>
      <c r="G942" s="12" t="s">
        <v>615</v>
      </c>
      <c r="H942" s="12" t="s">
        <v>6613</v>
      </c>
      <c r="I942" s="12">
        <v>0</v>
      </c>
      <c r="J942" s="12" t="s">
        <v>164</v>
      </c>
      <c r="K942" s="12" t="s">
        <v>6646</v>
      </c>
      <c r="L942" s="12" t="s">
        <v>617</v>
      </c>
      <c r="M942" s="12" t="s">
        <v>617</v>
      </c>
      <c r="N942" s="12" t="s">
        <v>5785</v>
      </c>
      <c r="O942" s="12" t="s">
        <v>624</v>
      </c>
      <c r="P942" s="12" t="s">
        <v>618</v>
      </c>
      <c r="Q942" s="12" t="s">
        <v>6664</v>
      </c>
      <c r="R942" s="12" t="s">
        <v>17</v>
      </c>
      <c r="S942" s="12" t="s">
        <v>17</v>
      </c>
      <c r="T942" s="12" t="s">
        <v>25</v>
      </c>
      <c r="U942" s="12" t="s">
        <v>17</v>
      </c>
      <c r="V942" s="12" t="s">
        <v>6639</v>
      </c>
      <c r="W942" s="12" t="s">
        <v>6639</v>
      </c>
      <c r="X942" s="12" t="s">
        <v>17</v>
      </c>
      <c r="Y942" s="12">
        <v>1140019</v>
      </c>
      <c r="Z942" s="12" t="s">
        <v>6613</v>
      </c>
      <c r="AA942" s="12" t="s">
        <v>6613</v>
      </c>
      <c r="AB942" s="12" t="s">
        <v>6613</v>
      </c>
      <c r="AC942" s="12" t="s">
        <v>6613</v>
      </c>
      <c r="AD942" s="12" t="s">
        <v>6613</v>
      </c>
      <c r="AE942" s="12" t="s">
        <v>6613</v>
      </c>
      <c r="AF942" s="12" t="s">
        <v>45</v>
      </c>
    </row>
    <row r="943" spans="1:32" x14ac:dyDescent="0.2">
      <c r="A943" s="12" t="s">
        <v>808</v>
      </c>
      <c r="B943" s="12" t="s">
        <v>809</v>
      </c>
      <c r="C943" s="12" t="s">
        <v>17</v>
      </c>
      <c r="D943" s="12" t="s">
        <v>17</v>
      </c>
      <c r="E943" s="12" t="s">
        <v>7678</v>
      </c>
      <c r="F943" s="12" t="s">
        <v>5458</v>
      </c>
      <c r="G943" s="12" t="s">
        <v>615</v>
      </c>
      <c r="H943" s="12" t="s">
        <v>6613</v>
      </c>
      <c r="I943" s="12">
        <v>0</v>
      </c>
      <c r="J943" s="12" t="s">
        <v>164</v>
      </c>
      <c r="K943" s="12" t="s">
        <v>6646</v>
      </c>
      <c r="L943" s="12" t="s">
        <v>617</v>
      </c>
      <c r="M943" s="12" t="s">
        <v>617</v>
      </c>
      <c r="N943" s="12" t="s">
        <v>5785</v>
      </c>
      <c r="O943" s="12" t="s">
        <v>624</v>
      </c>
      <c r="P943" s="12" t="s">
        <v>618</v>
      </c>
      <c r="Q943" s="12" t="s">
        <v>6664</v>
      </c>
      <c r="R943" s="12" t="s">
        <v>17</v>
      </c>
      <c r="S943" s="12" t="s">
        <v>17</v>
      </c>
      <c r="T943" s="12" t="s">
        <v>25</v>
      </c>
      <c r="U943" s="12" t="s">
        <v>17</v>
      </c>
      <c r="V943" s="12" t="s">
        <v>6639</v>
      </c>
      <c r="W943" s="12" t="s">
        <v>6639</v>
      </c>
      <c r="X943" s="12" t="s">
        <v>17</v>
      </c>
      <c r="Y943" s="12">
        <v>1140051</v>
      </c>
      <c r="Z943" s="12" t="s">
        <v>6613</v>
      </c>
      <c r="AA943" s="12" t="s">
        <v>6613</v>
      </c>
      <c r="AB943" s="12" t="s">
        <v>6613</v>
      </c>
      <c r="AC943" s="12" t="s">
        <v>6613</v>
      </c>
      <c r="AD943" s="12" t="s">
        <v>6613</v>
      </c>
      <c r="AE943" s="12" t="s">
        <v>6613</v>
      </c>
      <c r="AF943" s="12" t="s">
        <v>45</v>
      </c>
    </row>
    <row r="944" spans="1:32" x14ac:dyDescent="0.2">
      <c r="A944" s="12" t="s">
        <v>746</v>
      </c>
      <c r="B944" s="12" t="s">
        <v>747</v>
      </c>
      <c r="C944" s="12" t="s">
        <v>17</v>
      </c>
      <c r="D944" s="12" t="s">
        <v>17</v>
      </c>
      <c r="E944" s="12" t="s">
        <v>7678</v>
      </c>
      <c r="F944" s="12" t="s">
        <v>5458</v>
      </c>
      <c r="G944" s="12" t="s">
        <v>615</v>
      </c>
      <c r="H944" s="12" t="s">
        <v>6613</v>
      </c>
      <c r="I944" s="12">
        <v>0</v>
      </c>
      <c r="J944" s="12" t="s">
        <v>164</v>
      </c>
      <c r="K944" s="12" t="s">
        <v>6646</v>
      </c>
      <c r="L944" s="12" t="s">
        <v>617</v>
      </c>
      <c r="M944" s="12" t="s">
        <v>617</v>
      </c>
      <c r="N944" s="12" t="s">
        <v>5785</v>
      </c>
      <c r="O944" s="12" t="s">
        <v>624</v>
      </c>
      <c r="P944" s="12" t="s">
        <v>618</v>
      </c>
      <c r="Q944" s="12" t="s">
        <v>6664</v>
      </c>
      <c r="R944" s="12" t="s">
        <v>17</v>
      </c>
      <c r="S944" s="12" t="s">
        <v>17</v>
      </c>
      <c r="T944" s="12" t="s">
        <v>25</v>
      </c>
      <c r="U944" s="12" t="s">
        <v>17</v>
      </c>
      <c r="V944" s="12" t="s">
        <v>6639</v>
      </c>
      <c r="W944" s="12" t="s">
        <v>6639</v>
      </c>
      <c r="X944" s="12" t="s">
        <v>17</v>
      </c>
      <c r="Y944" s="12">
        <v>1140090</v>
      </c>
      <c r="Z944" s="12" t="s">
        <v>6613</v>
      </c>
      <c r="AA944" s="12" t="s">
        <v>6613</v>
      </c>
      <c r="AB944" s="12" t="s">
        <v>6613</v>
      </c>
      <c r="AC944" s="12" t="s">
        <v>6613</v>
      </c>
      <c r="AD944" s="12" t="s">
        <v>6613</v>
      </c>
      <c r="AE944" s="12" t="s">
        <v>6613</v>
      </c>
      <c r="AF944" s="12" t="s">
        <v>45</v>
      </c>
    </row>
    <row r="945" spans="1:32" x14ac:dyDescent="0.2">
      <c r="A945" s="12" t="s">
        <v>740</v>
      </c>
      <c r="B945" s="12" t="s">
        <v>741</v>
      </c>
      <c r="C945" s="12" t="s">
        <v>17</v>
      </c>
      <c r="D945" s="12" t="s">
        <v>17</v>
      </c>
      <c r="E945" s="12" t="s">
        <v>7678</v>
      </c>
      <c r="F945" s="12" t="s">
        <v>5458</v>
      </c>
      <c r="G945" s="12" t="s">
        <v>615</v>
      </c>
      <c r="H945" s="12" t="s">
        <v>6613</v>
      </c>
      <c r="I945" s="12">
        <v>0</v>
      </c>
      <c r="J945" s="12" t="s">
        <v>164</v>
      </c>
      <c r="K945" s="12" t="s">
        <v>6646</v>
      </c>
      <c r="L945" s="12" t="s">
        <v>617</v>
      </c>
      <c r="M945" s="12" t="s">
        <v>617</v>
      </c>
      <c r="N945" s="12" t="s">
        <v>5785</v>
      </c>
      <c r="O945" s="12" t="s">
        <v>624</v>
      </c>
      <c r="P945" s="12" t="s">
        <v>618</v>
      </c>
      <c r="Q945" s="12" t="s">
        <v>6664</v>
      </c>
      <c r="R945" s="12" t="s">
        <v>17</v>
      </c>
      <c r="S945" s="12" t="s">
        <v>17</v>
      </c>
      <c r="T945" s="12" t="s">
        <v>25</v>
      </c>
      <c r="U945" s="12" t="s">
        <v>17</v>
      </c>
      <c r="V945" s="12" t="s">
        <v>6639</v>
      </c>
      <c r="W945" s="12" t="s">
        <v>6639</v>
      </c>
      <c r="X945" s="12" t="s">
        <v>17</v>
      </c>
      <c r="Y945" s="12">
        <v>1140767</v>
      </c>
      <c r="Z945" s="12" t="s">
        <v>6613</v>
      </c>
      <c r="AA945" s="12" t="s">
        <v>6613</v>
      </c>
      <c r="AB945" s="12" t="s">
        <v>6613</v>
      </c>
      <c r="AC945" s="12" t="s">
        <v>6613</v>
      </c>
      <c r="AD945" s="12" t="s">
        <v>6613</v>
      </c>
      <c r="AE945" s="12" t="s">
        <v>6613</v>
      </c>
      <c r="AF945" s="12" t="s">
        <v>45</v>
      </c>
    </row>
    <row r="946" spans="1:32" x14ac:dyDescent="0.2">
      <c r="A946" s="12" t="s">
        <v>742</v>
      </c>
      <c r="B946" s="12" t="s">
        <v>743</v>
      </c>
      <c r="C946" s="12" t="s">
        <v>17</v>
      </c>
      <c r="D946" s="12" t="s">
        <v>17</v>
      </c>
      <c r="E946" s="12" t="s">
        <v>7678</v>
      </c>
      <c r="F946" s="12" t="s">
        <v>5458</v>
      </c>
      <c r="G946" s="12" t="s">
        <v>615</v>
      </c>
      <c r="H946" s="12" t="s">
        <v>6613</v>
      </c>
      <c r="I946" s="12">
        <v>0</v>
      </c>
      <c r="J946" s="12" t="s">
        <v>164</v>
      </c>
      <c r="K946" s="12" t="s">
        <v>6646</v>
      </c>
      <c r="L946" s="12" t="s">
        <v>617</v>
      </c>
      <c r="M946" s="12" t="s">
        <v>617</v>
      </c>
      <c r="N946" s="12" t="s">
        <v>5785</v>
      </c>
      <c r="O946" s="12" t="s">
        <v>624</v>
      </c>
      <c r="P946" s="12" t="s">
        <v>618</v>
      </c>
      <c r="Q946" s="12" t="s">
        <v>6664</v>
      </c>
      <c r="R946" s="12" t="s">
        <v>17</v>
      </c>
      <c r="S946" s="12" t="s">
        <v>17</v>
      </c>
      <c r="T946" s="12" t="s">
        <v>25</v>
      </c>
      <c r="U946" s="12" t="s">
        <v>17</v>
      </c>
      <c r="V946" s="12" t="s">
        <v>6639</v>
      </c>
      <c r="W946" s="12" t="s">
        <v>6639</v>
      </c>
      <c r="X946" s="12" t="s">
        <v>17</v>
      </c>
      <c r="Y946" s="12">
        <v>1142361</v>
      </c>
      <c r="Z946" s="12" t="s">
        <v>6613</v>
      </c>
      <c r="AA946" s="12" t="s">
        <v>6613</v>
      </c>
      <c r="AB946" s="12" t="s">
        <v>6613</v>
      </c>
      <c r="AC946" s="12" t="s">
        <v>6613</v>
      </c>
      <c r="AD946" s="12" t="s">
        <v>6613</v>
      </c>
      <c r="AE946" s="12" t="s">
        <v>6613</v>
      </c>
      <c r="AF946" s="12" t="s">
        <v>45</v>
      </c>
    </row>
    <row r="947" spans="1:32" x14ac:dyDescent="0.2">
      <c r="A947" s="12" t="s">
        <v>748</v>
      </c>
      <c r="B947" s="12" t="s">
        <v>749</v>
      </c>
      <c r="C947" s="12" t="s">
        <v>17</v>
      </c>
      <c r="D947" s="12" t="s">
        <v>17</v>
      </c>
      <c r="E947" s="12" t="s">
        <v>7678</v>
      </c>
      <c r="F947" s="12" t="s">
        <v>5458</v>
      </c>
      <c r="G947" s="12" t="s">
        <v>615</v>
      </c>
      <c r="H947" s="12" t="s">
        <v>6613</v>
      </c>
      <c r="I947" s="12">
        <v>0</v>
      </c>
      <c r="J947" s="12" t="s">
        <v>164</v>
      </c>
      <c r="K947" s="12" t="s">
        <v>6646</v>
      </c>
      <c r="L947" s="12" t="s">
        <v>617</v>
      </c>
      <c r="M947" s="12" t="s">
        <v>617</v>
      </c>
      <c r="N947" s="12" t="s">
        <v>5785</v>
      </c>
      <c r="O947" s="12" t="s">
        <v>624</v>
      </c>
      <c r="P947" s="12" t="s">
        <v>618</v>
      </c>
      <c r="Q947" s="12" t="s">
        <v>6664</v>
      </c>
      <c r="R947" s="12" t="s">
        <v>17</v>
      </c>
      <c r="S947" s="12" t="s">
        <v>17</v>
      </c>
      <c r="T947" s="12" t="s">
        <v>25</v>
      </c>
      <c r="U947" s="12" t="s">
        <v>17</v>
      </c>
      <c r="V947" s="12" t="s">
        <v>6639</v>
      </c>
      <c r="W947" s="12" t="s">
        <v>6639</v>
      </c>
      <c r="X947" s="12" t="s">
        <v>17</v>
      </c>
      <c r="Y947" s="12">
        <v>1142703</v>
      </c>
      <c r="Z947" s="12" t="s">
        <v>6613</v>
      </c>
      <c r="AA947" s="12" t="s">
        <v>6613</v>
      </c>
      <c r="AB947" s="12" t="s">
        <v>6613</v>
      </c>
      <c r="AC947" s="12" t="s">
        <v>6613</v>
      </c>
      <c r="AD947" s="12" t="s">
        <v>6613</v>
      </c>
      <c r="AE947" s="12" t="s">
        <v>6613</v>
      </c>
      <c r="AF947" s="12" t="s">
        <v>45</v>
      </c>
    </row>
    <row r="948" spans="1:32" x14ac:dyDescent="0.2">
      <c r="A948" s="12" t="s">
        <v>737</v>
      </c>
      <c r="B948" s="12" t="s">
        <v>738</v>
      </c>
      <c r="C948" s="12" t="s">
        <v>17</v>
      </c>
      <c r="D948" s="12" t="s">
        <v>17</v>
      </c>
      <c r="E948" s="12" t="s">
        <v>7678</v>
      </c>
      <c r="F948" s="12" t="s">
        <v>5458</v>
      </c>
      <c r="G948" s="12" t="s">
        <v>615</v>
      </c>
      <c r="H948" s="12" t="s">
        <v>6613</v>
      </c>
      <c r="I948" s="12">
        <v>0</v>
      </c>
      <c r="J948" s="12" t="s">
        <v>164</v>
      </c>
      <c r="K948" s="12" t="s">
        <v>6646</v>
      </c>
      <c r="L948" s="12" t="s">
        <v>617</v>
      </c>
      <c r="M948" s="12" t="s">
        <v>617</v>
      </c>
      <c r="N948" s="12" t="s">
        <v>5785</v>
      </c>
      <c r="O948" s="12" t="s">
        <v>624</v>
      </c>
      <c r="P948" s="12" t="s">
        <v>618</v>
      </c>
      <c r="Q948" s="12" t="s">
        <v>6664</v>
      </c>
      <c r="R948" s="12" t="s">
        <v>17</v>
      </c>
      <c r="S948" s="12" t="s">
        <v>17</v>
      </c>
      <c r="T948" s="12" t="s">
        <v>11</v>
      </c>
      <c r="U948" s="12" t="s">
        <v>17</v>
      </c>
      <c r="V948" s="12" t="s">
        <v>739</v>
      </c>
      <c r="W948" s="12" t="s">
        <v>7415</v>
      </c>
      <c r="X948" s="12" t="s">
        <v>17</v>
      </c>
      <c r="Y948" s="12">
        <v>1143388</v>
      </c>
      <c r="Z948" s="12" t="s">
        <v>6613</v>
      </c>
      <c r="AA948" s="12" t="s">
        <v>6613</v>
      </c>
      <c r="AB948" s="12" t="s">
        <v>6613</v>
      </c>
      <c r="AC948" s="12" t="s">
        <v>6613</v>
      </c>
      <c r="AD948" s="12" t="s">
        <v>6613</v>
      </c>
      <c r="AE948" s="12" t="s">
        <v>6613</v>
      </c>
      <c r="AF948" s="12" t="s">
        <v>45</v>
      </c>
    </row>
    <row r="949" spans="1:32" x14ac:dyDescent="0.2">
      <c r="A949" s="12" t="s">
        <v>695</v>
      </c>
      <c r="B949" s="12" t="s">
        <v>696</v>
      </c>
      <c r="C949" s="12" t="s">
        <v>17</v>
      </c>
      <c r="D949" s="12" t="s">
        <v>17</v>
      </c>
      <c r="E949" s="12" t="s">
        <v>7678</v>
      </c>
      <c r="F949" s="12" t="s">
        <v>5458</v>
      </c>
      <c r="G949" s="12" t="s">
        <v>615</v>
      </c>
      <c r="H949" s="12" t="s">
        <v>6613</v>
      </c>
      <c r="I949" s="12">
        <v>0</v>
      </c>
      <c r="J949" s="12" t="s">
        <v>164</v>
      </c>
      <c r="K949" s="12" t="s">
        <v>6646</v>
      </c>
      <c r="L949" s="12" t="s">
        <v>617</v>
      </c>
      <c r="M949" s="12" t="s">
        <v>617</v>
      </c>
      <c r="N949" s="12" t="s">
        <v>5785</v>
      </c>
      <c r="O949" s="12" t="s">
        <v>624</v>
      </c>
      <c r="P949" s="12" t="s">
        <v>618</v>
      </c>
      <c r="Q949" s="12" t="s">
        <v>6664</v>
      </c>
      <c r="R949" s="12" t="s">
        <v>17</v>
      </c>
      <c r="S949" s="12" t="s">
        <v>17</v>
      </c>
      <c r="T949" s="12" t="s">
        <v>25</v>
      </c>
      <c r="U949" s="12" t="s">
        <v>17</v>
      </c>
      <c r="V949" s="12" t="s">
        <v>6639</v>
      </c>
      <c r="W949" s="12" t="s">
        <v>6639</v>
      </c>
      <c r="X949" s="12" t="s">
        <v>17</v>
      </c>
      <c r="Y949" s="12">
        <v>1143615</v>
      </c>
      <c r="Z949" s="12" t="s">
        <v>6613</v>
      </c>
      <c r="AA949" s="12" t="s">
        <v>6613</v>
      </c>
      <c r="AB949" s="12" t="s">
        <v>6613</v>
      </c>
      <c r="AC949" s="12" t="s">
        <v>6613</v>
      </c>
      <c r="AD949" s="12" t="s">
        <v>6613</v>
      </c>
      <c r="AE949" s="12" t="s">
        <v>6613</v>
      </c>
      <c r="AF949" s="12" t="s">
        <v>45</v>
      </c>
    </row>
    <row r="950" spans="1:32" x14ac:dyDescent="0.2">
      <c r="A950" s="12" t="s">
        <v>733</v>
      </c>
      <c r="B950" s="12" t="s">
        <v>734</v>
      </c>
      <c r="C950" s="12" t="s">
        <v>17</v>
      </c>
      <c r="D950" s="12" t="s">
        <v>17</v>
      </c>
      <c r="E950" s="12" t="s">
        <v>7678</v>
      </c>
      <c r="F950" s="12" t="s">
        <v>5458</v>
      </c>
      <c r="G950" s="12" t="s">
        <v>615</v>
      </c>
      <c r="H950" s="12" t="s">
        <v>6613</v>
      </c>
      <c r="I950" s="12">
        <v>0</v>
      </c>
      <c r="J950" s="12" t="s">
        <v>164</v>
      </c>
      <c r="K950" s="12" t="s">
        <v>6646</v>
      </c>
      <c r="L950" s="12" t="s">
        <v>617</v>
      </c>
      <c r="M950" s="12" t="s">
        <v>617</v>
      </c>
      <c r="N950" s="12" t="s">
        <v>5785</v>
      </c>
      <c r="O950" s="12" t="s">
        <v>624</v>
      </c>
      <c r="P950" s="12" t="s">
        <v>618</v>
      </c>
      <c r="Q950" s="12" t="s">
        <v>6664</v>
      </c>
      <c r="R950" s="12" t="s">
        <v>17</v>
      </c>
      <c r="S950" s="12" t="s">
        <v>17</v>
      </c>
      <c r="T950" s="12" t="s">
        <v>25</v>
      </c>
      <c r="U950" s="12" t="s">
        <v>17</v>
      </c>
      <c r="V950" s="12" t="s">
        <v>6639</v>
      </c>
      <c r="W950" s="12" t="s">
        <v>6639</v>
      </c>
      <c r="X950" s="12" t="s">
        <v>17</v>
      </c>
      <c r="Y950" s="12">
        <v>1143720</v>
      </c>
      <c r="Z950" s="12" t="s">
        <v>6613</v>
      </c>
      <c r="AA950" s="12" t="s">
        <v>6613</v>
      </c>
      <c r="AB950" s="12" t="s">
        <v>6613</v>
      </c>
      <c r="AC950" s="12" t="s">
        <v>6613</v>
      </c>
      <c r="AD950" s="12" t="s">
        <v>6613</v>
      </c>
      <c r="AE950" s="12" t="s">
        <v>6613</v>
      </c>
      <c r="AF950" s="12" t="s">
        <v>45</v>
      </c>
    </row>
    <row r="951" spans="1:32" x14ac:dyDescent="0.2">
      <c r="A951" s="12" t="s">
        <v>735</v>
      </c>
      <c r="B951" s="12" t="s">
        <v>736</v>
      </c>
      <c r="C951" s="12" t="s">
        <v>17</v>
      </c>
      <c r="D951" s="12" t="s">
        <v>17</v>
      </c>
      <c r="E951" s="12" t="s">
        <v>7678</v>
      </c>
      <c r="F951" s="12" t="s">
        <v>5458</v>
      </c>
      <c r="G951" s="12" t="s">
        <v>615</v>
      </c>
      <c r="H951" s="12" t="s">
        <v>6613</v>
      </c>
      <c r="I951" s="12">
        <v>0</v>
      </c>
      <c r="J951" s="12" t="s">
        <v>164</v>
      </c>
      <c r="K951" s="12" t="s">
        <v>6646</v>
      </c>
      <c r="L951" s="12" t="s">
        <v>617</v>
      </c>
      <c r="M951" s="12" t="s">
        <v>617</v>
      </c>
      <c r="N951" s="12" t="s">
        <v>5785</v>
      </c>
      <c r="O951" s="12" t="s">
        <v>624</v>
      </c>
      <c r="P951" s="12" t="s">
        <v>618</v>
      </c>
      <c r="Q951" s="12" t="s">
        <v>6664</v>
      </c>
      <c r="R951" s="12" t="s">
        <v>17</v>
      </c>
      <c r="S951" s="12" t="s">
        <v>17</v>
      </c>
      <c r="T951" s="12" t="s">
        <v>25</v>
      </c>
      <c r="U951" s="12" t="s">
        <v>17</v>
      </c>
      <c r="V951" s="12" t="s">
        <v>6639</v>
      </c>
      <c r="W951" s="12" t="s">
        <v>6639</v>
      </c>
      <c r="X951" s="12" t="s">
        <v>17</v>
      </c>
      <c r="Y951" s="12">
        <v>1144025</v>
      </c>
      <c r="Z951" s="12" t="s">
        <v>6613</v>
      </c>
      <c r="AA951" s="12" t="s">
        <v>6613</v>
      </c>
      <c r="AB951" s="12" t="s">
        <v>6613</v>
      </c>
      <c r="AC951" s="12" t="s">
        <v>6613</v>
      </c>
      <c r="AD951" s="12" t="s">
        <v>6613</v>
      </c>
      <c r="AE951" s="12" t="s">
        <v>6613</v>
      </c>
      <c r="AF951" s="12" t="s">
        <v>45</v>
      </c>
    </row>
    <row r="952" spans="1:32" x14ac:dyDescent="0.2">
      <c r="A952" s="12" t="s">
        <v>817</v>
      </c>
      <c r="B952" s="12" t="s">
        <v>818</v>
      </c>
      <c r="C952" s="12" t="s">
        <v>17</v>
      </c>
      <c r="D952" s="12" t="s">
        <v>17</v>
      </c>
      <c r="E952" s="12" t="s">
        <v>7678</v>
      </c>
      <c r="F952" s="12" t="s">
        <v>5458</v>
      </c>
      <c r="G952" s="12" t="s">
        <v>615</v>
      </c>
      <c r="H952" s="12" t="s">
        <v>6613</v>
      </c>
      <c r="I952" s="12">
        <v>0</v>
      </c>
      <c r="J952" s="12" t="s">
        <v>164</v>
      </c>
      <c r="K952" s="12" t="s">
        <v>6646</v>
      </c>
      <c r="L952" s="12" t="s">
        <v>617</v>
      </c>
      <c r="M952" s="12" t="s">
        <v>617</v>
      </c>
      <c r="N952" s="12" t="s">
        <v>5785</v>
      </c>
      <c r="O952" s="12" t="s">
        <v>624</v>
      </c>
      <c r="P952" s="12" t="s">
        <v>618</v>
      </c>
      <c r="Q952" s="12" t="s">
        <v>6664</v>
      </c>
      <c r="R952" s="12" t="s">
        <v>17</v>
      </c>
      <c r="S952" s="12" t="s">
        <v>17</v>
      </c>
      <c r="T952" s="12" t="s">
        <v>25</v>
      </c>
      <c r="U952" s="12" t="s">
        <v>17</v>
      </c>
      <c r="V952" s="12" t="s">
        <v>6639</v>
      </c>
      <c r="W952" s="12" t="s">
        <v>6639</v>
      </c>
      <c r="X952" s="12" t="s">
        <v>17</v>
      </c>
      <c r="Y952" s="12">
        <v>1144391</v>
      </c>
      <c r="Z952" s="12" t="s">
        <v>6613</v>
      </c>
      <c r="AA952" s="12" t="s">
        <v>6613</v>
      </c>
      <c r="AB952" s="12" t="s">
        <v>6613</v>
      </c>
      <c r="AC952" s="12" t="s">
        <v>6613</v>
      </c>
      <c r="AD952" s="12" t="s">
        <v>6613</v>
      </c>
      <c r="AE952" s="12" t="s">
        <v>6613</v>
      </c>
      <c r="AF952" s="12" t="s">
        <v>45</v>
      </c>
    </row>
    <row r="953" spans="1:32" x14ac:dyDescent="0.2">
      <c r="A953" s="12" t="s">
        <v>813</v>
      </c>
      <c r="B953" s="12" t="s">
        <v>814</v>
      </c>
      <c r="C953" s="12" t="s">
        <v>17</v>
      </c>
      <c r="D953" s="12" t="s">
        <v>17</v>
      </c>
      <c r="E953" s="12" t="s">
        <v>7678</v>
      </c>
      <c r="F953" s="12" t="s">
        <v>5458</v>
      </c>
      <c r="G953" s="12" t="s">
        <v>615</v>
      </c>
      <c r="H953" s="12" t="s">
        <v>6613</v>
      </c>
      <c r="I953" s="12">
        <v>0</v>
      </c>
      <c r="J953" s="12" t="s">
        <v>164</v>
      </c>
      <c r="K953" s="12" t="s">
        <v>6646</v>
      </c>
      <c r="L953" s="12" t="s">
        <v>617</v>
      </c>
      <c r="M953" s="12" t="s">
        <v>617</v>
      </c>
      <c r="N953" s="12" t="s">
        <v>5785</v>
      </c>
      <c r="O953" s="12" t="s">
        <v>624</v>
      </c>
      <c r="P953" s="12" t="s">
        <v>618</v>
      </c>
      <c r="Q953" s="12" t="s">
        <v>6664</v>
      </c>
      <c r="R953" s="12" t="s">
        <v>17</v>
      </c>
      <c r="S953" s="12" t="s">
        <v>17</v>
      </c>
      <c r="T953" s="12" t="s">
        <v>25</v>
      </c>
      <c r="U953" s="12" t="s">
        <v>17</v>
      </c>
      <c r="V953" s="12" t="s">
        <v>6639</v>
      </c>
      <c r="W953" s="12" t="s">
        <v>6639</v>
      </c>
      <c r="X953" s="12" t="s">
        <v>17</v>
      </c>
      <c r="Y953" s="12">
        <v>1145346</v>
      </c>
      <c r="Z953" s="12" t="s">
        <v>6613</v>
      </c>
      <c r="AA953" s="12" t="s">
        <v>6613</v>
      </c>
      <c r="AB953" s="12" t="s">
        <v>6613</v>
      </c>
      <c r="AC953" s="12" t="s">
        <v>6613</v>
      </c>
      <c r="AD953" s="12" t="s">
        <v>6613</v>
      </c>
      <c r="AE953" s="12" t="s">
        <v>6613</v>
      </c>
      <c r="AF953" s="12" t="s">
        <v>45</v>
      </c>
    </row>
    <row r="954" spans="1:32" x14ac:dyDescent="0.2">
      <c r="A954" s="12" t="s">
        <v>711</v>
      </c>
      <c r="B954" s="12" t="s">
        <v>712</v>
      </c>
      <c r="C954" s="12" t="s">
        <v>17</v>
      </c>
      <c r="D954" s="12" t="s">
        <v>17</v>
      </c>
      <c r="E954" s="12" t="s">
        <v>7678</v>
      </c>
      <c r="F954" s="12" t="s">
        <v>5458</v>
      </c>
      <c r="G954" s="12" t="s">
        <v>615</v>
      </c>
      <c r="H954" s="12" t="s">
        <v>6613</v>
      </c>
      <c r="I954" s="12">
        <v>0</v>
      </c>
      <c r="J954" s="12" t="s">
        <v>164</v>
      </c>
      <c r="K954" s="12" t="s">
        <v>6646</v>
      </c>
      <c r="L954" s="12" t="s">
        <v>617</v>
      </c>
      <c r="M954" s="12" t="s">
        <v>617</v>
      </c>
      <c r="N954" s="12" t="s">
        <v>5785</v>
      </c>
      <c r="O954" s="12" t="s">
        <v>624</v>
      </c>
      <c r="P954" s="12" t="s">
        <v>618</v>
      </c>
      <c r="Q954" s="12" t="s">
        <v>6664</v>
      </c>
      <c r="R954" s="16" t="s">
        <v>17</v>
      </c>
      <c r="S954" s="16" t="s">
        <v>17</v>
      </c>
      <c r="T954" s="12" t="s">
        <v>25</v>
      </c>
      <c r="U954" s="12" t="s">
        <v>17</v>
      </c>
      <c r="V954" s="12" t="s">
        <v>6639</v>
      </c>
      <c r="W954" s="12" t="s">
        <v>6639</v>
      </c>
      <c r="X954" s="12" t="s">
        <v>17</v>
      </c>
      <c r="Y954" s="12">
        <v>1145757</v>
      </c>
      <c r="Z954" s="12" t="s">
        <v>6613</v>
      </c>
      <c r="AA954" s="12" t="s">
        <v>6613</v>
      </c>
      <c r="AB954" s="12" t="s">
        <v>6613</v>
      </c>
      <c r="AC954" s="12" t="s">
        <v>6613</v>
      </c>
      <c r="AD954" s="12" t="s">
        <v>6613</v>
      </c>
      <c r="AE954" s="12" t="s">
        <v>6613</v>
      </c>
      <c r="AF954" s="12" t="s">
        <v>45</v>
      </c>
    </row>
    <row r="955" spans="1:32" x14ac:dyDescent="0.2">
      <c r="A955" s="12" t="s">
        <v>785</v>
      </c>
      <c r="B955" s="12" t="s">
        <v>786</v>
      </c>
      <c r="C955" s="12" t="s">
        <v>17</v>
      </c>
      <c r="D955" s="12" t="s">
        <v>17</v>
      </c>
      <c r="E955" s="12" t="s">
        <v>7678</v>
      </c>
      <c r="F955" s="12" t="s">
        <v>5458</v>
      </c>
      <c r="G955" s="12" t="s">
        <v>615</v>
      </c>
      <c r="H955" s="12" t="s">
        <v>6613</v>
      </c>
      <c r="I955" s="12">
        <v>0</v>
      </c>
      <c r="J955" s="12" t="s">
        <v>164</v>
      </c>
      <c r="K955" s="12" t="s">
        <v>6646</v>
      </c>
      <c r="L955" s="12" t="s">
        <v>617</v>
      </c>
      <c r="M955" s="12" t="s">
        <v>617</v>
      </c>
      <c r="N955" s="12" t="s">
        <v>5785</v>
      </c>
      <c r="O955" s="12" t="s">
        <v>624</v>
      </c>
      <c r="P955" s="12" t="s">
        <v>618</v>
      </c>
      <c r="Q955" s="12" t="s">
        <v>6664</v>
      </c>
      <c r="R955" s="12" t="s">
        <v>17</v>
      </c>
      <c r="S955" s="12" t="s">
        <v>17</v>
      </c>
      <c r="T955" s="12" t="s">
        <v>25</v>
      </c>
      <c r="U955" s="12" t="s">
        <v>17</v>
      </c>
      <c r="V955" s="12" t="s">
        <v>6639</v>
      </c>
      <c r="W955" s="12" t="s">
        <v>6639</v>
      </c>
      <c r="X955" s="12" t="s">
        <v>17</v>
      </c>
      <c r="Y955" s="12">
        <v>1145845</v>
      </c>
      <c r="Z955" s="12" t="s">
        <v>6613</v>
      </c>
      <c r="AA955" s="12" t="s">
        <v>6613</v>
      </c>
      <c r="AB955" s="12" t="s">
        <v>6613</v>
      </c>
      <c r="AC955" s="12" t="s">
        <v>6613</v>
      </c>
      <c r="AD955" s="12" t="s">
        <v>6613</v>
      </c>
      <c r="AE955" s="12" t="s">
        <v>6613</v>
      </c>
      <c r="AF955" s="12" t="s">
        <v>45</v>
      </c>
    </row>
    <row r="956" spans="1:32" x14ac:dyDescent="0.2">
      <c r="A956" s="12" t="s">
        <v>644</v>
      </c>
      <c r="B956" s="12" t="s">
        <v>645</v>
      </c>
      <c r="C956" s="12" t="s">
        <v>17</v>
      </c>
      <c r="D956" s="12" t="s">
        <v>17</v>
      </c>
      <c r="E956" s="12" t="s">
        <v>7678</v>
      </c>
      <c r="F956" s="12" t="s">
        <v>5458</v>
      </c>
      <c r="G956" s="12" t="s">
        <v>615</v>
      </c>
      <c r="H956" s="12" t="s">
        <v>6613</v>
      </c>
      <c r="I956" s="12">
        <v>0</v>
      </c>
      <c r="J956" s="12" t="s">
        <v>164</v>
      </c>
      <c r="K956" s="12" t="s">
        <v>6646</v>
      </c>
      <c r="L956" s="12" t="s">
        <v>617</v>
      </c>
      <c r="M956" s="12" t="s">
        <v>617</v>
      </c>
      <c r="N956" s="12" t="s">
        <v>5785</v>
      </c>
      <c r="O956" s="12" t="s">
        <v>624</v>
      </c>
      <c r="P956" s="12" t="s">
        <v>618</v>
      </c>
      <c r="Q956" s="12" t="s">
        <v>6664</v>
      </c>
      <c r="R956" s="12" t="s">
        <v>17</v>
      </c>
      <c r="S956" s="12" t="s">
        <v>17</v>
      </c>
      <c r="T956" s="12" t="s">
        <v>25</v>
      </c>
      <c r="U956" s="12" t="s">
        <v>17</v>
      </c>
      <c r="V956" s="12" t="s">
        <v>6639</v>
      </c>
      <c r="W956" s="12" t="s">
        <v>6639</v>
      </c>
      <c r="X956" s="12" t="s">
        <v>17</v>
      </c>
      <c r="Y956" s="12">
        <v>1146193</v>
      </c>
      <c r="Z956" s="12" t="s">
        <v>6613</v>
      </c>
      <c r="AA956" s="12" t="s">
        <v>6613</v>
      </c>
      <c r="AB956" s="12" t="s">
        <v>6613</v>
      </c>
      <c r="AC956" s="12" t="s">
        <v>6613</v>
      </c>
      <c r="AD956" s="12" t="s">
        <v>6613</v>
      </c>
      <c r="AE956" s="12" t="s">
        <v>6613</v>
      </c>
      <c r="AF956" s="12" t="s">
        <v>45</v>
      </c>
    </row>
    <row r="957" spans="1:32" x14ac:dyDescent="0.2">
      <c r="A957" s="12" t="s">
        <v>634</v>
      </c>
      <c r="B957" s="12" t="s">
        <v>635</v>
      </c>
      <c r="C957" s="12" t="s">
        <v>17</v>
      </c>
      <c r="D957" s="12" t="s">
        <v>17</v>
      </c>
      <c r="E957" s="12" t="s">
        <v>7678</v>
      </c>
      <c r="F957" s="12" t="s">
        <v>5458</v>
      </c>
      <c r="G957" s="12" t="s">
        <v>615</v>
      </c>
      <c r="H957" s="12" t="s">
        <v>6613</v>
      </c>
      <c r="I957" s="12">
        <v>0</v>
      </c>
      <c r="J957" s="12" t="s">
        <v>164</v>
      </c>
      <c r="K957" s="12" t="s">
        <v>6646</v>
      </c>
      <c r="L957" s="12" t="s">
        <v>617</v>
      </c>
      <c r="M957" s="12" t="s">
        <v>617</v>
      </c>
      <c r="N957" s="12" t="s">
        <v>5785</v>
      </c>
      <c r="O957" s="12" t="s">
        <v>624</v>
      </c>
      <c r="P957" s="12" t="s">
        <v>618</v>
      </c>
      <c r="Q957" s="12" t="s">
        <v>6664</v>
      </c>
      <c r="R957" s="12" t="s">
        <v>17</v>
      </c>
      <c r="S957" s="12" t="s">
        <v>17</v>
      </c>
      <c r="T957" s="12" t="s">
        <v>25</v>
      </c>
      <c r="U957" s="12" t="s">
        <v>17</v>
      </c>
      <c r="V957" s="12" t="s">
        <v>6639</v>
      </c>
      <c r="W957" s="12" t="s">
        <v>6639</v>
      </c>
      <c r="X957" s="12" t="s">
        <v>17</v>
      </c>
      <c r="Y957" s="12">
        <v>1146294</v>
      </c>
      <c r="Z957" s="12" t="s">
        <v>6613</v>
      </c>
      <c r="AA957" s="12" t="s">
        <v>6613</v>
      </c>
      <c r="AB957" s="12" t="s">
        <v>6613</v>
      </c>
      <c r="AC957" s="12" t="s">
        <v>6613</v>
      </c>
      <c r="AD957" s="12" t="s">
        <v>6613</v>
      </c>
      <c r="AE957" s="12" t="s">
        <v>6613</v>
      </c>
      <c r="AF957" s="12" t="s">
        <v>45</v>
      </c>
    </row>
    <row r="958" spans="1:32" x14ac:dyDescent="0.2">
      <c r="A958" s="12" t="s">
        <v>697</v>
      </c>
      <c r="B958" s="12" t="s">
        <v>698</v>
      </c>
      <c r="C958" s="12" t="s">
        <v>17</v>
      </c>
      <c r="D958" s="12" t="s">
        <v>17</v>
      </c>
      <c r="E958" s="12" t="s">
        <v>7678</v>
      </c>
      <c r="F958" s="12" t="s">
        <v>5458</v>
      </c>
      <c r="G958" s="12" t="s">
        <v>615</v>
      </c>
      <c r="H958" s="12" t="s">
        <v>6613</v>
      </c>
      <c r="I958" s="12">
        <v>0</v>
      </c>
      <c r="J958" s="12" t="s">
        <v>164</v>
      </c>
      <c r="K958" s="12" t="s">
        <v>6646</v>
      </c>
      <c r="L958" s="12" t="s">
        <v>617</v>
      </c>
      <c r="M958" s="12" t="s">
        <v>617</v>
      </c>
      <c r="N958" s="12" t="s">
        <v>5785</v>
      </c>
      <c r="O958" s="12" t="s">
        <v>624</v>
      </c>
      <c r="P958" s="12" t="s">
        <v>618</v>
      </c>
      <c r="Q958" s="12" t="s">
        <v>6664</v>
      </c>
      <c r="R958" s="12" t="s">
        <v>17</v>
      </c>
      <c r="S958" s="12" t="s">
        <v>17</v>
      </c>
      <c r="T958" s="12" t="s">
        <v>25</v>
      </c>
      <c r="U958" s="12" t="s">
        <v>17</v>
      </c>
      <c r="V958" s="12" t="s">
        <v>6639</v>
      </c>
      <c r="W958" s="12" t="s">
        <v>6639</v>
      </c>
      <c r="X958" s="12" t="s">
        <v>17</v>
      </c>
      <c r="Y958" s="12">
        <v>1146338</v>
      </c>
      <c r="Z958" s="12" t="s">
        <v>6613</v>
      </c>
      <c r="AA958" s="12" t="s">
        <v>6613</v>
      </c>
      <c r="AB958" s="12" t="s">
        <v>6613</v>
      </c>
      <c r="AC958" s="12" t="s">
        <v>6613</v>
      </c>
      <c r="AD958" s="12" t="s">
        <v>6613</v>
      </c>
      <c r="AE958" s="12" t="s">
        <v>6613</v>
      </c>
      <c r="AF958" s="12" t="s">
        <v>45</v>
      </c>
    </row>
    <row r="959" spans="1:32" x14ac:dyDescent="0.2">
      <c r="A959" s="12" t="s">
        <v>772</v>
      </c>
      <c r="B959" s="12" t="s">
        <v>773</v>
      </c>
      <c r="C959" s="12" t="s">
        <v>17</v>
      </c>
      <c r="D959" s="12" t="s">
        <v>17</v>
      </c>
      <c r="E959" s="12" t="s">
        <v>7678</v>
      </c>
      <c r="F959" s="12" t="s">
        <v>5458</v>
      </c>
      <c r="G959" s="12" t="s">
        <v>615</v>
      </c>
      <c r="H959" s="12" t="s">
        <v>6613</v>
      </c>
      <c r="I959" s="12">
        <v>0</v>
      </c>
      <c r="J959" s="12" t="s">
        <v>164</v>
      </c>
      <c r="K959" s="12" t="s">
        <v>6646</v>
      </c>
      <c r="L959" s="12" t="s">
        <v>617</v>
      </c>
      <c r="M959" s="12" t="s">
        <v>617</v>
      </c>
      <c r="N959" s="12" t="s">
        <v>5785</v>
      </c>
      <c r="O959" s="12" t="s">
        <v>624</v>
      </c>
      <c r="P959" s="12" t="s">
        <v>618</v>
      </c>
      <c r="Q959" s="12" t="s">
        <v>6664</v>
      </c>
      <c r="R959" s="12" t="s">
        <v>17</v>
      </c>
      <c r="S959" s="12" t="s">
        <v>17</v>
      </c>
      <c r="T959" s="12" t="s">
        <v>25</v>
      </c>
      <c r="U959" s="12" t="s">
        <v>17</v>
      </c>
      <c r="V959" s="12" t="s">
        <v>6639</v>
      </c>
      <c r="W959" s="12" t="s">
        <v>6639</v>
      </c>
      <c r="X959" s="12" t="s">
        <v>17</v>
      </c>
      <c r="Y959" s="12">
        <v>1146831</v>
      </c>
      <c r="Z959" s="12" t="s">
        <v>6613</v>
      </c>
      <c r="AA959" s="12" t="s">
        <v>6613</v>
      </c>
      <c r="AB959" s="12" t="s">
        <v>6613</v>
      </c>
      <c r="AC959" s="12" t="s">
        <v>6613</v>
      </c>
      <c r="AD959" s="12" t="s">
        <v>6613</v>
      </c>
      <c r="AE959" s="12" t="s">
        <v>6613</v>
      </c>
      <c r="AF959" s="12" t="s">
        <v>45</v>
      </c>
    </row>
    <row r="960" spans="1:32" x14ac:dyDescent="0.2">
      <c r="A960" s="12" t="s">
        <v>790</v>
      </c>
      <c r="B960" s="12" t="s">
        <v>791</v>
      </c>
      <c r="C960" s="12" t="s">
        <v>17</v>
      </c>
      <c r="D960" s="12" t="s">
        <v>17</v>
      </c>
      <c r="E960" s="12" t="s">
        <v>7678</v>
      </c>
      <c r="F960" s="12" t="s">
        <v>5458</v>
      </c>
      <c r="G960" s="12" t="s">
        <v>615</v>
      </c>
      <c r="H960" s="12" t="s">
        <v>6613</v>
      </c>
      <c r="I960" s="12">
        <v>0</v>
      </c>
      <c r="J960" s="12" t="s">
        <v>164</v>
      </c>
      <c r="K960" s="12" t="s">
        <v>6646</v>
      </c>
      <c r="L960" s="12" t="s">
        <v>617</v>
      </c>
      <c r="M960" s="12" t="s">
        <v>617</v>
      </c>
      <c r="N960" s="12" t="s">
        <v>5785</v>
      </c>
      <c r="O960" s="12" t="s">
        <v>624</v>
      </c>
      <c r="P960" s="12" t="s">
        <v>618</v>
      </c>
      <c r="Q960" s="12" t="s">
        <v>6664</v>
      </c>
      <c r="R960" s="12" t="s">
        <v>17</v>
      </c>
      <c r="S960" s="12" t="s">
        <v>17</v>
      </c>
      <c r="T960" s="12" t="s">
        <v>25</v>
      </c>
      <c r="U960" s="12" t="s">
        <v>17</v>
      </c>
      <c r="V960" s="12" t="s">
        <v>6639</v>
      </c>
      <c r="W960" s="12" t="s">
        <v>6639</v>
      </c>
      <c r="X960" s="12" t="s">
        <v>17</v>
      </c>
      <c r="Y960" s="12">
        <v>1146942</v>
      </c>
      <c r="Z960" s="12" t="s">
        <v>6613</v>
      </c>
      <c r="AA960" s="12" t="s">
        <v>6613</v>
      </c>
      <c r="AB960" s="12" t="s">
        <v>6613</v>
      </c>
      <c r="AC960" s="12" t="s">
        <v>6613</v>
      </c>
      <c r="AD960" s="12" t="s">
        <v>6613</v>
      </c>
      <c r="AE960" s="12" t="s">
        <v>6613</v>
      </c>
      <c r="AF960" s="12" t="s">
        <v>45</v>
      </c>
    </row>
    <row r="961" spans="1:32" x14ac:dyDescent="0.2">
      <c r="A961" s="12" t="s">
        <v>805</v>
      </c>
      <c r="B961" s="12" t="s">
        <v>806</v>
      </c>
      <c r="C961" s="12" t="s">
        <v>17</v>
      </c>
      <c r="D961" s="12" t="s">
        <v>17</v>
      </c>
      <c r="E961" s="12" t="s">
        <v>7678</v>
      </c>
      <c r="F961" s="12" t="s">
        <v>5458</v>
      </c>
      <c r="G961" s="12" t="s">
        <v>615</v>
      </c>
      <c r="H961" s="12" t="s">
        <v>6613</v>
      </c>
      <c r="I961" s="12">
        <v>0</v>
      </c>
      <c r="J961" s="12" t="s">
        <v>164</v>
      </c>
      <c r="K961" s="12" t="s">
        <v>6646</v>
      </c>
      <c r="L961" s="12" t="s">
        <v>617</v>
      </c>
      <c r="M961" s="12" t="s">
        <v>617</v>
      </c>
      <c r="N961" s="12" t="s">
        <v>5785</v>
      </c>
      <c r="O961" s="12" t="s">
        <v>624</v>
      </c>
      <c r="P961" s="12" t="s">
        <v>618</v>
      </c>
      <c r="Q961" s="12" t="s">
        <v>6664</v>
      </c>
      <c r="R961" s="16" t="s">
        <v>17</v>
      </c>
      <c r="S961" s="16" t="s">
        <v>17</v>
      </c>
      <c r="T961" s="12" t="s">
        <v>11</v>
      </c>
      <c r="U961" s="12" t="s">
        <v>17</v>
      </c>
      <c r="V961" s="12" t="s">
        <v>807</v>
      </c>
      <c r="W961" s="12" t="s">
        <v>7415</v>
      </c>
      <c r="X961" s="12" t="s">
        <v>17</v>
      </c>
      <c r="Y961" s="12">
        <v>1147178</v>
      </c>
      <c r="Z961" s="12" t="s">
        <v>6613</v>
      </c>
      <c r="AA961" s="12" t="s">
        <v>6613</v>
      </c>
      <c r="AB961" s="12" t="s">
        <v>6613</v>
      </c>
      <c r="AC961" s="12" t="s">
        <v>6613</v>
      </c>
      <c r="AD961" s="12" t="s">
        <v>6613</v>
      </c>
      <c r="AE961" s="12" t="s">
        <v>6613</v>
      </c>
      <c r="AF961" s="12" t="s">
        <v>45</v>
      </c>
    </row>
    <row r="962" spans="1:32" x14ac:dyDescent="0.2">
      <c r="A962" s="12" t="s">
        <v>656</v>
      </c>
      <c r="B962" s="12" t="s">
        <v>657</v>
      </c>
      <c r="C962" s="12" t="s">
        <v>17</v>
      </c>
      <c r="D962" s="12" t="s">
        <v>17</v>
      </c>
      <c r="E962" s="12" t="s">
        <v>7678</v>
      </c>
      <c r="F962" s="12" t="s">
        <v>5458</v>
      </c>
      <c r="G962" s="12" t="s">
        <v>615</v>
      </c>
      <c r="H962" s="12" t="s">
        <v>6613</v>
      </c>
      <c r="I962" s="12">
        <v>0</v>
      </c>
      <c r="J962" s="12" t="s">
        <v>164</v>
      </c>
      <c r="K962" s="12" t="s">
        <v>6646</v>
      </c>
      <c r="L962" s="12" t="s">
        <v>617</v>
      </c>
      <c r="M962" s="12" t="s">
        <v>617</v>
      </c>
      <c r="N962" s="12" t="s">
        <v>5785</v>
      </c>
      <c r="O962" s="12" t="s">
        <v>624</v>
      </c>
      <c r="P962" s="12" t="s">
        <v>618</v>
      </c>
      <c r="Q962" s="12" t="s">
        <v>6664</v>
      </c>
      <c r="R962" s="12" t="s">
        <v>17</v>
      </c>
      <c r="S962" s="12" t="s">
        <v>17</v>
      </c>
      <c r="T962" s="12" t="s">
        <v>25</v>
      </c>
      <c r="U962" s="12" t="s">
        <v>17</v>
      </c>
      <c r="V962" s="12" t="s">
        <v>6639</v>
      </c>
      <c r="W962" s="12" t="s">
        <v>6639</v>
      </c>
      <c r="X962" s="12" t="s">
        <v>17</v>
      </c>
      <c r="Y962" s="12">
        <v>1147186</v>
      </c>
      <c r="Z962" s="12" t="s">
        <v>6613</v>
      </c>
      <c r="AA962" s="12" t="s">
        <v>6613</v>
      </c>
      <c r="AB962" s="12" t="s">
        <v>6613</v>
      </c>
      <c r="AC962" s="12" t="s">
        <v>6613</v>
      </c>
      <c r="AD962" s="12" t="s">
        <v>6613</v>
      </c>
      <c r="AE962" s="12" t="s">
        <v>6613</v>
      </c>
      <c r="AF962" s="12" t="s">
        <v>45</v>
      </c>
    </row>
    <row r="963" spans="1:32" x14ac:dyDescent="0.2">
      <c r="A963" s="12" t="s">
        <v>658</v>
      </c>
      <c r="B963" s="12" t="s">
        <v>659</v>
      </c>
      <c r="C963" s="12" t="s">
        <v>17</v>
      </c>
      <c r="D963" s="12" t="s">
        <v>17</v>
      </c>
      <c r="E963" s="12" t="s">
        <v>7678</v>
      </c>
      <c r="F963" s="12" t="s">
        <v>5458</v>
      </c>
      <c r="G963" s="12" t="s">
        <v>615</v>
      </c>
      <c r="H963" s="12" t="s">
        <v>6613</v>
      </c>
      <c r="I963" s="12">
        <v>0</v>
      </c>
      <c r="J963" s="12" t="s">
        <v>164</v>
      </c>
      <c r="K963" s="12" t="s">
        <v>6646</v>
      </c>
      <c r="L963" s="12" t="s">
        <v>617</v>
      </c>
      <c r="M963" s="12" t="s">
        <v>617</v>
      </c>
      <c r="N963" s="12" t="s">
        <v>5785</v>
      </c>
      <c r="O963" s="12" t="s">
        <v>624</v>
      </c>
      <c r="P963" s="12" t="s">
        <v>618</v>
      </c>
      <c r="Q963" s="12" t="s">
        <v>6664</v>
      </c>
      <c r="R963" s="12" t="s">
        <v>17</v>
      </c>
      <c r="S963" s="12" t="s">
        <v>17</v>
      </c>
      <c r="T963" s="12" t="s">
        <v>25</v>
      </c>
      <c r="U963" s="12" t="s">
        <v>17</v>
      </c>
      <c r="V963" s="12" t="s">
        <v>6639</v>
      </c>
      <c r="W963" s="12" t="s">
        <v>6639</v>
      </c>
      <c r="X963" s="12" t="s">
        <v>17</v>
      </c>
      <c r="Y963" s="12">
        <v>1147591</v>
      </c>
      <c r="Z963" s="12" t="s">
        <v>6613</v>
      </c>
      <c r="AA963" s="12" t="s">
        <v>6613</v>
      </c>
      <c r="AB963" s="12" t="s">
        <v>6613</v>
      </c>
      <c r="AC963" s="12" t="s">
        <v>6613</v>
      </c>
      <c r="AD963" s="12" t="s">
        <v>6613</v>
      </c>
      <c r="AE963" s="12" t="s">
        <v>6613</v>
      </c>
      <c r="AF963" s="12" t="s">
        <v>45</v>
      </c>
    </row>
    <row r="964" spans="1:32" x14ac:dyDescent="0.2">
      <c r="A964" s="12" t="s">
        <v>764</v>
      </c>
      <c r="B964" s="12" t="s">
        <v>765</v>
      </c>
      <c r="C964" s="12" t="s">
        <v>17</v>
      </c>
      <c r="D964" s="12" t="s">
        <v>17</v>
      </c>
      <c r="E964" s="12" t="s">
        <v>7678</v>
      </c>
      <c r="F964" s="12" t="s">
        <v>5458</v>
      </c>
      <c r="G964" s="12" t="s">
        <v>615</v>
      </c>
      <c r="H964" s="12" t="s">
        <v>6613</v>
      </c>
      <c r="I964" s="12">
        <v>0</v>
      </c>
      <c r="J964" s="12" t="s">
        <v>164</v>
      </c>
      <c r="K964" s="12" t="s">
        <v>6646</v>
      </c>
      <c r="L964" s="12" t="s">
        <v>617</v>
      </c>
      <c r="M964" s="12" t="s">
        <v>617</v>
      </c>
      <c r="N964" s="12" t="s">
        <v>5785</v>
      </c>
      <c r="O964" s="12" t="s">
        <v>624</v>
      </c>
      <c r="P964" s="12" t="s">
        <v>618</v>
      </c>
      <c r="Q964" s="12" t="s">
        <v>6664</v>
      </c>
      <c r="R964" s="12" t="s">
        <v>17</v>
      </c>
      <c r="S964" s="12" t="s">
        <v>17</v>
      </c>
      <c r="T964" s="12" t="s">
        <v>25</v>
      </c>
      <c r="U964" s="12" t="s">
        <v>17</v>
      </c>
      <c r="V964" s="12" t="s">
        <v>6639</v>
      </c>
      <c r="W964" s="12" t="s">
        <v>6639</v>
      </c>
      <c r="X964" s="12" t="s">
        <v>17</v>
      </c>
      <c r="Y964" s="12">
        <v>1147898</v>
      </c>
      <c r="Z964" s="12" t="s">
        <v>6613</v>
      </c>
      <c r="AA964" s="12" t="s">
        <v>6613</v>
      </c>
      <c r="AB964" s="12" t="s">
        <v>6613</v>
      </c>
      <c r="AC964" s="12" t="s">
        <v>6613</v>
      </c>
      <c r="AD964" s="12" t="s">
        <v>6613</v>
      </c>
      <c r="AE964" s="12" t="s">
        <v>6613</v>
      </c>
      <c r="AF964" s="12" t="s">
        <v>45</v>
      </c>
    </row>
    <row r="965" spans="1:32" x14ac:dyDescent="0.2">
      <c r="A965" s="12" t="s">
        <v>756</v>
      </c>
      <c r="B965" s="12" t="s">
        <v>757</v>
      </c>
      <c r="C965" s="12" t="s">
        <v>17</v>
      </c>
      <c r="D965" s="12" t="s">
        <v>17</v>
      </c>
      <c r="E965" s="12" t="s">
        <v>7678</v>
      </c>
      <c r="F965" s="12" t="s">
        <v>5458</v>
      </c>
      <c r="G965" s="12" t="s">
        <v>615</v>
      </c>
      <c r="H965" s="12" t="s">
        <v>6613</v>
      </c>
      <c r="I965" s="12">
        <v>0</v>
      </c>
      <c r="J965" s="12" t="s">
        <v>164</v>
      </c>
      <c r="K965" s="12" t="s">
        <v>6646</v>
      </c>
      <c r="L965" s="12" t="s">
        <v>617</v>
      </c>
      <c r="M965" s="12" t="s">
        <v>617</v>
      </c>
      <c r="N965" s="12" t="s">
        <v>5785</v>
      </c>
      <c r="O965" s="12" t="s">
        <v>624</v>
      </c>
      <c r="P965" s="12" t="s">
        <v>618</v>
      </c>
      <c r="Q965" s="12" t="s">
        <v>6664</v>
      </c>
      <c r="R965" s="12" t="s">
        <v>17</v>
      </c>
      <c r="S965" s="12" t="s">
        <v>17</v>
      </c>
      <c r="T965" s="12" t="s">
        <v>11</v>
      </c>
      <c r="U965" s="12" t="s">
        <v>17</v>
      </c>
      <c r="V965" s="12" t="s">
        <v>758</v>
      </c>
      <c r="W965" s="12" t="s">
        <v>7415</v>
      </c>
      <c r="X965" s="12" t="s">
        <v>17</v>
      </c>
      <c r="Y965" s="12">
        <v>1148181</v>
      </c>
      <c r="Z965" s="12" t="s">
        <v>6613</v>
      </c>
      <c r="AA965" s="12" t="s">
        <v>6613</v>
      </c>
      <c r="AB965" s="12" t="s">
        <v>6613</v>
      </c>
      <c r="AC965" s="12" t="s">
        <v>6613</v>
      </c>
      <c r="AD965" s="12" t="s">
        <v>6613</v>
      </c>
      <c r="AE965" s="12" t="s">
        <v>6613</v>
      </c>
      <c r="AF965" s="12" t="s">
        <v>45</v>
      </c>
    </row>
    <row r="966" spans="1:32" x14ac:dyDescent="0.2">
      <c r="A966" s="12" t="s">
        <v>796</v>
      </c>
      <c r="B966" s="12" t="s">
        <v>797</v>
      </c>
      <c r="C966" s="12" t="s">
        <v>17</v>
      </c>
      <c r="D966" s="12" t="s">
        <v>17</v>
      </c>
      <c r="E966" s="12" t="s">
        <v>7678</v>
      </c>
      <c r="F966" s="12" t="s">
        <v>5458</v>
      </c>
      <c r="G966" s="12" t="s">
        <v>615</v>
      </c>
      <c r="H966" s="12" t="s">
        <v>6613</v>
      </c>
      <c r="I966" s="12">
        <v>0</v>
      </c>
      <c r="J966" s="12" t="s">
        <v>164</v>
      </c>
      <c r="K966" s="12" t="s">
        <v>6646</v>
      </c>
      <c r="L966" s="12" t="s">
        <v>617</v>
      </c>
      <c r="M966" s="12" t="s">
        <v>617</v>
      </c>
      <c r="N966" s="12" t="s">
        <v>5785</v>
      </c>
      <c r="O966" s="12" t="s">
        <v>624</v>
      </c>
      <c r="P966" s="12" t="s">
        <v>618</v>
      </c>
      <c r="Q966" s="12" t="s">
        <v>6664</v>
      </c>
      <c r="R966" s="12" t="s">
        <v>17</v>
      </c>
      <c r="S966" s="12" t="s">
        <v>17</v>
      </c>
      <c r="T966" s="12" t="s">
        <v>25</v>
      </c>
      <c r="U966" s="12" t="s">
        <v>17</v>
      </c>
      <c r="V966" s="12" t="s">
        <v>6639</v>
      </c>
      <c r="W966" s="12" t="s">
        <v>6639</v>
      </c>
      <c r="X966" s="12" t="s">
        <v>17</v>
      </c>
      <c r="Y966" s="12">
        <v>1148578</v>
      </c>
      <c r="Z966" s="12" t="s">
        <v>6613</v>
      </c>
      <c r="AA966" s="12" t="s">
        <v>6613</v>
      </c>
      <c r="AB966" s="12" t="s">
        <v>6613</v>
      </c>
      <c r="AC966" s="12" t="s">
        <v>6613</v>
      </c>
      <c r="AD966" s="12" t="s">
        <v>6613</v>
      </c>
      <c r="AE966" s="12" t="s">
        <v>6613</v>
      </c>
      <c r="AF966" s="12" t="s">
        <v>45</v>
      </c>
    </row>
    <row r="967" spans="1:32" x14ac:dyDescent="0.2">
      <c r="A967" s="12" t="s">
        <v>620</v>
      </c>
      <c r="B967" s="12" t="s">
        <v>621</v>
      </c>
      <c r="C967" s="12" t="s">
        <v>17</v>
      </c>
      <c r="D967" s="12" t="s">
        <v>17</v>
      </c>
      <c r="E967" s="12" t="s">
        <v>7678</v>
      </c>
      <c r="F967" s="12" t="s">
        <v>5458</v>
      </c>
      <c r="G967" s="12" t="s">
        <v>615</v>
      </c>
      <c r="H967" s="12" t="s">
        <v>6613</v>
      </c>
      <c r="I967" s="12">
        <v>0</v>
      </c>
      <c r="J967" s="12" t="s">
        <v>164</v>
      </c>
      <c r="K967" s="12" t="s">
        <v>6646</v>
      </c>
      <c r="L967" s="12" t="s">
        <v>617</v>
      </c>
      <c r="M967" s="12" t="s">
        <v>617</v>
      </c>
      <c r="N967" s="12" t="s">
        <v>5785</v>
      </c>
      <c r="O967" s="12" t="s">
        <v>17</v>
      </c>
      <c r="P967" s="12" t="s">
        <v>618</v>
      </c>
      <c r="Q967" s="12" t="s">
        <v>6664</v>
      </c>
      <c r="R967" s="12">
        <v>23.7</v>
      </c>
      <c r="S967" s="12">
        <v>90.4</v>
      </c>
      <c r="T967" s="12" t="s">
        <v>25</v>
      </c>
      <c r="U967" s="12" t="s">
        <v>17</v>
      </c>
      <c r="V967" s="12" t="s">
        <v>6639</v>
      </c>
      <c r="W967" s="12" t="s">
        <v>6639</v>
      </c>
      <c r="X967" s="12" t="s">
        <v>17</v>
      </c>
      <c r="Y967" s="12">
        <v>1148808</v>
      </c>
      <c r="Z967" s="12" t="s">
        <v>6613</v>
      </c>
      <c r="AA967" s="12" t="s">
        <v>6613</v>
      </c>
      <c r="AB967" s="12" t="s">
        <v>6613</v>
      </c>
      <c r="AC967" s="12" t="s">
        <v>6613</v>
      </c>
      <c r="AD967" s="12" t="s">
        <v>6613</v>
      </c>
      <c r="AE967" s="12" t="s">
        <v>6613</v>
      </c>
      <c r="AF967" s="12" t="s">
        <v>45</v>
      </c>
    </row>
    <row r="968" spans="1:32" x14ac:dyDescent="0.2">
      <c r="A968" s="12" t="s">
        <v>681</v>
      </c>
      <c r="B968" s="12" t="s">
        <v>682</v>
      </c>
      <c r="C968" s="12" t="s">
        <v>17</v>
      </c>
      <c r="D968" s="12" t="s">
        <v>17</v>
      </c>
      <c r="E968" s="12" t="s">
        <v>7678</v>
      </c>
      <c r="F968" s="12" t="s">
        <v>5458</v>
      </c>
      <c r="G968" s="12" t="s">
        <v>615</v>
      </c>
      <c r="H968" s="12" t="s">
        <v>6613</v>
      </c>
      <c r="I968" s="12">
        <v>0</v>
      </c>
      <c r="J968" s="12" t="s">
        <v>164</v>
      </c>
      <c r="K968" s="12" t="s">
        <v>6646</v>
      </c>
      <c r="L968" s="12" t="s">
        <v>617</v>
      </c>
      <c r="M968" s="12" t="s">
        <v>617</v>
      </c>
      <c r="N968" s="12" t="s">
        <v>5785</v>
      </c>
      <c r="O968" s="12" t="s">
        <v>624</v>
      </c>
      <c r="P968" s="12" t="s">
        <v>618</v>
      </c>
      <c r="Q968" s="12" t="s">
        <v>6664</v>
      </c>
      <c r="R968" s="12" t="s">
        <v>17</v>
      </c>
      <c r="S968" s="12" t="s">
        <v>17</v>
      </c>
      <c r="T968" s="12" t="s">
        <v>25</v>
      </c>
      <c r="U968" s="12" t="s">
        <v>17</v>
      </c>
      <c r="V968" s="12" t="s">
        <v>6639</v>
      </c>
      <c r="W968" s="12" t="s">
        <v>6639</v>
      </c>
      <c r="X968" s="12" t="s">
        <v>17</v>
      </c>
      <c r="Y968" s="12">
        <v>1148941</v>
      </c>
      <c r="Z968" s="12" t="s">
        <v>6613</v>
      </c>
      <c r="AA968" s="12" t="s">
        <v>6613</v>
      </c>
      <c r="AB968" s="12" t="s">
        <v>6613</v>
      </c>
      <c r="AC968" s="12" t="s">
        <v>6613</v>
      </c>
      <c r="AD968" s="12" t="s">
        <v>6613</v>
      </c>
      <c r="AE968" s="12" t="s">
        <v>6613</v>
      </c>
      <c r="AF968" s="12" t="s">
        <v>45</v>
      </c>
    </row>
    <row r="969" spans="1:32" x14ac:dyDescent="0.2">
      <c r="A969" s="12" t="s">
        <v>798</v>
      </c>
      <c r="B969" s="12" t="s">
        <v>799</v>
      </c>
      <c r="C969" s="12" t="s">
        <v>17</v>
      </c>
      <c r="D969" s="12" t="s">
        <v>17</v>
      </c>
      <c r="E969" s="12" t="s">
        <v>7678</v>
      </c>
      <c r="F969" s="12" t="s">
        <v>5458</v>
      </c>
      <c r="G969" s="12" t="s">
        <v>615</v>
      </c>
      <c r="H969" s="12" t="s">
        <v>6613</v>
      </c>
      <c r="I969" s="12">
        <v>0</v>
      </c>
      <c r="J969" s="12" t="s">
        <v>164</v>
      </c>
      <c r="K969" s="12" t="s">
        <v>6646</v>
      </c>
      <c r="L969" s="12" t="s">
        <v>617</v>
      </c>
      <c r="M969" s="12" t="s">
        <v>617</v>
      </c>
      <c r="N969" s="12" t="s">
        <v>5785</v>
      </c>
      <c r="O969" s="12" t="s">
        <v>624</v>
      </c>
      <c r="P969" s="12" t="s">
        <v>618</v>
      </c>
      <c r="Q969" s="12" t="s">
        <v>6664</v>
      </c>
      <c r="R969" s="12" t="s">
        <v>17</v>
      </c>
      <c r="S969" s="12" t="s">
        <v>17</v>
      </c>
      <c r="T969" s="12" t="s">
        <v>25</v>
      </c>
      <c r="U969" s="12" t="s">
        <v>17</v>
      </c>
      <c r="V969" s="12" t="s">
        <v>6639</v>
      </c>
      <c r="W969" s="12" t="s">
        <v>6639</v>
      </c>
      <c r="X969" s="12" t="s">
        <v>17</v>
      </c>
      <c r="Y969" s="12">
        <v>1149099</v>
      </c>
      <c r="Z969" s="12" t="s">
        <v>6613</v>
      </c>
      <c r="AA969" s="12" t="s">
        <v>6613</v>
      </c>
      <c r="AB969" s="12" t="s">
        <v>6613</v>
      </c>
      <c r="AC969" s="12" t="s">
        <v>6613</v>
      </c>
      <c r="AD969" s="12" t="s">
        <v>6613</v>
      </c>
      <c r="AE969" s="12" t="s">
        <v>6613</v>
      </c>
      <c r="AF969" s="12" t="s">
        <v>45</v>
      </c>
    </row>
    <row r="970" spans="1:32" x14ac:dyDescent="0.2">
      <c r="A970" s="12" t="s">
        <v>667</v>
      </c>
      <c r="B970" s="12" t="s">
        <v>668</v>
      </c>
      <c r="C970" s="12" t="s">
        <v>17</v>
      </c>
      <c r="D970" s="12" t="s">
        <v>17</v>
      </c>
      <c r="E970" s="12" t="s">
        <v>7678</v>
      </c>
      <c r="F970" s="12" t="s">
        <v>5458</v>
      </c>
      <c r="G970" s="12" t="s">
        <v>615</v>
      </c>
      <c r="H970" s="12" t="s">
        <v>6613</v>
      </c>
      <c r="I970" s="12">
        <v>0</v>
      </c>
      <c r="J970" s="12" t="s">
        <v>164</v>
      </c>
      <c r="K970" s="12" t="s">
        <v>6646</v>
      </c>
      <c r="L970" s="12" t="s">
        <v>617</v>
      </c>
      <c r="M970" s="12" t="s">
        <v>617</v>
      </c>
      <c r="N970" s="12" t="s">
        <v>5785</v>
      </c>
      <c r="O970" s="12" t="s">
        <v>624</v>
      </c>
      <c r="P970" s="12" t="s">
        <v>618</v>
      </c>
      <c r="Q970" s="12" t="s">
        <v>6664</v>
      </c>
      <c r="R970" s="12" t="s">
        <v>17</v>
      </c>
      <c r="S970" s="12" t="s">
        <v>17</v>
      </c>
      <c r="T970" s="12" t="s">
        <v>25</v>
      </c>
      <c r="U970" s="12" t="s">
        <v>17</v>
      </c>
      <c r="V970" s="12" t="s">
        <v>6639</v>
      </c>
      <c r="W970" s="12" t="s">
        <v>6639</v>
      </c>
      <c r="X970" s="12" t="s">
        <v>17</v>
      </c>
      <c r="Y970" s="12">
        <v>1149151</v>
      </c>
      <c r="Z970" s="12" t="s">
        <v>6613</v>
      </c>
      <c r="AA970" s="12" t="s">
        <v>6613</v>
      </c>
      <c r="AB970" s="12" t="s">
        <v>6613</v>
      </c>
      <c r="AC970" s="12" t="s">
        <v>6613</v>
      </c>
      <c r="AD970" s="12" t="s">
        <v>6613</v>
      </c>
      <c r="AE970" s="12" t="s">
        <v>6613</v>
      </c>
      <c r="AF970" s="12" t="s">
        <v>45</v>
      </c>
    </row>
    <row r="971" spans="1:32" x14ac:dyDescent="0.2">
      <c r="A971" s="12" t="s">
        <v>636</v>
      </c>
      <c r="B971" s="12" t="s">
        <v>637</v>
      </c>
      <c r="C971" s="12" t="s">
        <v>17</v>
      </c>
      <c r="D971" s="12" t="s">
        <v>17</v>
      </c>
      <c r="E971" s="12" t="s">
        <v>7678</v>
      </c>
      <c r="F971" s="12" t="s">
        <v>5458</v>
      </c>
      <c r="G971" s="12" t="s">
        <v>615</v>
      </c>
      <c r="H971" s="12" t="s">
        <v>6613</v>
      </c>
      <c r="I971" s="12">
        <v>0</v>
      </c>
      <c r="J971" s="12" t="s">
        <v>164</v>
      </c>
      <c r="K971" s="12" t="s">
        <v>6646</v>
      </c>
      <c r="L971" s="12" t="s">
        <v>617</v>
      </c>
      <c r="M971" s="12" t="s">
        <v>617</v>
      </c>
      <c r="N971" s="12" t="s">
        <v>5785</v>
      </c>
      <c r="O971" s="12" t="s">
        <v>624</v>
      </c>
      <c r="P971" s="12" t="s">
        <v>618</v>
      </c>
      <c r="Q971" s="12" t="s">
        <v>6664</v>
      </c>
      <c r="R971" s="12" t="s">
        <v>17</v>
      </c>
      <c r="S971" s="12" t="s">
        <v>17</v>
      </c>
      <c r="T971" s="12" t="s">
        <v>25</v>
      </c>
      <c r="U971" s="12" t="s">
        <v>17</v>
      </c>
      <c r="V971" s="12" t="s">
        <v>6639</v>
      </c>
      <c r="W971" s="12" t="s">
        <v>6639</v>
      </c>
      <c r="X971" s="12" t="s">
        <v>17</v>
      </c>
      <c r="Y971" s="12">
        <v>1149932</v>
      </c>
      <c r="Z971" s="12" t="s">
        <v>6613</v>
      </c>
      <c r="AA971" s="12" t="s">
        <v>6613</v>
      </c>
      <c r="AB971" s="12" t="s">
        <v>6613</v>
      </c>
      <c r="AC971" s="12" t="s">
        <v>6613</v>
      </c>
      <c r="AD971" s="12" t="s">
        <v>6613</v>
      </c>
      <c r="AE971" s="12" t="s">
        <v>6613</v>
      </c>
      <c r="AF971" s="12" t="s">
        <v>45</v>
      </c>
    </row>
    <row r="972" spans="1:32" x14ac:dyDescent="0.2">
      <c r="A972" s="12" t="s">
        <v>662</v>
      </c>
      <c r="B972" s="12" t="s">
        <v>663</v>
      </c>
      <c r="C972" s="12" t="s">
        <v>17</v>
      </c>
      <c r="D972" s="12" t="s">
        <v>17</v>
      </c>
      <c r="E972" s="12" t="s">
        <v>7678</v>
      </c>
      <c r="F972" s="12" t="s">
        <v>5458</v>
      </c>
      <c r="G972" s="12" t="s">
        <v>615</v>
      </c>
      <c r="H972" s="12" t="s">
        <v>6613</v>
      </c>
      <c r="I972" s="12">
        <v>0</v>
      </c>
      <c r="J972" s="12" t="s">
        <v>164</v>
      </c>
      <c r="K972" s="12" t="s">
        <v>6646</v>
      </c>
      <c r="L972" s="12" t="s">
        <v>617</v>
      </c>
      <c r="M972" s="12" t="s">
        <v>617</v>
      </c>
      <c r="N972" s="12" t="s">
        <v>5785</v>
      </c>
      <c r="O972" s="12" t="s">
        <v>624</v>
      </c>
      <c r="P972" s="12" t="s">
        <v>618</v>
      </c>
      <c r="Q972" s="12" t="s">
        <v>6664</v>
      </c>
      <c r="R972" s="12" t="s">
        <v>17</v>
      </c>
      <c r="S972" s="12" t="s">
        <v>17</v>
      </c>
      <c r="T972" s="12" t="s">
        <v>25</v>
      </c>
      <c r="U972" s="12" t="s">
        <v>17</v>
      </c>
      <c r="V972" s="12" t="s">
        <v>6639</v>
      </c>
      <c r="W972" s="12" t="s">
        <v>6639</v>
      </c>
      <c r="X972" s="12" t="s">
        <v>17</v>
      </c>
      <c r="Y972" s="12">
        <v>1150400</v>
      </c>
      <c r="Z972" s="12" t="s">
        <v>6613</v>
      </c>
      <c r="AA972" s="12" t="s">
        <v>6613</v>
      </c>
      <c r="AB972" s="12" t="s">
        <v>6613</v>
      </c>
      <c r="AC972" s="12" t="s">
        <v>6613</v>
      </c>
      <c r="AD972" s="12" t="s">
        <v>6613</v>
      </c>
      <c r="AE972" s="12" t="s">
        <v>6613</v>
      </c>
      <c r="AF972" s="12" t="s">
        <v>45</v>
      </c>
    </row>
    <row r="973" spans="1:32" x14ac:dyDescent="0.2">
      <c r="A973" s="12" t="s">
        <v>688</v>
      </c>
      <c r="B973" s="12" t="s">
        <v>689</v>
      </c>
      <c r="C973" s="12" t="s">
        <v>17</v>
      </c>
      <c r="D973" s="12" t="s">
        <v>17</v>
      </c>
      <c r="E973" s="12" t="s">
        <v>7678</v>
      </c>
      <c r="F973" s="12" t="s">
        <v>5458</v>
      </c>
      <c r="G973" s="12" t="s">
        <v>615</v>
      </c>
      <c r="H973" s="12" t="s">
        <v>6613</v>
      </c>
      <c r="I973" s="12">
        <v>0</v>
      </c>
      <c r="J973" s="12" t="s">
        <v>164</v>
      </c>
      <c r="K973" s="12" t="s">
        <v>6646</v>
      </c>
      <c r="L973" s="12" t="s">
        <v>617</v>
      </c>
      <c r="M973" s="12" t="s">
        <v>617</v>
      </c>
      <c r="N973" s="12" t="s">
        <v>5785</v>
      </c>
      <c r="O973" s="12" t="s">
        <v>624</v>
      </c>
      <c r="P973" s="12" t="s">
        <v>618</v>
      </c>
      <c r="Q973" s="12" t="s">
        <v>6664</v>
      </c>
      <c r="R973" s="12" t="s">
        <v>17</v>
      </c>
      <c r="S973" s="12" t="s">
        <v>17</v>
      </c>
      <c r="T973" s="12" t="s">
        <v>11</v>
      </c>
      <c r="U973" s="12" t="s">
        <v>17</v>
      </c>
      <c r="V973" s="12" t="s">
        <v>601</v>
      </c>
      <c r="W973" s="12" t="s">
        <v>7415</v>
      </c>
      <c r="X973" s="12" t="s">
        <v>17</v>
      </c>
      <c r="Y973" s="12">
        <v>1151244</v>
      </c>
      <c r="Z973" s="12" t="s">
        <v>6613</v>
      </c>
      <c r="AA973" s="12" t="s">
        <v>6613</v>
      </c>
      <c r="AB973" s="12" t="s">
        <v>6613</v>
      </c>
      <c r="AC973" s="12" t="s">
        <v>6613</v>
      </c>
      <c r="AD973" s="12" t="s">
        <v>6613</v>
      </c>
      <c r="AE973" s="12" t="s">
        <v>6613</v>
      </c>
      <c r="AF973" s="12" t="s">
        <v>45</v>
      </c>
    </row>
    <row r="974" spans="1:32" x14ac:dyDescent="0.2">
      <c r="A974" s="12" t="s">
        <v>753</v>
      </c>
      <c r="B974" s="12" t="s">
        <v>754</v>
      </c>
      <c r="C974" s="12" t="s">
        <v>17</v>
      </c>
      <c r="D974" s="12" t="s">
        <v>17</v>
      </c>
      <c r="E974" s="12" t="s">
        <v>7678</v>
      </c>
      <c r="F974" s="12" t="s">
        <v>5458</v>
      </c>
      <c r="G974" s="12" t="s">
        <v>615</v>
      </c>
      <c r="H974" s="12" t="s">
        <v>6613</v>
      </c>
      <c r="I974" s="12">
        <v>0</v>
      </c>
      <c r="J974" s="12" t="s">
        <v>164</v>
      </c>
      <c r="K974" s="12" t="s">
        <v>6646</v>
      </c>
      <c r="L974" s="12" t="s">
        <v>617</v>
      </c>
      <c r="M974" s="12" t="s">
        <v>617</v>
      </c>
      <c r="N974" s="12" t="s">
        <v>5785</v>
      </c>
      <c r="O974" s="12" t="s">
        <v>624</v>
      </c>
      <c r="P974" s="12" t="s">
        <v>618</v>
      </c>
      <c r="Q974" s="12" t="s">
        <v>6664</v>
      </c>
      <c r="R974" s="12" t="s">
        <v>17</v>
      </c>
      <c r="S974" s="12" t="s">
        <v>17</v>
      </c>
      <c r="T974" s="12" t="s">
        <v>11</v>
      </c>
      <c r="U974" s="12" t="s">
        <v>17</v>
      </c>
      <c r="V974" s="12" t="s">
        <v>755</v>
      </c>
      <c r="W974" s="12" t="s">
        <v>7415</v>
      </c>
      <c r="X974" s="12" t="s">
        <v>17</v>
      </c>
      <c r="Y974" s="12">
        <v>1152445</v>
      </c>
      <c r="Z974" s="12" t="s">
        <v>6613</v>
      </c>
      <c r="AA974" s="12" t="s">
        <v>6613</v>
      </c>
      <c r="AB974" s="12" t="s">
        <v>6613</v>
      </c>
      <c r="AC974" s="12" t="s">
        <v>6613</v>
      </c>
      <c r="AD974" s="12" t="s">
        <v>6613</v>
      </c>
      <c r="AE974" s="12" t="s">
        <v>6613</v>
      </c>
      <c r="AF974" s="12" t="s">
        <v>45</v>
      </c>
    </row>
    <row r="975" spans="1:32" x14ac:dyDescent="0.2">
      <c r="A975" s="12" t="s">
        <v>792</v>
      </c>
      <c r="B975" s="12" t="s">
        <v>793</v>
      </c>
      <c r="C975" s="12" t="s">
        <v>17</v>
      </c>
      <c r="D975" s="12" t="s">
        <v>17</v>
      </c>
      <c r="E975" s="12" t="s">
        <v>7678</v>
      </c>
      <c r="F975" s="12" t="s">
        <v>5458</v>
      </c>
      <c r="G975" s="12" t="s">
        <v>615</v>
      </c>
      <c r="H975" s="12" t="s">
        <v>6613</v>
      </c>
      <c r="I975" s="12">
        <v>0</v>
      </c>
      <c r="J975" s="12" t="s">
        <v>164</v>
      </c>
      <c r="K975" s="12" t="s">
        <v>6646</v>
      </c>
      <c r="L975" s="12" t="s">
        <v>617</v>
      </c>
      <c r="M975" s="12" t="s">
        <v>617</v>
      </c>
      <c r="N975" s="12" t="s">
        <v>5785</v>
      </c>
      <c r="O975" s="12" t="s">
        <v>624</v>
      </c>
      <c r="P975" s="12" t="s">
        <v>618</v>
      </c>
      <c r="Q975" s="12" t="s">
        <v>6664</v>
      </c>
      <c r="R975" s="12" t="s">
        <v>17</v>
      </c>
      <c r="S975" s="12" t="s">
        <v>17</v>
      </c>
      <c r="T975" s="12" t="s">
        <v>11</v>
      </c>
      <c r="U975" s="12" t="s">
        <v>17</v>
      </c>
      <c r="V975" s="12" t="s">
        <v>761</v>
      </c>
      <c r="W975" s="12" t="s">
        <v>7415</v>
      </c>
      <c r="X975" s="12" t="s">
        <v>17</v>
      </c>
      <c r="Y975" s="12">
        <v>1153197</v>
      </c>
      <c r="Z975" s="12" t="s">
        <v>6613</v>
      </c>
      <c r="AA975" s="12" t="s">
        <v>6613</v>
      </c>
      <c r="AB975" s="12" t="s">
        <v>6613</v>
      </c>
      <c r="AC975" s="12" t="s">
        <v>6613</v>
      </c>
      <c r="AD975" s="12" t="s">
        <v>6613</v>
      </c>
      <c r="AE975" s="12" t="s">
        <v>6613</v>
      </c>
      <c r="AF975" s="12" t="s">
        <v>45</v>
      </c>
    </row>
    <row r="976" spans="1:32" x14ac:dyDescent="0.2">
      <c r="A976" s="12" t="s">
        <v>800</v>
      </c>
      <c r="B976" s="12" t="s">
        <v>801</v>
      </c>
      <c r="C976" s="12" t="s">
        <v>17</v>
      </c>
      <c r="D976" s="12" t="s">
        <v>17</v>
      </c>
      <c r="E976" s="12" t="s">
        <v>7678</v>
      </c>
      <c r="F976" s="12" t="s">
        <v>5458</v>
      </c>
      <c r="G976" s="12" t="s">
        <v>615</v>
      </c>
      <c r="H976" s="12" t="s">
        <v>6613</v>
      </c>
      <c r="I976" s="12">
        <v>0</v>
      </c>
      <c r="J976" s="12" t="s">
        <v>164</v>
      </c>
      <c r="K976" s="12" t="s">
        <v>6646</v>
      </c>
      <c r="L976" s="12" t="s">
        <v>617</v>
      </c>
      <c r="M976" s="12" t="s">
        <v>617</v>
      </c>
      <c r="N976" s="12" t="s">
        <v>5785</v>
      </c>
      <c r="O976" s="12" t="s">
        <v>624</v>
      </c>
      <c r="P976" s="12" t="s">
        <v>618</v>
      </c>
      <c r="Q976" s="12" t="s">
        <v>6664</v>
      </c>
      <c r="R976" s="12" t="s">
        <v>17</v>
      </c>
      <c r="S976" s="12" t="s">
        <v>17</v>
      </c>
      <c r="T976" s="12" t="s">
        <v>11</v>
      </c>
      <c r="U976" s="12" t="s">
        <v>17</v>
      </c>
      <c r="V976" s="12" t="s">
        <v>802</v>
      </c>
      <c r="W976" s="12" t="s">
        <v>7415</v>
      </c>
      <c r="X976" s="12" t="s">
        <v>17</v>
      </c>
      <c r="Y976" s="12">
        <v>1155044</v>
      </c>
      <c r="Z976" s="12" t="s">
        <v>6613</v>
      </c>
      <c r="AA976" s="12" t="s">
        <v>6613</v>
      </c>
      <c r="AB976" s="12" t="s">
        <v>6613</v>
      </c>
      <c r="AC976" s="12" t="s">
        <v>6613</v>
      </c>
      <c r="AD976" s="12" t="s">
        <v>6613</v>
      </c>
      <c r="AE976" s="12" t="s">
        <v>6613</v>
      </c>
      <c r="AF976" s="12" t="s">
        <v>45</v>
      </c>
    </row>
    <row r="977" spans="1:32" x14ac:dyDescent="0.2">
      <c r="A977" s="12" t="s">
        <v>759</v>
      </c>
      <c r="B977" s="12" t="s">
        <v>760</v>
      </c>
      <c r="C977" s="12" t="s">
        <v>17</v>
      </c>
      <c r="D977" s="12" t="s">
        <v>17</v>
      </c>
      <c r="E977" s="12" t="s">
        <v>7678</v>
      </c>
      <c r="F977" s="12" t="s">
        <v>5458</v>
      </c>
      <c r="G977" s="12" t="s">
        <v>615</v>
      </c>
      <c r="H977" s="12" t="s">
        <v>6613</v>
      </c>
      <c r="I977" s="12">
        <v>0</v>
      </c>
      <c r="J977" s="12" t="s">
        <v>164</v>
      </c>
      <c r="K977" s="12" t="s">
        <v>6646</v>
      </c>
      <c r="L977" s="12" t="s">
        <v>617</v>
      </c>
      <c r="M977" s="12" t="s">
        <v>617</v>
      </c>
      <c r="N977" s="12" t="s">
        <v>5785</v>
      </c>
      <c r="O977" s="12" t="s">
        <v>624</v>
      </c>
      <c r="P977" s="12" t="s">
        <v>618</v>
      </c>
      <c r="Q977" s="12" t="s">
        <v>6664</v>
      </c>
      <c r="R977" s="12" t="s">
        <v>17</v>
      </c>
      <c r="S977" s="12" t="s">
        <v>17</v>
      </c>
      <c r="T977" s="12" t="s">
        <v>11</v>
      </c>
      <c r="U977" s="12" t="s">
        <v>17</v>
      </c>
      <c r="V977" s="12" t="s">
        <v>761</v>
      </c>
      <c r="W977" s="12" t="s">
        <v>7415</v>
      </c>
      <c r="X977" s="12" t="s">
        <v>17</v>
      </c>
      <c r="Y977" s="12">
        <v>1159255</v>
      </c>
      <c r="Z977" s="12" t="s">
        <v>6613</v>
      </c>
      <c r="AA977" s="12" t="s">
        <v>6613</v>
      </c>
      <c r="AB977" s="12" t="s">
        <v>6613</v>
      </c>
      <c r="AC977" s="12" t="s">
        <v>6613</v>
      </c>
      <c r="AD977" s="12" t="s">
        <v>6613</v>
      </c>
      <c r="AE977" s="12" t="s">
        <v>6613</v>
      </c>
      <c r="AF977" s="12" t="s">
        <v>45</v>
      </c>
    </row>
    <row r="978" spans="1:32" x14ac:dyDescent="0.2">
      <c r="A978" s="12" t="s">
        <v>675</v>
      </c>
      <c r="B978" s="12" t="s">
        <v>676</v>
      </c>
      <c r="C978" s="12" t="s">
        <v>17</v>
      </c>
      <c r="D978" s="12" t="s">
        <v>17</v>
      </c>
      <c r="E978" s="12" t="s">
        <v>7678</v>
      </c>
      <c r="F978" s="12" t="s">
        <v>5458</v>
      </c>
      <c r="G978" s="12" t="s">
        <v>615</v>
      </c>
      <c r="H978" s="12" t="s">
        <v>6613</v>
      </c>
      <c r="I978" s="12">
        <v>0</v>
      </c>
      <c r="J978" s="12" t="s">
        <v>164</v>
      </c>
      <c r="K978" s="12" t="s">
        <v>6646</v>
      </c>
      <c r="L978" s="12" t="s">
        <v>617</v>
      </c>
      <c r="M978" s="12" t="s">
        <v>617</v>
      </c>
      <c r="N978" s="12" t="s">
        <v>5785</v>
      </c>
      <c r="O978" s="12" t="s">
        <v>624</v>
      </c>
      <c r="P978" s="12" t="s">
        <v>618</v>
      </c>
      <c r="Q978" s="12" t="s">
        <v>6664</v>
      </c>
      <c r="R978" s="12" t="s">
        <v>17</v>
      </c>
      <c r="S978" s="12" t="s">
        <v>17</v>
      </c>
      <c r="T978" s="12" t="s">
        <v>11</v>
      </c>
      <c r="U978" s="12" t="s">
        <v>17</v>
      </c>
      <c r="V978" s="12" t="s">
        <v>677</v>
      </c>
      <c r="W978" s="12" t="s">
        <v>7415</v>
      </c>
      <c r="X978" s="12" t="s">
        <v>17</v>
      </c>
      <c r="Y978" s="12">
        <v>1162311</v>
      </c>
      <c r="Z978" s="12" t="s">
        <v>6613</v>
      </c>
      <c r="AA978" s="12" t="s">
        <v>6613</v>
      </c>
      <c r="AB978" s="12" t="s">
        <v>6613</v>
      </c>
      <c r="AC978" s="12" t="s">
        <v>6613</v>
      </c>
      <c r="AD978" s="12" t="s">
        <v>6613</v>
      </c>
      <c r="AE978" s="12" t="s">
        <v>6613</v>
      </c>
      <c r="AF978" s="12" t="s">
        <v>45</v>
      </c>
    </row>
    <row r="979" spans="1:32" x14ac:dyDescent="0.2">
      <c r="A979" s="12" t="s">
        <v>638</v>
      </c>
      <c r="B979" s="12" t="s">
        <v>639</v>
      </c>
      <c r="C979" s="12" t="s">
        <v>17</v>
      </c>
      <c r="D979" s="12" t="s">
        <v>17</v>
      </c>
      <c r="E979" s="12" t="s">
        <v>7678</v>
      </c>
      <c r="F979" s="12" t="s">
        <v>5458</v>
      </c>
      <c r="G979" s="12" t="s">
        <v>615</v>
      </c>
      <c r="H979" s="12" t="s">
        <v>6613</v>
      </c>
      <c r="I979" s="12">
        <v>0</v>
      </c>
      <c r="J979" s="12" t="s">
        <v>164</v>
      </c>
      <c r="K979" s="12" t="s">
        <v>6646</v>
      </c>
      <c r="L979" s="12" t="s">
        <v>617</v>
      </c>
      <c r="M979" s="12" t="s">
        <v>617</v>
      </c>
      <c r="N979" s="12" t="s">
        <v>5785</v>
      </c>
      <c r="O979" s="12" t="s">
        <v>624</v>
      </c>
      <c r="P979" s="12" t="s">
        <v>618</v>
      </c>
      <c r="Q979" s="12" t="s">
        <v>6664</v>
      </c>
      <c r="R979" s="12" t="s">
        <v>17</v>
      </c>
      <c r="S979" s="12" t="s">
        <v>17</v>
      </c>
      <c r="T979" s="12" t="s">
        <v>11</v>
      </c>
      <c r="U979" s="12" t="s">
        <v>17</v>
      </c>
      <c r="V979" s="12" t="s">
        <v>640</v>
      </c>
      <c r="W979" s="12" t="s">
        <v>7415</v>
      </c>
      <c r="X979" s="12" t="s">
        <v>17</v>
      </c>
      <c r="Y979" s="12">
        <v>1163167</v>
      </c>
      <c r="Z979" s="12" t="s">
        <v>6613</v>
      </c>
      <c r="AA979" s="12" t="s">
        <v>6613</v>
      </c>
      <c r="AB979" s="12" t="s">
        <v>6613</v>
      </c>
      <c r="AC979" s="12" t="s">
        <v>6613</v>
      </c>
      <c r="AD979" s="12" t="s">
        <v>6613</v>
      </c>
      <c r="AE979" s="12" t="s">
        <v>6613</v>
      </c>
      <c r="AF979" s="12" t="s">
        <v>45</v>
      </c>
    </row>
    <row r="980" spans="1:32" x14ac:dyDescent="0.2">
      <c r="A980" s="12" t="s">
        <v>717</v>
      </c>
      <c r="B980" s="12" t="s">
        <v>718</v>
      </c>
      <c r="C980" s="12" t="s">
        <v>17</v>
      </c>
      <c r="D980" s="12" t="s">
        <v>17</v>
      </c>
      <c r="E980" s="12" t="s">
        <v>7678</v>
      </c>
      <c r="F980" s="12" t="s">
        <v>5458</v>
      </c>
      <c r="G980" s="12" t="s">
        <v>615</v>
      </c>
      <c r="H980" s="12" t="s">
        <v>6613</v>
      </c>
      <c r="I980" s="12">
        <v>0</v>
      </c>
      <c r="J980" s="12" t="s">
        <v>164</v>
      </c>
      <c r="K980" s="12" t="s">
        <v>6646</v>
      </c>
      <c r="L980" s="12" t="s">
        <v>617</v>
      </c>
      <c r="M980" s="12" t="s">
        <v>617</v>
      </c>
      <c r="N980" s="12" t="s">
        <v>5785</v>
      </c>
      <c r="O980" s="12" t="s">
        <v>624</v>
      </c>
      <c r="P980" s="12" t="s">
        <v>618</v>
      </c>
      <c r="Q980" s="12" t="s">
        <v>6664</v>
      </c>
      <c r="R980" s="12" t="s">
        <v>17</v>
      </c>
      <c r="S980" s="12" t="s">
        <v>17</v>
      </c>
      <c r="T980" s="12" t="s">
        <v>11</v>
      </c>
      <c r="U980" s="12" t="s">
        <v>17</v>
      </c>
      <c r="V980" s="12" t="s">
        <v>631</v>
      </c>
      <c r="W980" s="12" t="s">
        <v>7415</v>
      </c>
      <c r="X980" s="12" t="s">
        <v>17</v>
      </c>
      <c r="Y980" s="12">
        <v>1163260</v>
      </c>
      <c r="Z980" s="12" t="s">
        <v>6613</v>
      </c>
      <c r="AA980" s="12" t="s">
        <v>6613</v>
      </c>
      <c r="AB980" s="12" t="s">
        <v>6613</v>
      </c>
      <c r="AC980" s="12" t="s">
        <v>6613</v>
      </c>
      <c r="AD980" s="12" t="s">
        <v>6613</v>
      </c>
      <c r="AE980" s="12" t="s">
        <v>6613</v>
      </c>
      <c r="AF980" s="12" t="s">
        <v>45</v>
      </c>
    </row>
    <row r="981" spans="1:32" x14ac:dyDescent="0.2">
      <c r="A981" s="12" t="s">
        <v>709</v>
      </c>
      <c r="B981" s="12" t="s">
        <v>710</v>
      </c>
      <c r="C981" s="12" t="s">
        <v>17</v>
      </c>
      <c r="D981" s="12" t="s">
        <v>17</v>
      </c>
      <c r="E981" s="12" t="s">
        <v>7678</v>
      </c>
      <c r="F981" s="12" t="s">
        <v>5458</v>
      </c>
      <c r="G981" s="12" t="s">
        <v>615</v>
      </c>
      <c r="H981" s="12" t="s">
        <v>6613</v>
      </c>
      <c r="I981" s="12">
        <v>0</v>
      </c>
      <c r="J981" s="12" t="s">
        <v>164</v>
      </c>
      <c r="K981" s="12" t="s">
        <v>6646</v>
      </c>
      <c r="L981" s="12" t="s">
        <v>617</v>
      </c>
      <c r="M981" s="12" t="s">
        <v>617</v>
      </c>
      <c r="N981" s="12" t="s">
        <v>5785</v>
      </c>
      <c r="O981" s="12" t="s">
        <v>624</v>
      </c>
      <c r="P981" s="12" t="s">
        <v>618</v>
      </c>
      <c r="Q981" s="12" t="s">
        <v>6664</v>
      </c>
      <c r="R981" s="12" t="s">
        <v>17</v>
      </c>
      <c r="S981" s="12" t="s">
        <v>17</v>
      </c>
      <c r="T981" s="12" t="s">
        <v>11</v>
      </c>
      <c r="U981" s="12" t="s">
        <v>17</v>
      </c>
      <c r="V981" s="12" t="s">
        <v>628</v>
      </c>
      <c r="W981" s="12" t="s">
        <v>7415</v>
      </c>
      <c r="X981" s="12" t="s">
        <v>17</v>
      </c>
      <c r="Y981" s="12">
        <v>1164000</v>
      </c>
      <c r="Z981" s="12" t="s">
        <v>6613</v>
      </c>
      <c r="AA981" s="12" t="s">
        <v>6613</v>
      </c>
      <c r="AB981" s="12" t="s">
        <v>6613</v>
      </c>
      <c r="AC981" s="12" t="s">
        <v>6613</v>
      </c>
      <c r="AD981" s="12" t="s">
        <v>6613</v>
      </c>
      <c r="AE981" s="12" t="s">
        <v>6613</v>
      </c>
      <c r="AF981" s="12" t="s">
        <v>45</v>
      </c>
    </row>
    <row r="982" spans="1:32" x14ac:dyDescent="0.2">
      <c r="A982" s="12" t="s">
        <v>706</v>
      </c>
      <c r="B982" s="12" t="s">
        <v>707</v>
      </c>
      <c r="C982" s="12" t="s">
        <v>17</v>
      </c>
      <c r="D982" s="12" t="s">
        <v>17</v>
      </c>
      <c r="E982" s="12" t="s">
        <v>7678</v>
      </c>
      <c r="F982" s="12" t="s">
        <v>5458</v>
      </c>
      <c r="G982" s="12" t="s">
        <v>615</v>
      </c>
      <c r="H982" s="12" t="s">
        <v>6613</v>
      </c>
      <c r="I982" s="12">
        <v>0</v>
      </c>
      <c r="J982" s="12" t="s">
        <v>164</v>
      </c>
      <c r="K982" s="12" t="s">
        <v>6646</v>
      </c>
      <c r="L982" s="12" t="s">
        <v>617</v>
      </c>
      <c r="M982" s="12" t="s">
        <v>617</v>
      </c>
      <c r="N982" s="12" t="s">
        <v>5785</v>
      </c>
      <c r="O982" s="12" t="s">
        <v>624</v>
      </c>
      <c r="P982" s="12" t="s">
        <v>618</v>
      </c>
      <c r="Q982" s="12" t="s">
        <v>6664</v>
      </c>
      <c r="R982" s="12" t="s">
        <v>17</v>
      </c>
      <c r="S982" s="12" t="s">
        <v>17</v>
      </c>
      <c r="T982" s="12" t="s">
        <v>11</v>
      </c>
      <c r="U982" s="12" t="s">
        <v>17</v>
      </c>
      <c r="V982" s="12" t="s">
        <v>708</v>
      </c>
      <c r="W982" s="12" t="s">
        <v>7415</v>
      </c>
      <c r="X982" s="12" t="s">
        <v>17</v>
      </c>
      <c r="Y982" s="12">
        <v>1164466</v>
      </c>
      <c r="Z982" s="12" t="s">
        <v>6613</v>
      </c>
      <c r="AA982" s="12" t="s">
        <v>6613</v>
      </c>
      <c r="AB982" s="12" t="s">
        <v>6613</v>
      </c>
      <c r="AC982" s="12" t="s">
        <v>6613</v>
      </c>
      <c r="AD982" s="12" t="s">
        <v>6613</v>
      </c>
      <c r="AE982" s="12" t="s">
        <v>6613</v>
      </c>
      <c r="AF982" s="12" t="s">
        <v>45</v>
      </c>
    </row>
    <row r="983" spans="1:32" x14ac:dyDescent="0.2">
      <c r="A983" s="12" t="s">
        <v>721</v>
      </c>
      <c r="B983" s="12" t="s">
        <v>722</v>
      </c>
      <c r="C983" s="12" t="s">
        <v>17</v>
      </c>
      <c r="D983" s="12" t="s">
        <v>17</v>
      </c>
      <c r="E983" s="12" t="s">
        <v>7678</v>
      </c>
      <c r="F983" s="12" t="s">
        <v>5458</v>
      </c>
      <c r="G983" s="12" t="s">
        <v>615</v>
      </c>
      <c r="H983" s="12" t="s">
        <v>6613</v>
      </c>
      <c r="I983" s="12">
        <v>0</v>
      </c>
      <c r="J983" s="12" t="s">
        <v>164</v>
      </c>
      <c r="K983" s="12" t="s">
        <v>6646</v>
      </c>
      <c r="L983" s="12" t="s">
        <v>617</v>
      </c>
      <c r="M983" s="12" t="s">
        <v>617</v>
      </c>
      <c r="N983" s="12" t="s">
        <v>5785</v>
      </c>
      <c r="O983" s="12" t="s">
        <v>624</v>
      </c>
      <c r="P983" s="12" t="s">
        <v>618</v>
      </c>
      <c r="Q983" s="12" t="s">
        <v>6664</v>
      </c>
      <c r="R983" s="12" t="s">
        <v>17</v>
      </c>
      <c r="S983" s="12" t="s">
        <v>17</v>
      </c>
      <c r="T983" s="12" t="s">
        <v>11</v>
      </c>
      <c r="U983" s="12" t="s">
        <v>17</v>
      </c>
      <c r="V983" s="12" t="s">
        <v>723</v>
      </c>
      <c r="W983" s="12" t="s">
        <v>7415</v>
      </c>
      <c r="X983" s="12" t="s">
        <v>17</v>
      </c>
      <c r="Y983" s="12">
        <v>1164742</v>
      </c>
      <c r="Z983" s="12" t="s">
        <v>6613</v>
      </c>
      <c r="AA983" s="12" t="s">
        <v>6613</v>
      </c>
      <c r="AB983" s="12" t="s">
        <v>6613</v>
      </c>
      <c r="AC983" s="12" t="s">
        <v>6613</v>
      </c>
      <c r="AD983" s="12" t="s">
        <v>6613</v>
      </c>
      <c r="AE983" s="12" t="s">
        <v>6613</v>
      </c>
      <c r="AF983" s="12" t="s">
        <v>45</v>
      </c>
    </row>
    <row r="984" spans="1:32" x14ac:dyDescent="0.2">
      <c r="A984" s="12" t="s">
        <v>678</v>
      </c>
      <c r="B984" s="12" t="s">
        <v>679</v>
      </c>
      <c r="C984" s="12" t="s">
        <v>17</v>
      </c>
      <c r="D984" s="12" t="s">
        <v>17</v>
      </c>
      <c r="E984" s="12" t="s">
        <v>7678</v>
      </c>
      <c r="F984" s="12" t="s">
        <v>5458</v>
      </c>
      <c r="G984" s="12" t="s">
        <v>615</v>
      </c>
      <c r="H984" s="12" t="s">
        <v>6613</v>
      </c>
      <c r="I984" s="12">
        <v>0</v>
      </c>
      <c r="J984" s="12" t="s">
        <v>164</v>
      </c>
      <c r="K984" s="12" t="s">
        <v>6646</v>
      </c>
      <c r="L984" s="12" t="s">
        <v>617</v>
      </c>
      <c r="M984" s="12" t="s">
        <v>617</v>
      </c>
      <c r="N984" s="12" t="s">
        <v>5785</v>
      </c>
      <c r="O984" s="12" t="s">
        <v>624</v>
      </c>
      <c r="P984" s="12" t="s">
        <v>618</v>
      </c>
      <c r="Q984" s="12" t="s">
        <v>6664</v>
      </c>
      <c r="R984" s="12" t="s">
        <v>17</v>
      </c>
      <c r="S984" s="12" t="s">
        <v>17</v>
      </c>
      <c r="T984" s="12" t="s">
        <v>11</v>
      </c>
      <c r="U984" s="12" t="s">
        <v>17</v>
      </c>
      <c r="V984" s="12" t="s">
        <v>680</v>
      </c>
      <c r="W984" s="12" t="s">
        <v>7415</v>
      </c>
      <c r="X984" s="12" t="s">
        <v>17</v>
      </c>
      <c r="Y984" s="12">
        <v>1165762</v>
      </c>
      <c r="Z984" s="12" t="s">
        <v>6613</v>
      </c>
      <c r="AA984" s="12" t="s">
        <v>6613</v>
      </c>
      <c r="AB984" s="12" t="s">
        <v>6613</v>
      </c>
      <c r="AC984" s="12" t="s">
        <v>6613</v>
      </c>
      <c r="AD984" s="12" t="s">
        <v>6613</v>
      </c>
      <c r="AE984" s="12" t="s">
        <v>6613</v>
      </c>
      <c r="AF984" s="12" t="s">
        <v>45</v>
      </c>
    </row>
    <row r="985" spans="1:32" x14ac:dyDescent="0.2">
      <c r="A985" s="12" t="s">
        <v>626</v>
      </c>
      <c r="B985" s="12" t="s">
        <v>627</v>
      </c>
      <c r="C985" s="12" t="s">
        <v>17</v>
      </c>
      <c r="D985" s="12" t="s">
        <v>17</v>
      </c>
      <c r="E985" s="12" t="s">
        <v>7678</v>
      </c>
      <c r="F985" s="12" t="s">
        <v>5458</v>
      </c>
      <c r="G985" s="12" t="s">
        <v>615</v>
      </c>
      <c r="H985" s="12" t="s">
        <v>6613</v>
      </c>
      <c r="I985" s="12">
        <v>0</v>
      </c>
      <c r="J985" s="12" t="s">
        <v>164</v>
      </c>
      <c r="K985" s="12" t="s">
        <v>6646</v>
      </c>
      <c r="L985" s="12" t="s">
        <v>617</v>
      </c>
      <c r="M985" s="12" t="s">
        <v>617</v>
      </c>
      <c r="N985" s="12" t="s">
        <v>5785</v>
      </c>
      <c r="O985" s="12" t="s">
        <v>624</v>
      </c>
      <c r="P985" s="12" t="s">
        <v>618</v>
      </c>
      <c r="Q985" s="12" t="s">
        <v>6664</v>
      </c>
      <c r="R985" s="12" t="s">
        <v>17</v>
      </c>
      <c r="S985" s="12" t="s">
        <v>17</v>
      </c>
      <c r="T985" s="12" t="s">
        <v>11</v>
      </c>
      <c r="U985" s="12" t="s">
        <v>17</v>
      </c>
      <c r="V985" s="12" t="s">
        <v>628</v>
      </c>
      <c r="W985" s="12" t="s">
        <v>7415</v>
      </c>
      <c r="X985" s="12" t="s">
        <v>17</v>
      </c>
      <c r="Y985" s="12">
        <v>1166093</v>
      </c>
      <c r="Z985" s="12" t="s">
        <v>6613</v>
      </c>
      <c r="AA985" s="12" t="s">
        <v>6613</v>
      </c>
      <c r="AB985" s="12" t="s">
        <v>6613</v>
      </c>
      <c r="AC985" s="12" t="s">
        <v>6613</v>
      </c>
      <c r="AD985" s="12" t="s">
        <v>6613</v>
      </c>
      <c r="AE985" s="12" t="s">
        <v>6613</v>
      </c>
      <c r="AF985" s="12" t="s">
        <v>45</v>
      </c>
    </row>
    <row r="986" spans="1:32" x14ac:dyDescent="0.2">
      <c r="A986" s="12" t="s">
        <v>629</v>
      </c>
      <c r="B986" s="12" t="s">
        <v>630</v>
      </c>
      <c r="C986" s="12" t="s">
        <v>17</v>
      </c>
      <c r="D986" s="12" t="s">
        <v>17</v>
      </c>
      <c r="E986" s="12" t="s">
        <v>7678</v>
      </c>
      <c r="F986" s="12" t="s">
        <v>5458</v>
      </c>
      <c r="G986" s="12" t="s">
        <v>615</v>
      </c>
      <c r="H986" s="12" t="s">
        <v>6613</v>
      </c>
      <c r="I986" s="12">
        <v>0</v>
      </c>
      <c r="J986" s="12" t="s">
        <v>164</v>
      </c>
      <c r="K986" s="12" t="s">
        <v>6646</v>
      </c>
      <c r="L986" s="12" t="s">
        <v>617</v>
      </c>
      <c r="M986" s="12" t="s">
        <v>617</v>
      </c>
      <c r="N986" s="12" t="s">
        <v>5785</v>
      </c>
      <c r="O986" s="12" t="s">
        <v>624</v>
      </c>
      <c r="P986" s="12" t="s">
        <v>618</v>
      </c>
      <c r="Q986" s="12" t="s">
        <v>6664</v>
      </c>
      <c r="R986" s="12" t="s">
        <v>17</v>
      </c>
      <c r="S986" s="12" t="s">
        <v>17</v>
      </c>
      <c r="T986" s="12" t="s">
        <v>11</v>
      </c>
      <c r="U986" s="12" t="s">
        <v>17</v>
      </c>
      <c r="V986" s="12" t="s">
        <v>631</v>
      </c>
      <c r="W986" s="12" t="s">
        <v>7415</v>
      </c>
      <c r="X986" s="12" t="s">
        <v>17</v>
      </c>
      <c r="Y986" s="12">
        <v>1167075</v>
      </c>
      <c r="Z986" s="12" t="s">
        <v>6613</v>
      </c>
      <c r="AA986" s="12" t="s">
        <v>6613</v>
      </c>
      <c r="AB986" s="12" t="s">
        <v>6613</v>
      </c>
      <c r="AC986" s="12" t="s">
        <v>6613</v>
      </c>
      <c r="AD986" s="12" t="s">
        <v>6613</v>
      </c>
      <c r="AE986" s="12" t="s">
        <v>6613</v>
      </c>
      <c r="AF986" s="12" t="s">
        <v>45</v>
      </c>
    </row>
    <row r="987" spans="1:32" x14ac:dyDescent="0.2">
      <c r="A987" s="12" t="s">
        <v>622</v>
      </c>
      <c r="B987" s="12" t="s">
        <v>623</v>
      </c>
      <c r="C987" s="12" t="s">
        <v>17</v>
      </c>
      <c r="D987" s="12" t="s">
        <v>17</v>
      </c>
      <c r="E987" s="12" t="s">
        <v>7678</v>
      </c>
      <c r="F987" s="12" t="s">
        <v>5458</v>
      </c>
      <c r="G987" s="12" t="s">
        <v>615</v>
      </c>
      <c r="H987" s="12" t="s">
        <v>6613</v>
      </c>
      <c r="I987" s="12">
        <v>0</v>
      </c>
      <c r="J987" s="12" t="s">
        <v>164</v>
      </c>
      <c r="K987" s="12" t="s">
        <v>6646</v>
      </c>
      <c r="L987" s="12" t="s">
        <v>617</v>
      </c>
      <c r="M987" s="12" t="s">
        <v>617</v>
      </c>
      <c r="N987" s="12" t="s">
        <v>5785</v>
      </c>
      <c r="O987" s="12" t="s">
        <v>624</v>
      </c>
      <c r="P987" s="12" t="s">
        <v>618</v>
      </c>
      <c r="Q987" s="12" t="s">
        <v>6664</v>
      </c>
      <c r="R987" s="12" t="s">
        <v>17</v>
      </c>
      <c r="S987" s="12" t="s">
        <v>17</v>
      </c>
      <c r="T987" s="12" t="s">
        <v>11</v>
      </c>
      <c r="U987" s="12" t="s">
        <v>17</v>
      </c>
      <c r="V987" s="12" t="s">
        <v>625</v>
      </c>
      <c r="W987" s="12" t="s">
        <v>7415</v>
      </c>
      <c r="X987" s="12" t="s">
        <v>17</v>
      </c>
      <c r="Y987" s="12">
        <v>1168653</v>
      </c>
      <c r="Z987" s="12" t="s">
        <v>6613</v>
      </c>
      <c r="AA987" s="12" t="s">
        <v>6613</v>
      </c>
      <c r="AB987" s="12" t="s">
        <v>6613</v>
      </c>
      <c r="AC987" s="12" t="s">
        <v>6613</v>
      </c>
      <c r="AD987" s="12" t="s">
        <v>6613</v>
      </c>
      <c r="AE987" s="12" t="s">
        <v>6613</v>
      </c>
      <c r="AF987" s="12" t="s">
        <v>45</v>
      </c>
    </row>
    <row r="988" spans="1:32" x14ac:dyDescent="0.2">
      <c r="A988" s="12" t="s">
        <v>774</v>
      </c>
      <c r="B988" s="12" t="s">
        <v>775</v>
      </c>
      <c r="C988" s="12" t="s">
        <v>17</v>
      </c>
      <c r="D988" s="12" t="s">
        <v>17</v>
      </c>
      <c r="E988" s="12" t="s">
        <v>7678</v>
      </c>
      <c r="F988" s="12" t="s">
        <v>5458</v>
      </c>
      <c r="G988" s="12" t="s">
        <v>615</v>
      </c>
      <c r="H988" s="12" t="s">
        <v>6613</v>
      </c>
      <c r="I988" s="12">
        <v>0</v>
      </c>
      <c r="J988" s="12" t="s">
        <v>164</v>
      </c>
      <c r="K988" s="12" t="s">
        <v>6646</v>
      </c>
      <c r="L988" s="12" t="s">
        <v>617</v>
      </c>
      <c r="M988" s="12" t="s">
        <v>617</v>
      </c>
      <c r="N988" s="12" t="s">
        <v>5785</v>
      </c>
      <c r="O988" s="12" t="s">
        <v>624</v>
      </c>
      <c r="P988" s="12" t="s">
        <v>618</v>
      </c>
      <c r="Q988" s="12" t="s">
        <v>6664</v>
      </c>
      <c r="R988" s="12" t="s">
        <v>17</v>
      </c>
      <c r="S988" s="12" t="s">
        <v>17</v>
      </c>
      <c r="T988" s="12" t="s">
        <v>11</v>
      </c>
      <c r="U988" s="12" t="s">
        <v>17</v>
      </c>
      <c r="V988" s="12" t="s">
        <v>640</v>
      </c>
      <c r="W988" s="12" t="s">
        <v>7415</v>
      </c>
      <c r="X988" s="12" t="s">
        <v>17</v>
      </c>
      <c r="Y988" s="12">
        <v>1169185</v>
      </c>
      <c r="Z988" s="12" t="s">
        <v>6613</v>
      </c>
      <c r="AA988" s="12" t="s">
        <v>6613</v>
      </c>
      <c r="AB988" s="12" t="s">
        <v>6613</v>
      </c>
      <c r="AC988" s="12" t="s">
        <v>6613</v>
      </c>
      <c r="AD988" s="12" t="s">
        <v>6613</v>
      </c>
      <c r="AE988" s="12" t="s">
        <v>6613</v>
      </c>
      <c r="AF988" s="12" t="s">
        <v>45</v>
      </c>
    </row>
    <row r="989" spans="1:32" x14ac:dyDescent="0.2">
      <c r="A989" s="12" t="s">
        <v>766</v>
      </c>
      <c r="B989" s="12" t="s">
        <v>767</v>
      </c>
      <c r="C989" s="12" t="s">
        <v>17</v>
      </c>
      <c r="D989" s="12" t="s">
        <v>17</v>
      </c>
      <c r="E989" s="12" t="s">
        <v>7678</v>
      </c>
      <c r="F989" s="12" t="s">
        <v>5458</v>
      </c>
      <c r="G989" s="12" t="s">
        <v>615</v>
      </c>
      <c r="H989" s="12" t="s">
        <v>6613</v>
      </c>
      <c r="I989" s="12">
        <v>0</v>
      </c>
      <c r="J989" s="12" t="s">
        <v>164</v>
      </c>
      <c r="K989" s="12" t="s">
        <v>6646</v>
      </c>
      <c r="L989" s="12" t="s">
        <v>617</v>
      </c>
      <c r="M989" s="12" t="s">
        <v>617</v>
      </c>
      <c r="N989" s="12" t="s">
        <v>5785</v>
      </c>
      <c r="O989" s="12" t="s">
        <v>624</v>
      </c>
      <c r="P989" s="12" t="s">
        <v>618</v>
      </c>
      <c r="Q989" s="12" t="s">
        <v>6664</v>
      </c>
      <c r="R989" s="12" t="s">
        <v>17</v>
      </c>
      <c r="S989" s="12" t="s">
        <v>17</v>
      </c>
      <c r="T989" s="12" t="s">
        <v>11</v>
      </c>
      <c r="U989" s="12" t="s">
        <v>17</v>
      </c>
      <c r="V989" s="12" t="s">
        <v>768</v>
      </c>
      <c r="W989" s="12" t="s">
        <v>7415</v>
      </c>
      <c r="X989" s="12" t="s">
        <v>17</v>
      </c>
      <c r="Y989" s="12">
        <v>1169917</v>
      </c>
      <c r="Z989" s="12" t="s">
        <v>6613</v>
      </c>
      <c r="AA989" s="12" t="s">
        <v>6613</v>
      </c>
      <c r="AB989" s="12" t="s">
        <v>6613</v>
      </c>
      <c r="AC989" s="12" t="s">
        <v>6613</v>
      </c>
      <c r="AD989" s="12" t="s">
        <v>6613</v>
      </c>
      <c r="AE989" s="12" t="s">
        <v>6613</v>
      </c>
      <c r="AF989" s="12" t="s">
        <v>45</v>
      </c>
    </row>
    <row r="990" spans="1:32" x14ac:dyDescent="0.2">
      <c r="A990" s="12" t="s">
        <v>614</v>
      </c>
      <c r="B990" s="12" t="s">
        <v>616</v>
      </c>
      <c r="C990" s="12" t="s">
        <v>17</v>
      </c>
      <c r="D990" s="12" t="s">
        <v>17</v>
      </c>
      <c r="E990" s="12" t="s">
        <v>7678</v>
      </c>
      <c r="F990" s="12" t="s">
        <v>5458</v>
      </c>
      <c r="G990" s="12" t="s">
        <v>615</v>
      </c>
      <c r="H990" s="12" t="s">
        <v>6613</v>
      </c>
      <c r="I990" s="12">
        <v>0</v>
      </c>
      <c r="J990" s="12" t="s">
        <v>164</v>
      </c>
      <c r="K990" s="12" t="s">
        <v>6646</v>
      </c>
      <c r="L990" s="12" t="s">
        <v>617</v>
      </c>
      <c r="M990" s="12" t="s">
        <v>617</v>
      </c>
      <c r="N990" s="12" t="s">
        <v>5785</v>
      </c>
      <c r="O990" s="12" t="s">
        <v>17</v>
      </c>
      <c r="P990" s="12" t="s">
        <v>618</v>
      </c>
      <c r="Q990" s="12" t="s">
        <v>6664</v>
      </c>
      <c r="R990" s="12">
        <v>23.7</v>
      </c>
      <c r="S990" s="12">
        <v>90.4</v>
      </c>
      <c r="T990" s="12" t="s">
        <v>11</v>
      </c>
      <c r="U990" s="12" t="s">
        <v>17</v>
      </c>
      <c r="V990" s="12" t="s">
        <v>619</v>
      </c>
      <c r="W990" s="12" t="s">
        <v>7415</v>
      </c>
      <c r="X990" s="12" t="s">
        <v>17</v>
      </c>
      <c r="Y990" s="12">
        <v>1170254</v>
      </c>
      <c r="Z990" s="12" t="s">
        <v>6613</v>
      </c>
      <c r="AA990" s="12" t="s">
        <v>6613</v>
      </c>
      <c r="AB990" s="12" t="s">
        <v>6613</v>
      </c>
      <c r="AC990" s="12" t="s">
        <v>6613</v>
      </c>
      <c r="AD990" s="12" t="s">
        <v>6613</v>
      </c>
      <c r="AE990" s="12" t="s">
        <v>6613</v>
      </c>
      <c r="AF990" s="12" t="s">
        <v>45</v>
      </c>
    </row>
    <row r="991" spans="1:32" x14ac:dyDescent="0.2">
      <c r="A991" s="12" t="s">
        <v>731</v>
      </c>
      <c r="B991" s="12" t="s">
        <v>732</v>
      </c>
      <c r="C991" s="12" t="s">
        <v>17</v>
      </c>
      <c r="D991" s="12" t="s">
        <v>17</v>
      </c>
      <c r="E991" s="12" t="s">
        <v>7678</v>
      </c>
      <c r="F991" s="12" t="s">
        <v>5458</v>
      </c>
      <c r="G991" s="12" t="s">
        <v>615</v>
      </c>
      <c r="H991" s="12" t="s">
        <v>6613</v>
      </c>
      <c r="I991" s="12">
        <v>0</v>
      </c>
      <c r="J991" s="12" t="s">
        <v>164</v>
      </c>
      <c r="K991" s="12" t="s">
        <v>6646</v>
      </c>
      <c r="L991" s="12" t="s">
        <v>617</v>
      </c>
      <c r="M991" s="12" t="s">
        <v>617</v>
      </c>
      <c r="N991" s="12" t="s">
        <v>5785</v>
      </c>
      <c r="O991" s="12" t="s">
        <v>624</v>
      </c>
      <c r="P991" s="12" t="s">
        <v>618</v>
      </c>
      <c r="Q991" s="12" t="s">
        <v>6664</v>
      </c>
      <c r="R991" s="12" t="s">
        <v>17</v>
      </c>
      <c r="S991" s="12" t="s">
        <v>17</v>
      </c>
      <c r="T991" s="12" t="s">
        <v>11</v>
      </c>
      <c r="U991" s="12" t="s">
        <v>17</v>
      </c>
      <c r="V991" s="12" t="s">
        <v>413</v>
      </c>
      <c r="W991" s="12" t="s">
        <v>7415</v>
      </c>
      <c r="X991" s="12" t="s">
        <v>17</v>
      </c>
      <c r="Y991" s="12">
        <v>1170966</v>
      </c>
      <c r="Z991" s="12" t="s">
        <v>6613</v>
      </c>
      <c r="AA991" s="12" t="s">
        <v>6613</v>
      </c>
      <c r="AB991" s="12" t="s">
        <v>6613</v>
      </c>
      <c r="AC991" s="12" t="s">
        <v>6613</v>
      </c>
      <c r="AD991" s="12" t="s">
        <v>6613</v>
      </c>
      <c r="AE991" s="12" t="s">
        <v>6613</v>
      </c>
      <c r="AF991" s="12" t="s">
        <v>45</v>
      </c>
    </row>
    <row r="992" spans="1:32" x14ac:dyDescent="0.2">
      <c r="A992" s="12" t="s">
        <v>641</v>
      </c>
      <c r="B992" s="12" t="s">
        <v>642</v>
      </c>
      <c r="C992" s="12" t="s">
        <v>17</v>
      </c>
      <c r="D992" s="12" t="s">
        <v>17</v>
      </c>
      <c r="E992" s="12" t="s">
        <v>7678</v>
      </c>
      <c r="F992" s="12" t="s">
        <v>5458</v>
      </c>
      <c r="G992" s="12" t="s">
        <v>615</v>
      </c>
      <c r="H992" s="12" t="s">
        <v>6613</v>
      </c>
      <c r="I992" s="12">
        <v>0</v>
      </c>
      <c r="J992" s="12" t="s">
        <v>164</v>
      </c>
      <c r="K992" s="12" t="s">
        <v>6646</v>
      </c>
      <c r="L992" s="12" t="s">
        <v>617</v>
      </c>
      <c r="M992" s="12" t="s">
        <v>617</v>
      </c>
      <c r="N992" s="12" t="s">
        <v>5785</v>
      </c>
      <c r="O992" s="12" t="s">
        <v>624</v>
      </c>
      <c r="P992" s="12" t="s">
        <v>618</v>
      </c>
      <c r="Q992" s="12" t="s">
        <v>6664</v>
      </c>
      <c r="R992" s="12" t="s">
        <v>17</v>
      </c>
      <c r="S992" s="12" t="s">
        <v>17</v>
      </c>
      <c r="T992" s="12" t="s">
        <v>11</v>
      </c>
      <c r="U992" s="12" t="s">
        <v>17</v>
      </c>
      <c r="V992" s="12" t="s">
        <v>643</v>
      </c>
      <c r="W992" s="12" t="s">
        <v>7415</v>
      </c>
      <c r="X992" s="12" t="s">
        <v>17</v>
      </c>
      <c r="Y992" s="12">
        <v>1171667</v>
      </c>
      <c r="Z992" s="12" t="s">
        <v>6613</v>
      </c>
      <c r="AA992" s="12" t="s">
        <v>6613</v>
      </c>
      <c r="AB992" s="12" t="s">
        <v>6613</v>
      </c>
      <c r="AC992" s="12" t="s">
        <v>6613</v>
      </c>
      <c r="AD992" s="12" t="s">
        <v>6613</v>
      </c>
      <c r="AE992" s="12" t="s">
        <v>6613</v>
      </c>
      <c r="AF992" s="12" t="s">
        <v>45</v>
      </c>
    </row>
    <row r="993" spans="1:32" x14ac:dyDescent="0.2">
      <c r="A993" s="12" t="s">
        <v>726</v>
      </c>
      <c r="B993" s="12" t="s">
        <v>727</v>
      </c>
      <c r="C993" s="12" t="s">
        <v>17</v>
      </c>
      <c r="D993" s="12" t="s">
        <v>17</v>
      </c>
      <c r="E993" s="12" t="s">
        <v>7678</v>
      </c>
      <c r="F993" s="12" t="s">
        <v>5458</v>
      </c>
      <c r="G993" s="12" t="s">
        <v>615</v>
      </c>
      <c r="H993" s="12" t="s">
        <v>6613</v>
      </c>
      <c r="I993" s="12">
        <v>0</v>
      </c>
      <c r="J993" s="12" t="s">
        <v>164</v>
      </c>
      <c r="K993" s="12" t="s">
        <v>6646</v>
      </c>
      <c r="L993" s="12" t="s">
        <v>617</v>
      </c>
      <c r="M993" s="12" t="s">
        <v>617</v>
      </c>
      <c r="N993" s="12" t="s">
        <v>5785</v>
      </c>
      <c r="O993" s="12" t="s">
        <v>624</v>
      </c>
      <c r="P993" s="12" t="s">
        <v>618</v>
      </c>
      <c r="Q993" s="12" t="s">
        <v>6664</v>
      </c>
      <c r="R993" s="12" t="s">
        <v>17</v>
      </c>
      <c r="S993" s="12" t="s">
        <v>17</v>
      </c>
      <c r="T993" s="12" t="s">
        <v>11</v>
      </c>
      <c r="U993" s="12" t="s">
        <v>17</v>
      </c>
      <c r="V993" s="12" t="s">
        <v>728</v>
      </c>
      <c r="W993" s="12" t="s">
        <v>7415</v>
      </c>
      <c r="X993" s="12" t="s">
        <v>17</v>
      </c>
      <c r="Y993" s="12">
        <v>1171868</v>
      </c>
      <c r="Z993" s="12" t="s">
        <v>6613</v>
      </c>
      <c r="AA993" s="12" t="s">
        <v>6613</v>
      </c>
      <c r="AB993" s="12" t="s">
        <v>6613</v>
      </c>
      <c r="AC993" s="12" t="s">
        <v>6613</v>
      </c>
      <c r="AD993" s="12" t="s">
        <v>6613</v>
      </c>
      <c r="AE993" s="12" t="s">
        <v>6613</v>
      </c>
      <c r="AF993" s="12" t="s">
        <v>45</v>
      </c>
    </row>
    <row r="994" spans="1:32" x14ac:dyDescent="0.2">
      <c r="A994" s="12" t="s">
        <v>699</v>
      </c>
      <c r="B994" s="12" t="s">
        <v>700</v>
      </c>
      <c r="C994" s="12" t="s">
        <v>17</v>
      </c>
      <c r="D994" s="12" t="s">
        <v>17</v>
      </c>
      <c r="E994" s="12" t="s">
        <v>7678</v>
      </c>
      <c r="F994" s="12" t="s">
        <v>5458</v>
      </c>
      <c r="G994" s="12" t="s">
        <v>615</v>
      </c>
      <c r="H994" s="12" t="s">
        <v>6613</v>
      </c>
      <c r="I994" s="12">
        <v>0</v>
      </c>
      <c r="J994" s="12" t="s">
        <v>164</v>
      </c>
      <c r="K994" s="12" t="s">
        <v>6646</v>
      </c>
      <c r="L994" s="12" t="s">
        <v>617</v>
      </c>
      <c r="M994" s="12" t="s">
        <v>617</v>
      </c>
      <c r="N994" s="12" t="s">
        <v>5785</v>
      </c>
      <c r="O994" s="12" t="s">
        <v>624</v>
      </c>
      <c r="P994" s="12" t="s">
        <v>618</v>
      </c>
      <c r="Q994" s="12" t="s">
        <v>6664</v>
      </c>
      <c r="R994" s="12" t="s">
        <v>17</v>
      </c>
      <c r="S994" s="12" t="s">
        <v>17</v>
      </c>
      <c r="T994" s="12" t="s">
        <v>11</v>
      </c>
      <c r="U994" s="12" t="s">
        <v>17</v>
      </c>
      <c r="V994" s="12" t="s">
        <v>701</v>
      </c>
      <c r="W994" s="12" t="s">
        <v>7415</v>
      </c>
      <c r="X994" s="12" t="s">
        <v>17</v>
      </c>
      <c r="Y994" s="12">
        <v>1171891</v>
      </c>
      <c r="Z994" s="12" t="s">
        <v>6613</v>
      </c>
      <c r="AA994" s="12" t="s">
        <v>6613</v>
      </c>
      <c r="AB994" s="12" t="s">
        <v>6613</v>
      </c>
      <c r="AC994" s="12" t="s">
        <v>6613</v>
      </c>
      <c r="AD994" s="12" t="s">
        <v>6613</v>
      </c>
      <c r="AE994" s="12" t="s">
        <v>6613</v>
      </c>
      <c r="AF994" s="12" t="s">
        <v>45</v>
      </c>
    </row>
    <row r="995" spans="1:32" x14ac:dyDescent="0.2">
      <c r="A995" s="12" t="s">
        <v>651</v>
      </c>
      <c r="B995" s="12" t="s">
        <v>652</v>
      </c>
      <c r="C995" s="12" t="s">
        <v>17</v>
      </c>
      <c r="D995" s="12" t="s">
        <v>17</v>
      </c>
      <c r="E995" s="12" t="s">
        <v>7678</v>
      </c>
      <c r="F995" s="12" t="s">
        <v>5458</v>
      </c>
      <c r="G995" s="12" t="s">
        <v>615</v>
      </c>
      <c r="H995" s="12" t="s">
        <v>6613</v>
      </c>
      <c r="I995" s="12">
        <v>0</v>
      </c>
      <c r="J995" s="12" t="s">
        <v>164</v>
      </c>
      <c r="K995" s="12" t="s">
        <v>6646</v>
      </c>
      <c r="L995" s="12" t="s">
        <v>617</v>
      </c>
      <c r="M995" s="12" t="s">
        <v>617</v>
      </c>
      <c r="N995" s="12" t="s">
        <v>5785</v>
      </c>
      <c r="O995" s="12" t="s">
        <v>624</v>
      </c>
      <c r="P995" s="12" t="s">
        <v>618</v>
      </c>
      <c r="Q995" s="12" t="s">
        <v>6664</v>
      </c>
      <c r="R995" s="12" t="s">
        <v>17</v>
      </c>
      <c r="S995" s="12" t="s">
        <v>17</v>
      </c>
      <c r="T995" s="12" t="s">
        <v>11</v>
      </c>
      <c r="U995" s="12" t="s">
        <v>17</v>
      </c>
      <c r="V995" s="12" t="s">
        <v>653</v>
      </c>
      <c r="W995" s="12" t="s">
        <v>7415</v>
      </c>
      <c r="X995" s="12" t="s">
        <v>17</v>
      </c>
      <c r="Y995" s="12">
        <v>1174414</v>
      </c>
      <c r="Z995" s="12" t="s">
        <v>6613</v>
      </c>
      <c r="AA995" s="12" t="s">
        <v>6613</v>
      </c>
      <c r="AB995" s="12" t="s">
        <v>6613</v>
      </c>
      <c r="AC995" s="12" t="s">
        <v>6613</v>
      </c>
      <c r="AD995" s="12" t="s">
        <v>6613</v>
      </c>
      <c r="AE995" s="12" t="s">
        <v>6613</v>
      </c>
      <c r="AF995" s="12" t="s">
        <v>45</v>
      </c>
    </row>
    <row r="996" spans="1:32" x14ac:dyDescent="0.2">
      <c r="A996" s="12" t="s">
        <v>713</v>
      </c>
      <c r="B996" s="12" t="s">
        <v>714</v>
      </c>
      <c r="C996" s="12" t="s">
        <v>17</v>
      </c>
      <c r="D996" s="12" t="s">
        <v>17</v>
      </c>
      <c r="E996" s="12" t="s">
        <v>7678</v>
      </c>
      <c r="F996" s="12" t="s">
        <v>5458</v>
      </c>
      <c r="G996" s="12" t="s">
        <v>615</v>
      </c>
      <c r="H996" s="12" t="s">
        <v>6613</v>
      </c>
      <c r="I996" s="12">
        <v>0</v>
      </c>
      <c r="J996" s="12" t="s">
        <v>164</v>
      </c>
      <c r="K996" s="12" t="s">
        <v>6646</v>
      </c>
      <c r="L996" s="12" t="s">
        <v>617</v>
      </c>
      <c r="M996" s="12" t="s">
        <v>617</v>
      </c>
      <c r="N996" s="12" t="s">
        <v>5785</v>
      </c>
      <c r="O996" s="12" t="s">
        <v>624</v>
      </c>
      <c r="P996" s="12" t="s">
        <v>618</v>
      </c>
      <c r="Q996" s="12" t="s">
        <v>6664</v>
      </c>
      <c r="R996" s="12" t="s">
        <v>17</v>
      </c>
      <c r="S996" s="12" t="s">
        <v>17</v>
      </c>
      <c r="T996" s="12" t="s">
        <v>11</v>
      </c>
      <c r="U996" s="12" t="s">
        <v>17</v>
      </c>
      <c r="V996" s="12" t="s">
        <v>619</v>
      </c>
      <c r="W996" s="12" t="s">
        <v>7415</v>
      </c>
      <c r="X996" s="12" t="s">
        <v>17</v>
      </c>
      <c r="Y996" s="12">
        <v>1176226</v>
      </c>
      <c r="Z996" s="12" t="s">
        <v>6613</v>
      </c>
      <c r="AA996" s="12" t="s">
        <v>6613</v>
      </c>
      <c r="AB996" s="12" t="s">
        <v>6613</v>
      </c>
      <c r="AC996" s="12" t="s">
        <v>6613</v>
      </c>
      <c r="AD996" s="12" t="s">
        <v>6613</v>
      </c>
      <c r="AE996" s="12" t="s">
        <v>6613</v>
      </c>
      <c r="AF996" s="12" t="s">
        <v>45</v>
      </c>
    </row>
    <row r="997" spans="1:32" x14ac:dyDescent="0.2">
      <c r="A997" s="12" t="s">
        <v>683</v>
      </c>
      <c r="B997" s="12" t="s">
        <v>684</v>
      </c>
      <c r="C997" s="12" t="s">
        <v>17</v>
      </c>
      <c r="D997" s="12" t="s">
        <v>17</v>
      </c>
      <c r="E997" s="12" t="s">
        <v>7678</v>
      </c>
      <c r="F997" s="12" t="s">
        <v>5458</v>
      </c>
      <c r="G997" s="12" t="s">
        <v>615</v>
      </c>
      <c r="H997" s="12" t="s">
        <v>6613</v>
      </c>
      <c r="I997" s="12">
        <v>0</v>
      </c>
      <c r="J997" s="12" t="s">
        <v>164</v>
      </c>
      <c r="K997" s="12" t="s">
        <v>6646</v>
      </c>
      <c r="L997" s="12" t="s">
        <v>617</v>
      </c>
      <c r="M997" s="12" t="s">
        <v>617</v>
      </c>
      <c r="N997" s="12" t="s">
        <v>5785</v>
      </c>
      <c r="O997" s="12" t="s">
        <v>624</v>
      </c>
      <c r="P997" s="12" t="s">
        <v>618</v>
      </c>
      <c r="Q997" s="12" t="s">
        <v>6664</v>
      </c>
      <c r="R997" s="12" t="s">
        <v>17</v>
      </c>
      <c r="S997" s="12" t="s">
        <v>17</v>
      </c>
      <c r="T997" s="12" t="s">
        <v>11</v>
      </c>
      <c r="U997" s="12" t="s">
        <v>17</v>
      </c>
      <c r="V997" s="12" t="s">
        <v>685</v>
      </c>
      <c r="W997" s="12" t="s">
        <v>7415</v>
      </c>
      <c r="X997" s="12" t="s">
        <v>17</v>
      </c>
      <c r="Y997" s="12">
        <v>1177215</v>
      </c>
      <c r="Z997" s="12" t="s">
        <v>6613</v>
      </c>
      <c r="AA997" s="12" t="s">
        <v>6613</v>
      </c>
      <c r="AB997" s="12" t="s">
        <v>6613</v>
      </c>
      <c r="AC997" s="12" t="s">
        <v>6613</v>
      </c>
      <c r="AD997" s="12" t="s">
        <v>6613</v>
      </c>
      <c r="AE997" s="12" t="s">
        <v>6613</v>
      </c>
      <c r="AF997" s="12" t="s">
        <v>45</v>
      </c>
    </row>
    <row r="998" spans="1:32" x14ac:dyDescent="0.2">
      <c r="A998" s="12" t="s">
        <v>660</v>
      </c>
      <c r="B998" s="12" t="s">
        <v>661</v>
      </c>
      <c r="C998" s="12" t="s">
        <v>17</v>
      </c>
      <c r="D998" s="12" t="s">
        <v>17</v>
      </c>
      <c r="E998" s="12" t="s">
        <v>7678</v>
      </c>
      <c r="F998" s="12" t="s">
        <v>5458</v>
      </c>
      <c r="G998" s="12" t="s">
        <v>615</v>
      </c>
      <c r="H998" s="12" t="s">
        <v>6613</v>
      </c>
      <c r="I998" s="12">
        <v>0</v>
      </c>
      <c r="J998" s="12" t="s">
        <v>164</v>
      </c>
      <c r="K998" s="12" t="s">
        <v>6646</v>
      </c>
      <c r="L998" s="12" t="s">
        <v>617</v>
      </c>
      <c r="M998" s="12" t="s">
        <v>617</v>
      </c>
      <c r="N998" s="12" t="s">
        <v>5785</v>
      </c>
      <c r="O998" s="12" t="s">
        <v>624</v>
      </c>
      <c r="P998" s="12" t="s">
        <v>618</v>
      </c>
      <c r="Q998" s="12" t="s">
        <v>6664</v>
      </c>
      <c r="R998" s="12" t="s">
        <v>17</v>
      </c>
      <c r="S998" s="12" t="s">
        <v>17</v>
      </c>
      <c r="T998" s="12" t="s">
        <v>11</v>
      </c>
      <c r="U998" s="12" t="s">
        <v>17</v>
      </c>
      <c r="V998" s="12" t="s">
        <v>628</v>
      </c>
      <c r="W998" s="12" t="s">
        <v>7415</v>
      </c>
      <c r="X998" s="12" t="s">
        <v>17</v>
      </c>
      <c r="Y998" s="12">
        <v>1177710</v>
      </c>
      <c r="Z998" s="12" t="s">
        <v>6613</v>
      </c>
      <c r="AA998" s="12" t="s">
        <v>6613</v>
      </c>
      <c r="AB998" s="12" t="s">
        <v>6613</v>
      </c>
      <c r="AC998" s="12" t="s">
        <v>6613</v>
      </c>
      <c r="AD998" s="12" t="s">
        <v>6613</v>
      </c>
      <c r="AE998" s="12" t="s">
        <v>6613</v>
      </c>
      <c r="AF998" s="12" t="s">
        <v>45</v>
      </c>
    </row>
    <row r="999" spans="1:32" x14ac:dyDescent="0.2">
      <c r="A999" s="12" t="s">
        <v>810</v>
      </c>
      <c r="B999" s="12" t="s">
        <v>811</v>
      </c>
      <c r="C999" s="12" t="s">
        <v>17</v>
      </c>
      <c r="D999" s="12" t="s">
        <v>17</v>
      </c>
      <c r="E999" s="12" t="s">
        <v>7678</v>
      </c>
      <c r="F999" s="12" t="s">
        <v>5458</v>
      </c>
      <c r="G999" s="12" t="s">
        <v>615</v>
      </c>
      <c r="H999" s="12" t="s">
        <v>6613</v>
      </c>
      <c r="I999" s="12">
        <v>0</v>
      </c>
      <c r="J999" s="12" t="s">
        <v>164</v>
      </c>
      <c r="K999" s="12" t="s">
        <v>6646</v>
      </c>
      <c r="L999" s="12" t="s">
        <v>617</v>
      </c>
      <c r="M999" s="12" t="s">
        <v>617</v>
      </c>
      <c r="N999" s="12" t="s">
        <v>5785</v>
      </c>
      <c r="O999" s="12" t="s">
        <v>624</v>
      </c>
      <c r="P999" s="12" t="s">
        <v>618</v>
      </c>
      <c r="Q999" s="12" t="s">
        <v>6664</v>
      </c>
      <c r="R999" s="16" t="s">
        <v>17</v>
      </c>
      <c r="S999" s="16" t="s">
        <v>17</v>
      </c>
      <c r="T999" s="12" t="s">
        <v>11</v>
      </c>
      <c r="U999" s="12" t="s">
        <v>17</v>
      </c>
      <c r="V999" s="12" t="s">
        <v>812</v>
      </c>
      <c r="W999" s="12" t="s">
        <v>7415</v>
      </c>
      <c r="X999" s="12" t="s">
        <v>17</v>
      </c>
      <c r="Y999" s="12">
        <v>1177796</v>
      </c>
      <c r="Z999" s="12" t="s">
        <v>6613</v>
      </c>
      <c r="AA999" s="12" t="s">
        <v>6613</v>
      </c>
      <c r="AB999" s="12" t="s">
        <v>6613</v>
      </c>
      <c r="AC999" s="12" t="s">
        <v>6613</v>
      </c>
      <c r="AD999" s="12" t="s">
        <v>6613</v>
      </c>
      <c r="AE999" s="12" t="s">
        <v>6613</v>
      </c>
      <c r="AF999" s="12" t="s">
        <v>45</v>
      </c>
    </row>
    <row r="1000" spans="1:32" x14ac:dyDescent="0.2">
      <c r="A1000" s="12" t="s">
        <v>648</v>
      </c>
      <c r="B1000" s="12" t="s">
        <v>649</v>
      </c>
      <c r="C1000" s="12" t="s">
        <v>17</v>
      </c>
      <c r="D1000" s="12" t="s">
        <v>17</v>
      </c>
      <c r="E1000" s="12" t="s">
        <v>7678</v>
      </c>
      <c r="F1000" s="12" t="s">
        <v>5458</v>
      </c>
      <c r="G1000" s="12" t="s">
        <v>615</v>
      </c>
      <c r="H1000" s="12" t="s">
        <v>6613</v>
      </c>
      <c r="I1000" s="12">
        <v>0</v>
      </c>
      <c r="J1000" s="12" t="s">
        <v>164</v>
      </c>
      <c r="K1000" s="12" t="s">
        <v>6646</v>
      </c>
      <c r="L1000" s="12" t="s">
        <v>617</v>
      </c>
      <c r="M1000" s="12" t="s">
        <v>617</v>
      </c>
      <c r="N1000" s="12" t="s">
        <v>5785</v>
      </c>
      <c r="O1000" s="12" t="s">
        <v>624</v>
      </c>
      <c r="P1000" s="12" t="s">
        <v>618</v>
      </c>
      <c r="Q1000" s="12" t="s">
        <v>6664</v>
      </c>
      <c r="R1000" s="12" t="s">
        <v>17</v>
      </c>
      <c r="S1000" s="12" t="s">
        <v>17</v>
      </c>
      <c r="T1000" s="12" t="s">
        <v>11</v>
      </c>
      <c r="U1000" s="12" t="s">
        <v>17</v>
      </c>
      <c r="V1000" s="12" t="s">
        <v>650</v>
      </c>
      <c r="W1000" s="12" t="s">
        <v>7415</v>
      </c>
      <c r="X1000" s="12" t="s">
        <v>17</v>
      </c>
      <c r="Y1000" s="12">
        <v>1178012</v>
      </c>
      <c r="Z1000" s="12" t="s">
        <v>6613</v>
      </c>
      <c r="AA1000" s="12" t="s">
        <v>6613</v>
      </c>
      <c r="AB1000" s="12" t="s">
        <v>6613</v>
      </c>
      <c r="AC1000" s="12" t="s">
        <v>6613</v>
      </c>
      <c r="AD1000" s="12" t="s">
        <v>6613</v>
      </c>
      <c r="AE1000" s="12" t="s">
        <v>6613</v>
      </c>
      <c r="AF1000" s="12" t="s">
        <v>45</v>
      </c>
    </row>
    <row r="1001" spans="1:32" x14ac:dyDescent="0.2">
      <c r="A1001" s="12" t="s">
        <v>692</v>
      </c>
      <c r="B1001" s="12" t="s">
        <v>693</v>
      </c>
      <c r="C1001" s="12" t="s">
        <v>17</v>
      </c>
      <c r="D1001" s="12" t="s">
        <v>17</v>
      </c>
      <c r="E1001" s="12" t="s">
        <v>7678</v>
      </c>
      <c r="F1001" s="12" t="s">
        <v>5458</v>
      </c>
      <c r="G1001" s="12" t="s">
        <v>615</v>
      </c>
      <c r="H1001" s="12" t="s">
        <v>6613</v>
      </c>
      <c r="I1001" s="12">
        <v>0</v>
      </c>
      <c r="J1001" s="12" t="s">
        <v>164</v>
      </c>
      <c r="K1001" s="12" t="s">
        <v>6646</v>
      </c>
      <c r="L1001" s="12" t="s">
        <v>617</v>
      </c>
      <c r="M1001" s="12" t="s">
        <v>617</v>
      </c>
      <c r="N1001" s="12" t="s">
        <v>5785</v>
      </c>
      <c r="O1001" s="12" t="s">
        <v>624</v>
      </c>
      <c r="P1001" s="12" t="s">
        <v>618</v>
      </c>
      <c r="Q1001" s="12" t="s">
        <v>6664</v>
      </c>
      <c r="R1001" s="12" t="s">
        <v>17</v>
      </c>
      <c r="S1001" s="12" t="s">
        <v>17</v>
      </c>
      <c r="T1001" s="12" t="s">
        <v>11</v>
      </c>
      <c r="U1001" s="12" t="s">
        <v>17</v>
      </c>
      <c r="V1001" s="12" t="s">
        <v>694</v>
      </c>
      <c r="W1001" s="12" t="s">
        <v>7415</v>
      </c>
      <c r="X1001" s="12" t="s">
        <v>17</v>
      </c>
      <c r="Y1001" s="12">
        <v>1178262</v>
      </c>
      <c r="Z1001" s="12" t="s">
        <v>6613</v>
      </c>
      <c r="AA1001" s="12" t="s">
        <v>6613</v>
      </c>
      <c r="AB1001" s="12" t="s">
        <v>6613</v>
      </c>
      <c r="AC1001" s="12" t="s">
        <v>6613</v>
      </c>
      <c r="AD1001" s="12" t="s">
        <v>6613</v>
      </c>
      <c r="AE1001" s="12" t="s">
        <v>6613</v>
      </c>
      <c r="AF1001" s="12" t="s">
        <v>45</v>
      </c>
    </row>
    <row r="1002" spans="1:32" x14ac:dyDescent="0.2">
      <c r="A1002" s="12" t="s">
        <v>794</v>
      </c>
      <c r="B1002" s="12" t="s">
        <v>795</v>
      </c>
      <c r="C1002" s="12" t="s">
        <v>17</v>
      </c>
      <c r="D1002" s="12" t="s">
        <v>17</v>
      </c>
      <c r="E1002" s="12" t="s">
        <v>7678</v>
      </c>
      <c r="F1002" s="12" t="s">
        <v>5458</v>
      </c>
      <c r="G1002" s="12" t="s">
        <v>615</v>
      </c>
      <c r="H1002" s="12" t="s">
        <v>6613</v>
      </c>
      <c r="I1002" s="12">
        <v>0</v>
      </c>
      <c r="J1002" s="12" t="s">
        <v>164</v>
      </c>
      <c r="K1002" s="12" t="s">
        <v>6646</v>
      </c>
      <c r="L1002" s="12" t="s">
        <v>617</v>
      </c>
      <c r="M1002" s="12" t="s">
        <v>617</v>
      </c>
      <c r="N1002" s="12" t="s">
        <v>5785</v>
      </c>
      <c r="O1002" s="12" t="s">
        <v>624</v>
      </c>
      <c r="P1002" s="12" t="s">
        <v>618</v>
      </c>
      <c r="Q1002" s="12" t="s">
        <v>6664</v>
      </c>
      <c r="R1002" s="12" t="s">
        <v>17</v>
      </c>
      <c r="S1002" s="12" t="s">
        <v>17</v>
      </c>
      <c r="T1002" s="12" t="s">
        <v>11</v>
      </c>
      <c r="U1002" s="12" t="s">
        <v>17</v>
      </c>
      <c r="V1002" s="12" t="s">
        <v>768</v>
      </c>
      <c r="W1002" s="12" t="s">
        <v>7415</v>
      </c>
      <c r="X1002" s="12" t="s">
        <v>17</v>
      </c>
      <c r="Y1002" s="12">
        <v>1178419</v>
      </c>
      <c r="Z1002" s="12" t="s">
        <v>6613</v>
      </c>
      <c r="AA1002" s="12" t="s">
        <v>6613</v>
      </c>
      <c r="AB1002" s="12" t="s">
        <v>6613</v>
      </c>
      <c r="AC1002" s="12" t="s">
        <v>6613</v>
      </c>
      <c r="AD1002" s="12" t="s">
        <v>6613</v>
      </c>
      <c r="AE1002" s="12" t="s">
        <v>6613</v>
      </c>
      <c r="AF1002" s="12" t="s">
        <v>45</v>
      </c>
    </row>
    <row r="1003" spans="1:32" x14ac:dyDescent="0.2">
      <c r="A1003" s="12" t="s">
        <v>664</v>
      </c>
      <c r="B1003" s="12" t="s">
        <v>665</v>
      </c>
      <c r="C1003" s="12" t="s">
        <v>17</v>
      </c>
      <c r="D1003" s="12" t="s">
        <v>17</v>
      </c>
      <c r="E1003" s="12" t="s">
        <v>7678</v>
      </c>
      <c r="F1003" s="12" t="s">
        <v>5458</v>
      </c>
      <c r="G1003" s="12" t="s">
        <v>615</v>
      </c>
      <c r="H1003" s="12" t="s">
        <v>6613</v>
      </c>
      <c r="I1003" s="12">
        <v>0</v>
      </c>
      <c r="J1003" s="12" t="s">
        <v>164</v>
      </c>
      <c r="K1003" s="12" t="s">
        <v>6646</v>
      </c>
      <c r="L1003" s="12" t="s">
        <v>617</v>
      </c>
      <c r="M1003" s="12" t="s">
        <v>617</v>
      </c>
      <c r="N1003" s="12" t="s">
        <v>5785</v>
      </c>
      <c r="O1003" s="12" t="s">
        <v>624</v>
      </c>
      <c r="P1003" s="12" t="s">
        <v>618</v>
      </c>
      <c r="Q1003" s="12" t="s">
        <v>6664</v>
      </c>
      <c r="R1003" s="12" t="s">
        <v>17</v>
      </c>
      <c r="S1003" s="12" t="s">
        <v>17</v>
      </c>
      <c r="T1003" s="12" t="s">
        <v>11</v>
      </c>
      <c r="U1003" s="12" t="s">
        <v>17</v>
      </c>
      <c r="V1003" s="12" t="s">
        <v>666</v>
      </c>
      <c r="W1003" s="12" t="s">
        <v>7415</v>
      </c>
      <c r="X1003" s="12" t="s">
        <v>17</v>
      </c>
      <c r="Y1003" s="12">
        <v>1178474</v>
      </c>
      <c r="Z1003" s="12" t="s">
        <v>6613</v>
      </c>
      <c r="AA1003" s="12" t="s">
        <v>6613</v>
      </c>
      <c r="AB1003" s="12" t="s">
        <v>6613</v>
      </c>
      <c r="AC1003" s="12" t="s">
        <v>6613</v>
      </c>
      <c r="AD1003" s="12" t="s">
        <v>6613</v>
      </c>
      <c r="AE1003" s="12" t="s">
        <v>6613</v>
      </c>
      <c r="AF1003" s="12" t="s">
        <v>45</v>
      </c>
    </row>
    <row r="1004" spans="1:32" x14ac:dyDescent="0.2">
      <c r="A1004" s="12" t="s">
        <v>750</v>
      </c>
      <c r="B1004" s="12" t="s">
        <v>751</v>
      </c>
      <c r="C1004" s="12" t="s">
        <v>17</v>
      </c>
      <c r="D1004" s="12" t="s">
        <v>17</v>
      </c>
      <c r="E1004" s="12" t="s">
        <v>7678</v>
      </c>
      <c r="F1004" s="12" t="s">
        <v>5458</v>
      </c>
      <c r="G1004" s="12" t="s">
        <v>615</v>
      </c>
      <c r="H1004" s="12" t="s">
        <v>6613</v>
      </c>
      <c r="I1004" s="12">
        <v>0</v>
      </c>
      <c r="J1004" s="12" t="s">
        <v>164</v>
      </c>
      <c r="K1004" s="12" t="s">
        <v>6646</v>
      </c>
      <c r="L1004" s="12" t="s">
        <v>617</v>
      </c>
      <c r="M1004" s="12" t="s">
        <v>617</v>
      </c>
      <c r="N1004" s="12" t="s">
        <v>5785</v>
      </c>
      <c r="O1004" s="12" t="s">
        <v>624</v>
      </c>
      <c r="P1004" s="12" t="s">
        <v>618</v>
      </c>
      <c r="Q1004" s="12" t="s">
        <v>6664</v>
      </c>
      <c r="R1004" s="12" t="s">
        <v>17</v>
      </c>
      <c r="S1004" s="12" t="s">
        <v>17</v>
      </c>
      <c r="T1004" s="12" t="s">
        <v>11</v>
      </c>
      <c r="U1004" s="12" t="s">
        <v>17</v>
      </c>
      <c r="V1004" s="12" t="s">
        <v>752</v>
      </c>
      <c r="W1004" s="12" t="s">
        <v>7415</v>
      </c>
      <c r="X1004" s="12" t="s">
        <v>17</v>
      </c>
      <c r="Y1004" s="12">
        <v>1178685</v>
      </c>
      <c r="Z1004" s="12" t="s">
        <v>6613</v>
      </c>
      <c r="AA1004" s="12" t="s">
        <v>6613</v>
      </c>
      <c r="AB1004" s="12" t="s">
        <v>6613</v>
      </c>
      <c r="AC1004" s="12" t="s">
        <v>6613</v>
      </c>
      <c r="AD1004" s="12" t="s">
        <v>6613</v>
      </c>
      <c r="AE1004" s="12" t="s">
        <v>6613</v>
      </c>
      <c r="AF1004" s="12" t="s">
        <v>45</v>
      </c>
    </row>
    <row r="1005" spans="1:32" x14ac:dyDescent="0.2">
      <c r="A1005" s="12" t="s">
        <v>769</v>
      </c>
      <c r="B1005" s="12" t="s">
        <v>770</v>
      </c>
      <c r="C1005" s="12" t="s">
        <v>17</v>
      </c>
      <c r="D1005" s="12" t="s">
        <v>17</v>
      </c>
      <c r="E1005" s="12" t="s">
        <v>7678</v>
      </c>
      <c r="F1005" s="12" t="s">
        <v>5458</v>
      </c>
      <c r="G1005" s="12" t="s">
        <v>615</v>
      </c>
      <c r="H1005" s="12" t="s">
        <v>6613</v>
      </c>
      <c r="I1005" s="12">
        <v>0</v>
      </c>
      <c r="J1005" s="12" t="s">
        <v>164</v>
      </c>
      <c r="K1005" s="12" t="s">
        <v>6646</v>
      </c>
      <c r="L1005" s="12" t="s">
        <v>617</v>
      </c>
      <c r="M1005" s="12" t="s">
        <v>617</v>
      </c>
      <c r="N1005" s="12" t="s">
        <v>5785</v>
      </c>
      <c r="O1005" s="12" t="s">
        <v>624</v>
      </c>
      <c r="P1005" s="12" t="s">
        <v>618</v>
      </c>
      <c r="Q1005" s="12" t="s">
        <v>6664</v>
      </c>
      <c r="R1005" s="12" t="s">
        <v>17</v>
      </c>
      <c r="S1005" s="12" t="s">
        <v>17</v>
      </c>
      <c r="T1005" s="12" t="s">
        <v>11</v>
      </c>
      <c r="U1005" s="12" t="s">
        <v>17</v>
      </c>
      <c r="V1005" s="12" t="s">
        <v>771</v>
      </c>
      <c r="W1005" s="12" t="s">
        <v>7415</v>
      </c>
      <c r="X1005" s="12" t="s">
        <v>17</v>
      </c>
      <c r="Y1005" s="12">
        <v>1178725</v>
      </c>
      <c r="Z1005" s="12" t="s">
        <v>6613</v>
      </c>
      <c r="AA1005" s="12" t="s">
        <v>6613</v>
      </c>
      <c r="AB1005" s="12" t="s">
        <v>6613</v>
      </c>
      <c r="AC1005" s="12" t="s">
        <v>6613</v>
      </c>
      <c r="AD1005" s="12" t="s">
        <v>6613</v>
      </c>
      <c r="AE1005" s="12" t="s">
        <v>6613</v>
      </c>
      <c r="AF1005" s="12" t="s">
        <v>45</v>
      </c>
    </row>
    <row r="1006" spans="1:32" x14ac:dyDescent="0.2">
      <c r="A1006" s="12" t="s">
        <v>787</v>
      </c>
      <c r="B1006" s="12" t="s">
        <v>788</v>
      </c>
      <c r="C1006" s="12" t="s">
        <v>17</v>
      </c>
      <c r="D1006" s="12" t="s">
        <v>17</v>
      </c>
      <c r="E1006" s="12" t="s">
        <v>7678</v>
      </c>
      <c r="F1006" s="12" t="s">
        <v>5458</v>
      </c>
      <c r="G1006" s="12" t="s">
        <v>615</v>
      </c>
      <c r="H1006" s="12" t="s">
        <v>6613</v>
      </c>
      <c r="I1006" s="12">
        <v>0</v>
      </c>
      <c r="J1006" s="12" t="s">
        <v>164</v>
      </c>
      <c r="K1006" s="12" t="s">
        <v>6646</v>
      </c>
      <c r="L1006" s="12" t="s">
        <v>617</v>
      </c>
      <c r="M1006" s="12" t="s">
        <v>617</v>
      </c>
      <c r="N1006" s="12" t="s">
        <v>5785</v>
      </c>
      <c r="O1006" s="12" t="s">
        <v>624</v>
      </c>
      <c r="P1006" s="12" t="s">
        <v>618</v>
      </c>
      <c r="Q1006" s="12" t="s">
        <v>6664</v>
      </c>
      <c r="R1006" s="12" t="s">
        <v>17</v>
      </c>
      <c r="S1006" s="12" t="s">
        <v>17</v>
      </c>
      <c r="T1006" s="12" t="s">
        <v>11</v>
      </c>
      <c r="U1006" s="12" t="s">
        <v>17</v>
      </c>
      <c r="V1006" s="12" t="s">
        <v>789</v>
      </c>
      <c r="W1006" s="12" t="s">
        <v>7415</v>
      </c>
      <c r="X1006" s="12" t="s">
        <v>17</v>
      </c>
      <c r="Y1006" s="12">
        <v>1178797</v>
      </c>
      <c r="Z1006" s="12" t="s">
        <v>6613</v>
      </c>
      <c r="AA1006" s="12" t="s">
        <v>6613</v>
      </c>
      <c r="AB1006" s="12" t="s">
        <v>6613</v>
      </c>
      <c r="AC1006" s="12" t="s">
        <v>6613</v>
      </c>
      <c r="AD1006" s="12" t="s">
        <v>6613</v>
      </c>
      <c r="AE1006" s="12" t="s">
        <v>6613</v>
      </c>
      <c r="AF1006" s="12" t="s">
        <v>45</v>
      </c>
    </row>
    <row r="1007" spans="1:32" x14ac:dyDescent="0.2">
      <c r="A1007" s="12" t="s">
        <v>783</v>
      </c>
      <c r="B1007" s="12" t="s">
        <v>784</v>
      </c>
      <c r="C1007" s="12" t="s">
        <v>17</v>
      </c>
      <c r="D1007" s="12" t="s">
        <v>17</v>
      </c>
      <c r="E1007" s="12" t="s">
        <v>7678</v>
      </c>
      <c r="F1007" s="12" t="s">
        <v>5458</v>
      </c>
      <c r="G1007" s="12" t="s">
        <v>615</v>
      </c>
      <c r="H1007" s="12" t="s">
        <v>6613</v>
      </c>
      <c r="I1007" s="12">
        <v>0</v>
      </c>
      <c r="J1007" s="12" t="s">
        <v>164</v>
      </c>
      <c r="K1007" s="12" t="s">
        <v>6646</v>
      </c>
      <c r="L1007" s="12" t="s">
        <v>617</v>
      </c>
      <c r="M1007" s="12" t="s">
        <v>617</v>
      </c>
      <c r="N1007" s="12" t="s">
        <v>5785</v>
      </c>
      <c r="O1007" s="12" t="s">
        <v>624</v>
      </c>
      <c r="P1007" s="12" t="s">
        <v>618</v>
      </c>
      <c r="Q1007" s="12" t="s">
        <v>6664</v>
      </c>
      <c r="R1007" s="12" t="s">
        <v>17</v>
      </c>
      <c r="S1007" s="12" t="s">
        <v>17</v>
      </c>
      <c r="T1007" s="12" t="s">
        <v>11</v>
      </c>
      <c r="U1007" s="12" t="s">
        <v>17</v>
      </c>
      <c r="V1007" s="12" t="s">
        <v>666</v>
      </c>
      <c r="W1007" s="12" t="s">
        <v>7415</v>
      </c>
      <c r="X1007" s="12" t="s">
        <v>17</v>
      </c>
      <c r="Y1007" s="12">
        <v>1179313</v>
      </c>
      <c r="Z1007" s="12" t="s">
        <v>6613</v>
      </c>
      <c r="AA1007" s="12" t="s">
        <v>6613</v>
      </c>
      <c r="AB1007" s="12" t="s">
        <v>6613</v>
      </c>
      <c r="AC1007" s="12" t="s">
        <v>6613</v>
      </c>
      <c r="AD1007" s="12" t="s">
        <v>6613</v>
      </c>
      <c r="AE1007" s="12" t="s">
        <v>6613</v>
      </c>
      <c r="AF1007" s="12" t="s">
        <v>45</v>
      </c>
    </row>
    <row r="1008" spans="1:32" x14ac:dyDescent="0.2">
      <c r="A1008" s="12" t="s">
        <v>669</v>
      </c>
      <c r="B1008" s="12" t="s">
        <v>670</v>
      </c>
      <c r="C1008" s="12" t="s">
        <v>17</v>
      </c>
      <c r="D1008" s="12" t="s">
        <v>17</v>
      </c>
      <c r="E1008" s="12" t="s">
        <v>7678</v>
      </c>
      <c r="F1008" s="12" t="s">
        <v>5458</v>
      </c>
      <c r="G1008" s="12" t="s">
        <v>615</v>
      </c>
      <c r="H1008" s="12" t="s">
        <v>6613</v>
      </c>
      <c r="I1008" s="12">
        <v>0</v>
      </c>
      <c r="J1008" s="12" t="s">
        <v>164</v>
      </c>
      <c r="K1008" s="12" t="s">
        <v>6646</v>
      </c>
      <c r="L1008" s="12" t="s">
        <v>617</v>
      </c>
      <c r="M1008" s="12" t="s">
        <v>617</v>
      </c>
      <c r="N1008" s="12" t="s">
        <v>5785</v>
      </c>
      <c r="O1008" s="12" t="s">
        <v>624</v>
      </c>
      <c r="P1008" s="12" t="s">
        <v>618</v>
      </c>
      <c r="Q1008" s="12" t="s">
        <v>6664</v>
      </c>
      <c r="R1008" s="12" t="s">
        <v>17</v>
      </c>
      <c r="S1008" s="12" t="s">
        <v>17</v>
      </c>
      <c r="T1008" s="12" t="s">
        <v>11</v>
      </c>
      <c r="U1008" s="12" t="s">
        <v>17</v>
      </c>
      <c r="V1008" s="12" t="s">
        <v>653</v>
      </c>
      <c r="W1008" s="12" t="s">
        <v>7415</v>
      </c>
      <c r="X1008" s="12" t="s">
        <v>17</v>
      </c>
      <c r="Y1008" s="12">
        <v>1180072</v>
      </c>
      <c r="Z1008" s="12" t="s">
        <v>6613</v>
      </c>
      <c r="AA1008" s="12" t="s">
        <v>6613</v>
      </c>
      <c r="AB1008" s="12" t="s">
        <v>6613</v>
      </c>
      <c r="AC1008" s="12" t="s">
        <v>6613</v>
      </c>
      <c r="AD1008" s="12" t="s">
        <v>6613</v>
      </c>
      <c r="AE1008" s="12" t="s">
        <v>6613</v>
      </c>
      <c r="AF1008" s="12" t="s">
        <v>45</v>
      </c>
    </row>
    <row r="1009" spans="1:32" x14ac:dyDescent="0.2">
      <c r="A1009" s="12" t="s">
        <v>815</v>
      </c>
      <c r="B1009" s="12" t="s">
        <v>816</v>
      </c>
      <c r="C1009" s="12" t="s">
        <v>17</v>
      </c>
      <c r="D1009" s="12" t="s">
        <v>17</v>
      </c>
      <c r="E1009" s="12" t="s">
        <v>7678</v>
      </c>
      <c r="F1009" s="12" t="s">
        <v>5458</v>
      </c>
      <c r="G1009" s="12" t="s">
        <v>615</v>
      </c>
      <c r="H1009" s="12" t="s">
        <v>6613</v>
      </c>
      <c r="I1009" s="12">
        <v>0</v>
      </c>
      <c r="J1009" s="12" t="s">
        <v>164</v>
      </c>
      <c r="K1009" s="12" t="s">
        <v>6646</v>
      </c>
      <c r="L1009" s="12" t="s">
        <v>617</v>
      </c>
      <c r="M1009" s="12" t="s">
        <v>617</v>
      </c>
      <c r="N1009" s="12" t="s">
        <v>5785</v>
      </c>
      <c r="O1009" s="12" t="s">
        <v>624</v>
      </c>
      <c r="P1009" s="12" t="s">
        <v>618</v>
      </c>
      <c r="Q1009" s="12" t="s">
        <v>6664</v>
      </c>
      <c r="R1009" s="12" t="s">
        <v>17</v>
      </c>
      <c r="S1009" s="12" t="s">
        <v>17</v>
      </c>
      <c r="T1009" s="12" t="s">
        <v>11</v>
      </c>
      <c r="U1009" s="12" t="s">
        <v>17</v>
      </c>
      <c r="V1009" s="12" t="s">
        <v>739</v>
      </c>
      <c r="W1009" s="12" t="s">
        <v>7415</v>
      </c>
      <c r="X1009" s="12" t="s">
        <v>17</v>
      </c>
      <c r="Y1009" s="12">
        <v>1180455</v>
      </c>
      <c r="Z1009" s="12" t="s">
        <v>6613</v>
      </c>
      <c r="AA1009" s="12" t="s">
        <v>6613</v>
      </c>
      <c r="AB1009" s="12" t="s">
        <v>6613</v>
      </c>
      <c r="AC1009" s="12" t="s">
        <v>6613</v>
      </c>
      <c r="AD1009" s="12" t="s">
        <v>6613</v>
      </c>
      <c r="AE1009" s="12" t="s">
        <v>6613</v>
      </c>
      <c r="AF1009" s="12" t="s">
        <v>45</v>
      </c>
    </row>
    <row r="1010" spans="1:32" x14ac:dyDescent="0.2">
      <c r="A1010" s="12" t="s">
        <v>829</v>
      </c>
      <c r="B1010" s="12" t="s">
        <v>831</v>
      </c>
      <c r="C1010" s="12" t="s">
        <v>17</v>
      </c>
      <c r="D1010" s="12" t="s">
        <v>17</v>
      </c>
      <c r="E1010" s="12" t="s">
        <v>7678</v>
      </c>
      <c r="F1010" s="12" t="s">
        <v>5458</v>
      </c>
      <c r="G1010" s="12" t="s">
        <v>830</v>
      </c>
      <c r="H1010" s="12" t="s">
        <v>6613</v>
      </c>
      <c r="I1010" s="12">
        <v>0</v>
      </c>
      <c r="J1010" s="12" t="s">
        <v>164</v>
      </c>
      <c r="K1010" s="12" t="s">
        <v>6646</v>
      </c>
      <c r="L1010" s="12" t="s">
        <v>832</v>
      </c>
      <c r="M1010" s="12" t="s">
        <v>832</v>
      </c>
      <c r="N1010" s="12" t="s">
        <v>5785</v>
      </c>
      <c r="O1010" s="12" t="s">
        <v>833</v>
      </c>
      <c r="P1010" s="12" t="s">
        <v>166</v>
      </c>
      <c r="Q1010" s="12" t="s">
        <v>6664</v>
      </c>
      <c r="R1010" s="12" t="s">
        <v>17</v>
      </c>
      <c r="S1010" s="12" t="s">
        <v>17</v>
      </c>
      <c r="T1010" s="12" t="s">
        <v>11</v>
      </c>
      <c r="U1010" s="12" t="s">
        <v>17</v>
      </c>
      <c r="V1010" s="12" t="s">
        <v>628</v>
      </c>
      <c r="W1010" s="12" t="s">
        <v>7415</v>
      </c>
      <c r="X1010" s="12">
        <v>13.75</v>
      </c>
      <c r="Y1010" s="12">
        <v>1170326</v>
      </c>
      <c r="Z1010" s="12" t="s">
        <v>6613</v>
      </c>
      <c r="AA1010" s="12" t="s">
        <v>6613</v>
      </c>
      <c r="AB1010" s="12" t="s">
        <v>6613</v>
      </c>
      <c r="AC1010" s="12" t="s">
        <v>6613</v>
      </c>
      <c r="AD1010" s="12" t="s">
        <v>6613</v>
      </c>
      <c r="AE1010" s="12" t="s">
        <v>6613</v>
      </c>
      <c r="AF1010" s="12" t="s">
        <v>45</v>
      </c>
    </row>
    <row r="1011" spans="1:32" x14ac:dyDescent="0.2">
      <c r="A1011" s="12" t="s">
        <v>834</v>
      </c>
      <c r="B1011" s="12" t="s">
        <v>616</v>
      </c>
      <c r="C1011" s="12" t="s">
        <v>616</v>
      </c>
      <c r="D1011" s="12" t="s">
        <v>163</v>
      </c>
      <c r="E1011" s="12" t="s">
        <v>7676</v>
      </c>
      <c r="F1011" s="12" t="s">
        <v>5458</v>
      </c>
      <c r="G1011" s="12" t="s">
        <v>159</v>
      </c>
      <c r="H1011" s="12" t="s">
        <v>6613</v>
      </c>
      <c r="I1011" s="12">
        <v>0</v>
      </c>
      <c r="J1011" s="12" t="s">
        <v>164</v>
      </c>
      <c r="K1011" s="12" t="s">
        <v>6646</v>
      </c>
      <c r="L1011" s="12" t="s">
        <v>835</v>
      </c>
      <c r="M1011" s="12" t="s">
        <v>835</v>
      </c>
      <c r="N1011" s="12" t="s">
        <v>5785</v>
      </c>
      <c r="O1011" s="12" t="s">
        <v>17</v>
      </c>
      <c r="P1011" s="12" t="s">
        <v>618</v>
      </c>
      <c r="Q1011" s="12" t="s">
        <v>6664</v>
      </c>
      <c r="R1011" s="12">
        <v>23.7</v>
      </c>
      <c r="S1011" s="12">
        <v>90.4</v>
      </c>
      <c r="T1011" s="12" t="s">
        <v>11</v>
      </c>
      <c r="U1011" s="12" t="s">
        <v>17</v>
      </c>
      <c r="V1011" s="12" t="s">
        <v>619</v>
      </c>
      <c r="W1011" s="12" t="s">
        <v>7415</v>
      </c>
      <c r="X1011" s="12">
        <v>44</v>
      </c>
      <c r="Y1011" s="12">
        <v>1118108</v>
      </c>
      <c r="Z1011" s="12" t="s">
        <v>6613</v>
      </c>
      <c r="AA1011" s="12" t="s">
        <v>6613</v>
      </c>
      <c r="AB1011" s="12" t="s">
        <v>6613</v>
      </c>
      <c r="AC1011" s="12" t="s">
        <v>6613</v>
      </c>
      <c r="AD1011" s="12" t="s">
        <v>6613</v>
      </c>
      <c r="AE1011" s="12" t="s">
        <v>6613</v>
      </c>
      <c r="AF1011" s="12" t="s">
        <v>45</v>
      </c>
    </row>
    <row r="1012" spans="1:32" x14ac:dyDescent="0.2">
      <c r="A1012" s="12" t="s">
        <v>836</v>
      </c>
      <c r="B1012" s="12" t="s">
        <v>621</v>
      </c>
      <c r="C1012" s="12" t="s">
        <v>621</v>
      </c>
      <c r="D1012" s="12" t="s">
        <v>163</v>
      </c>
      <c r="E1012" s="12" t="s">
        <v>7676</v>
      </c>
      <c r="F1012" s="12" t="s">
        <v>5458</v>
      </c>
      <c r="G1012" s="12" t="s">
        <v>159</v>
      </c>
      <c r="H1012" s="12" t="s">
        <v>6613</v>
      </c>
      <c r="I1012" s="12">
        <v>0</v>
      </c>
      <c r="J1012" s="12" t="s">
        <v>164</v>
      </c>
      <c r="K1012" s="12" t="s">
        <v>6646</v>
      </c>
      <c r="L1012" s="12" t="s">
        <v>835</v>
      </c>
      <c r="M1012" s="12" t="s">
        <v>835</v>
      </c>
      <c r="N1012" s="12" t="s">
        <v>5785</v>
      </c>
      <c r="O1012" s="12" t="s">
        <v>17</v>
      </c>
      <c r="P1012" s="12" t="s">
        <v>618</v>
      </c>
      <c r="Q1012" s="12" t="s">
        <v>6664</v>
      </c>
      <c r="R1012" s="12">
        <v>23.7</v>
      </c>
      <c r="S1012" s="12">
        <v>90.4</v>
      </c>
      <c r="T1012" s="12" t="s">
        <v>25</v>
      </c>
      <c r="U1012" s="12" t="s">
        <v>17</v>
      </c>
      <c r="V1012" s="12" t="s">
        <v>6639</v>
      </c>
      <c r="W1012" s="12" t="s">
        <v>6639</v>
      </c>
      <c r="X1012" s="12">
        <v>34.11</v>
      </c>
      <c r="Y1012" s="12">
        <v>1118542</v>
      </c>
      <c r="Z1012" s="12" t="s">
        <v>6613</v>
      </c>
      <c r="AA1012" s="12" t="s">
        <v>6613</v>
      </c>
      <c r="AB1012" s="12" t="s">
        <v>6613</v>
      </c>
      <c r="AC1012" s="12" t="s">
        <v>6613</v>
      </c>
      <c r="AD1012" s="12" t="s">
        <v>6613</v>
      </c>
      <c r="AE1012" s="12" t="s">
        <v>6613</v>
      </c>
      <c r="AF1012" s="12" t="s">
        <v>45</v>
      </c>
    </row>
    <row r="1013" spans="1:32" x14ac:dyDescent="0.2">
      <c r="A1013" s="12" t="s">
        <v>848</v>
      </c>
      <c r="B1013" s="12" t="s">
        <v>849</v>
      </c>
      <c r="C1013" s="12" t="s">
        <v>17</v>
      </c>
      <c r="D1013" s="12" t="s">
        <v>17</v>
      </c>
      <c r="E1013" s="12" t="s">
        <v>7678</v>
      </c>
      <c r="F1013" s="12" t="s">
        <v>5458</v>
      </c>
      <c r="G1013" s="12" t="s">
        <v>830</v>
      </c>
      <c r="H1013" s="12" t="s">
        <v>6613</v>
      </c>
      <c r="I1013" s="12">
        <v>0</v>
      </c>
      <c r="J1013" s="12" t="s">
        <v>164</v>
      </c>
      <c r="K1013" s="12" t="s">
        <v>6646</v>
      </c>
      <c r="L1013" s="12" t="s">
        <v>839</v>
      </c>
      <c r="M1013" s="12" t="s">
        <v>839</v>
      </c>
      <c r="N1013" s="12" t="s">
        <v>5785</v>
      </c>
      <c r="O1013" s="12" t="s">
        <v>840</v>
      </c>
      <c r="P1013" s="12" t="s">
        <v>166</v>
      </c>
      <c r="Q1013" s="12" t="s">
        <v>6664</v>
      </c>
      <c r="R1013" s="12" t="s">
        <v>17</v>
      </c>
      <c r="S1013" s="12" t="s">
        <v>17</v>
      </c>
      <c r="T1013" s="12" t="s">
        <v>11</v>
      </c>
      <c r="U1013" s="12" t="s">
        <v>17</v>
      </c>
      <c r="V1013" s="12" t="s">
        <v>383</v>
      </c>
      <c r="W1013" s="12" t="s">
        <v>7415</v>
      </c>
      <c r="X1013" s="12">
        <v>13.83</v>
      </c>
      <c r="Y1013" s="12">
        <v>1126122</v>
      </c>
      <c r="Z1013" s="12" t="s">
        <v>6613</v>
      </c>
      <c r="AA1013" s="12" t="s">
        <v>6613</v>
      </c>
      <c r="AB1013" s="12" t="s">
        <v>6613</v>
      </c>
      <c r="AC1013" s="12" t="s">
        <v>6613</v>
      </c>
      <c r="AD1013" s="12" t="s">
        <v>6613</v>
      </c>
      <c r="AE1013" s="12" t="s">
        <v>6613</v>
      </c>
      <c r="AF1013" s="12" t="s">
        <v>45</v>
      </c>
    </row>
    <row r="1014" spans="1:32" x14ac:dyDescent="0.2">
      <c r="A1014" s="12" t="s">
        <v>855</v>
      </c>
      <c r="B1014" s="12" t="s">
        <v>856</v>
      </c>
      <c r="C1014" s="12" t="s">
        <v>17</v>
      </c>
      <c r="D1014" s="12" t="s">
        <v>17</v>
      </c>
      <c r="E1014" s="12" t="s">
        <v>7678</v>
      </c>
      <c r="F1014" s="12" t="s">
        <v>5458</v>
      </c>
      <c r="G1014" s="12" t="s">
        <v>830</v>
      </c>
      <c r="H1014" s="12" t="s">
        <v>6613</v>
      </c>
      <c r="I1014" s="12">
        <v>0</v>
      </c>
      <c r="J1014" s="12" t="s">
        <v>164</v>
      </c>
      <c r="K1014" s="12" t="s">
        <v>6646</v>
      </c>
      <c r="L1014" s="12" t="s">
        <v>839</v>
      </c>
      <c r="M1014" s="12" t="s">
        <v>839</v>
      </c>
      <c r="N1014" s="12" t="s">
        <v>5785</v>
      </c>
      <c r="O1014" s="12" t="s">
        <v>840</v>
      </c>
      <c r="P1014" s="12" t="s">
        <v>166</v>
      </c>
      <c r="Q1014" s="12" t="s">
        <v>6664</v>
      </c>
      <c r="R1014" s="12" t="s">
        <v>17</v>
      </c>
      <c r="S1014" s="12" t="s">
        <v>17</v>
      </c>
      <c r="T1014" s="12" t="s">
        <v>11</v>
      </c>
      <c r="U1014" s="12" t="s">
        <v>17</v>
      </c>
      <c r="V1014" s="12" t="s">
        <v>841</v>
      </c>
      <c r="W1014" s="12" t="s">
        <v>7415</v>
      </c>
      <c r="X1014" s="12">
        <v>14.29</v>
      </c>
      <c r="Y1014" s="12">
        <v>1134665</v>
      </c>
      <c r="Z1014" s="12" t="s">
        <v>6613</v>
      </c>
      <c r="AA1014" s="12" t="s">
        <v>6613</v>
      </c>
      <c r="AB1014" s="12" t="s">
        <v>6613</v>
      </c>
      <c r="AC1014" s="12" t="s">
        <v>6613</v>
      </c>
      <c r="AD1014" s="12" t="s">
        <v>6613</v>
      </c>
      <c r="AE1014" s="12" t="s">
        <v>6613</v>
      </c>
      <c r="AF1014" s="12" t="s">
        <v>45</v>
      </c>
    </row>
    <row r="1015" spans="1:32" x14ac:dyDescent="0.2">
      <c r="A1015" s="12" t="s">
        <v>850</v>
      </c>
      <c r="B1015" s="12" t="s">
        <v>851</v>
      </c>
      <c r="C1015" s="12" t="s">
        <v>17</v>
      </c>
      <c r="D1015" s="12" t="s">
        <v>17</v>
      </c>
      <c r="E1015" s="12" t="s">
        <v>7678</v>
      </c>
      <c r="F1015" s="12" t="s">
        <v>5458</v>
      </c>
      <c r="G1015" s="12" t="s">
        <v>830</v>
      </c>
      <c r="H1015" s="12" t="s">
        <v>6613</v>
      </c>
      <c r="I1015" s="12">
        <v>0</v>
      </c>
      <c r="J1015" s="12" t="s">
        <v>164</v>
      </c>
      <c r="K1015" s="12" t="s">
        <v>6646</v>
      </c>
      <c r="L1015" s="12" t="s">
        <v>839</v>
      </c>
      <c r="M1015" s="12" t="s">
        <v>839</v>
      </c>
      <c r="N1015" s="12" t="s">
        <v>5785</v>
      </c>
      <c r="O1015" s="12" t="s">
        <v>840</v>
      </c>
      <c r="P1015" s="12" t="s">
        <v>166</v>
      </c>
      <c r="Q1015" s="12" t="s">
        <v>6664</v>
      </c>
      <c r="R1015" s="12" t="s">
        <v>17</v>
      </c>
      <c r="S1015" s="12" t="s">
        <v>17</v>
      </c>
      <c r="T1015" s="12" t="s">
        <v>11</v>
      </c>
      <c r="U1015" s="12" t="s">
        <v>17</v>
      </c>
      <c r="V1015" s="12" t="s">
        <v>841</v>
      </c>
      <c r="W1015" s="12" t="s">
        <v>7415</v>
      </c>
      <c r="X1015" s="12">
        <v>14.27</v>
      </c>
      <c r="Y1015" s="12">
        <v>1140463</v>
      </c>
      <c r="Z1015" s="12" t="s">
        <v>6613</v>
      </c>
      <c r="AA1015" s="12" t="s">
        <v>6613</v>
      </c>
      <c r="AB1015" s="12" t="s">
        <v>6613</v>
      </c>
      <c r="AC1015" s="12" t="s">
        <v>6613</v>
      </c>
      <c r="AD1015" s="12" t="s">
        <v>6613</v>
      </c>
      <c r="AE1015" s="12" t="s">
        <v>6613</v>
      </c>
      <c r="AF1015" s="12" t="s">
        <v>45</v>
      </c>
    </row>
    <row r="1016" spans="1:32" x14ac:dyDescent="0.2">
      <c r="A1016" s="12" t="s">
        <v>837</v>
      </c>
      <c r="B1016" s="12" t="s">
        <v>838</v>
      </c>
      <c r="C1016" s="12" t="s">
        <v>17</v>
      </c>
      <c r="D1016" s="12" t="s">
        <v>17</v>
      </c>
      <c r="E1016" s="12" t="s">
        <v>7678</v>
      </c>
      <c r="F1016" s="12" t="s">
        <v>5458</v>
      </c>
      <c r="G1016" s="12" t="s">
        <v>830</v>
      </c>
      <c r="H1016" s="12" t="s">
        <v>6613</v>
      </c>
      <c r="I1016" s="12">
        <v>0</v>
      </c>
      <c r="J1016" s="12" t="s">
        <v>164</v>
      </c>
      <c r="K1016" s="12" t="s">
        <v>6646</v>
      </c>
      <c r="L1016" s="12" t="s">
        <v>839</v>
      </c>
      <c r="M1016" s="12" t="s">
        <v>839</v>
      </c>
      <c r="N1016" s="12" t="s">
        <v>5785</v>
      </c>
      <c r="O1016" s="12" t="s">
        <v>840</v>
      </c>
      <c r="P1016" s="12" t="s">
        <v>166</v>
      </c>
      <c r="Q1016" s="12" t="s">
        <v>6664</v>
      </c>
      <c r="R1016" s="12" t="s">
        <v>17</v>
      </c>
      <c r="S1016" s="12" t="s">
        <v>17</v>
      </c>
      <c r="T1016" s="12" t="s">
        <v>11</v>
      </c>
      <c r="U1016" s="12" t="s">
        <v>17</v>
      </c>
      <c r="V1016" s="12" t="s">
        <v>841</v>
      </c>
      <c r="W1016" s="12" t="s">
        <v>7415</v>
      </c>
      <c r="X1016" s="12">
        <v>14.19</v>
      </c>
      <c r="Y1016" s="12">
        <v>1141134</v>
      </c>
      <c r="Z1016" s="12" t="s">
        <v>6613</v>
      </c>
      <c r="AA1016" s="12" t="s">
        <v>6613</v>
      </c>
      <c r="AB1016" s="12" t="s">
        <v>6613</v>
      </c>
      <c r="AC1016" s="12" t="s">
        <v>6613</v>
      </c>
      <c r="AD1016" s="12" t="s">
        <v>6613</v>
      </c>
      <c r="AE1016" s="12" t="s">
        <v>6613</v>
      </c>
      <c r="AF1016" s="12" t="s">
        <v>45</v>
      </c>
    </row>
    <row r="1017" spans="1:32" x14ac:dyDescent="0.2">
      <c r="A1017" s="12" t="s">
        <v>852</v>
      </c>
      <c r="B1017" s="12" t="s">
        <v>853</v>
      </c>
      <c r="C1017" s="12" t="s">
        <v>17</v>
      </c>
      <c r="D1017" s="12" t="s">
        <v>17</v>
      </c>
      <c r="E1017" s="12" t="s">
        <v>7678</v>
      </c>
      <c r="F1017" s="12" t="s">
        <v>5458</v>
      </c>
      <c r="G1017" s="12" t="s">
        <v>830</v>
      </c>
      <c r="H1017" s="12" t="s">
        <v>6613</v>
      </c>
      <c r="I1017" s="12">
        <v>0</v>
      </c>
      <c r="J1017" s="12" t="s">
        <v>164</v>
      </c>
      <c r="K1017" s="12" t="s">
        <v>6646</v>
      </c>
      <c r="L1017" s="12" t="s">
        <v>839</v>
      </c>
      <c r="M1017" s="12" t="s">
        <v>839</v>
      </c>
      <c r="N1017" s="12" t="s">
        <v>5785</v>
      </c>
      <c r="O1017" s="12" t="s">
        <v>840</v>
      </c>
      <c r="P1017" s="12" t="s">
        <v>166</v>
      </c>
      <c r="Q1017" s="12" t="s">
        <v>6664</v>
      </c>
      <c r="R1017" s="16" t="s">
        <v>17</v>
      </c>
      <c r="S1017" s="16" t="s">
        <v>17</v>
      </c>
      <c r="T1017" s="12" t="s">
        <v>11</v>
      </c>
      <c r="U1017" s="12" t="s">
        <v>17</v>
      </c>
      <c r="V1017" s="12" t="s">
        <v>854</v>
      </c>
      <c r="W1017" s="12" t="s">
        <v>7415</v>
      </c>
      <c r="X1017" s="12">
        <v>13.85</v>
      </c>
      <c r="Y1017" s="12">
        <v>1141759</v>
      </c>
      <c r="Z1017" s="12" t="s">
        <v>6613</v>
      </c>
      <c r="AA1017" s="12" t="s">
        <v>6613</v>
      </c>
      <c r="AB1017" s="12" t="s">
        <v>6613</v>
      </c>
      <c r="AC1017" s="12" t="s">
        <v>6613</v>
      </c>
      <c r="AD1017" s="12" t="s">
        <v>6613</v>
      </c>
      <c r="AE1017" s="12" t="s">
        <v>6613</v>
      </c>
      <c r="AF1017" s="12" t="s">
        <v>45</v>
      </c>
    </row>
    <row r="1018" spans="1:32" x14ac:dyDescent="0.2">
      <c r="A1018" s="12" t="s">
        <v>857</v>
      </c>
      <c r="B1018" s="12" t="s">
        <v>858</v>
      </c>
      <c r="C1018" s="12" t="s">
        <v>17</v>
      </c>
      <c r="D1018" s="12" t="s">
        <v>17</v>
      </c>
      <c r="E1018" s="12" t="s">
        <v>7678</v>
      </c>
      <c r="F1018" s="12" t="s">
        <v>5458</v>
      </c>
      <c r="G1018" s="12" t="s">
        <v>830</v>
      </c>
      <c r="H1018" s="12" t="s">
        <v>6613</v>
      </c>
      <c r="I1018" s="12">
        <v>0</v>
      </c>
      <c r="J1018" s="12" t="s">
        <v>164</v>
      </c>
      <c r="K1018" s="12" t="s">
        <v>6646</v>
      </c>
      <c r="L1018" s="12" t="s">
        <v>839</v>
      </c>
      <c r="M1018" s="12" t="s">
        <v>839</v>
      </c>
      <c r="N1018" s="12" t="s">
        <v>5785</v>
      </c>
      <c r="O1018" s="12" t="s">
        <v>840</v>
      </c>
      <c r="P1018" s="12" t="s">
        <v>166</v>
      </c>
      <c r="Q1018" s="12" t="s">
        <v>6664</v>
      </c>
      <c r="R1018" s="12" t="s">
        <v>17</v>
      </c>
      <c r="S1018" s="12" t="s">
        <v>17</v>
      </c>
      <c r="T1018" s="12" t="s">
        <v>11</v>
      </c>
      <c r="U1018" s="12" t="s">
        <v>17</v>
      </c>
      <c r="V1018" s="12" t="s">
        <v>768</v>
      </c>
      <c r="W1018" s="12" t="s">
        <v>7415</v>
      </c>
      <c r="X1018" s="12">
        <v>18.91</v>
      </c>
      <c r="Y1018" s="12">
        <v>1161743</v>
      </c>
      <c r="Z1018" s="12" t="s">
        <v>6613</v>
      </c>
      <c r="AA1018" s="12" t="s">
        <v>6613</v>
      </c>
      <c r="AB1018" s="12" t="s">
        <v>6613</v>
      </c>
      <c r="AC1018" s="12" t="s">
        <v>6613</v>
      </c>
      <c r="AD1018" s="12" t="s">
        <v>6613</v>
      </c>
      <c r="AE1018" s="12" t="s">
        <v>6613</v>
      </c>
      <c r="AF1018" s="12" t="s">
        <v>45</v>
      </c>
    </row>
    <row r="1019" spans="1:32" x14ac:dyDescent="0.2">
      <c r="A1019" s="12" t="s">
        <v>846</v>
      </c>
      <c r="B1019" s="12" t="s">
        <v>847</v>
      </c>
      <c r="C1019" s="12" t="s">
        <v>17</v>
      </c>
      <c r="D1019" s="12" t="s">
        <v>17</v>
      </c>
      <c r="E1019" s="12" t="s">
        <v>7678</v>
      </c>
      <c r="F1019" s="12" t="s">
        <v>5458</v>
      </c>
      <c r="G1019" s="12" t="s">
        <v>830</v>
      </c>
      <c r="H1019" s="12" t="s">
        <v>6613</v>
      </c>
      <c r="I1019" s="12">
        <v>0</v>
      </c>
      <c r="J1019" s="12" t="s">
        <v>164</v>
      </c>
      <c r="K1019" s="12" t="s">
        <v>6646</v>
      </c>
      <c r="L1019" s="12" t="s">
        <v>839</v>
      </c>
      <c r="M1019" s="12" t="s">
        <v>839</v>
      </c>
      <c r="N1019" s="12" t="s">
        <v>5785</v>
      </c>
      <c r="O1019" s="12" t="s">
        <v>840</v>
      </c>
      <c r="P1019" s="12" t="s">
        <v>166</v>
      </c>
      <c r="Q1019" s="12" t="s">
        <v>6664</v>
      </c>
      <c r="R1019" s="12" t="s">
        <v>17</v>
      </c>
      <c r="S1019" s="12" t="s">
        <v>17</v>
      </c>
      <c r="T1019" s="12" t="s">
        <v>11</v>
      </c>
      <c r="U1019" s="12" t="s">
        <v>17</v>
      </c>
      <c r="V1019" s="12" t="s">
        <v>768</v>
      </c>
      <c r="W1019" s="12" t="s">
        <v>7415</v>
      </c>
      <c r="X1019" s="12">
        <v>13.67</v>
      </c>
      <c r="Y1019" s="12">
        <v>1170624</v>
      </c>
      <c r="Z1019" s="12" t="s">
        <v>6613</v>
      </c>
      <c r="AA1019" s="12" t="s">
        <v>6613</v>
      </c>
      <c r="AB1019" s="12" t="s">
        <v>6613</v>
      </c>
      <c r="AC1019" s="12" t="s">
        <v>6613</v>
      </c>
      <c r="AD1019" s="12" t="s">
        <v>6613</v>
      </c>
      <c r="AE1019" s="12" t="s">
        <v>6613</v>
      </c>
      <c r="AF1019" s="12" t="s">
        <v>45</v>
      </c>
    </row>
    <row r="1020" spans="1:32" x14ac:dyDescent="0.2">
      <c r="A1020" s="12" t="s">
        <v>844</v>
      </c>
      <c r="B1020" s="12" t="s">
        <v>845</v>
      </c>
      <c r="C1020" s="12" t="s">
        <v>17</v>
      </c>
      <c r="D1020" s="12" t="s">
        <v>17</v>
      </c>
      <c r="E1020" s="12" t="s">
        <v>7678</v>
      </c>
      <c r="F1020" s="12" t="s">
        <v>5458</v>
      </c>
      <c r="G1020" s="12" t="s">
        <v>830</v>
      </c>
      <c r="H1020" s="12" t="s">
        <v>6613</v>
      </c>
      <c r="I1020" s="12">
        <v>0</v>
      </c>
      <c r="J1020" s="12" t="s">
        <v>164</v>
      </c>
      <c r="K1020" s="12" t="s">
        <v>6646</v>
      </c>
      <c r="L1020" s="12" t="s">
        <v>839</v>
      </c>
      <c r="M1020" s="12" t="s">
        <v>839</v>
      </c>
      <c r="N1020" s="12" t="s">
        <v>5785</v>
      </c>
      <c r="O1020" s="12" t="s">
        <v>840</v>
      </c>
      <c r="P1020" s="12" t="s">
        <v>166</v>
      </c>
      <c r="Q1020" s="12" t="s">
        <v>6664</v>
      </c>
      <c r="R1020" s="12" t="s">
        <v>17</v>
      </c>
      <c r="S1020" s="12" t="s">
        <v>17</v>
      </c>
      <c r="T1020" s="12" t="s">
        <v>11</v>
      </c>
      <c r="U1020" s="12" t="s">
        <v>17</v>
      </c>
      <c r="V1020" s="12" t="s">
        <v>768</v>
      </c>
      <c r="W1020" s="12" t="s">
        <v>7415</v>
      </c>
      <c r="X1020" s="12">
        <v>15.11</v>
      </c>
      <c r="Y1020" s="12">
        <v>1170777</v>
      </c>
      <c r="Z1020" s="12" t="s">
        <v>6613</v>
      </c>
      <c r="AA1020" s="12" t="s">
        <v>6613</v>
      </c>
      <c r="AB1020" s="12" t="s">
        <v>6613</v>
      </c>
      <c r="AC1020" s="12" t="s">
        <v>6613</v>
      </c>
      <c r="AD1020" s="12" t="s">
        <v>6613</v>
      </c>
      <c r="AE1020" s="12" t="s">
        <v>6613</v>
      </c>
      <c r="AF1020" s="12" t="s">
        <v>45</v>
      </c>
    </row>
    <row r="1021" spans="1:32" x14ac:dyDescent="0.2">
      <c r="A1021" s="12" t="s">
        <v>842</v>
      </c>
      <c r="B1021" s="12" t="s">
        <v>843</v>
      </c>
      <c r="C1021" s="12" t="s">
        <v>17</v>
      </c>
      <c r="D1021" s="12" t="s">
        <v>17</v>
      </c>
      <c r="E1021" s="12" t="s">
        <v>7678</v>
      </c>
      <c r="F1021" s="12" t="s">
        <v>5458</v>
      </c>
      <c r="G1021" s="12" t="s">
        <v>830</v>
      </c>
      <c r="H1021" s="12" t="s">
        <v>6613</v>
      </c>
      <c r="I1021" s="12">
        <v>0</v>
      </c>
      <c r="J1021" s="12" t="s">
        <v>164</v>
      </c>
      <c r="K1021" s="12" t="s">
        <v>6646</v>
      </c>
      <c r="L1021" s="12" t="s">
        <v>839</v>
      </c>
      <c r="M1021" s="12" t="s">
        <v>839</v>
      </c>
      <c r="N1021" s="12" t="s">
        <v>5785</v>
      </c>
      <c r="O1021" s="12" t="s">
        <v>840</v>
      </c>
      <c r="P1021" s="12" t="s">
        <v>166</v>
      </c>
      <c r="Q1021" s="12" t="s">
        <v>6664</v>
      </c>
      <c r="R1021" s="12" t="s">
        <v>17</v>
      </c>
      <c r="S1021" s="12" t="s">
        <v>17</v>
      </c>
      <c r="T1021" s="12" t="s">
        <v>11</v>
      </c>
      <c r="U1021" s="12" t="s">
        <v>17</v>
      </c>
      <c r="V1021" s="12" t="s">
        <v>768</v>
      </c>
      <c r="W1021" s="12" t="s">
        <v>7415</v>
      </c>
      <c r="X1021" s="12">
        <v>12.71</v>
      </c>
      <c r="Y1021" s="12">
        <v>1171825</v>
      </c>
      <c r="Z1021" s="12" t="s">
        <v>6613</v>
      </c>
      <c r="AA1021" s="12" t="s">
        <v>6613</v>
      </c>
      <c r="AB1021" s="12" t="s">
        <v>6613</v>
      </c>
      <c r="AC1021" s="12" t="s">
        <v>6613</v>
      </c>
      <c r="AD1021" s="12" t="s">
        <v>6613</v>
      </c>
      <c r="AE1021" s="12" t="s">
        <v>6613</v>
      </c>
      <c r="AF1021" s="12" t="s">
        <v>45</v>
      </c>
    </row>
    <row r="1022" spans="1:32" x14ac:dyDescent="0.2">
      <c r="A1022" s="12" t="s">
        <v>1165</v>
      </c>
      <c r="B1022" s="12" t="s">
        <v>1166</v>
      </c>
      <c r="C1022" s="12" t="s">
        <v>1166</v>
      </c>
      <c r="D1022" s="12" t="s">
        <v>163</v>
      </c>
      <c r="E1022" s="12" t="s">
        <v>7676</v>
      </c>
      <c r="F1022" s="12" t="s">
        <v>5458</v>
      </c>
      <c r="G1022" s="12" t="s">
        <v>159</v>
      </c>
      <c r="H1022" s="12" t="s">
        <v>6613</v>
      </c>
      <c r="I1022" s="12">
        <v>0</v>
      </c>
      <c r="J1022" s="12" t="s">
        <v>164</v>
      </c>
      <c r="K1022" s="12" t="s">
        <v>6646</v>
      </c>
      <c r="L1022" s="12" t="s">
        <v>1167</v>
      </c>
      <c r="M1022" s="12" t="s">
        <v>1167</v>
      </c>
      <c r="N1022" s="12" t="s">
        <v>5785</v>
      </c>
      <c r="O1022" s="12" t="s">
        <v>1168</v>
      </c>
      <c r="P1022" s="12" t="s">
        <v>166</v>
      </c>
      <c r="Q1022" s="12" t="s">
        <v>6664</v>
      </c>
      <c r="R1022" s="12">
        <v>17.72</v>
      </c>
      <c r="S1022" s="12">
        <v>83.32</v>
      </c>
      <c r="T1022" s="12" t="s">
        <v>11</v>
      </c>
      <c r="U1022" s="12" t="s">
        <v>17</v>
      </c>
      <c r="V1022" s="12" t="s">
        <v>771</v>
      </c>
      <c r="W1022" s="12" t="s">
        <v>7415</v>
      </c>
      <c r="X1022" s="12">
        <v>51.5</v>
      </c>
      <c r="Y1022" s="12">
        <v>1119678</v>
      </c>
      <c r="Z1022" s="12" t="s">
        <v>6613</v>
      </c>
      <c r="AA1022" s="12" t="s">
        <v>6613</v>
      </c>
      <c r="AB1022" s="12" t="s">
        <v>6613</v>
      </c>
      <c r="AC1022" s="12" t="s">
        <v>6613</v>
      </c>
      <c r="AD1022" s="12" t="s">
        <v>6613</v>
      </c>
      <c r="AE1022" s="12" t="s">
        <v>6613</v>
      </c>
      <c r="AF1022" s="12" t="s">
        <v>45</v>
      </c>
    </row>
    <row r="1023" spans="1:32" x14ac:dyDescent="0.2">
      <c r="A1023" s="12" t="s">
        <v>1169</v>
      </c>
      <c r="B1023" s="12" t="s">
        <v>1170</v>
      </c>
      <c r="C1023" s="12" t="s">
        <v>1170</v>
      </c>
      <c r="D1023" s="12" t="s">
        <v>163</v>
      </c>
      <c r="E1023" s="12" t="s">
        <v>7676</v>
      </c>
      <c r="F1023" s="12" t="s">
        <v>5458</v>
      </c>
      <c r="G1023" s="12" t="s">
        <v>159</v>
      </c>
      <c r="H1023" s="12" t="s">
        <v>6613</v>
      </c>
      <c r="I1023" s="12">
        <v>0</v>
      </c>
      <c r="J1023" s="12" t="s">
        <v>164</v>
      </c>
      <c r="K1023" s="12" t="s">
        <v>6646</v>
      </c>
      <c r="L1023" s="12" t="s">
        <v>1167</v>
      </c>
      <c r="M1023" s="12" t="s">
        <v>1167</v>
      </c>
      <c r="N1023" s="12" t="s">
        <v>5785</v>
      </c>
      <c r="O1023" s="12" t="s">
        <v>1168</v>
      </c>
      <c r="P1023" s="12" t="s">
        <v>166</v>
      </c>
      <c r="Q1023" s="12" t="s">
        <v>6664</v>
      </c>
      <c r="R1023" s="12">
        <v>17.72</v>
      </c>
      <c r="S1023" s="12">
        <v>83.32</v>
      </c>
      <c r="T1023" s="12" t="s">
        <v>11</v>
      </c>
      <c r="U1023" s="12" t="s">
        <v>17</v>
      </c>
      <c r="V1023" s="12" t="s">
        <v>44</v>
      </c>
      <c r="W1023" s="12" t="s">
        <v>7415</v>
      </c>
      <c r="X1023" s="12">
        <v>36.11</v>
      </c>
      <c r="Y1023" s="12">
        <v>1119811</v>
      </c>
      <c r="Z1023" s="12" t="s">
        <v>6613</v>
      </c>
      <c r="AA1023" s="12" t="s">
        <v>6613</v>
      </c>
      <c r="AB1023" s="12" t="s">
        <v>6613</v>
      </c>
      <c r="AC1023" s="12" t="s">
        <v>6613</v>
      </c>
      <c r="AD1023" s="12" t="s">
        <v>6613</v>
      </c>
      <c r="AE1023" s="12" t="s">
        <v>6613</v>
      </c>
      <c r="AF1023" s="12" t="s">
        <v>45</v>
      </c>
    </row>
    <row r="1024" spans="1:32" x14ac:dyDescent="0.2">
      <c r="A1024" s="12" t="s">
        <v>1175</v>
      </c>
      <c r="B1024" s="12" t="s">
        <v>1176</v>
      </c>
      <c r="C1024" s="12" t="s">
        <v>1176</v>
      </c>
      <c r="D1024" s="12" t="s">
        <v>163</v>
      </c>
      <c r="E1024" s="12" t="s">
        <v>7676</v>
      </c>
      <c r="F1024" s="12" t="s">
        <v>5458</v>
      </c>
      <c r="G1024" s="12" t="s">
        <v>159</v>
      </c>
      <c r="H1024" s="12" t="s">
        <v>6613</v>
      </c>
      <c r="I1024" s="12">
        <v>0</v>
      </c>
      <c r="J1024" s="12" t="s">
        <v>164</v>
      </c>
      <c r="K1024" s="12" t="s">
        <v>6646</v>
      </c>
      <c r="L1024" s="12" t="s">
        <v>1173</v>
      </c>
      <c r="M1024" s="12" t="s">
        <v>1173</v>
      </c>
      <c r="N1024" s="12" t="s">
        <v>5785</v>
      </c>
      <c r="O1024" s="12" t="s">
        <v>17</v>
      </c>
      <c r="P1024" s="12" t="s">
        <v>173</v>
      </c>
      <c r="Q1024" s="12" t="s">
        <v>6664</v>
      </c>
      <c r="R1024" s="12">
        <v>30.498714920000001</v>
      </c>
      <c r="S1024" s="12">
        <v>66.5</v>
      </c>
      <c r="T1024" s="12" t="s">
        <v>11</v>
      </c>
      <c r="U1024" s="12" t="s">
        <v>17</v>
      </c>
      <c r="V1024" s="12" t="s">
        <v>653</v>
      </c>
      <c r="W1024" s="12" t="s">
        <v>7415</v>
      </c>
      <c r="X1024" s="12">
        <v>38</v>
      </c>
      <c r="Y1024" s="12">
        <v>1117072</v>
      </c>
      <c r="Z1024" s="12" t="s">
        <v>6613</v>
      </c>
      <c r="AA1024" s="12" t="s">
        <v>6613</v>
      </c>
      <c r="AB1024" s="12" t="s">
        <v>6613</v>
      </c>
      <c r="AC1024" s="12" t="s">
        <v>6613</v>
      </c>
      <c r="AD1024" s="12" t="s">
        <v>6613</v>
      </c>
      <c r="AE1024" s="12" t="s">
        <v>6613</v>
      </c>
      <c r="AF1024" s="12" t="s">
        <v>45</v>
      </c>
    </row>
    <row r="1025" spans="1:32" x14ac:dyDescent="0.2">
      <c r="A1025" s="12" t="s">
        <v>1171</v>
      </c>
      <c r="B1025" s="12" t="s">
        <v>1172</v>
      </c>
      <c r="C1025" s="12" t="s">
        <v>1172</v>
      </c>
      <c r="D1025" s="12" t="s">
        <v>163</v>
      </c>
      <c r="E1025" s="12" t="s">
        <v>7676</v>
      </c>
      <c r="F1025" s="12" t="s">
        <v>5458</v>
      </c>
      <c r="G1025" s="12" t="s">
        <v>159</v>
      </c>
      <c r="H1025" s="12" t="s">
        <v>6613</v>
      </c>
      <c r="I1025" s="12">
        <v>0</v>
      </c>
      <c r="J1025" s="12" t="s">
        <v>164</v>
      </c>
      <c r="K1025" s="12" t="s">
        <v>6646</v>
      </c>
      <c r="L1025" s="12" t="s">
        <v>1173</v>
      </c>
      <c r="M1025" s="12" t="s">
        <v>1173</v>
      </c>
      <c r="N1025" s="12" t="s">
        <v>5785</v>
      </c>
      <c r="O1025" s="12" t="s">
        <v>17</v>
      </c>
      <c r="P1025" s="12" t="s">
        <v>173</v>
      </c>
      <c r="Q1025" s="12" t="s">
        <v>6664</v>
      </c>
      <c r="R1025" s="12">
        <v>30.498714920000001</v>
      </c>
      <c r="S1025" s="12">
        <v>66.5</v>
      </c>
      <c r="T1025" s="12" t="s">
        <v>11</v>
      </c>
      <c r="U1025" s="12" t="s">
        <v>17</v>
      </c>
      <c r="V1025" s="12" t="s">
        <v>1174</v>
      </c>
      <c r="W1025" s="12" t="s">
        <v>7415</v>
      </c>
      <c r="X1025" s="12">
        <v>35.21</v>
      </c>
      <c r="Y1025" s="12">
        <v>1119586</v>
      </c>
      <c r="Z1025" s="12" t="s">
        <v>6613</v>
      </c>
      <c r="AA1025" s="12" t="s">
        <v>6613</v>
      </c>
      <c r="AB1025" s="12" t="s">
        <v>6613</v>
      </c>
      <c r="AC1025" s="12" t="s">
        <v>6613</v>
      </c>
      <c r="AD1025" s="12" t="s">
        <v>6613</v>
      </c>
      <c r="AE1025" s="12" t="s">
        <v>6613</v>
      </c>
      <c r="AF1025" s="12" t="s">
        <v>45</v>
      </c>
    </row>
    <row r="1026" spans="1:32" x14ac:dyDescent="0.2">
      <c r="A1026" s="12" t="s">
        <v>1180</v>
      </c>
      <c r="B1026" s="12" t="s">
        <v>1181</v>
      </c>
      <c r="C1026" s="12" t="s">
        <v>1181</v>
      </c>
      <c r="D1026" s="12" t="s">
        <v>163</v>
      </c>
      <c r="E1026" s="12" t="s">
        <v>7676</v>
      </c>
      <c r="F1026" s="12" t="s">
        <v>5458</v>
      </c>
      <c r="G1026" s="12" t="s">
        <v>159</v>
      </c>
      <c r="H1026" s="12" t="s">
        <v>6613</v>
      </c>
      <c r="I1026" s="12">
        <v>0</v>
      </c>
      <c r="J1026" s="12" t="s">
        <v>164</v>
      </c>
      <c r="K1026" s="12" t="s">
        <v>6646</v>
      </c>
      <c r="L1026" s="12" t="s">
        <v>1179</v>
      </c>
      <c r="M1026" s="12" t="s">
        <v>1179</v>
      </c>
      <c r="N1026" s="12" t="s">
        <v>5785</v>
      </c>
      <c r="O1026" s="12" t="s">
        <v>17</v>
      </c>
      <c r="P1026" s="12" t="s">
        <v>173</v>
      </c>
      <c r="Q1026" s="12" t="s">
        <v>6664</v>
      </c>
      <c r="R1026" s="12">
        <v>36.498385679999998</v>
      </c>
      <c r="S1026" s="12">
        <v>74</v>
      </c>
      <c r="T1026" s="12" t="s">
        <v>11</v>
      </c>
      <c r="U1026" s="12" t="s">
        <v>17</v>
      </c>
      <c r="V1026" s="12" t="s">
        <v>1182</v>
      </c>
      <c r="W1026" s="12" t="s">
        <v>7415</v>
      </c>
      <c r="X1026" s="12">
        <v>42.2</v>
      </c>
      <c r="Y1026" s="12">
        <v>1117695</v>
      </c>
      <c r="Z1026" s="12" t="s">
        <v>6613</v>
      </c>
      <c r="AA1026" s="12" t="s">
        <v>6613</v>
      </c>
      <c r="AB1026" s="12" t="s">
        <v>6613</v>
      </c>
      <c r="AC1026" s="12" t="s">
        <v>6613</v>
      </c>
      <c r="AD1026" s="12" t="s">
        <v>6613</v>
      </c>
      <c r="AE1026" s="12" t="s">
        <v>6613</v>
      </c>
      <c r="AF1026" s="12" t="s">
        <v>45</v>
      </c>
    </row>
    <row r="1027" spans="1:32" x14ac:dyDescent="0.2">
      <c r="A1027" s="12" t="s">
        <v>1177</v>
      </c>
      <c r="B1027" s="12" t="s">
        <v>1178</v>
      </c>
      <c r="C1027" s="12" t="s">
        <v>1178</v>
      </c>
      <c r="D1027" s="12" t="s">
        <v>163</v>
      </c>
      <c r="E1027" s="12" t="s">
        <v>7676</v>
      </c>
      <c r="F1027" s="12" t="s">
        <v>5458</v>
      </c>
      <c r="G1027" s="12" t="s">
        <v>159</v>
      </c>
      <c r="H1027" s="12" t="s">
        <v>6613</v>
      </c>
      <c r="I1027" s="12">
        <v>0</v>
      </c>
      <c r="J1027" s="12" t="s">
        <v>164</v>
      </c>
      <c r="K1027" s="12" t="s">
        <v>6646</v>
      </c>
      <c r="L1027" s="12" t="s">
        <v>1179</v>
      </c>
      <c r="M1027" s="12" t="s">
        <v>1179</v>
      </c>
      <c r="N1027" s="12" t="s">
        <v>5785</v>
      </c>
      <c r="O1027" s="12" t="s">
        <v>17</v>
      </c>
      <c r="P1027" s="12" t="s">
        <v>173</v>
      </c>
      <c r="Q1027" s="12" t="s">
        <v>6664</v>
      </c>
      <c r="R1027" s="12">
        <v>36.498385679999998</v>
      </c>
      <c r="S1027" s="12">
        <v>74</v>
      </c>
      <c r="T1027" s="12" t="s">
        <v>25</v>
      </c>
      <c r="U1027" s="12" t="s">
        <v>17</v>
      </c>
      <c r="V1027" s="12" t="s">
        <v>6639</v>
      </c>
      <c r="W1027" s="12" t="s">
        <v>6639</v>
      </c>
      <c r="X1027" s="12">
        <v>41.23</v>
      </c>
      <c r="Y1027" s="12">
        <v>1118372</v>
      </c>
      <c r="Z1027" s="12" t="s">
        <v>6613</v>
      </c>
      <c r="AA1027" s="12" t="s">
        <v>6613</v>
      </c>
      <c r="AB1027" s="12" t="s">
        <v>6613</v>
      </c>
      <c r="AC1027" s="12" t="s">
        <v>6613</v>
      </c>
      <c r="AD1027" s="12" t="s">
        <v>6613</v>
      </c>
      <c r="AE1027" s="12" t="s">
        <v>6613</v>
      </c>
      <c r="AF1027" s="12" t="s">
        <v>45</v>
      </c>
    </row>
    <row r="1028" spans="1:32" x14ac:dyDescent="0.2">
      <c r="A1028" s="12" t="s">
        <v>1839</v>
      </c>
      <c r="B1028" s="12" t="s">
        <v>1840</v>
      </c>
      <c r="C1028" s="12" t="s">
        <v>17</v>
      </c>
      <c r="D1028" s="12" t="s">
        <v>17</v>
      </c>
      <c r="E1028" s="12" t="s">
        <v>7678</v>
      </c>
      <c r="F1028" s="12" t="s">
        <v>5458</v>
      </c>
      <c r="G1028" s="12" t="s">
        <v>615</v>
      </c>
      <c r="H1028" s="12" t="s">
        <v>6613</v>
      </c>
      <c r="I1028" s="12">
        <v>0</v>
      </c>
      <c r="J1028" s="12" t="s">
        <v>164</v>
      </c>
      <c r="K1028" s="12" t="s">
        <v>6646</v>
      </c>
      <c r="L1028" s="12" t="s">
        <v>1686</v>
      </c>
      <c r="M1028" s="12" t="s">
        <v>1686</v>
      </c>
      <c r="N1028" s="12" t="s">
        <v>5785</v>
      </c>
      <c r="O1028" s="12" t="s">
        <v>1687</v>
      </c>
      <c r="P1028" s="12" t="s">
        <v>1688</v>
      </c>
      <c r="Q1028" s="12" t="s">
        <v>6664</v>
      </c>
      <c r="R1028" s="12" t="s">
        <v>17</v>
      </c>
      <c r="S1028" s="12" t="s">
        <v>17</v>
      </c>
      <c r="T1028" s="12" t="s">
        <v>11</v>
      </c>
      <c r="U1028" s="12" t="s">
        <v>17</v>
      </c>
      <c r="V1028" s="12" t="s">
        <v>1817</v>
      </c>
      <c r="W1028" s="12" t="s">
        <v>7415</v>
      </c>
      <c r="X1028" s="12" t="s">
        <v>17</v>
      </c>
      <c r="Y1028" s="12">
        <v>1061666</v>
      </c>
      <c r="Z1028" s="12" t="s">
        <v>6613</v>
      </c>
      <c r="AA1028" s="12" t="s">
        <v>6613</v>
      </c>
      <c r="AB1028" s="12" t="s">
        <v>6613</v>
      </c>
      <c r="AC1028" s="12" t="s">
        <v>6613</v>
      </c>
      <c r="AD1028" s="12" t="s">
        <v>6613</v>
      </c>
      <c r="AE1028" s="12" t="s">
        <v>6613</v>
      </c>
      <c r="AF1028" s="12" t="s">
        <v>45</v>
      </c>
    </row>
    <row r="1029" spans="1:32" x14ac:dyDescent="0.2">
      <c r="A1029" s="12" t="s">
        <v>1742</v>
      </c>
      <c r="B1029" s="12" t="s">
        <v>1743</v>
      </c>
      <c r="C1029" s="12" t="s">
        <v>17</v>
      </c>
      <c r="D1029" s="12" t="s">
        <v>17</v>
      </c>
      <c r="E1029" s="12" t="s">
        <v>7678</v>
      </c>
      <c r="F1029" s="12" t="s">
        <v>5458</v>
      </c>
      <c r="G1029" s="12" t="s">
        <v>615</v>
      </c>
      <c r="H1029" s="12" t="s">
        <v>6613</v>
      </c>
      <c r="I1029" s="12">
        <v>0</v>
      </c>
      <c r="J1029" s="12" t="s">
        <v>164</v>
      </c>
      <c r="K1029" s="12" t="s">
        <v>6646</v>
      </c>
      <c r="L1029" s="12" t="s">
        <v>1686</v>
      </c>
      <c r="M1029" s="12" t="s">
        <v>1686</v>
      </c>
      <c r="N1029" s="12" t="s">
        <v>5785</v>
      </c>
      <c r="O1029" s="12" t="s">
        <v>1687</v>
      </c>
      <c r="P1029" s="12" t="s">
        <v>1688</v>
      </c>
      <c r="Q1029" s="12" t="s">
        <v>6664</v>
      </c>
      <c r="R1029" s="12" t="s">
        <v>17</v>
      </c>
      <c r="S1029" s="12" t="s">
        <v>17</v>
      </c>
      <c r="T1029" s="12" t="s">
        <v>25</v>
      </c>
      <c r="U1029" s="12" t="s">
        <v>17</v>
      </c>
      <c r="V1029" s="12" t="s">
        <v>6639</v>
      </c>
      <c r="W1029" s="12" t="s">
        <v>6639</v>
      </c>
      <c r="X1029" s="12" t="s">
        <v>17</v>
      </c>
      <c r="Y1029" s="12">
        <v>1070926</v>
      </c>
      <c r="Z1029" s="12" t="s">
        <v>6613</v>
      </c>
      <c r="AA1029" s="12" t="s">
        <v>6613</v>
      </c>
      <c r="AB1029" s="12" t="s">
        <v>6613</v>
      </c>
      <c r="AC1029" s="12" t="s">
        <v>6613</v>
      </c>
      <c r="AD1029" s="12" t="s">
        <v>6613</v>
      </c>
      <c r="AE1029" s="12" t="s">
        <v>6613</v>
      </c>
      <c r="AF1029" s="12" t="s">
        <v>45</v>
      </c>
    </row>
    <row r="1030" spans="1:32" x14ac:dyDescent="0.2">
      <c r="A1030" s="12" t="s">
        <v>1884</v>
      </c>
      <c r="B1030" s="12" t="s">
        <v>1885</v>
      </c>
      <c r="C1030" s="12" t="s">
        <v>17</v>
      </c>
      <c r="D1030" s="12" t="s">
        <v>17</v>
      </c>
      <c r="E1030" s="12" t="s">
        <v>7678</v>
      </c>
      <c r="F1030" s="12" t="s">
        <v>5458</v>
      </c>
      <c r="G1030" s="12" t="s">
        <v>615</v>
      </c>
      <c r="H1030" s="12" t="s">
        <v>6613</v>
      </c>
      <c r="I1030" s="12">
        <v>0</v>
      </c>
      <c r="J1030" s="12" t="s">
        <v>164</v>
      </c>
      <c r="K1030" s="12" t="s">
        <v>6646</v>
      </c>
      <c r="L1030" s="12" t="s">
        <v>1686</v>
      </c>
      <c r="M1030" s="12" t="s">
        <v>1686</v>
      </c>
      <c r="N1030" s="12" t="s">
        <v>5785</v>
      </c>
      <c r="O1030" s="12" t="s">
        <v>1687</v>
      </c>
      <c r="P1030" s="12" t="s">
        <v>1688</v>
      </c>
      <c r="Q1030" s="12" t="s">
        <v>6664</v>
      </c>
      <c r="R1030" s="12" t="s">
        <v>17</v>
      </c>
      <c r="S1030" s="12" t="s">
        <v>17</v>
      </c>
      <c r="T1030" s="12" t="s">
        <v>25</v>
      </c>
      <c r="U1030" s="12" t="s">
        <v>17</v>
      </c>
      <c r="V1030" s="12" t="s">
        <v>6639</v>
      </c>
      <c r="W1030" s="12" t="s">
        <v>6639</v>
      </c>
      <c r="X1030" s="12" t="s">
        <v>17</v>
      </c>
      <c r="Y1030" s="12">
        <v>1078786</v>
      </c>
      <c r="Z1030" s="12" t="s">
        <v>6613</v>
      </c>
      <c r="AA1030" s="12" t="s">
        <v>6613</v>
      </c>
      <c r="AB1030" s="12" t="s">
        <v>6613</v>
      </c>
      <c r="AC1030" s="12" t="s">
        <v>6613</v>
      </c>
      <c r="AD1030" s="12" t="s">
        <v>6613</v>
      </c>
      <c r="AE1030" s="12" t="s">
        <v>6613</v>
      </c>
      <c r="AF1030" s="12" t="s">
        <v>45</v>
      </c>
    </row>
    <row r="1031" spans="1:32" x14ac:dyDescent="0.2">
      <c r="A1031" s="12" t="s">
        <v>1736</v>
      </c>
      <c r="B1031" s="12" t="s">
        <v>1737</v>
      </c>
      <c r="C1031" s="12" t="s">
        <v>17</v>
      </c>
      <c r="D1031" s="12" t="s">
        <v>17</v>
      </c>
      <c r="E1031" s="12" t="s">
        <v>7678</v>
      </c>
      <c r="F1031" s="12" t="s">
        <v>5458</v>
      </c>
      <c r="G1031" s="12" t="s">
        <v>615</v>
      </c>
      <c r="H1031" s="12" t="s">
        <v>6613</v>
      </c>
      <c r="I1031" s="12">
        <v>0</v>
      </c>
      <c r="J1031" s="12" t="s">
        <v>164</v>
      </c>
      <c r="K1031" s="12" t="s">
        <v>6646</v>
      </c>
      <c r="L1031" s="12" t="s">
        <v>1686</v>
      </c>
      <c r="M1031" s="12" t="s">
        <v>1686</v>
      </c>
      <c r="N1031" s="12" t="s">
        <v>5785</v>
      </c>
      <c r="O1031" s="12" t="s">
        <v>1687</v>
      </c>
      <c r="P1031" s="12" t="s">
        <v>1688</v>
      </c>
      <c r="Q1031" s="12" t="s">
        <v>6664</v>
      </c>
      <c r="R1031" s="12" t="s">
        <v>17</v>
      </c>
      <c r="S1031" s="12" t="s">
        <v>17</v>
      </c>
      <c r="T1031" s="12" t="s">
        <v>25</v>
      </c>
      <c r="U1031" s="12" t="s">
        <v>17</v>
      </c>
      <c r="V1031" s="12" t="s">
        <v>6639</v>
      </c>
      <c r="W1031" s="12" t="s">
        <v>6639</v>
      </c>
      <c r="X1031" s="12" t="s">
        <v>17</v>
      </c>
      <c r="Y1031" s="12">
        <v>1082346</v>
      </c>
      <c r="Z1031" s="12" t="s">
        <v>6613</v>
      </c>
      <c r="AA1031" s="12" t="s">
        <v>6613</v>
      </c>
      <c r="AB1031" s="12" t="s">
        <v>6613</v>
      </c>
      <c r="AC1031" s="12" t="s">
        <v>6613</v>
      </c>
      <c r="AD1031" s="12" t="s">
        <v>6613</v>
      </c>
      <c r="AE1031" s="12" t="s">
        <v>6613</v>
      </c>
      <c r="AF1031" s="12" t="s">
        <v>45</v>
      </c>
    </row>
    <row r="1032" spans="1:32" x14ac:dyDescent="0.2">
      <c r="A1032" s="12" t="s">
        <v>1765</v>
      </c>
      <c r="B1032" s="12" t="s">
        <v>1766</v>
      </c>
      <c r="C1032" s="12" t="s">
        <v>17</v>
      </c>
      <c r="D1032" s="12" t="s">
        <v>17</v>
      </c>
      <c r="E1032" s="12" t="s">
        <v>7678</v>
      </c>
      <c r="F1032" s="12" t="s">
        <v>5458</v>
      </c>
      <c r="G1032" s="12" t="s">
        <v>615</v>
      </c>
      <c r="H1032" s="12" t="s">
        <v>6613</v>
      </c>
      <c r="I1032" s="12">
        <v>0</v>
      </c>
      <c r="J1032" s="12" t="s">
        <v>164</v>
      </c>
      <c r="K1032" s="12" t="s">
        <v>6646</v>
      </c>
      <c r="L1032" s="12" t="s">
        <v>1686</v>
      </c>
      <c r="M1032" s="12" t="s">
        <v>1686</v>
      </c>
      <c r="N1032" s="12" t="s">
        <v>5785</v>
      </c>
      <c r="O1032" s="12" t="s">
        <v>1687</v>
      </c>
      <c r="P1032" s="12" t="s">
        <v>1688</v>
      </c>
      <c r="Q1032" s="12" t="s">
        <v>6664</v>
      </c>
      <c r="R1032" s="12" t="s">
        <v>17</v>
      </c>
      <c r="S1032" s="12" t="s">
        <v>17</v>
      </c>
      <c r="T1032" s="12" t="s">
        <v>25</v>
      </c>
      <c r="U1032" s="12" t="s">
        <v>17</v>
      </c>
      <c r="V1032" s="12" t="s">
        <v>6639</v>
      </c>
      <c r="W1032" s="12" t="s">
        <v>6639</v>
      </c>
      <c r="X1032" s="12" t="s">
        <v>17</v>
      </c>
      <c r="Y1032" s="12">
        <v>1084385</v>
      </c>
      <c r="Z1032" s="12" t="s">
        <v>6613</v>
      </c>
      <c r="AA1032" s="12" t="s">
        <v>6613</v>
      </c>
      <c r="AB1032" s="12" t="s">
        <v>6613</v>
      </c>
      <c r="AC1032" s="12" t="s">
        <v>6613</v>
      </c>
      <c r="AD1032" s="12" t="s">
        <v>6613</v>
      </c>
      <c r="AE1032" s="12" t="s">
        <v>6613</v>
      </c>
      <c r="AF1032" s="12" t="s">
        <v>45</v>
      </c>
    </row>
    <row r="1033" spans="1:32" x14ac:dyDescent="0.2">
      <c r="A1033" s="12" t="s">
        <v>1767</v>
      </c>
      <c r="B1033" s="12" t="s">
        <v>1768</v>
      </c>
      <c r="C1033" s="12" t="s">
        <v>17</v>
      </c>
      <c r="D1033" s="12" t="s">
        <v>17</v>
      </c>
      <c r="E1033" s="12" t="s">
        <v>7678</v>
      </c>
      <c r="F1033" s="12" t="s">
        <v>5458</v>
      </c>
      <c r="G1033" s="12" t="s">
        <v>615</v>
      </c>
      <c r="H1033" s="12" t="s">
        <v>6613</v>
      </c>
      <c r="I1033" s="12">
        <v>0</v>
      </c>
      <c r="J1033" s="12" t="s">
        <v>164</v>
      </c>
      <c r="K1033" s="12" t="s">
        <v>6646</v>
      </c>
      <c r="L1033" s="12" t="s">
        <v>1686</v>
      </c>
      <c r="M1033" s="12" t="s">
        <v>1686</v>
      </c>
      <c r="N1033" s="12" t="s">
        <v>5785</v>
      </c>
      <c r="O1033" s="12" t="s">
        <v>1687</v>
      </c>
      <c r="P1033" s="12" t="s">
        <v>1688</v>
      </c>
      <c r="Q1033" s="12" t="s">
        <v>6664</v>
      </c>
      <c r="R1033" s="12" t="s">
        <v>17</v>
      </c>
      <c r="S1033" s="12" t="s">
        <v>17</v>
      </c>
      <c r="T1033" s="12" t="s">
        <v>25</v>
      </c>
      <c r="U1033" s="12" t="s">
        <v>17</v>
      </c>
      <c r="V1033" s="12" t="s">
        <v>6639</v>
      </c>
      <c r="W1033" s="12" t="s">
        <v>6639</v>
      </c>
      <c r="X1033" s="12" t="s">
        <v>17</v>
      </c>
      <c r="Y1033" s="12">
        <v>1098145</v>
      </c>
      <c r="Z1033" s="12" t="s">
        <v>6613</v>
      </c>
      <c r="AA1033" s="12" t="s">
        <v>6613</v>
      </c>
      <c r="AB1033" s="12" t="s">
        <v>6613</v>
      </c>
      <c r="AC1033" s="12" t="s">
        <v>6613</v>
      </c>
      <c r="AD1033" s="12" t="s">
        <v>6613</v>
      </c>
      <c r="AE1033" s="12" t="s">
        <v>6613</v>
      </c>
      <c r="AF1033" s="12" t="s">
        <v>45</v>
      </c>
    </row>
    <row r="1034" spans="1:32" x14ac:dyDescent="0.2">
      <c r="A1034" s="12" t="s">
        <v>1684</v>
      </c>
      <c r="B1034" s="12" t="s">
        <v>1685</v>
      </c>
      <c r="C1034" s="12" t="s">
        <v>17</v>
      </c>
      <c r="D1034" s="12" t="s">
        <v>17</v>
      </c>
      <c r="E1034" s="12" t="s">
        <v>7678</v>
      </c>
      <c r="F1034" s="12" t="s">
        <v>5458</v>
      </c>
      <c r="G1034" s="12" t="s">
        <v>615</v>
      </c>
      <c r="H1034" s="12" t="s">
        <v>6613</v>
      </c>
      <c r="I1034" s="12">
        <v>0</v>
      </c>
      <c r="J1034" s="12" t="s">
        <v>164</v>
      </c>
      <c r="K1034" s="12" t="s">
        <v>6646</v>
      </c>
      <c r="L1034" s="12" t="s">
        <v>1686</v>
      </c>
      <c r="M1034" s="12" t="s">
        <v>1686</v>
      </c>
      <c r="N1034" s="12" t="s">
        <v>5785</v>
      </c>
      <c r="O1034" s="12" t="s">
        <v>1687</v>
      </c>
      <c r="P1034" s="12" t="s">
        <v>1688</v>
      </c>
      <c r="Q1034" s="12" t="s">
        <v>6664</v>
      </c>
      <c r="R1034" s="12" t="s">
        <v>17</v>
      </c>
      <c r="S1034" s="12" t="s">
        <v>17</v>
      </c>
      <c r="T1034" s="12" t="s">
        <v>25</v>
      </c>
      <c r="U1034" s="12" t="s">
        <v>17</v>
      </c>
      <c r="V1034" s="12" t="s">
        <v>6639</v>
      </c>
      <c r="W1034" s="12" t="s">
        <v>6639</v>
      </c>
      <c r="X1034" s="12" t="s">
        <v>17</v>
      </c>
      <c r="Y1034" s="12">
        <v>1102460</v>
      </c>
      <c r="Z1034" s="12" t="s">
        <v>6613</v>
      </c>
      <c r="AA1034" s="12" t="s">
        <v>6613</v>
      </c>
      <c r="AB1034" s="12" t="s">
        <v>6613</v>
      </c>
      <c r="AC1034" s="12" t="s">
        <v>6613</v>
      </c>
      <c r="AD1034" s="12" t="s">
        <v>6613</v>
      </c>
      <c r="AE1034" s="12" t="s">
        <v>6613</v>
      </c>
      <c r="AF1034" s="12" t="s">
        <v>45</v>
      </c>
    </row>
    <row r="1035" spans="1:32" x14ac:dyDescent="0.2">
      <c r="A1035" s="12" t="s">
        <v>1771</v>
      </c>
      <c r="B1035" s="12" t="s">
        <v>1772</v>
      </c>
      <c r="C1035" s="12" t="s">
        <v>17</v>
      </c>
      <c r="D1035" s="12" t="s">
        <v>17</v>
      </c>
      <c r="E1035" s="12" t="s">
        <v>7678</v>
      </c>
      <c r="F1035" s="12" t="s">
        <v>5458</v>
      </c>
      <c r="G1035" s="12" t="s">
        <v>615</v>
      </c>
      <c r="H1035" s="12" t="s">
        <v>6613</v>
      </c>
      <c r="I1035" s="12">
        <v>0</v>
      </c>
      <c r="J1035" s="12" t="s">
        <v>164</v>
      </c>
      <c r="K1035" s="12" t="s">
        <v>6646</v>
      </c>
      <c r="L1035" s="12" t="s">
        <v>1686</v>
      </c>
      <c r="M1035" s="12" t="s">
        <v>1686</v>
      </c>
      <c r="N1035" s="12" t="s">
        <v>5785</v>
      </c>
      <c r="O1035" s="12" t="s">
        <v>1687</v>
      </c>
      <c r="P1035" s="12" t="s">
        <v>1688</v>
      </c>
      <c r="Q1035" s="12" t="s">
        <v>6664</v>
      </c>
      <c r="R1035" s="12" t="s">
        <v>17</v>
      </c>
      <c r="S1035" s="12" t="s">
        <v>17</v>
      </c>
      <c r="T1035" s="12" t="s">
        <v>25</v>
      </c>
      <c r="U1035" s="12" t="s">
        <v>17</v>
      </c>
      <c r="V1035" s="12" t="s">
        <v>6639</v>
      </c>
      <c r="W1035" s="12" t="s">
        <v>6639</v>
      </c>
      <c r="X1035" s="12" t="s">
        <v>17</v>
      </c>
      <c r="Y1035" s="12">
        <v>1105521</v>
      </c>
      <c r="Z1035" s="12" t="s">
        <v>6613</v>
      </c>
      <c r="AA1035" s="12" t="s">
        <v>6613</v>
      </c>
      <c r="AB1035" s="12" t="s">
        <v>6613</v>
      </c>
      <c r="AC1035" s="12" t="s">
        <v>6613</v>
      </c>
      <c r="AD1035" s="12" t="s">
        <v>6613</v>
      </c>
      <c r="AE1035" s="12" t="s">
        <v>6613</v>
      </c>
      <c r="AF1035" s="12" t="s">
        <v>45</v>
      </c>
    </row>
    <row r="1036" spans="1:32" x14ac:dyDescent="0.2">
      <c r="A1036" s="12" t="s">
        <v>1845</v>
      </c>
      <c r="B1036" s="12" t="s">
        <v>1846</v>
      </c>
      <c r="C1036" s="12" t="s">
        <v>17</v>
      </c>
      <c r="D1036" s="12" t="s">
        <v>17</v>
      </c>
      <c r="E1036" s="12" t="s">
        <v>7678</v>
      </c>
      <c r="F1036" s="12" t="s">
        <v>5458</v>
      </c>
      <c r="G1036" s="12" t="s">
        <v>615</v>
      </c>
      <c r="H1036" s="12" t="s">
        <v>6613</v>
      </c>
      <c r="I1036" s="12">
        <v>0</v>
      </c>
      <c r="J1036" s="12" t="s">
        <v>164</v>
      </c>
      <c r="K1036" s="12" t="s">
        <v>6646</v>
      </c>
      <c r="L1036" s="12" t="s">
        <v>1686</v>
      </c>
      <c r="M1036" s="12" t="s">
        <v>1686</v>
      </c>
      <c r="N1036" s="12" t="s">
        <v>5785</v>
      </c>
      <c r="O1036" s="12" t="s">
        <v>1687</v>
      </c>
      <c r="P1036" s="12" t="s">
        <v>1688</v>
      </c>
      <c r="Q1036" s="12" t="s">
        <v>6664</v>
      </c>
      <c r="R1036" s="12" t="s">
        <v>17</v>
      </c>
      <c r="S1036" s="12" t="s">
        <v>17</v>
      </c>
      <c r="T1036" s="12" t="s">
        <v>25</v>
      </c>
      <c r="U1036" s="12" t="s">
        <v>17</v>
      </c>
      <c r="V1036" s="12" t="s">
        <v>6639</v>
      </c>
      <c r="W1036" s="12" t="s">
        <v>6639</v>
      </c>
      <c r="X1036" s="12" t="s">
        <v>17</v>
      </c>
      <c r="Y1036" s="12">
        <v>1106056</v>
      </c>
      <c r="Z1036" s="12" t="s">
        <v>6613</v>
      </c>
      <c r="AA1036" s="12" t="s">
        <v>6613</v>
      </c>
      <c r="AB1036" s="12" t="s">
        <v>6613</v>
      </c>
      <c r="AC1036" s="12" t="s">
        <v>6613</v>
      </c>
      <c r="AD1036" s="12" t="s">
        <v>6613</v>
      </c>
      <c r="AE1036" s="12" t="s">
        <v>6613</v>
      </c>
      <c r="AF1036" s="12" t="s">
        <v>45</v>
      </c>
    </row>
    <row r="1037" spans="1:32" x14ac:dyDescent="0.2">
      <c r="A1037" s="12" t="s">
        <v>1723</v>
      </c>
      <c r="B1037" s="12" t="s">
        <v>1724</v>
      </c>
      <c r="C1037" s="12" t="s">
        <v>17</v>
      </c>
      <c r="D1037" s="12" t="s">
        <v>17</v>
      </c>
      <c r="E1037" s="12" t="s">
        <v>7678</v>
      </c>
      <c r="F1037" s="12" t="s">
        <v>5458</v>
      </c>
      <c r="G1037" s="12" t="s">
        <v>615</v>
      </c>
      <c r="H1037" s="12" t="s">
        <v>6613</v>
      </c>
      <c r="I1037" s="12">
        <v>0</v>
      </c>
      <c r="J1037" s="12" t="s">
        <v>164</v>
      </c>
      <c r="K1037" s="12" t="s">
        <v>6646</v>
      </c>
      <c r="L1037" s="12" t="s">
        <v>1686</v>
      </c>
      <c r="M1037" s="12" t="s">
        <v>1686</v>
      </c>
      <c r="N1037" s="12" t="s">
        <v>5785</v>
      </c>
      <c r="O1037" s="12" t="s">
        <v>1687</v>
      </c>
      <c r="P1037" s="12" t="s">
        <v>1688</v>
      </c>
      <c r="Q1037" s="12" t="s">
        <v>6664</v>
      </c>
      <c r="R1037" s="12" t="s">
        <v>17</v>
      </c>
      <c r="S1037" s="12" t="s">
        <v>17</v>
      </c>
      <c r="T1037" s="12" t="s">
        <v>11</v>
      </c>
      <c r="U1037" s="12" t="s">
        <v>17</v>
      </c>
      <c r="V1037" s="12" t="s">
        <v>1725</v>
      </c>
      <c r="W1037" s="12" t="s">
        <v>7415</v>
      </c>
      <c r="X1037" s="12" t="s">
        <v>17</v>
      </c>
      <c r="Y1037" s="12">
        <v>1106699</v>
      </c>
      <c r="Z1037" s="12" t="s">
        <v>6613</v>
      </c>
      <c r="AA1037" s="12" t="s">
        <v>6613</v>
      </c>
      <c r="AB1037" s="12" t="s">
        <v>6613</v>
      </c>
      <c r="AC1037" s="12" t="s">
        <v>6613</v>
      </c>
      <c r="AD1037" s="12" t="s">
        <v>6613</v>
      </c>
      <c r="AE1037" s="12" t="s">
        <v>6613</v>
      </c>
      <c r="AF1037" s="12" t="s">
        <v>45</v>
      </c>
    </row>
    <row r="1038" spans="1:32" x14ac:dyDescent="0.2">
      <c r="A1038" s="12" t="s">
        <v>1773</v>
      </c>
      <c r="B1038" s="12" t="s">
        <v>1774</v>
      </c>
      <c r="C1038" s="12" t="s">
        <v>17</v>
      </c>
      <c r="D1038" s="12" t="s">
        <v>17</v>
      </c>
      <c r="E1038" s="12" t="s">
        <v>7678</v>
      </c>
      <c r="F1038" s="12" t="s">
        <v>5458</v>
      </c>
      <c r="G1038" s="12" t="s">
        <v>615</v>
      </c>
      <c r="H1038" s="12" t="s">
        <v>6613</v>
      </c>
      <c r="I1038" s="12">
        <v>0</v>
      </c>
      <c r="J1038" s="12" t="s">
        <v>164</v>
      </c>
      <c r="K1038" s="12" t="s">
        <v>6646</v>
      </c>
      <c r="L1038" s="12" t="s">
        <v>1686</v>
      </c>
      <c r="M1038" s="12" t="s">
        <v>1686</v>
      </c>
      <c r="N1038" s="12" t="s">
        <v>5785</v>
      </c>
      <c r="O1038" s="12" t="s">
        <v>1687</v>
      </c>
      <c r="P1038" s="12" t="s">
        <v>1688</v>
      </c>
      <c r="Q1038" s="12" t="s">
        <v>6664</v>
      </c>
      <c r="R1038" s="16" t="s">
        <v>17</v>
      </c>
      <c r="S1038" s="16" t="s">
        <v>17</v>
      </c>
      <c r="T1038" s="12" t="s">
        <v>25</v>
      </c>
      <c r="U1038" s="12" t="s">
        <v>17</v>
      </c>
      <c r="V1038" s="12" t="s">
        <v>6639</v>
      </c>
      <c r="W1038" s="12" t="s">
        <v>6639</v>
      </c>
      <c r="X1038" s="12" t="s">
        <v>17</v>
      </c>
      <c r="Y1038" s="12">
        <v>1110838</v>
      </c>
      <c r="Z1038" s="12" t="s">
        <v>6613</v>
      </c>
      <c r="AA1038" s="12" t="s">
        <v>6613</v>
      </c>
      <c r="AB1038" s="12" t="s">
        <v>6613</v>
      </c>
      <c r="AC1038" s="12" t="s">
        <v>6613</v>
      </c>
      <c r="AD1038" s="12" t="s">
        <v>6613</v>
      </c>
      <c r="AE1038" s="12" t="s">
        <v>6613</v>
      </c>
      <c r="AF1038" s="12" t="s">
        <v>45</v>
      </c>
    </row>
    <row r="1039" spans="1:32" x14ac:dyDescent="0.2">
      <c r="A1039" s="12" t="s">
        <v>1873</v>
      </c>
      <c r="B1039" s="12" t="s">
        <v>1874</v>
      </c>
      <c r="C1039" s="12" t="s">
        <v>17</v>
      </c>
      <c r="D1039" s="12" t="s">
        <v>17</v>
      </c>
      <c r="E1039" s="12" t="s">
        <v>7678</v>
      </c>
      <c r="F1039" s="12" t="s">
        <v>5458</v>
      </c>
      <c r="G1039" s="12" t="s">
        <v>615</v>
      </c>
      <c r="H1039" s="12" t="s">
        <v>6613</v>
      </c>
      <c r="I1039" s="12">
        <v>0</v>
      </c>
      <c r="J1039" s="12" t="s">
        <v>164</v>
      </c>
      <c r="K1039" s="12" t="s">
        <v>6646</v>
      </c>
      <c r="L1039" s="12" t="s">
        <v>1686</v>
      </c>
      <c r="M1039" s="12" t="s">
        <v>1686</v>
      </c>
      <c r="N1039" s="12" t="s">
        <v>5785</v>
      </c>
      <c r="O1039" s="12" t="s">
        <v>1687</v>
      </c>
      <c r="P1039" s="12" t="s">
        <v>1688</v>
      </c>
      <c r="Q1039" s="12" t="s">
        <v>6664</v>
      </c>
      <c r="R1039" s="16" t="s">
        <v>17</v>
      </c>
      <c r="S1039" s="16" t="s">
        <v>17</v>
      </c>
      <c r="T1039" s="12" t="s">
        <v>11</v>
      </c>
      <c r="U1039" s="12" t="s">
        <v>17</v>
      </c>
      <c r="V1039" s="12" t="s">
        <v>708</v>
      </c>
      <c r="W1039" s="12" t="s">
        <v>7415</v>
      </c>
      <c r="X1039" s="12" t="s">
        <v>17</v>
      </c>
      <c r="Y1039" s="12">
        <v>1112395</v>
      </c>
      <c r="Z1039" s="12" t="s">
        <v>6613</v>
      </c>
      <c r="AA1039" s="12" t="s">
        <v>6613</v>
      </c>
      <c r="AB1039" s="12" t="s">
        <v>6613</v>
      </c>
      <c r="AC1039" s="12" t="s">
        <v>6613</v>
      </c>
      <c r="AD1039" s="12" t="s">
        <v>6613</v>
      </c>
      <c r="AE1039" s="12" t="s">
        <v>6613</v>
      </c>
      <c r="AF1039" s="12" t="s">
        <v>45</v>
      </c>
    </row>
    <row r="1040" spans="1:32" x14ac:dyDescent="0.2">
      <c r="A1040" s="12" t="s">
        <v>1689</v>
      </c>
      <c r="B1040" s="12" t="s">
        <v>1690</v>
      </c>
      <c r="C1040" s="12" t="s">
        <v>17</v>
      </c>
      <c r="D1040" s="12" t="s">
        <v>17</v>
      </c>
      <c r="E1040" s="12" t="s">
        <v>7678</v>
      </c>
      <c r="F1040" s="12" t="s">
        <v>5458</v>
      </c>
      <c r="G1040" s="12" t="s">
        <v>615</v>
      </c>
      <c r="H1040" s="12" t="s">
        <v>6613</v>
      </c>
      <c r="I1040" s="12">
        <v>0</v>
      </c>
      <c r="J1040" s="12" t="s">
        <v>164</v>
      </c>
      <c r="K1040" s="12" t="s">
        <v>6646</v>
      </c>
      <c r="L1040" s="12" t="s">
        <v>1686</v>
      </c>
      <c r="M1040" s="12" t="s">
        <v>1686</v>
      </c>
      <c r="N1040" s="12" t="s">
        <v>5785</v>
      </c>
      <c r="O1040" s="12" t="s">
        <v>1687</v>
      </c>
      <c r="P1040" s="12" t="s">
        <v>1688</v>
      </c>
      <c r="Q1040" s="12" t="s">
        <v>6664</v>
      </c>
      <c r="R1040" s="16" t="s">
        <v>17</v>
      </c>
      <c r="S1040" s="16" t="s">
        <v>17</v>
      </c>
      <c r="T1040" s="12" t="s">
        <v>25</v>
      </c>
      <c r="U1040" s="12" t="s">
        <v>17</v>
      </c>
      <c r="V1040" s="12" t="s">
        <v>6639</v>
      </c>
      <c r="W1040" s="12" t="s">
        <v>6639</v>
      </c>
      <c r="X1040" s="12" t="s">
        <v>17</v>
      </c>
      <c r="Y1040" s="12">
        <v>1114008</v>
      </c>
      <c r="Z1040" s="12" t="s">
        <v>6613</v>
      </c>
      <c r="AA1040" s="12" t="s">
        <v>6613</v>
      </c>
      <c r="AB1040" s="12" t="s">
        <v>6613</v>
      </c>
      <c r="AC1040" s="12" t="s">
        <v>6613</v>
      </c>
      <c r="AD1040" s="12" t="s">
        <v>6613</v>
      </c>
      <c r="AE1040" s="12" t="s">
        <v>6613</v>
      </c>
      <c r="AF1040" s="12" t="s">
        <v>45</v>
      </c>
    </row>
    <row r="1041" spans="1:32" x14ac:dyDescent="0.2">
      <c r="A1041" s="12" t="s">
        <v>1694</v>
      </c>
      <c r="B1041" s="12" t="s">
        <v>1695</v>
      </c>
      <c r="C1041" s="12" t="s">
        <v>17</v>
      </c>
      <c r="D1041" s="12" t="s">
        <v>17</v>
      </c>
      <c r="E1041" s="12" t="s">
        <v>7678</v>
      </c>
      <c r="F1041" s="12" t="s">
        <v>5458</v>
      </c>
      <c r="G1041" s="12" t="s">
        <v>615</v>
      </c>
      <c r="H1041" s="12" t="s">
        <v>6613</v>
      </c>
      <c r="I1041" s="12">
        <v>0</v>
      </c>
      <c r="J1041" s="12" t="s">
        <v>164</v>
      </c>
      <c r="K1041" s="12" t="s">
        <v>6646</v>
      </c>
      <c r="L1041" s="12" t="s">
        <v>1686</v>
      </c>
      <c r="M1041" s="12" t="s">
        <v>1686</v>
      </c>
      <c r="N1041" s="12" t="s">
        <v>5785</v>
      </c>
      <c r="O1041" s="12" t="s">
        <v>1687</v>
      </c>
      <c r="P1041" s="12" t="s">
        <v>1688</v>
      </c>
      <c r="Q1041" s="12" t="s">
        <v>6664</v>
      </c>
      <c r="R1041" s="16" t="s">
        <v>17</v>
      </c>
      <c r="S1041" s="16" t="s">
        <v>17</v>
      </c>
      <c r="T1041" s="12" t="s">
        <v>25</v>
      </c>
      <c r="U1041" s="12" t="s">
        <v>17</v>
      </c>
      <c r="V1041" s="12" t="s">
        <v>6639</v>
      </c>
      <c r="W1041" s="12" t="s">
        <v>6639</v>
      </c>
      <c r="X1041" s="12" t="s">
        <v>17</v>
      </c>
      <c r="Y1041" s="12">
        <v>1115069</v>
      </c>
      <c r="Z1041" s="12" t="s">
        <v>6613</v>
      </c>
      <c r="AA1041" s="12" t="s">
        <v>6613</v>
      </c>
      <c r="AB1041" s="12" t="s">
        <v>6613</v>
      </c>
      <c r="AC1041" s="12" t="s">
        <v>6613</v>
      </c>
      <c r="AD1041" s="12" t="s">
        <v>6613</v>
      </c>
      <c r="AE1041" s="12" t="s">
        <v>6613</v>
      </c>
      <c r="AF1041" s="12" t="s">
        <v>45</v>
      </c>
    </row>
    <row r="1042" spans="1:32" x14ac:dyDescent="0.2">
      <c r="A1042" s="12" t="s">
        <v>1847</v>
      </c>
      <c r="B1042" s="12" t="s">
        <v>1848</v>
      </c>
      <c r="C1042" s="12" t="s">
        <v>17</v>
      </c>
      <c r="D1042" s="12" t="s">
        <v>17</v>
      </c>
      <c r="E1042" s="12" t="s">
        <v>7678</v>
      </c>
      <c r="F1042" s="12" t="s">
        <v>5458</v>
      </c>
      <c r="G1042" s="12" t="s">
        <v>615</v>
      </c>
      <c r="H1042" s="12" t="s">
        <v>6613</v>
      </c>
      <c r="I1042" s="12">
        <v>0</v>
      </c>
      <c r="J1042" s="12" t="s">
        <v>164</v>
      </c>
      <c r="K1042" s="12" t="s">
        <v>6646</v>
      </c>
      <c r="L1042" s="12" t="s">
        <v>1686</v>
      </c>
      <c r="M1042" s="12" t="s">
        <v>1686</v>
      </c>
      <c r="N1042" s="12" t="s">
        <v>5785</v>
      </c>
      <c r="O1042" s="12" t="s">
        <v>1687</v>
      </c>
      <c r="P1042" s="12" t="s">
        <v>1688</v>
      </c>
      <c r="Q1042" s="12" t="s">
        <v>6664</v>
      </c>
      <c r="R1042" s="12" t="s">
        <v>17</v>
      </c>
      <c r="S1042" s="12" t="s">
        <v>17</v>
      </c>
      <c r="T1042" s="12" t="s">
        <v>25</v>
      </c>
      <c r="U1042" s="12" t="s">
        <v>17</v>
      </c>
      <c r="V1042" s="12" t="s">
        <v>6639</v>
      </c>
      <c r="W1042" s="12" t="s">
        <v>6639</v>
      </c>
      <c r="X1042" s="12" t="s">
        <v>17</v>
      </c>
      <c r="Y1042" s="12">
        <v>1116411</v>
      </c>
      <c r="Z1042" s="12" t="s">
        <v>6613</v>
      </c>
      <c r="AA1042" s="12" t="s">
        <v>6613</v>
      </c>
      <c r="AB1042" s="12" t="s">
        <v>6613</v>
      </c>
      <c r="AC1042" s="12" t="s">
        <v>6613</v>
      </c>
      <c r="AD1042" s="12" t="s">
        <v>6613</v>
      </c>
      <c r="AE1042" s="12" t="s">
        <v>6613</v>
      </c>
      <c r="AF1042" s="12" t="s">
        <v>45</v>
      </c>
    </row>
    <row r="1043" spans="1:32" x14ac:dyDescent="0.2">
      <c r="A1043" s="12" t="s">
        <v>1734</v>
      </c>
      <c r="B1043" s="12" t="s">
        <v>1735</v>
      </c>
      <c r="C1043" s="12" t="s">
        <v>17</v>
      </c>
      <c r="D1043" s="12" t="s">
        <v>17</v>
      </c>
      <c r="E1043" s="12" t="s">
        <v>7678</v>
      </c>
      <c r="F1043" s="12" t="s">
        <v>5458</v>
      </c>
      <c r="G1043" s="12" t="s">
        <v>615</v>
      </c>
      <c r="H1043" s="12" t="s">
        <v>6613</v>
      </c>
      <c r="I1043" s="12">
        <v>0</v>
      </c>
      <c r="J1043" s="12" t="s">
        <v>164</v>
      </c>
      <c r="K1043" s="12" t="s">
        <v>6646</v>
      </c>
      <c r="L1043" s="12" t="s">
        <v>1686</v>
      </c>
      <c r="M1043" s="12" t="s">
        <v>1686</v>
      </c>
      <c r="N1043" s="12" t="s">
        <v>5785</v>
      </c>
      <c r="O1043" s="12" t="s">
        <v>1687</v>
      </c>
      <c r="P1043" s="12" t="s">
        <v>1688</v>
      </c>
      <c r="Q1043" s="12" t="s">
        <v>6664</v>
      </c>
      <c r="R1043" s="16" t="s">
        <v>17</v>
      </c>
      <c r="S1043" s="16" t="s">
        <v>17</v>
      </c>
      <c r="T1043" s="12" t="s">
        <v>11</v>
      </c>
      <c r="U1043" s="12" t="s">
        <v>17</v>
      </c>
      <c r="V1043" s="12" t="s">
        <v>708</v>
      </c>
      <c r="W1043" s="12" t="s">
        <v>7415</v>
      </c>
      <c r="X1043" s="12" t="s">
        <v>17</v>
      </c>
      <c r="Y1043" s="12">
        <v>1117538</v>
      </c>
      <c r="Z1043" s="12" t="s">
        <v>6613</v>
      </c>
      <c r="AA1043" s="12" t="s">
        <v>6613</v>
      </c>
      <c r="AB1043" s="12" t="s">
        <v>6613</v>
      </c>
      <c r="AC1043" s="12" t="s">
        <v>6613</v>
      </c>
      <c r="AD1043" s="12" t="s">
        <v>6613</v>
      </c>
      <c r="AE1043" s="12" t="s">
        <v>6613</v>
      </c>
      <c r="AF1043" s="12" t="s">
        <v>45</v>
      </c>
    </row>
    <row r="1044" spans="1:32" x14ac:dyDescent="0.2">
      <c r="A1044" s="12" t="s">
        <v>1738</v>
      </c>
      <c r="B1044" s="12" t="s">
        <v>1739</v>
      </c>
      <c r="C1044" s="12" t="s">
        <v>17</v>
      </c>
      <c r="D1044" s="12" t="s">
        <v>17</v>
      </c>
      <c r="E1044" s="12" t="s">
        <v>7678</v>
      </c>
      <c r="F1044" s="12" t="s">
        <v>5458</v>
      </c>
      <c r="G1044" s="12" t="s">
        <v>615</v>
      </c>
      <c r="H1044" s="12" t="s">
        <v>6613</v>
      </c>
      <c r="I1044" s="12">
        <v>0</v>
      </c>
      <c r="J1044" s="12" t="s">
        <v>164</v>
      </c>
      <c r="K1044" s="12" t="s">
        <v>6646</v>
      </c>
      <c r="L1044" s="12" t="s">
        <v>1686</v>
      </c>
      <c r="M1044" s="12" t="s">
        <v>1686</v>
      </c>
      <c r="N1044" s="12" t="s">
        <v>5785</v>
      </c>
      <c r="O1044" s="12" t="s">
        <v>1687</v>
      </c>
      <c r="P1044" s="12" t="s">
        <v>1688</v>
      </c>
      <c r="Q1044" s="12" t="s">
        <v>6664</v>
      </c>
      <c r="R1044" s="12" t="s">
        <v>17</v>
      </c>
      <c r="S1044" s="12" t="s">
        <v>17</v>
      </c>
      <c r="T1044" s="12" t="s">
        <v>11</v>
      </c>
      <c r="U1044" s="12" t="s">
        <v>17</v>
      </c>
      <c r="V1044" s="12" t="s">
        <v>631</v>
      </c>
      <c r="W1044" s="12" t="s">
        <v>7415</v>
      </c>
      <c r="X1044" s="12" t="s">
        <v>17</v>
      </c>
      <c r="Y1044" s="12">
        <v>1118397</v>
      </c>
      <c r="Z1044" s="12" t="s">
        <v>6613</v>
      </c>
      <c r="AA1044" s="12" t="s">
        <v>6613</v>
      </c>
      <c r="AB1044" s="12" t="s">
        <v>6613</v>
      </c>
      <c r="AC1044" s="12" t="s">
        <v>6613</v>
      </c>
      <c r="AD1044" s="12" t="s">
        <v>6613</v>
      </c>
      <c r="AE1044" s="12" t="s">
        <v>6613</v>
      </c>
      <c r="AF1044" s="12" t="s">
        <v>45</v>
      </c>
    </row>
    <row r="1045" spans="1:32" x14ac:dyDescent="0.2">
      <c r="A1045" s="12" t="s">
        <v>1718</v>
      </c>
      <c r="B1045" s="12" t="s">
        <v>1719</v>
      </c>
      <c r="C1045" s="12" t="s">
        <v>17</v>
      </c>
      <c r="D1045" s="12" t="s">
        <v>17</v>
      </c>
      <c r="E1045" s="12" t="s">
        <v>7678</v>
      </c>
      <c r="F1045" s="12" t="s">
        <v>5458</v>
      </c>
      <c r="G1045" s="12" t="s">
        <v>615</v>
      </c>
      <c r="H1045" s="12" t="s">
        <v>6613</v>
      </c>
      <c r="I1045" s="12">
        <v>0</v>
      </c>
      <c r="J1045" s="12" t="s">
        <v>164</v>
      </c>
      <c r="K1045" s="12" t="s">
        <v>6646</v>
      </c>
      <c r="L1045" s="12" t="s">
        <v>1686</v>
      </c>
      <c r="M1045" s="12" t="s">
        <v>1686</v>
      </c>
      <c r="N1045" s="12" t="s">
        <v>5785</v>
      </c>
      <c r="O1045" s="12" t="s">
        <v>1687</v>
      </c>
      <c r="P1045" s="12" t="s">
        <v>1688</v>
      </c>
      <c r="Q1045" s="12" t="s">
        <v>6664</v>
      </c>
      <c r="R1045" s="12" t="s">
        <v>17</v>
      </c>
      <c r="S1045" s="12" t="s">
        <v>17</v>
      </c>
      <c r="T1045" s="12" t="s">
        <v>25</v>
      </c>
      <c r="U1045" s="12" t="s">
        <v>17</v>
      </c>
      <c r="V1045" s="12" t="s">
        <v>6639</v>
      </c>
      <c r="W1045" s="12" t="s">
        <v>6639</v>
      </c>
      <c r="X1045" s="12" t="s">
        <v>17</v>
      </c>
      <c r="Y1045" s="12">
        <v>1120587</v>
      </c>
      <c r="Z1045" s="12" t="s">
        <v>6613</v>
      </c>
      <c r="AA1045" s="12" t="s">
        <v>6613</v>
      </c>
      <c r="AB1045" s="12" t="s">
        <v>6613</v>
      </c>
      <c r="AC1045" s="12" t="s">
        <v>6613</v>
      </c>
      <c r="AD1045" s="12" t="s">
        <v>6613</v>
      </c>
      <c r="AE1045" s="12" t="s">
        <v>6613</v>
      </c>
      <c r="AF1045" s="12" t="s">
        <v>45</v>
      </c>
    </row>
    <row r="1046" spans="1:32" x14ac:dyDescent="0.2">
      <c r="A1046" s="12" t="s">
        <v>1820</v>
      </c>
      <c r="B1046" s="12" t="s">
        <v>1821</v>
      </c>
      <c r="C1046" s="12" t="s">
        <v>17</v>
      </c>
      <c r="D1046" s="12" t="s">
        <v>17</v>
      </c>
      <c r="E1046" s="12" t="s">
        <v>7678</v>
      </c>
      <c r="F1046" s="12" t="s">
        <v>5458</v>
      </c>
      <c r="G1046" s="12" t="s">
        <v>615</v>
      </c>
      <c r="H1046" s="12" t="s">
        <v>6613</v>
      </c>
      <c r="I1046" s="12">
        <v>0</v>
      </c>
      <c r="J1046" s="12" t="s">
        <v>164</v>
      </c>
      <c r="K1046" s="12" t="s">
        <v>6646</v>
      </c>
      <c r="L1046" s="12" t="s">
        <v>1686</v>
      </c>
      <c r="M1046" s="12" t="s">
        <v>1686</v>
      </c>
      <c r="N1046" s="12" t="s">
        <v>5785</v>
      </c>
      <c r="O1046" s="12" t="s">
        <v>1687</v>
      </c>
      <c r="P1046" s="12" t="s">
        <v>1688</v>
      </c>
      <c r="Q1046" s="12" t="s">
        <v>6664</v>
      </c>
      <c r="R1046" s="16" t="s">
        <v>17</v>
      </c>
      <c r="S1046" s="16" t="s">
        <v>17</v>
      </c>
      <c r="T1046" s="12" t="s">
        <v>25</v>
      </c>
      <c r="U1046" s="12" t="s">
        <v>17</v>
      </c>
      <c r="V1046" s="12" t="s">
        <v>6639</v>
      </c>
      <c r="W1046" s="12" t="s">
        <v>6639</v>
      </c>
      <c r="X1046" s="12" t="s">
        <v>17</v>
      </c>
      <c r="Y1046" s="12">
        <v>1121079</v>
      </c>
      <c r="Z1046" s="12" t="s">
        <v>6613</v>
      </c>
      <c r="AA1046" s="12" t="s">
        <v>6613</v>
      </c>
      <c r="AB1046" s="12" t="s">
        <v>6613</v>
      </c>
      <c r="AC1046" s="12" t="s">
        <v>6613</v>
      </c>
      <c r="AD1046" s="12" t="s">
        <v>6613</v>
      </c>
      <c r="AE1046" s="12" t="s">
        <v>6613</v>
      </c>
      <c r="AF1046" s="12" t="s">
        <v>45</v>
      </c>
    </row>
    <row r="1047" spans="1:32" x14ac:dyDescent="0.2">
      <c r="A1047" s="12" t="s">
        <v>1791</v>
      </c>
      <c r="B1047" s="12" t="s">
        <v>1792</v>
      </c>
      <c r="C1047" s="12" t="s">
        <v>17</v>
      </c>
      <c r="D1047" s="12" t="s">
        <v>17</v>
      </c>
      <c r="E1047" s="12" t="s">
        <v>7678</v>
      </c>
      <c r="F1047" s="12" t="s">
        <v>5458</v>
      </c>
      <c r="G1047" s="12" t="s">
        <v>615</v>
      </c>
      <c r="H1047" s="12" t="s">
        <v>6613</v>
      </c>
      <c r="I1047" s="12">
        <v>0</v>
      </c>
      <c r="J1047" s="12" t="s">
        <v>164</v>
      </c>
      <c r="K1047" s="12" t="s">
        <v>6646</v>
      </c>
      <c r="L1047" s="12" t="s">
        <v>1686</v>
      </c>
      <c r="M1047" s="12" t="s">
        <v>1686</v>
      </c>
      <c r="N1047" s="12" t="s">
        <v>5785</v>
      </c>
      <c r="O1047" s="12" t="s">
        <v>1687</v>
      </c>
      <c r="P1047" s="12" t="s">
        <v>1688</v>
      </c>
      <c r="Q1047" s="12" t="s">
        <v>6664</v>
      </c>
      <c r="R1047" s="16" t="s">
        <v>17</v>
      </c>
      <c r="S1047" s="16" t="s">
        <v>17</v>
      </c>
      <c r="T1047" s="12" t="s">
        <v>25</v>
      </c>
      <c r="U1047" s="12" t="s">
        <v>17</v>
      </c>
      <c r="V1047" s="12" t="s">
        <v>6639</v>
      </c>
      <c r="W1047" s="12" t="s">
        <v>6639</v>
      </c>
      <c r="X1047" s="12" t="s">
        <v>17</v>
      </c>
      <c r="Y1047" s="12">
        <v>1122905</v>
      </c>
      <c r="Z1047" s="12" t="s">
        <v>6613</v>
      </c>
      <c r="AA1047" s="12" t="s">
        <v>6613</v>
      </c>
      <c r="AB1047" s="12" t="s">
        <v>6613</v>
      </c>
      <c r="AC1047" s="12" t="s">
        <v>6613</v>
      </c>
      <c r="AD1047" s="12" t="s">
        <v>6613</v>
      </c>
      <c r="AE1047" s="12" t="s">
        <v>6613</v>
      </c>
      <c r="AF1047" s="12" t="s">
        <v>45</v>
      </c>
    </row>
    <row r="1048" spans="1:32" x14ac:dyDescent="0.2">
      <c r="A1048" s="12" t="s">
        <v>1775</v>
      </c>
      <c r="B1048" s="12" t="s">
        <v>1776</v>
      </c>
      <c r="C1048" s="12" t="s">
        <v>17</v>
      </c>
      <c r="D1048" s="12" t="s">
        <v>17</v>
      </c>
      <c r="E1048" s="12" t="s">
        <v>7678</v>
      </c>
      <c r="F1048" s="12" t="s">
        <v>5458</v>
      </c>
      <c r="G1048" s="12" t="s">
        <v>615</v>
      </c>
      <c r="H1048" s="12" t="s">
        <v>6613</v>
      </c>
      <c r="I1048" s="12">
        <v>0</v>
      </c>
      <c r="J1048" s="12" t="s">
        <v>164</v>
      </c>
      <c r="K1048" s="12" t="s">
        <v>6646</v>
      </c>
      <c r="L1048" s="12" t="s">
        <v>1686</v>
      </c>
      <c r="M1048" s="12" t="s">
        <v>1686</v>
      </c>
      <c r="N1048" s="12" t="s">
        <v>5785</v>
      </c>
      <c r="O1048" s="12" t="s">
        <v>1687</v>
      </c>
      <c r="P1048" s="12" t="s">
        <v>1688</v>
      </c>
      <c r="Q1048" s="12" t="s">
        <v>6664</v>
      </c>
      <c r="R1048" s="16" t="s">
        <v>17</v>
      </c>
      <c r="S1048" s="16" t="s">
        <v>17</v>
      </c>
      <c r="T1048" s="12" t="s">
        <v>11</v>
      </c>
      <c r="U1048" s="12" t="s">
        <v>17</v>
      </c>
      <c r="V1048" s="12" t="s">
        <v>628</v>
      </c>
      <c r="W1048" s="12" t="s">
        <v>7415</v>
      </c>
      <c r="X1048" s="12" t="s">
        <v>17</v>
      </c>
      <c r="Y1048" s="12">
        <v>1123643</v>
      </c>
      <c r="Z1048" s="12" t="s">
        <v>6613</v>
      </c>
      <c r="AA1048" s="12" t="s">
        <v>6613</v>
      </c>
      <c r="AB1048" s="12" t="s">
        <v>6613</v>
      </c>
      <c r="AC1048" s="12" t="s">
        <v>6613</v>
      </c>
      <c r="AD1048" s="12" t="s">
        <v>6613</v>
      </c>
      <c r="AE1048" s="12" t="s">
        <v>6613</v>
      </c>
      <c r="AF1048" s="12" t="s">
        <v>45</v>
      </c>
    </row>
    <row r="1049" spans="1:32" x14ac:dyDescent="0.2">
      <c r="A1049" s="12" t="s">
        <v>1813</v>
      </c>
      <c r="B1049" s="12" t="s">
        <v>1814</v>
      </c>
      <c r="C1049" s="12" t="s">
        <v>17</v>
      </c>
      <c r="D1049" s="12" t="s">
        <v>17</v>
      </c>
      <c r="E1049" s="12" t="s">
        <v>7678</v>
      </c>
      <c r="F1049" s="12" t="s">
        <v>5458</v>
      </c>
      <c r="G1049" s="12" t="s">
        <v>615</v>
      </c>
      <c r="H1049" s="12" t="s">
        <v>6613</v>
      </c>
      <c r="I1049" s="12">
        <v>0</v>
      </c>
      <c r="J1049" s="12" t="s">
        <v>164</v>
      </c>
      <c r="K1049" s="12" t="s">
        <v>6646</v>
      </c>
      <c r="L1049" s="12" t="s">
        <v>1686</v>
      </c>
      <c r="M1049" s="12" t="s">
        <v>1686</v>
      </c>
      <c r="N1049" s="12" t="s">
        <v>5785</v>
      </c>
      <c r="O1049" s="12" t="s">
        <v>1687</v>
      </c>
      <c r="P1049" s="12" t="s">
        <v>1688</v>
      </c>
      <c r="Q1049" s="12" t="s">
        <v>6664</v>
      </c>
      <c r="R1049" s="12" t="s">
        <v>17</v>
      </c>
      <c r="S1049" s="12" t="s">
        <v>17</v>
      </c>
      <c r="T1049" s="12" t="s">
        <v>25</v>
      </c>
      <c r="U1049" s="12" t="s">
        <v>17</v>
      </c>
      <c r="V1049" s="12" t="s">
        <v>6639</v>
      </c>
      <c r="W1049" s="12" t="s">
        <v>6639</v>
      </c>
      <c r="X1049" s="12" t="s">
        <v>17</v>
      </c>
      <c r="Y1049" s="12">
        <v>1127767</v>
      </c>
      <c r="Z1049" s="12" t="s">
        <v>6613</v>
      </c>
      <c r="AA1049" s="12" t="s">
        <v>6613</v>
      </c>
      <c r="AB1049" s="12" t="s">
        <v>6613</v>
      </c>
      <c r="AC1049" s="12" t="s">
        <v>6613</v>
      </c>
      <c r="AD1049" s="12" t="s">
        <v>6613</v>
      </c>
      <c r="AE1049" s="12" t="s">
        <v>6613</v>
      </c>
      <c r="AF1049" s="12" t="s">
        <v>45</v>
      </c>
    </row>
    <row r="1050" spans="1:32" x14ac:dyDescent="0.2">
      <c r="A1050" s="12" t="s">
        <v>1843</v>
      </c>
      <c r="B1050" s="12" t="s">
        <v>1844</v>
      </c>
      <c r="C1050" s="12" t="s">
        <v>17</v>
      </c>
      <c r="D1050" s="12" t="s">
        <v>17</v>
      </c>
      <c r="E1050" s="12" t="s">
        <v>7678</v>
      </c>
      <c r="F1050" s="12" t="s">
        <v>5458</v>
      </c>
      <c r="G1050" s="12" t="s">
        <v>615</v>
      </c>
      <c r="H1050" s="12" t="s">
        <v>6613</v>
      </c>
      <c r="I1050" s="12">
        <v>0</v>
      </c>
      <c r="J1050" s="12" t="s">
        <v>164</v>
      </c>
      <c r="K1050" s="12" t="s">
        <v>6646</v>
      </c>
      <c r="L1050" s="12" t="s">
        <v>1686</v>
      </c>
      <c r="M1050" s="12" t="s">
        <v>1686</v>
      </c>
      <c r="N1050" s="12" t="s">
        <v>5785</v>
      </c>
      <c r="O1050" s="12" t="s">
        <v>1687</v>
      </c>
      <c r="P1050" s="12" t="s">
        <v>1688</v>
      </c>
      <c r="Q1050" s="12" t="s">
        <v>6664</v>
      </c>
      <c r="R1050" s="12" t="s">
        <v>17</v>
      </c>
      <c r="S1050" s="12" t="s">
        <v>17</v>
      </c>
      <c r="T1050" s="12" t="s">
        <v>25</v>
      </c>
      <c r="U1050" s="12" t="s">
        <v>17</v>
      </c>
      <c r="V1050" s="12" t="s">
        <v>6639</v>
      </c>
      <c r="W1050" s="12" t="s">
        <v>6639</v>
      </c>
      <c r="X1050" s="12" t="s">
        <v>17</v>
      </c>
      <c r="Y1050" s="12">
        <v>1127827</v>
      </c>
      <c r="Z1050" s="12" t="s">
        <v>6613</v>
      </c>
      <c r="AA1050" s="12" t="s">
        <v>6613</v>
      </c>
      <c r="AB1050" s="12" t="s">
        <v>6613</v>
      </c>
      <c r="AC1050" s="12" t="s">
        <v>6613</v>
      </c>
      <c r="AD1050" s="12" t="s">
        <v>6613</v>
      </c>
      <c r="AE1050" s="12" t="s">
        <v>6613</v>
      </c>
      <c r="AF1050" s="12" t="s">
        <v>45</v>
      </c>
    </row>
    <row r="1051" spans="1:32" x14ac:dyDescent="0.2">
      <c r="A1051" s="12" t="s">
        <v>1698</v>
      </c>
      <c r="B1051" s="12" t="s">
        <v>1699</v>
      </c>
      <c r="C1051" s="12" t="s">
        <v>17</v>
      </c>
      <c r="D1051" s="12" t="s">
        <v>17</v>
      </c>
      <c r="E1051" s="12" t="s">
        <v>7678</v>
      </c>
      <c r="F1051" s="12" t="s">
        <v>5458</v>
      </c>
      <c r="G1051" s="12" t="s">
        <v>615</v>
      </c>
      <c r="H1051" s="12" t="s">
        <v>6613</v>
      </c>
      <c r="I1051" s="12">
        <v>0</v>
      </c>
      <c r="J1051" s="12" t="s">
        <v>164</v>
      </c>
      <c r="K1051" s="12" t="s">
        <v>6646</v>
      </c>
      <c r="L1051" s="12" t="s">
        <v>1686</v>
      </c>
      <c r="M1051" s="12" t="s">
        <v>1686</v>
      </c>
      <c r="N1051" s="12" t="s">
        <v>5785</v>
      </c>
      <c r="O1051" s="12" t="s">
        <v>1687</v>
      </c>
      <c r="P1051" s="12" t="s">
        <v>1688</v>
      </c>
      <c r="Q1051" s="12" t="s">
        <v>6664</v>
      </c>
      <c r="R1051" s="12" t="s">
        <v>17</v>
      </c>
      <c r="S1051" s="12" t="s">
        <v>17</v>
      </c>
      <c r="T1051" s="12" t="s">
        <v>25</v>
      </c>
      <c r="U1051" s="12" t="s">
        <v>17</v>
      </c>
      <c r="V1051" s="12" t="s">
        <v>6639</v>
      </c>
      <c r="W1051" s="12" t="s">
        <v>6639</v>
      </c>
      <c r="X1051" s="12" t="s">
        <v>17</v>
      </c>
      <c r="Y1051" s="12">
        <v>1129353</v>
      </c>
      <c r="Z1051" s="12" t="s">
        <v>6613</v>
      </c>
      <c r="AA1051" s="12" t="s">
        <v>6613</v>
      </c>
      <c r="AB1051" s="12" t="s">
        <v>6613</v>
      </c>
      <c r="AC1051" s="12" t="s">
        <v>6613</v>
      </c>
      <c r="AD1051" s="12" t="s">
        <v>6613</v>
      </c>
      <c r="AE1051" s="12" t="s">
        <v>6613</v>
      </c>
      <c r="AF1051" s="12" t="s">
        <v>45</v>
      </c>
    </row>
    <row r="1052" spans="1:32" x14ac:dyDescent="0.2">
      <c r="A1052" s="12" t="s">
        <v>1756</v>
      </c>
      <c r="B1052" s="12" t="s">
        <v>1757</v>
      </c>
      <c r="C1052" s="12" t="s">
        <v>17</v>
      </c>
      <c r="D1052" s="12" t="s">
        <v>17</v>
      </c>
      <c r="E1052" s="12" t="s">
        <v>7678</v>
      </c>
      <c r="F1052" s="12" t="s">
        <v>5458</v>
      </c>
      <c r="G1052" s="12" t="s">
        <v>615</v>
      </c>
      <c r="H1052" s="12" t="s">
        <v>6613</v>
      </c>
      <c r="I1052" s="12">
        <v>0</v>
      </c>
      <c r="J1052" s="12" t="s">
        <v>164</v>
      </c>
      <c r="K1052" s="12" t="s">
        <v>6646</v>
      </c>
      <c r="L1052" s="12" t="s">
        <v>1686</v>
      </c>
      <c r="M1052" s="12" t="s">
        <v>1686</v>
      </c>
      <c r="N1052" s="12" t="s">
        <v>5785</v>
      </c>
      <c r="O1052" s="12" t="s">
        <v>1687</v>
      </c>
      <c r="P1052" s="12" t="s">
        <v>1688</v>
      </c>
      <c r="Q1052" s="12" t="s">
        <v>6664</v>
      </c>
      <c r="R1052" s="12" t="s">
        <v>17</v>
      </c>
      <c r="S1052" s="12" t="s">
        <v>17</v>
      </c>
      <c r="T1052" s="12" t="s">
        <v>25</v>
      </c>
      <c r="U1052" s="12" t="s">
        <v>17</v>
      </c>
      <c r="V1052" s="12" t="s">
        <v>6639</v>
      </c>
      <c r="W1052" s="12" t="s">
        <v>6639</v>
      </c>
      <c r="X1052" s="12" t="s">
        <v>17</v>
      </c>
      <c r="Y1052" s="12">
        <v>1130583</v>
      </c>
      <c r="Z1052" s="12" t="s">
        <v>6613</v>
      </c>
      <c r="AA1052" s="12" t="s">
        <v>6613</v>
      </c>
      <c r="AB1052" s="12" t="s">
        <v>6613</v>
      </c>
      <c r="AC1052" s="12" t="s">
        <v>6613</v>
      </c>
      <c r="AD1052" s="12" t="s">
        <v>6613</v>
      </c>
      <c r="AE1052" s="12" t="s">
        <v>6613</v>
      </c>
      <c r="AF1052" s="12" t="s">
        <v>45</v>
      </c>
    </row>
    <row r="1053" spans="1:32" x14ac:dyDescent="0.2">
      <c r="A1053" s="12" t="s">
        <v>1691</v>
      </c>
      <c r="B1053" s="12" t="s">
        <v>1692</v>
      </c>
      <c r="C1053" s="12" t="s">
        <v>17</v>
      </c>
      <c r="D1053" s="12" t="s">
        <v>17</v>
      </c>
      <c r="E1053" s="12" t="s">
        <v>7678</v>
      </c>
      <c r="F1053" s="12" t="s">
        <v>5458</v>
      </c>
      <c r="G1053" s="12" t="s">
        <v>615</v>
      </c>
      <c r="H1053" s="12" t="s">
        <v>6613</v>
      </c>
      <c r="I1053" s="12">
        <v>0</v>
      </c>
      <c r="J1053" s="12" t="s">
        <v>164</v>
      </c>
      <c r="K1053" s="12" t="s">
        <v>6646</v>
      </c>
      <c r="L1053" s="12" t="s">
        <v>1686</v>
      </c>
      <c r="M1053" s="12" t="s">
        <v>1686</v>
      </c>
      <c r="N1053" s="12" t="s">
        <v>5785</v>
      </c>
      <c r="O1053" s="12" t="s">
        <v>1687</v>
      </c>
      <c r="P1053" s="12" t="s">
        <v>1688</v>
      </c>
      <c r="Q1053" s="12" t="s">
        <v>6664</v>
      </c>
      <c r="R1053" s="12" t="s">
        <v>17</v>
      </c>
      <c r="S1053" s="12" t="s">
        <v>17</v>
      </c>
      <c r="T1053" s="12" t="s">
        <v>11</v>
      </c>
      <c r="U1053" s="12" t="s">
        <v>17</v>
      </c>
      <c r="V1053" s="12" t="s">
        <v>1693</v>
      </c>
      <c r="W1053" s="12" t="s">
        <v>7415</v>
      </c>
      <c r="X1053" s="12" t="s">
        <v>17</v>
      </c>
      <c r="Y1053" s="12">
        <v>1130889</v>
      </c>
      <c r="Z1053" s="12" t="s">
        <v>6613</v>
      </c>
      <c r="AA1053" s="12" t="s">
        <v>6613</v>
      </c>
      <c r="AB1053" s="12" t="s">
        <v>6613</v>
      </c>
      <c r="AC1053" s="12" t="s">
        <v>6613</v>
      </c>
      <c r="AD1053" s="12" t="s">
        <v>6613</v>
      </c>
      <c r="AE1053" s="12" t="s">
        <v>6613</v>
      </c>
      <c r="AF1053" s="12" t="s">
        <v>45</v>
      </c>
    </row>
    <row r="1054" spans="1:32" x14ac:dyDescent="0.2">
      <c r="A1054" s="12" t="s">
        <v>1809</v>
      </c>
      <c r="B1054" s="12" t="s">
        <v>1810</v>
      </c>
      <c r="C1054" s="12" t="s">
        <v>17</v>
      </c>
      <c r="D1054" s="12" t="s">
        <v>17</v>
      </c>
      <c r="E1054" s="12" t="s">
        <v>7678</v>
      </c>
      <c r="F1054" s="12" t="s">
        <v>5458</v>
      </c>
      <c r="G1054" s="12" t="s">
        <v>615</v>
      </c>
      <c r="H1054" s="12" t="s">
        <v>6613</v>
      </c>
      <c r="I1054" s="12">
        <v>0</v>
      </c>
      <c r="J1054" s="12" t="s">
        <v>164</v>
      </c>
      <c r="K1054" s="12" t="s">
        <v>6646</v>
      </c>
      <c r="L1054" s="12" t="s">
        <v>1686</v>
      </c>
      <c r="M1054" s="12" t="s">
        <v>1686</v>
      </c>
      <c r="N1054" s="12" t="s">
        <v>5785</v>
      </c>
      <c r="O1054" s="12" t="s">
        <v>1687</v>
      </c>
      <c r="P1054" s="12" t="s">
        <v>1688</v>
      </c>
      <c r="Q1054" s="12" t="s">
        <v>6664</v>
      </c>
      <c r="R1054" s="12" t="s">
        <v>17</v>
      </c>
      <c r="S1054" s="12" t="s">
        <v>17</v>
      </c>
      <c r="T1054" s="12" t="s">
        <v>25</v>
      </c>
      <c r="U1054" s="12" t="s">
        <v>17</v>
      </c>
      <c r="V1054" s="12" t="s">
        <v>6639</v>
      </c>
      <c r="W1054" s="12" t="s">
        <v>6639</v>
      </c>
      <c r="X1054" s="12" t="s">
        <v>17</v>
      </c>
      <c r="Y1054" s="12">
        <v>1131352</v>
      </c>
      <c r="Z1054" s="12" t="s">
        <v>6613</v>
      </c>
      <c r="AA1054" s="12" t="s">
        <v>6613</v>
      </c>
      <c r="AB1054" s="12" t="s">
        <v>6613</v>
      </c>
      <c r="AC1054" s="12" t="s">
        <v>6613</v>
      </c>
      <c r="AD1054" s="12" t="s">
        <v>6613</v>
      </c>
      <c r="AE1054" s="12" t="s">
        <v>6613</v>
      </c>
      <c r="AF1054" s="12" t="s">
        <v>45</v>
      </c>
    </row>
    <row r="1055" spans="1:32" x14ac:dyDescent="0.2">
      <c r="A1055" s="12" t="s">
        <v>1758</v>
      </c>
      <c r="B1055" s="12" t="s">
        <v>1759</v>
      </c>
      <c r="C1055" s="12" t="s">
        <v>17</v>
      </c>
      <c r="D1055" s="12" t="s">
        <v>17</v>
      </c>
      <c r="E1055" s="12" t="s">
        <v>7678</v>
      </c>
      <c r="F1055" s="12" t="s">
        <v>5458</v>
      </c>
      <c r="G1055" s="12" t="s">
        <v>615</v>
      </c>
      <c r="H1055" s="12" t="s">
        <v>6613</v>
      </c>
      <c r="I1055" s="12">
        <v>0</v>
      </c>
      <c r="J1055" s="12" t="s">
        <v>164</v>
      </c>
      <c r="K1055" s="12" t="s">
        <v>6646</v>
      </c>
      <c r="L1055" s="12" t="s">
        <v>1686</v>
      </c>
      <c r="M1055" s="12" t="s">
        <v>1686</v>
      </c>
      <c r="N1055" s="12" t="s">
        <v>5785</v>
      </c>
      <c r="O1055" s="12" t="s">
        <v>1687</v>
      </c>
      <c r="P1055" s="12" t="s">
        <v>1688</v>
      </c>
      <c r="Q1055" s="12" t="s">
        <v>6664</v>
      </c>
      <c r="R1055" s="12" t="s">
        <v>17</v>
      </c>
      <c r="S1055" s="12" t="s">
        <v>17</v>
      </c>
      <c r="T1055" s="12" t="s">
        <v>11</v>
      </c>
      <c r="U1055" s="12" t="s">
        <v>17</v>
      </c>
      <c r="V1055" s="12" t="s">
        <v>1693</v>
      </c>
      <c r="W1055" s="12" t="s">
        <v>7415</v>
      </c>
      <c r="X1055" s="12" t="s">
        <v>17</v>
      </c>
      <c r="Y1055" s="12">
        <v>1131918</v>
      </c>
      <c r="Z1055" s="12" t="s">
        <v>6613</v>
      </c>
      <c r="AA1055" s="12" t="s">
        <v>6613</v>
      </c>
      <c r="AB1055" s="12" t="s">
        <v>6613</v>
      </c>
      <c r="AC1055" s="12" t="s">
        <v>6613</v>
      </c>
      <c r="AD1055" s="12" t="s">
        <v>6613</v>
      </c>
      <c r="AE1055" s="12" t="s">
        <v>6613</v>
      </c>
      <c r="AF1055" s="12" t="s">
        <v>45</v>
      </c>
    </row>
    <row r="1056" spans="1:32" x14ac:dyDescent="0.2">
      <c r="A1056" s="12" t="s">
        <v>1862</v>
      </c>
      <c r="B1056" s="12" t="s">
        <v>1863</v>
      </c>
      <c r="C1056" s="12" t="s">
        <v>17</v>
      </c>
      <c r="D1056" s="12" t="s">
        <v>17</v>
      </c>
      <c r="E1056" s="12" t="s">
        <v>7678</v>
      </c>
      <c r="F1056" s="12" t="s">
        <v>5458</v>
      </c>
      <c r="G1056" s="12" t="s">
        <v>615</v>
      </c>
      <c r="H1056" s="12" t="s">
        <v>6613</v>
      </c>
      <c r="I1056" s="12">
        <v>0</v>
      </c>
      <c r="J1056" s="12" t="s">
        <v>164</v>
      </c>
      <c r="K1056" s="12" t="s">
        <v>6646</v>
      </c>
      <c r="L1056" s="12" t="s">
        <v>1686</v>
      </c>
      <c r="M1056" s="12" t="s">
        <v>1686</v>
      </c>
      <c r="N1056" s="12" t="s">
        <v>5785</v>
      </c>
      <c r="O1056" s="12" t="s">
        <v>1687</v>
      </c>
      <c r="P1056" s="12" t="s">
        <v>1688</v>
      </c>
      <c r="Q1056" s="12" t="s">
        <v>6664</v>
      </c>
      <c r="R1056" s="12" t="s">
        <v>17</v>
      </c>
      <c r="S1056" s="12" t="s">
        <v>17</v>
      </c>
      <c r="T1056" s="12" t="s">
        <v>25</v>
      </c>
      <c r="U1056" s="12" t="s">
        <v>17</v>
      </c>
      <c r="V1056" s="12" t="s">
        <v>6639</v>
      </c>
      <c r="W1056" s="12" t="s">
        <v>6639</v>
      </c>
      <c r="X1056" s="12" t="s">
        <v>17</v>
      </c>
      <c r="Y1056" s="12">
        <v>1132780</v>
      </c>
      <c r="Z1056" s="12" t="s">
        <v>6613</v>
      </c>
      <c r="AA1056" s="12" t="s">
        <v>6613</v>
      </c>
      <c r="AB1056" s="12" t="s">
        <v>6613</v>
      </c>
      <c r="AC1056" s="12" t="s">
        <v>6613</v>
      </c>
      <c r="AD1056" s="12" t="s">
        <v>6613</v>
      </c>
      <c r="AE1056" s="12" t="s">
        <v>6613</v>
      </c>
      <c r="AF1056" s="12" t="s">
        <v>45</v>
      </c>
    </row>
    <row r="1057" spans="1:32" x14ac:dyDescent="0.2">
      <c r="A1057" s="12" t="s">
        <v>1769</v>
      </c>
      <c r="B1057" s="12" t="s">
        <v>1770</v>
      </c>
      <c r="C1057" s="12" t="s">
        <v>17</v>
      </c>
      <c r="D1057" s="12" t="s">
        <v>17</v>
      </c>
      <c r="E1057" s="12" t="s">
        <v>7678</v>
      </c>
      <c r="F1057" s="12" t="s">
        <v>5458</v>
      </c>
      <c r="G1057" s="12" t="s">
        <v>615</v>
      </c>
      <c r="H1057" s="12" t="s">
        <v>6613</v>
      </c>
      <c r="I1057" s="12">
        <v>0</v>
      </c>
      <c r="J1057" s="12" t="s">
        <v>164</v>
      </c>
      <c r="K1057" s="12" t="s">
        <v>6646</v>
      </c>
      <c r="L1057" s="12" t="s">
        <v>1686</v>
      </c>
      <c r="M1057" s="12" t="s">
        <v>1686</v>
      </c>
      <c r="N1057" s="12" t="s">
        <v>5785</v>
      </c>
      <c r="O1057" s="12" t="s">
        <v>1687</v>
      </c>
      <c r="P1057" s="12" t="s">
        <v>1688</v>
      </c>
      <c r="Q1057" s="12" t="s">
        <v>6664</v>
      </c>
      <c r="R1057" s="12" t="s">
        <v>17</v>
      </c>
      <c r="S1057" s="12" t="s">
        <v>17</v>
      </c>
      <c r="T1057" s="12" t="s">
        <v>25</v>
      </c>
      <c r="U1057" s="12" t="s">
        <v>17</v>
      </c>
      <c r="V1057" s="12" t="s">
        <v>6639</v>
      </c>
      <c r="W1057" s="12" t="s">
        <v>6639</v>
      </c>
      <c r="X1057" s="12" t="s">
        <v>17</v>
      </c>
      <c r="Y1057" s="12">
        <v>1132913</v>
      </c>
      <c r="Z1057" s="12" t="s">
        <v>6613</v>
      </c>
      <c r="AA1057" s="12" t="s">
        <v>6613</v>
      </c>
      <c r="AB1057" s="12" t="s">
        <v>6613</v>
      </c>
      <c r="AC1057" s="12" t="s">
        <v>6613</v>
      </c>
      <c r="AD1057" s="12" t="s">
        <v>6613</v>
      </c>
      <c r="AE1057" s="12" t="s">
        <v>6613</v>
      </c>
      <c r="AF1057" s="12" t="s">
        <v>45</v>
      </c>
    </row>
    <row r="1058" spans="1:32" x14ac:dyDescent="0.2">
      <c r="A1058" s="12" t="s">
        <v>1858</v>
      </c>
      <c r="B1058" s="12" t="s">
        <v>1859</v>
      </c>
      <c r="C1058" s="12" t="s">
        <v>17</v>
      </c>
      <c r="D1058" s="12" t="s">
        <v>17</v>
      </c>
      <c r="E1058" s="12" t="s">
        <v>7678</v>
      </c>
      <c r="F1058" s="12" t="s">
        <v>5458</v>
      </c>
      <c r="G1058" s="12" t="s">
        <v>615</v>
      </c>
      <c r="H1058" s="12" t="s">
        <v>6613</v>
      </c>
      <c r="I1058" s="12">
        <v>0</v>
      </c>
      <c r="J1058" s="12" t="s">
        <v>164</v>
      </c>
      <c r="K1058" s="12" t="s">
        <v>6646</v>
      </c>
      <c r="L1058" s="12" t="s">
        <v>1686</v>
      </c>
      <c r="M1058" s="12" t="s">
        <v>1686</v>
      </c>
      <c r="N1058" s="12" t="s">
        <v>5785</v>
      </c>
      <c r="O1058" s="12" t="s">
        <v>1687</v>
      </c>
      <c r="P1058" s="12" t="s">
        <v>1688</v>
      </c>
      <c r="Q1058" s="12" t="s">
        <v>6664</v>
      </c>
      <c r="R1058" s="12" t="s">
        <v>17</v>
      </c>
      <c r="S1058" s="12" t="s">
        <v>17</v>
      </c>
      <c r="T1058" s="12" t="s">
        <v>25</v>
      </c>
      <c r="U1058" s="12" t="s">
        <v>17</v>
      </c>
      <c r="V1058" s="12" t="s">
        <v>6639</v>
      </c>
      <c r="W1058" s="12" t="s">
        <v>6639</v>
      </c>
      <c r="X1058" s="12" t="s">
        <v>17</v>
      </c>
      <c r="Y1058" s="12">
        <v>1133333</v>
      </c>
      <c r="Z1058" s="12" t="s">
        <v>6613</v>
      </c>
      <c r="AA1058" s="12" t="s">
        <v>6613</v>
      </c>
      <c r="AB1058" s="12" t="s">
        <v>6613</v>
      </c>
      <c r="AC1058" s="12" t="s">
        <v>6613</v>
      </c>
      <c r="AD1058" s="12" t="s">
        <v>6613</v>
      </c>
      <c r="AE1058" s="12" t="s">
        <v>6613</v>
      </c>
      <c r="AF1058" s="12" t="s">
        <v>45</v>
      </c>
    </row>
    <row r="1059" spans="1:32" x14ac:dyDescent="0.2">
      <c r="A1059" s="12" t="s">
        <v>1763</v>
      </c>
      <c r="B1059" s="12" t="s">
        <v>1764</v>
      </c>
      <c r="C1059" s="12" t="s">
        <v>17</v>
      </c>
      <c r="D1059" s="12" t="s">
        <v>17</v>
      </c>
      <c r="E1059" s="12" t="s">
        <v>7678</v>
      </c>
      <c r="F1059" s="12" t="s">
        <v>5458</v>
      </c>
      <c r="G1059" s="12" t="s">
        <v>615</v>
      </c>
      <c r="H1059" s="12" t="s">
        <v>6613</v>
      </c>
      <c r="I1059" s="12">
        <v>0</v>
      </c>
      <c r="J1059" s="12" t="s">
        <v>164</v>
      </c>
      <c r="K1059" s="12" t="s">
        <v>6646</v>
      </c>
      <c r="L1059" s="12" t="s">
        <v>1686</v>
      </c>
      <c r="M1059" s="12" t="s">
        <v>1686</v>
      </c>
      <c r="N1059" s="12" t="s">
        <v>5785</v>
      </c>
      <c r="O1059" s="12" t="s">
        <v>1687</v>
      </c>
      <c r="P1059" s="12" t="s">
        <v>1688</v>
      </c>
      <c r="Q1059" s="12" t="s">
        <v>6664</v>
      </c>
      <c r="R1059" s="12" t="s">
        <v>17</v>
      </c>
      <c r="S1059" s="12" t="s">
        <v>17</v>
      </c>
      <c r="T1059" s="12" t="s">
        <v>25</v>
      </c>
      <c r="U1059" s="12" t="s">
        <v>17</v>
      </c>
      <c r="V1059" s="12" t="s">
        <v>6639</v>
      </c>
      <c r="W1059" s="12" t="s">
        <v>6639</v>
      </c>
      <c r="X1059" s="12" t="s">
        <v>17</v>
      </c>
      <c r="Y1059" s="12">
        <v>1134514</v>
      </c>
      <c r="Z1059" s="12" t="s">
        <v>6613</v>
      </c>
      <c r="AA1059" s="12" t="s">
        <v>6613</v>
      </c>
      <c r="AB1059" s="12" t="s">
        <v>6613</v>
      </c>
      <c r="AC1059" s="12" t="s">
        <v>6613</v>
      </c>
      <c r="AD1059" s="12" t="s">
        <v>6613</v>
      </c>
      <c r="AE1059" s="12" t="s">
        <v>6613</v>
      </c>
      <c r="AF1059" s="12" t="s">
        <v>45</v>
      </c>
    </row>
    <row r="1060" spans="1:32" x14ac:dyDescent="0.2">
      <c r="A1060" s="12" t="s">
        <v>1700</v>
      </c>
      <c r="B1060" s="12" t="s">
        <v>1701</v>
      </c>
      <c r="C1060" s="12" t="s">
        <v>17</v>
      </c>
      <c r="D1060" s="12" t="s">
        <v>17</v>
      </c>
      <c r="E1060" s="12" t="s">
        <v>7678</v>
      </c>
      <c r="F1060" s="12" t="s">
        <v>5458</v>
      </c>
      <c r="G1060" s="12" t="s">
        <v>615</v>
      </c>
      <c r="H1060" s="12" t="s">
        <v>6613</v>
      </c>
      <c r="I1060" s="12">
        <v>0</v>
      </c>
      <c r="J1060" s="12" t="s">
        <v>164</v>
      </c>
      <c r="K1060" s="12" t="s">
        <v>6646</v>
      </c>
      <c r="L1060" s="12" t="s">
        <v>1686</v>
      </c>
      <c r="M1060" s="12" t="s">
        <v>1686</v>
      </c>
      <c r="N1060" s="12" t="s">
        <v>5785</v>
      </c>
      <c r="O1060" s="12" t="s">
        <v>1687</v>
      </c>
      <c r="P1060" s="12" t="s">
        <v>1688</v>
      </c>
      <c r="Q1060" s="12" t="s">
        <v>6664</v>
      </c>
      <c r="R1060" s="12" t="s">
        <v>17</v>
      </c>
      <c r="S1060" s="12" t="s">
        <v>17</v>
      </c>
      <c r="T1060" s="12" t="s">
        <v>25</v>
      </c>
      <c r="U1060" s="12" t="s">
        <v>17</v>
      </c>
      <c r="V1060" s="12" t="s">
        <v>6639</v>
      </c>
      <c r="W1060" s="12" t="s">
        <v>6639</v>
      </c>
      <c r="X1060" s="12" t="s">
        <v>17</v>
      </c>
      <c r="Y1060" s="12">
        <v>1134642</v>
      </c>
      <c r="Z1060" s="12" t="s">
        <v>6613</v>
      </c>
      <c r="AA1060" s="12" t="s">
        <v>6613</v>
      </c>
      <c r="AB1060" s="12" t="s">
        <v>6613</v>
      </c>
      <c r="AC1060" s="12" t="s">
        <v>6613</v>
      </c>
      <c r="AD1060" s="12" t="s">
        <v>6613</v>
      </c>
      <c r="AE1060" s="12" t="s">
        <v>6613</v>
      </c>
      <c r="AF1060" s="12" t="s">
        <v>45</v>
      </c>
    </row>
    <row r="1061" spans="1:32" x14ac:dyDescent="0.2">
      <c r="A1061" s="12" t="s">
        <v>1781</v>
      </c>
      <c r="B1061" s="12" t="s">
        <v>1782</v>
      </c>
      <c r="C1061" s="12" t="s">
        <v>17</v>
      </c>
      <c r="D1061" s="12" t="s">
        <v>17</v>
      </c>
      <c r="E1061" s="12" t="s">
        <v>7678</v>
      </c>
      <c r="F1061" s="12" t="s">
        <v>5458</v>
      </c>
      <c r="G1061" s="12" t="s">
        <v>615</v>
      </c>
      <c r="H1061" s="12" t="s">
        <v>6613</v>
      </c>
      <c r="I1061" s="12">
        <v>0</v>
      </c>
      <c r="J1061" s="12" t="s">
        <v>164</v>
      </c>
      <c r="K1061" s="12" t="s">
        <v>6646</v>
      </c>
      <c r="L1061" s="12" t="s">
        <v>1686</v>
      </c>
      <c r="M1061" s="12" t="s">
        <v>1686</v>
      </c>
      <c r="N1061" s="12" t="s">
        <v>5785</v>
      </c>
      <c r="O1061" s="12" t="s">
        <v>1687</v>
      </c>
      <c r="P1061" s="12" t="s">
        <v>1688</v>
      </c>
      <c r="Q1061" s="12" t="s">
        <v>6664</v>
      </c>
      <c r="R1061" s="16" t="s">
        <v>17</v>
      </c>
      <c r="S1061" s="16" t="s">
        <v>17</v>
      </c>
      <c r="T1061" s="12" t="s">
        <v>25</v>
      </c>
      <c r="U1061" s="12" t="s">
        <v>17</v>
      </c>
      <c r="V1061" s="12" t="s">
        <v>6639</v>
      </c>
      <c r="W1061" s="12" t="s">
        <v>6639</v>
      </c>
      <c r="X1061" s="12" t="s">
        <v>17</v>
      </c>
      <c r="Y1061" s="12">
        <v>1134644</v>
      </c>
      <c r="Z1061" s="12" t="s">
        <v>6613</v>
      </c>
      <c r="AA1061" s="12" t="s">
        <v>6613</v>
      </c>
      <c r="AB1061" s="12" t="s">
        <v>6613</v>
      </c>
      <c r="AC1061" s="12" t="s">
        <v>6613</v>
      </c>
      <c r="AD1061" s="12" t="s">
        <v>6613</v>
      </c>
      <c r="AE1061" s="12" t="s">
        <v>6613</v>
      </c>
      <c r="AF1061" s="12" t="s">
        <v>45</v>
      </c>
    </row>
    <row r="1062" spans="1:32" x14ac:dyDescent="0.2">
      <c r="A1062" s="12" t="s">
        <v>1818</v>
      </c>
      <c r="B1062" s="12" t="s">
        <v>1819</v>
      </c>
      <c r="C1062" s="12" t="s">
        <v>17</v>
      </c>
      <c r="D1062" s="12" t="s">
        <v>17</v>
      </c>
      <c r="E1062" s="12" t="s">
        <v>7678</v>
      </c>
      <c r="F1062" s="12" t="s">
        <v>5458</v>
      </c>
      <c r="G1062" s="12" t="s">
        <v>615</v>
      </c>
      <c r="H1062" s="12" t="s">
        <v>6613</v>
      </c>
      <c r="I1062" s="12">
        <v>0</v>
      </c>
      <c r="J1062" s="12" t="s">
        <v>164</v>
      </c>
      <c r="K1062" s="12" t="s">
        <v>6646</v>
      </c>
      <c r="L1062" s="12" t="s">
        <v>1686</v>
      </c>
      <c r="M1062" s="12" t="s">
        <v>1686</v>
      </c>
      <c r="N1062" s="12" t="s">
        <v>5785</v>
      </c>
      <c r="O1062" s="12" t="s">
        <v>1687</v>
      </c>
      <c r="P1062" s="12" t="s">
        <v>1688</v>
      </c>
      <c r="Q1062" s="12" t="s">
        <v>6664</v>
      </c>
      <c r="R1062" s="12" t="s">
        <v>17</v>
      </c>
      <c r="S1062" s="12" t="s">
        <v>17</v>
      </c>
      <c r="T1062" s="12" t="s">
        <v>25</v>
      </c>
      <c r="U1062" s="12" t="s">
        <v>17</v>
      </c>
      <c r="V1062" s="12" t="s">
        <v>6639</v>
      </c>
      <c r="W1062" s="12" t="s">
        <v>6639</v>
      </c>
      <c r="X1062" s="12" t="s">
        <v>17</v>
      </c>
      <c r="Y1062" s="12">
        <v>1135593</v>
      </c>
      <c r="Z1062" s="12" t="s">
        <v>6613</v>
      </c>
      <c r="AA1062" s="12" t="s">
        <v>6613</v>
      </c>
      <c r="AB1062" s="12" t="s">
        <v>6613</v>
      </c>
      <c r="AC1062" s="12" t="s">
        <v>6613</v>
      </c>
      <c r="AD1062" s="12" t="s">
        <v>6613</v>
      </c>
      <c r="AE1062" s="12" t="s">
        <v>6613</v>
      </c>
      <c r="AF1062" s="12" t="s">
        <v>45</v>
      </c>
    </row>
    <row r="1063" spans="1:32" x14ac:dyDescent="0.2">
      <c r="A1063" s="12" t="s">
        <v>1706</v>
      </c>
      <c r="B1063" s="12" t="s">
        <v>1707</v>
      </c>
      <c r="C1063" s="12" t="s">
        <v>17</v>
      </c>
      <c r="D1063" s="12" t="s">
        <v>17</v>
      </c>
      <c r="E1063" s="12" t="s">
        <v>7678</v>
      </c>
      <c r="F1063" s="12" t="s">
        <v>5458</v>
      </c>
      <c r="G1063" s="12" t="s">
        <v>615</v>
      </c>
      <c r="H1063" s="12" t="s">
        <v>6613</v>
      </c>
      <c r="I1063" s="12">
        <v>0</v>
      </c>
      <c r="J1063" s="12" t="s">
        <v>164</v>
      </c>
      <c r="K1063" s="12" t="s">
        <v>6646</v>
      </c>
      <c r="L1063" s="12" t="s">
        <v>1686</v>
      </c>
      <c r="M1063" s="12" t="s">
        <v>1686</v>
      </c>
      <c r="N1063" s="12" t="s">
        <v>5785</v>
      </c>
      <c r="O1063" s="12" t="s">
        <v>1687</v>
      </c>
      <c r="P1063" s="12" t="s">
        <v>1688</v>
      </c>
      <c r="Q1063" s="12" t="s">
        <v>6664</v>
      </c>
      <c r="R1063" s="12" t="s">
        <v>17</v>
      </c>
      <c r="S1063" s="12" t="s">
        <v>17</v>
      </c>
      <c r="T1063" s="12" t="s">
        <v>25</v>
      </c>
      <c r="U1063" s="12" t="s">
        <v>17</v>
      </c>
      <c r="V1063" s="12" t="s">
        <v>6639</v>
      </c>
      <c r="W1063" s="12" t="s">
        <v>6639</v>
      </c>
      <c r="X1063" s="12" t="s">
        <v>17</v>
      </c>
      <c r="Y1063" s="12">
        <v>1137533</v>
      </c>
      <c r="Z1063" s="12" t="s">
        <v>6613</v>
      </c>
      <c r="AA1063" s="12" t="s">
        <v>6613</v>
      </c>
      <c r="AB1063" s="12" t="s">
        <v>6613</v>
      </c>
      <c r="AC1063" s="12" t="s">
        <v>6613</v>
      </c>
      <c r="AD1063" s="12" t="s">
        <v>6613</v>
      </c>
      <c r="AE1063" s="12" t="s">
        <v>6613</v>
      </c>
      <c r="AF1063" s="12" t="s">
        <v>45</v>
      </c>
    </row>
    <row r="1064" spans="1:32" x14ac:dyDescent="0.2">
      <c r="A1064" s="12" t="s">
        <v>1805</v>
      </c>
      <c r="B1064" s="12" t="s">
        <v>1806</v>
      </c>
      <c r="C1064" s="12" t="s">
        <v>17</v>
      </c>
      <c r="D1064" s="12" t="s">
        <v>17</v>
      </c>
      <c r="E1064" s="12" t="s">
        <v>7678</v>
      </c>
      <c r="F1064" s="12" t="s">
        <v>5458</v>
      </c>
      <c r="G1064" s="12" t="s">
        <v>615</v>
      </c>
      <c r="H1064" s="12" t="s">
        <v>6613</v>
      </c>
      <c r="I1064" s="12">
        <v>0</v>
      </c>
      <c r="J1064" s="12" t="s">
        <v>164</v>
      </c>
      <c r="K1064" s="12" t="s">
        <v>6646</v>
      </c>
      <c r="L1064" s="12" t="s">
        <v>1686</v>
      </c>
      <c r="M1064" s="12" t="s">
        <v>1686</v>
      </c>
      <c r="N1064" s="12" t="s">
        <v>5785</v>
      </c>
      <c r="O1064" s="12" t="s">
        <v>1687</v>
      </c>
      <c r="P1064" s="12" t="s">
        <v>1688</v>
      </c>
      <c r="Q1064" s="12" t="s">
        <v>6664</v>
      </c>
      <c r="R1064" s="16" t="s">
        <v>17</v>
      </c>
      <c r="S1064" s="16" t="s">
        <v>17</v>
      </c>
      <c r="T1064" s="12" t="s">
        <v>25</v>
      </c>
      <c r="U1064" s="12" t="s">
        <v>17</v>
      </c>
      <c r="V1064" s="12" t="s">
        <v>6639</v>
      </c>
      <c r="W1064" s="12" t="s">
        <v>6639</v>
      </c>
      <c r="X1064" s="12" t="s">
        <v>17</v>
      </c>
      <c r="Y1064" s="12">
        <v>1137894</v>
      </c>
      <c r="Z1064" s="12" t="s">
        <v>6613</v>
      </c>
      <c r="AA1064" s="12" t="s">
        <v>6613</v>
      </c>
      <c r="AB1064" s="12" t="s">
        <v>6613</v>
      </c>
      <c r="AC1064" s="12" t="s">
        <v>6613</v>
      </c>
      <c r="AD1064" s="12" t="s">
        <v>6613</v>
      </c>
      <c r="AE1064" s="12" t="s">
        <v>6613</v>
      </c>
      <c r="AF1064" s="12" t="s">
        <v>45</v>
      </c>
    </row>
    <row r="1065" spans="1:32" x14ac:dyDescent="0.2">
      <c r="A1065" s="12" t="s">
        <v>1713</v>
      </c>
      <c r="B1065" s="12" t="s">
        <v>1714</v>
      </c>
      <c r="C1065" s="12" t="s">
        <v>17</v>
      </c>
      <c r="D1065" s="12" t="s">
        <v>17</v>
      </c>
      <c r="E1065" s="12" t="s">
        <v>7678</v>
      </c>
      <c r="F1065" s="12" t="s">
        <v>5458</v>
      </c>
      <c r="G1065" s="12" t="s">
        <v>615</v>
      </c>
      <c r="H1065" s="12" t="s">
        <v>6613</v>
      </c>
      <c r="I1065" s="12">
        <v>0</v>
      </c>
      <c r="J1065" s="12" t="s">
        <v>164</v>
      </c>
      <c r="K1065" s="12" t="s">
        <v>6646</v>
      </c>
      <c r="L1065" s="12" t="s">
        <v>1686</v>
      </c>
      <c r="M1065" s="12" t="s">
        <v>1686</v>
      </c>
      <c r="N1065" s="12" t="s">
        <v>5785</v>
      </c>
      <c r="O1065" s="12" t="s">
        <v>1687</v>
      </c>
      <c r="P1065" s="12" t="s">
        <v>1688</v>
      </c>
      <c r="Q1065" s="12" t="s">
        <v>6664</v>
      </c>
      <c r="R1065" s="16" t="s">
        <v>17</v>
      </c>
      <c r="S1065" s="16" t="s">
        <v>17</v>
      </c>
      <c r="T1065" s="12" t="s">
        <v>25</v>
      </c>
      <c r="U1065" s="12" t="s">
        <v>17</v>
      </c>
      <c r="V1065" s="12" t="s">
        <v>6639</v>
      </c>
      <c r="W1065" s="12" t="s">
        <v>6639</v>
      </c>
      <c r="X1065" s="12" t="s">
        <v>17</v>
      </c>
      <c r="Y1065" s="12">
        <v>1138053</v>
      </c>
      <c r="Z1065" s="12" t="s">
        <v>6613</v>
      </c>
      <c r="AA1065" s="12" t="s">
        <v>6613</v>
      </c>
      <c r="AB1065" s="12" t="s">
        <v>6613</v>
      </c>
      <c r="AC1065" s="12" t="s">
        <v>6613</v>
      </c>
      <c r="AD1065" s="12" t="s">
        <v>6613</v>
      </c>
      <c r="AE1065" s="12" t="s">
        <v>6613</v>
      </c>
      <c r="AF1065" s="12" t="s">
        <v>45</v>
      </c>
    </row>
    <row r="1066" spans="1:32" x14ac:dyDescent="0.2">
      <c r="A1066" s="12" t="s">
        <v>1740</v>
      </c>
      <c r="B1066" s="12" t="s">
        <v>1741</v>
      </c>
      <c r="C1066" s="12" t="s">
        <v>17</v>
      </c>
      <c r="D1066" s="12" t="s">
        <v>17</v>
      </c>
      <c r="E1066" s="12" t="s">
        <v>7678</v>
      </c>
      <c r="F1066" s="12" t="s">
        <v>5458</v>
      </c>
      <c r="G1066" s="12" t="s">
        <v>615</v>
      </c>
      <c r="H1066" s="12" t="s">
        <v>6613</v>
      </c>
      <c r="I1066" s="12">
        <v>0</v>
      </c>
      <c r="J1066" s="12" t="s">
        <v>164</v>
      </c>
      <c r="K1066" s="12" t="s">
        <v>6646</v>
      </c>
      <c r="L1066" s="12" t="s">
        <v>1686</v>
      </c>
      <c r="M1066" s="12" t="s">
        <v>1686</v>
      </c>
      <c r="N1066" s="12" t="s">
        <v>5785</v>
      </c>
      <c r="O1066" s="12" t="s">
        <v>1687</v>
      </c>
      <c r="P1066" s="12" t="s">
        <v>1688</v>
      </c>
      <c r="Q1066" s="12" t="s">
        <v>6664</v>
      </c>
      <c r="R1066" s="12" t="s">
        <v>17</v>
      </c>
      <c r="S1066" s="12" t="s">
        <v>17</v>
      </c>
      <c r="T1066" s="12" t="s">
        <v>25</v>
      </c>
      <c r="U1066" s="12" t="s">
        <v>17</v>
      </c>
      <c r="V1066" s="12" t="s">
        <v>6639</v>
      </c>
      <c r="W1066" s="12" t="s">
        <v>6639</v>
      </c>
      <c r="X1066" s="12" t="s">
        <v>17</v>
      </c>
      <c r="Y1066" s="12">
        <v>1138274</v>
      </c>
      <c r="Z1066" s="12" t="s">
        <v>6613</v>
      </c>
      <c r="AA1066" s="12" t="s">
        <v>6613</v>
      </c>
      <c r="AB1066" s="12" t="s">
        <v>6613</v>
      </c>
      <c r="AC1066" s="12" t="s">
        <v>6613</v>
      </c>
      <c r="AD1066" s="12" t="s">
        <v>6613</v>
      </c>
      <c r="AE1066" s="12" t="s">
        <v>6613</v>
      </c>
      <c r="AF1066" s="12" t="s">
        <v>45</v>
      </c>
    </row>
    <row r="1067" spans="1:32" x14ac:dyDescent="0.2">
      <c r="A1067" s="12" t="s">
        <v>1832</v>
      </c>
      <c r="B1067" s="12" t="s">
        <v>1833</v>
      </c>
      <c r="C1067" s="12" t="s">
        <v>17</v>
      </c>
      <c r="D1067" s="12" t="s">
        <v>17</v>
      </c>
      <c r="E1067" s="12" t="s">
        <v>7678</v>
      </c>
      <c r="F1067" s="12" t="s">
        <v>5458</v>
      </c>
      <c r="G1067" s="12" t="s">
        <v>615</v>
      </c>
      <c r="H1067" s="12" t="s">
        <v>6613</v>
      </c>
      <c r="I1067" s="12">
        <v>0</v>
      </c>
      <c r="J1067" s="12" t="s">
        <v>164</v>
      </c>
      <c r="K1067" s="12" t="s">
        <v>6646</v>
      </c>
      <c r="L1067" s="12" t="s">
        <v>1686</v>
      </c>
      <c r="M1067" s="12" t="s">
        <v>1686</v>
      </c>
      <c r="N1067" s="12" t="s">
        <v>5785</v>
      </c>
      <c r="O1067" s="12" t="s">
        <v>1687</v>
      </c>
      <c r="P1067" s="12" t="s">
        <v>1688</v>
      </c>
      <c r="Q1067" s="12" t="s">
        <v>6664</v>
      </c>
      <c r="R1067" s="12" t="s">
        <v>17</v>
      </c>
      <c r="S1067" s="12" t="s">
        <v>17</v>
      </c>
      <c r="T1067" s="12" t="s">
        <v>11</v>
      </c>
      <c r="U1067" s="12" t="s">
        <v>17</v>
      </c>
      <c r="V1067" s="12" t="s">
        <v>1834</v>
      </c>
      <c r="W1067" s="12" t="s">
        <v>7415</v>
      </c>
      <c r="X1067" s="12" t="s">
        <v>17</v>
      </c>
      <c r="Y1067" s="12">
        <v>1138279</v>
      </c>
      <c r="Z1067" s="12" t="s">
        <v>6613</v>
      </c>
      <c r="AA1067" s="12" t="s">
        <v>6613</v>
      </c>
      <c r="AB1067" s="12" t="s">
        <v>6613</v>
      </c>
      <c r="AC1067" s="12" t="s">
        <v>6613</v>
      </c>
      <c r="AD1067" s="12" t="s">
        <v>6613</v>
      </c>
      <c r="AE1067" s="12" t="s">
        <v>6613</v>
      </c>
      <c r="AF1067" s="12" t="s">
        <v>45</v>
      </c>
    </row>
    <row r="1068" spans="1:32" x14ac:dyDescent="0.2">
      <c r="A1068" s="12" t="s">
        <v>1801</v>
      </c>
      <c r="B1068" s="12" t="s">
        <v>1802</v>
      </c>
      <c r="C1068" s="12" t="s">
        <v>17</v>
      </c>
      <c r="D1068" s="12" t="s">
        <v>17</v>
      </c>
      <c r="E1068" s="12" t="s">
        <v>7678</v>
      </c>
      <c r="F1068" s="12" t="s">
        <v>5458</v>
      </c>
      <c r="G1068" s="12" t="s">
        <v>615</v>
      </c>
      <c r="H1068" s="12" t="s">
        <v>6613</v>
      </c>
      <c r="I1068" s="12">
        <v>0</v>
      </c>
      <c r="J1068" s="12" t="s">
        <v>164</v>
      </c>
      <c r="K1068" s="12" t="s">
        <v>6646</v>
      </c>
      <c r="L1068" s="12" t="s">
        <v>1686</v>
      </c>
      <c r="M1068" s="12" t="s">
        <v>1686</v>
      </c>
      <c r="N1068" s="12" t="s">
        <v>5785</v>
      </c>
      <c r="O1068" s="12" t="s">
        <v>1687</v>
      </c>
      <c r="P1068" s="12" t="s">
        <v>1688</v>
      </c>
      <c r="Q1068" s="12" t="s">
        <v>6664</v>
      </c>
      <c r="R1068" s="12" t="s">
        <v>17</v>
      </c>
      <c r="S1068" s="12" t="s">
        <v>17</v>
      </c>
      <c r="T1068" s="12" t="s">
        <v>25</v>
      </c>
      <c r="U1068" s="12" t="s">
        <v>17</v>
      </c>
      <c r="V1068" s="12" t="s">
        <v>6639</v>
      </c>
      <c r="W1068" s="12" t="s">
        <v>6639</v>
      </c>
      <c r="X1068" s="12" t="s">
        <v>17</v>
      </c>
      <c r="Y1068" s="12">
        <v>1138965</v>
      </c>
      <c r="Z1068" s="12" t="s">
        <v>6613</v>
      </c>
      <c r="AA1068" s="12" t="s">
        <v>6613</v>
      </c>
      <c r="AB1068" s="12" t="s">
        <v>6613</v>
      </c>
      <c r="AC1068" s="12" t="s">
        <v>6613</v>
      </c>
      <c r="AD1068" s="12" t="s">
        <v>6613</v>
      </c>
      <c r="AE1068" s="12" t="s">
        <v>6613</v>
      </c>
      <c r="AF1068" s="12" t="s">
        <v>45</v>
      </c>
    </row>
    <row r="1069" spans="1:32" x14ac:dyDescent="0.2">
      <c r="A1069" s="12" t="s">
        <v>1789</v>
      </c>
      <c r="B1069" s="12" t="s">
        <v>1790</v>
      </c>
      <c r="C1069" s="12" t="s">
        <v>17</v>
      </c>
      <c r="D1069" s="12" t="s">
        <v>17</v>
      </c>
      <c r="E1069" s="12" t="s">
        <v>7678</v>
      </c>
      <c r="F1069" s="12" t="s">
        <v>5458</v>
      </c>
      <c r="G1069" s="12" t="s">
        <v>615</v>
      </c>
      <c r="H1069" s="12" t="s">
        <v>6613</v>
      </c>
      <c r="I1069" s="12">
        <v>0</v>
      </c>
      <c r="J1069" s="12" t="s">
        <v>164</v>
      </c>
      <c r="K1069" s="12" t="s">
        <v>6646</v>
      </c>
      <c r="L1069" s="12" t="s">
        <v>1686</v>
      </c>
      <c r="M1069" s="12" t="s">
        <v>1686</v>
      </c>
      <c r="N1069" s="12" t="s">
        <v>5785</v>
      </c>
      <c r="O1069" s="12" t="s">
        <v>1687</v>
      </c>
      <c r="P1069" s="12" t="s">
        <v>1688</v>
      </c>
      <c r="Q1069" s="12" t="s">
        <v>6664</v>
      </c>
      <c r="R1069" s="12" t="s">
        <v>17</v>
      </c>
      <c r="S1069" s="12" t="s">
        <v>17</v>
      </c>
      <c r="T1069" s="12" t="s">
        <v>25</v>
      </c>
      <c r="U1069" s="12" t="s">
        <v>17</v>
      </c>
      <c r="V1069" s="12" t="s">
        <v>6639</v>
      </c>
      <c r="W1069" s="12" t="s">
        <v>6639</v>
      </c>
      <c r="X1069" s="12" t="s">
        <v>17</v>
      </c>
      <c r="Y1069" s="12">
        <v>1139411</v>
      </c>
      <c r="Z1069" s="12" t="s">
        <v>6613</v>
      </c>
      <c r="AA1069" s="12" t="s">
        <v>6613</v>
      </c>
      <c r="AB1069" s="12" t="s">
        <v>6613</v>
      </c>
      <c r="AC1069" s="12" t="s">
        <v>6613</v>
      </c>
      <c r="AD1069" s="12" t="s">
        <v>6613</v>
      </c>
      <c r="AE1069" s="12" t="s">
        <v>6613</v>
      </c>
      <c r="AF1069" s="12" t="s">
        <v>45</v>
      </c>
    </row>
    <row r="1070" spans="1:32" x14ac:dyDescent="0.2">
      <c r="A1070" s="12" t="s">
        <v>1754</v>
      </c>
      <c r="B1070" s="12" t="s">
        <v>1755</v>
      </c>
      <c r="C1070" s="12" t="s">
        <v>17</v>
      </c>
      <c r="D1070" s="12" t="s">
        <v>17</v>
      </c>
      <c r="E1070" s="12" t="s">
        <v>7678</v>
      </c>
      <c r="F1070" s="12" t="s">
        <v>5458</v>
      </c>
      <c r="G1070" s="12" t="s">
        <v>615</v>
      </c>
      <c r="H1070" s="12" t="s">
        <v>6613</v>
      </c>
      <c r="I1070" s="12">
        <v>0</v>
      </c>
      <c r="J1070" s="12" t="s">
        <v>164</v>
      </c>
      <c r="K1070" s="12" t="s">
        <v>6646</v>
      </c>
      <c r="L1070" s="12" t="s">
        <v>1686</v>
      </c>
      <c r="M1070" s="12" t="s">
        <v>1686</v>
      </c>
      <c r="N1070" s="12" t="s">
        <v>5785</v>
      </c>
      <c r="O1070" s="12" t="s">
        <v>1687</v>
      </c>
      <c r="P1070" s="12" t="s">
        <v>1688</v>
      </c>
      <c r="Q1070" s="12" t="s">
        <v>6664</v>
      </c>
      <c r="R1070" s="12" t="s">
        <v>17</v>
      </c>
      <c r="S1070" s="12" t="s">
        <v>17</v>
      </c>
      <c r="T1070" s="12" t="s">
        <v>25</v>
      </c>
      <c r="U1070" s="12" t="s">
        <v>17</v>
      </c>
      <c r="V1070" s="12" t="s">
        <v>6639</v>
      </c>
      <c r="W1070" s="12" t="s">
        <v>6639</v>
      </c>
      <c r="X1070" s="12" t="s">
        <v>17</v>
      </c>
      <c r="Y1070" s="12">
        <v>1139437</v>
      </c>
      <c r="Z1070" s="12" t="s">
        <v>6613</v>
      </c>
      <c r="AA1070" s="12" t="s">
        <v>6613</v>
      </c>
      <c r="AB1070" s="12" t="s">
        <v>6613</v>
      </c>
      <c r="AC1070" s="12" t="s">
        <v>6613</v>
      </c>
      <c r="AD1070" s="12" t="s">
        <v>6613</v>
      </c>
      <c r="AE1070" s="12" t="s">
        <v>6613</v>
      </c>
      <c r="AF1070" s="12" t="s">
        <v>45</v>
      </c>
    </row>
    <row r="1071" spans="1:32" x14ac:dyDescent="0.2">
      <c r="A1071" s="12" t="s">
        <v>1811</v>
      </c>
      <c r="B1071" s="12" t="s">
        <v>1812</v>
      </c>
      <c r="C1071" s="12" t="s">
        <v>17</v>
      </c>
      <c r="D1071" s="12" t="s">
        <v>17</v>
      </c>
      <c r="E1071" s="12" t="s">
        <v>7678</v>
      </c>
      <c r="F1071" s="12" t="s">
        <v>5458</v>
      </c>
      <c r="G1071" s="12" t="s">
        <v>615</v>
      </c>
      <c r="H1071" s="12" t="s">
        <v>6613</v>
      </c>
      <c r="I1071" s="12">
        <v>0</v>
      </c>
      <c r="J1071" s="12" t="s">
        <v>164</v>
      </c>
      <c r="K1071" s="12" t="s">
        <v>6646</v>
      </c>
      <c r="L1071" s="12" t="s">
        <v>1686</v>
      </c>
      <c r="M1071" s="12" t="s">
        <v>1686</v>
      </c>
      <c r="N1071" s="12" t="s">
        <v>5785</v>
      </c>
      <c r="O1071" s="12" t="s">
        <v>1687</v>
      </c>
      <c r="P1071" s="12" t="s">
        <v>1688</v>
      </c>
      <c r="Q1071" s="12" t="s">
        <v>6664</v>
      </c>
      <c r="R1071" s="12" t="s">
        <v>17</v>
      </c>
      <c r="S1071" s="12" t="s">
        <v>17</v>
      </c>
      <c r="T1071" s="12" t="s">
        <v>25</v>
      </c>
      <c r="U1071" s="12" t="s">
        <v>17</v>
      </c>
      <c r="V1071" s="12" t="s">
        <v>6639</v>
      </c>
      <c r="W1071" s="12" t="s">
        <v>6639</v>
      </c>
      <c r="X1071" s="12" t="s">
        <v>17</v>
      </c>
      <c r="Y1071" s="12">
        <v>1140104</v>
      </c>
      <c r="Z1071" s="12" t="s">
        <v>6613</v>
      </c>
      <c r="AA1071" s="12" t="s">
        <v>6613</v>
      </c>
      <c r="AB1071" s="12" t="s">
        <v>6613</v>
      </c>
      <c r="AC1071" s="12" t="s">
        <v>6613</v>
      </c>
      <c r="AD1071" s="12" t="s">
        <v>6613</v>
      </c>
      <c r="AE1071" s="12" t="s">
        <v>6613</v>
      </c>
      <c r="AF1071" s="12" t="s">
        <v>45</v>
      </c>
    </row>
    <row r="1072" spans="1:32" x14ac:dyDescent="0.2">
      <c r="A1072" s="12" t="s">
        <v>1797</v>
      </c>
      <c r="B1072" s="12" t="s">
        <v>1798</v>
      </c>
      <c r="C1072" s="12" t="s">
        <v>17</v>
      </c>
      <c r="D1072" s="12" t="s">
        <v>17</v>
      </c>
      <c r="E1072" s="12" t="s">
        <v>7678</v>
      </c>
      <c r="F1072" s="12" t="s">
        <v>5458</v>
      </c>
      <c r="G1072" s="12" t="s">
        <v>615</v>
      </c>
      <c r="H1072" s="12" t="s">
        <v>6613</v>
      </c>
      <c r="I1072" s="12">
        <v>0</v>
      </c>
      <c r="J1072" s="12" t="s">
        <v>164</v>
      </c>
      <c r="K1072" s="12" t="s">
        <v>6646</v>
      </c>
      <c r="L1072" s="12" t="s">
        <v>1686</v>
      </c>
      <c r="M1072" s="12" t="s">
        <v>1686</v>
      </c>
      <c r="N1072" s="12" t="s">
        <v>5785</v>
      </c>
      <c r="O1072" s="12" t="s">
        <v>1687</v>
      </c>
      <c r="P1072" s="12" t="s">
        <v>1688</v>
      </c>
      <c r="Q1072" s="12" t="s">
        <v>6664</v>
      </c>
      <c r="R1072" s="12" t="s">
        <v>17</v>
      </c>
      <c r="S1072" s="12" t="s">
        <v>17</v>
      </c>
      <c r="T1072" s="12" t="s">
        <v>25</v>
      </c>
      <c r="U1072" s="12" t="s">
        <v>17</v>
      </c>
      <c r="V1072" s="12" t="s">
        <v>6639</v>
      </c>
      <c r="W1072" s="12" t="s">
        <v>6639</v>
      </c>
      <c r="X1072" s="12" t="s">
        <v>17</v>
      </c>
      <c r="Y1072" s="12">
        <v>1141219</v>
      </c>
      <c r="Z1072" s="12" t="s">
        <v>6613</v>
      </c>
      <c r="AA1072" s="12" t="s">
        <v>6613</v>
      </c>
      <c r="AB1072" s="12" t="s">
        <v>6613</v>
      </c>
      <c r="AC1072" s="12" t="s">
        <v>6613</v>
      </c>
      <c r="AD1072" s="12" t="s">
        <v>6613</v>
      </c>
      <c r="AE1072" s="12" t="s">
        <v>6613</v>
      </c>
      <c r="AF1072" s="12" t="s">
        <v>45</v>
      </c>
    </row>
    <row r="1073" spans="1:32" x14ac:dyDescent="0.2">
      <c r="A1073" s="12" t="s">
        <v>1777</v>
      </c>
      <c r="B1073" s="12" t="s">
        <v>1778</v>
      </c>
      <c r="C1073" s="12" t="s">
        <v>17</v>
      </c>
      <c r="D1073" s="12" t="s">
        <v>17</v>
      </c>
      <c r="E1073" s="12" t="s">
        <v>7678</v>
      </c>
      <c r="F1073" s="12" t="s">
        <v>5458</v>
      </c>
      <c r="G1073" s="12" t="s">
        <v>615</v>
      </c>
      <c r="H1073" s="12" t="s">
        <v>6613</v>
      </c>
      <c r="I1073" s="12">
        <v>0</v>
      </c>
      <c r="J1073" s="12" t="s">
        <v>164</v>
      </c>
      <c r="K1073" s="12" t="s">
        <v>6646</v>
      </c>
      <c r="L1073" s="12" t="s">
        <v>1686</v>
      </c>
      <c r="M1073" s="12" t="s">
        <v>1686</v>
      </c>
      <c r="N1073" s="12" t="s">
        <v>5785</v>
      </c>
      <c r="O1073" s="12" t="s">
        <v>1687</v>
      </c>
      <c r="P1073" s="12" t="s">
        <v>1688</v>
      </c>
      <c r="Q1073" s="12" t="s">
        <v>6664</v>
      </c>
      <c r="R1073" s="16" t="s">
        <v>17</v>
      </c>
      <c r="S1073" s="16" t="s">
        <v>17</v>
      </c>
      <c r="T1073" s="12" t="s">
        <v>25</v>
      </c>
      <c r="U1073" s="12" t="s">
        <v>17</v>
      </c>
      <c r="V1073" s="12" t="s">
        <v>6639</v>
      </c>
      <c r="W1073" s="12" t="s">
        <v>6639</v>
      </c>
      <c r="X1073" s="12" t="s">
        <v>17</v>
      </c>
      <c r="Y1073" s="12">
        <v>1142790</v>
      </c>
      <c r="Z1073" s="12" t="s">
        <v>6613</v>
      </c>
      <c r="AA1073" s="12" t="s">
        <v>6613</v>
      </c>
      <c r="AB1073" s="12" t="s">
        <v>6613</v>
      </c>
      <c r="AC1073" s="12" t="s">
        <v>6613</v>
      </c>
      <c r="AD1073" s="12" t="s">
        <v>6613</v>
      </c>
      <c r="AE1073" s="12" t="s">
        <v>6613</v>
      </c>
      <c r="AF1073" s="12" t="s">
        <v>45</v>
      </c>
    </row>
    <row r="1074" spans="1:32" x14ac:dyDescent="0.2">
      <c r="A1074" s="12" t="s">
        <v>1793</v>
      </c>
      <c r="B1074" s="12" t="s">
        <v>1794</v>
      </c>
      <c r="C1074" s="12" t="s">
        <v>17</v>
      </c>
      <c r="D1074" s="12" t="s">
        <v>17</v>
      </c>
      <c r="E1074" s="12" t="s">
        <v>7678</v>
      </c>
      <c r="F1074" s="12" t="s">
        <v>5458</v>
      </c>
      <c r="G1074" s="12" t="s">
        <v>615</v>
      </c>
      <c r="H1074" s="12" t="s">
        <v>6613</v>
      </c>
      <c r="I1074" s="12">
        <v>0</v>
      </c>
      <c r="J1074" s="12" t="s">
        <v>164</v>
      </c>
      <c r="K1074" s="12" t="s">
        <v>6646</v>
      </c>
      <c r="L1074" s="12" t="s">
        <v>1686</v>
      </c>
      <c r="M1074" s="12" t="s">
        <v>1686</v>
      </c>
      <c r="N1074" s="12" t="s">
        <v>5785</v>
      </c>
      <c r="O1074" s="12" t="s">
        <v>1687</v>
      </c>
      <c r="P1074" s="12" t="s">
        <v>1688</v>
      </c>
      <c r="Q1074" s="12" t="s">
        <v>6664</v>
      </c>
      <c r="R1074" s="12" t="s">
        <v>17</v>
      </c>
      <c r="S1074" s="12" t="s">
        <v>17</v>
      </c>
      <c r="T1074" s="12" t="s">
        <v>25</v>
      </c>
      <c r="U1074" s="12" t="s">
        <v>17</v>
      </c>
      <c r="V1074" s="12" t="s">
        <v>6639</v>
      </c>
      <c r="W1074" s="12" t="s">
        <v>6639</v>
      </c>
      <c r="X1074" s="12" t="s">
        <v>17</v>
      </c>
      <c r="Y1074" s="12">
        <v>1143780</v>
      </c>
      <c r="Z1074" s="12" t="s">
        <v>6613</v>
      </c>
      <c r="AA1074" s="12" t="s">
        <v>6613</v>
      </c>
      <c r="AB1074" s="12" t="s">
        <v>6613</v>
      </c>
      <c r="AC1074" s="12" t="s">
        <v>6613</v>
      </c>
      <c r="AD1074" s="12" t="s">
        <v>6613</v>
      </c>
      <c r="AE1074" s="12" t="s">
        <v>6613</v>
      </c>
      <c r="AF1074" s="12" t="s">
        <v>45</v>
      </c>
    </row>
    <row r="1075" spans="1:32" x14ac:dyDescent="0.2">
      <c r="A1075" s="12" t="s">
        <v>1744</v>
      </c>
      <c r="B1075" s="12" t="s">
        <v>1745</v>
      </c>
      <c r="C1075" s="12" t="s">
        <v>17</v>
      </c>
      <c r="D1075" s="12" t="s">
        <v>17</v>
      </c>
      <c r="E1075" s="12" t="s">
        <v>7678</v>
      </c>
      <c r="F1075" s="12" t="s">
        <v>5458</v>
      </c>
      <c r="G1075" s="12" t="s">
        <v>615</v>
      </c>
      <c r="H1075" s="12" t="s">
        <v>6613</v>
      </c>
      <c r="I1075" s="12">
        <v>0</v>
      </c>
      <c r="J1075" s="12" t="s">
        <v>164</v>
      </c>
      <c r="K1075" s="12" t="s">
        <v>6646</v>
      </c>
      <c r="L1075" s="12" t="s">
        <v>1686</v>
      </c>
      <c r="M1075" s="12" t="s">
        <v>1686</v>
      </c>
      <c r="N1075" s="12" t="s">
        <v>5785</v>
      </c>
      <c r="O1075" s="12" t="s">
        <v>1687</v>
      </c>
      <c r="P1075" s="12" t="s">
        <v>1688</v>
      </c>
      <c r="Q1075" s="12" t="s">
        <v>6664</v>
      </c>
      <c r="R1075" s="12" t="s">
        <v>17</v>
      </c>
      <c r="S1075" s="12" t="s">
        <v>17</v>
      </c>
      <c r="T1075" s="12" t="s">
        <v>25</v>
      </c>
      <c r="U1075" s="12" t="s">
        <v>17</v>
      </c>
      <c r="V1075" s="12" t="s">
        <v>6639</v>
      </c>
      <c r="W1075" s="12" t="s">
        <v>6639</v>
      </c>
      <c r="X1075" s="12" t="s">
        <v>17</v>
      </c>
      <c r="Y1075" s="12">
        <v>1144818</v>
      </c>
      <c r="Z1075" s="12" t="s">
        <v>6613</v>
      </c>
      <c r="AA1075" s="12" t="s">
        <v>6613</v>
      </c>
      <c r="AB1075" s="12" t="s">
        <v>6613</v>
      </c>
      <c r="AC1075" s="12" t="s">
        <v>6613</v>
      </c>
      <c r="AD1075" s="12" t="s">
        <v>6613</v>
      </c>
      <c r="AE1075" s="12" t="s">
        <v>6613</v>
      </c>
      <c r="AF1075" s="12" t="s">
        <v>45</v>
      </c>
    </row>
    <row r="1076" spans="1:32" x14ac:dyDescent="0.2">
      <c r="A1076" s="12" t="s">
        <v>1911</v>
      </c>
      <c r="B1076" s="12" t="s">
        <v>1912</v>
      </c>
      <c r="C1076" s="12" t="s">
        <v>17</v>
      </c>
      <c r="D1076" s="12" t="s">
        <v>17</v>
      </c>
      <c r="E1076" s="12" t="s">
        <v>7678</v>
      </c>
      <c r="F1076" s="12" t="s">
        <v>5458</v>
      </c>
      <c r="G1076" s="12" t="s">
        <v>615</v>
      </c>
      <c r="H1076" s="12" t="s">
        <v>6613</v>
      </c>
      <c r="I1076" s="12">
        <v>0</v>
      </c>
      <c r="J1076" s="12" t="s">
        <v>164</v>
      </c>
      <c r="K1076" s="12" t="s">
        <v>6646</v>
      </c>
      <c r="L1076" s="12" t="s">
        <v>1686</v>
      </c>
      <c r="M1076" s="12" t="s">
        <v>1686</v>
      </c>
      <c r="N1076" s="12" t="s">
        <v>5785</v>
      </c>
      <c r="O1076" s="12" t="s">
        <v>1687</v>
      </c>
      <c r="P1076" s="12" t="s">
        <v>1688</v>
      </c>
      <c r="Q1076" s="12" t="s">
        <v>6664</v>
      </c>
      <c r="R1076" s="12" t="s">
        <v>17</v>
      </c>
      <c r="S1076" s="12" t="s">
        <v>17</v>
      </c>
      <c r="T1076" s="12" t="s">
        <v>25</v>
      </c>
      <c r="U1076" s="12" t="s">
        <v>17</v>
      </c>
      <c r="V1076" s="12" t="s">
        <v>6639</v>
      </c>
      <c r="W1076" s="12" t="s">
        <v>6639</v>
      </c>
      <c r="X1076" s="12" t="s">
        <v>17</v>
      </c>
      <c r="Y1076" s="12">
        <v>1145224</v>
      </c>
      <c r="Z1076" s="12" t="s">
        <v>6613</v>
      </c>
      <c r="AA1076" s="12" t="s">
        <v>6613</v>
      </c>
      <c r="AB1076" s="12" t="s">
        <v>6613</v>
      </c>
      <c r="AC1076" s="12" t="s">
        <v>6613</v>
      </c>
      <c r="AD1076" s="12" t="s">
        <v>6613</v>
      </c>
      <c r="AE1076" s="12" t="s">
        <v>6613</v>
      </c>
      <c r="AF1076" s="12" t="s">
        <v>45</v>
      </c>
    </row>
    <row r="1077" spans="1:32" x14ac:dyDescent="0.2">
      <c r="A1077" s="12" t="s">
        <v>1907</v>
      </c>
      <c r="B1077" s="12" t="s">
        <v>1908</v>
      </c>
      <c r="C1077" s="12" t="s">
        <v>17</v>
      </c>
      <c r="D1077" s="12" t="s">
        <v>17</v>
      </c>
      <c r="E1077" s="12" t="s">
        <v>7678</v>
      </c>
      <c r="F1077" s="12" t="s">
        <v>5458</v>
      </c>
      <c r="G1077" s="12" t="s">
        <v>615</v>
      </c>
      <c r="H1077" s="12" t="s">
        <v>6613</v>
      </c>
      <c r="I1077" s="12">
        <v>0</v>
      </c>
      <c r="J1077" s="12" t="s">
        <v>164</v>
      </c>
      <c r="K1077" s="12" t="s">
        <v>6646</v>
      </c>
      <c r="L1077" s="12" t="s">
        <v>1686</v>
      </c>
      <c r="M1077" s="12" t="s">
        <v>1686</v>
      </c>
      <c r="N1077" s="12" t="s">
        <v>5785</v>
      </c>
      <c r="O1077" s="12" t="s">
        <v>1687</v>
      </c>
      <c r="P1077" s="12" t="s">
        <v>1688</v>
      </c>
      <c r="Q1077" s="12" t="s">
        <v>6664</v>
      </c>
      <c r="R1077" s="12" t="s">
        <v>17</v>
      </c>
      <c r="S1077" s="12" t="s">
        <v>17</v>
      </c>
      <c r="T1077" s="12" t="s">
        <v>25</v>
      </c>
      <c r="U1077" s="12" t="s">
        <v>17</v>
      </c>
      <c r="V1077" s="12" t="s">
        <v>6639</v>
      </c>
      <c r="W1077" s="12" t="s">
        <v>6639</v>
      </c>
      <c r="X1077" s="12" t="s">
        <v>17</v>
      </c>
      <c r="Y1077" s="12">
        <v>1145894</v>
      </c>
      <c r="Z1077" s="12" t="s">
        <v>6613</v>
      </c>
      <c r="AA1077" s="12" t="s">
        <v>6613</v>
      </c>
      <c r="AB1077" s="12" t="s">
        <v>6613</v>
      </c>
      <c r="AC1077" s="12" t="s">
        <v>6613</v>
      </c>
      <c r="AD1077" s="12" t="s">
        <v>6613</v>
      </c>
      <c r="AE1077" s="12" t="s">
        <v>6613</v>
      </c>
      <c r="AF1077" s="12" t="s">
        <v>45</v>
      </c>
    </row>
    <row r="1078" spans="1:32" x14ac:dyDescent="0.2">
      <c r="A1078" s="12" t="s">
        <v>1824</v>
      </c>
      <c r="B1078" s="12" t="s">
        <v>1825</v>
      </c>
      <c r="C1078" s="12" t="s">
        <v>17</v>
      </c>
      <c r="D1078" s="12" t="s">
        <v>17</v>
      </c>
      <c r="E1078" s="12" t="s">
        <v>7678</v>
      </c>
      <c r="F1078" s="12" t="s">
        <v>5458</v>
      </c>
      <c r="G1078" s="12" t="s">
        <v>615</v>
      </c>
      <c r="H1078" s="12" t="s">
        <v>6613</v>
      </c>
      <c r="I1078" s="12">
        <v>0</v>
      </c>
      <c r="J1078" s="12" t="s">
        <v>164</v>
      </c>
      <c r="K1078" s="12" t="s">
        <v>6646</v>
      </c>
      <c r="L1078" s="12" t="s">
        <v>1686</v>
      </c>
      <c r="M1078" s="12" t="s">
        <v>1686</v>
      </c>
      <c r="N1078" s="12" t="s">
        <v>5785</v>
      </c>
      <c r="O1078" s="12" t="s">
        <v>1687</v>
      </c>
      <c r="P1078" s="12" t="s">
        <v>1688</v>
      </c>
      <c r="Q1078" s="12" t="s">
        <v>6664</v>
      </c>
      <c r="R1078" s="12" t="s">
        <v>17</v>
      </c>
      <c r="S1078" s="12" t="s">
        <v>17</v>
      </c>
      <c r="T1078" s="12" t="s">
        <v>11</v>
      </c>
      <c r="U1078" s="12" t="s">
        <v>17</v>
      </c>
      <c r="V1078" s="12" t="s">
        <v>1826</v>
      </c>
      <c r="W1078" s="12" t="s">
        <v>7415</v>
      </c>
      <c r="X1078" s="12" t="s">
        <v>17</v>
      </c>
      <c r="Y1078" s="12">
        <v>1146027</v>
      </c>
      <c r="Z1078" s="12" t="s">
        <v>6613</v>
      </c>
      <c r="AA1078" s="12" t="s">
        <v>6613</v>
      </c>
      <c r="AB1078" s="12" t="s">
        <v>6613</v>
      </c>
      <c r="AC1078" s="12" t="s">
        <v>6613</v>
      </c>
      <c r="AD1078" s="12" t="s">
        <v>6613</v>
      </c>
      <c r="AE1078" s="12" t="s">
        <v>6613</v>
      </c>
      <c r="AF1078" s="12" t="s">
        <v>45</v>
      </c>
    </row>
    <row r="1079" spans="1:32" x14ac:dyDescent="0.2">
      <c r="A1079" s="12" t="s">
        <v>1905</v>
      </c>
      <c r="B1079" s="12" t="s">
        <v>1906</v>
      </c>
      <c r="C1079" s="12" t="s">
        <v>17</v>
      </c>
      <c r="D1079" s="12" t="s">
        <v>17</v>
      </c>
      <c r="E1079" s="12" t="s">
        <v>7678</v>
      </c>
      <c r="F1079" s="12" t="s">
        <v>5458</v>
      </c>
      <c r="G1079" s="12" t="s">
        <v>615</v>
      </c>
      <c r="H1079" s="12" t="s">
        <v>6613</v>
      </c>
      <c r="I1079" s="12">
        <v>0</v>
      </c>
      <c r="J1079" s="12" t="s">
        <v>164</v>
      </c>
      <c r="K1079" s="12" t="s">
        <v>6646</v>
      </c>
      <c r="L1079" s="12" t="s">
        <v>1686</v>
      </c>
      <c r="M1079" s="12" t="s">
        <v>1686</v>
      </c>
      <c r="N1079" s="12" t="s">
        <v>5785</v>
      </c>
      <c r="O1079" s="12" t="s">
        <v>1687</v>
      </c>
      <c r="P1079" s="12" t="s">
        <v>1688</v>
      </c>
      <c r="Q1079" s="12" t="s">
        <v>6664</v>
      </c>
      <c r="R1079" s="12" t="s">
        <v>17</v>
      </c>
      <c r="S1079" s="12" t="s">
        <v>17</v>
      </c>
      <c r="T1079" s="12" t="s">
        <v>25</v>
      </c>
      <c r="U1079" s="12" t="s">
        <v>17</v>
      </c>
      <c r="V1079" s="12" t="s">
        <v>6639</v>
      </c>
      <c r="W1079" s="12" t="s">
        <v>6639</v>
      </c>
      <c r="X1079" s="12" t="s">
        <v>17</v>
      </c>
      <c r="Y1079" s="12">
        <v>1146210</v>
      </c>
      <c r="Z1079" s="12" t="s">
        <v>6613</v>
      </c>
      <c r="AA1079" s="12" t="s">
        <v>6613</v>
      </c>
      <c r="AB1079" s="12" t="s">
        <v>6613</v>
      </c>
      <c r="AC1079" s="12" t="s">
        <v>6613</v>
      </c>
      <c r="AD1079" s="12" t="s">
        <v>6613</v>
      </c>
      <c r="AE1079" s="12" t="s">
        <v>6613</v>
      </c>
      <c r="AF1079" s="12" t="s">
        <v>45</v>
      </c>
    </row>
    <row r="1080" spans="1:32" x14ac:dyDescent="0.2">
      <c r="A1080" s="12" t="s">
        <v>1732</v>
      </c>
      <c r="B1080" s="12" t="s">
        <v>1733</v>
      </c>
      <c r="C1080" s="12" t="s">
        <v>17</v>
      </c>
      <c r="D1080" s="12" t="s">
        <v>17</v>
      </c>
      <c r="E1080" s="12" t="s">
        <v>7678</v>
      </c>
      <c r="F1080" s="12" t="s">
        <v>5458</v>
      </c>
      <c r="G1080" s="12" t="s">
        <v>615</v>
      </c>
      <c r="H1080" s="12" t="s">
        <v>6613</v>
      </c>
      <c r="I1080" s="12">
        <v>0</v>
      </c>
      <c r="J1080" s="12" t="s">
        <v>164</v>
      </c>
      <c r="K1080" s="12" t="s">
        <v>6646</v>
      </c>
      <c r="L1080" s="12" t="s">
        <v>1686</v>
      </c>
      <c r="M1080" s="12" t="s">
        <v>1686</v>
      </c>
      <c r="N1080" s="12" t="s">
        <v>5785</v>
      </c>
      <c r="O1080" s="12" t="s">
        <v>1687</v>
      </c>
      <c r="P1080" s="12" t="s">
        <v>1688</v>
      </c>
      <c r="Q1080" s="12" t="s">
        <v>6664</v>
      </c>
      <c r="R1080" s="12" t="s">
        <v>17</v>
      </c>
      <c r="S1080" s="12" t="s">
        <v>17</v>
      </c>
      <c r="T1080" s="12" t="s">
        <v>25</v>
      </c>
      <c r="U1080" s="12" t="s">
        <v>17</v>
      </c>
      <c r="V1080" s="12" t="s">
        <v>6639</v>
      </c>
      <c r="W1080" s="12" t="s">
        <v>6639</v>
      </c>
      <c r="X1080" s="12" t="s">
        <v>17</v>
      </c>
      <c r="Y1080" s="12">
        <v>1146532</v>
      </c>
      <c r="Z1080" s="12" t="s">
        <v>6613</v>
      </c>
      <c r="AA1080" s="12" t="s">
        <v>6613</v>
      </c>
      <c r="AB1080" s="12" t="s">
        <v>6613</v>
      </c>
      <c r="AC1080" s="12" t="s">
        <v>6613</v>
      </c>
      <c r="AD1080" s="12" t="s">
        <v>6613</v>
      </c>
      <c r="AE1080" s="12" t="s">
        <v>6613</v>
      </c>
      <c r="AF1080" s="12" t="s">
        <v>45</v>
      </c>
    </row>
    <row r="1081" spans="1:32" x14ac:dyDescent="0.2">
      <c r="A1081" s="12" t="s">
        <v>1853</v>
      </c>
      <c r="B1081" s="12" t="s">
        <v>1854</v>
      </c>
      <c r="C1081" s="12" t="s">
        <v>17</v>
      </c>
      <c r="D1081" s="12" t="s">
        <v>17</v>
      </c>
      <c r="E1081" s="12" t="s">
        <v>7678</v>
      </c>
      <c r="F1081" s="12" t="s">
        <v>5458</v>
      </c>
      <c r="G1081" s="12" t="s">
        <v>615</v>
      </c>
      <c r="H1081" s="12" t="s">
        <v>6613</v>
      </c>
      <c r="I1081" s="12">
        <v>0</v>
      </c>
      <c r="J1081" s="12" t="s">
        <v>164</v>
      </c>
      <c r="K1081" s="12" t="s">
        <v>6646</v>
      </c>
      <c r="L1081" s="12" t="s">
        <v>1686</v>
      </c>
      <c r="M1081" s="12" t="s">
        <v>1686</v>
      </c>
      <c r="N1081" s="12" t="s">
        <v>5785</v>
      </c>
      <c r="O1081" s="12" t="s">
        <v>1687</v>
      </c>
      <c r="P1081" s="12" t="s">
        <v>1688</v>
      </c>
      <c r="Q1081" s="12" t="s">
        <v>6664</v>
      </c>
      <c r="R1081" s="12" t="s">
        <v>17</v>
      </c>
      <c r="S1081" s="12" t="s">
        <v>17</v>
      </c>
      <c r="T1081" s="12" t="s">
        <v>25</v>
      </c>
      <c r="U1081" s="12" t="s">
        <v>17</v>
      </c>
      <c r="V1081" s="12" t="s">
        <v>6639</v>
      </c>
      <c r="W1081" s="12" t="s">
        <v>6639</v>
      </c>
      <c r="X1081" s="12" t="s">
        <v>17</v>
      </c>
      <c r="Y1081" s="12">
        <v>1146854</v>
      </c>
      <c r="Z1081" s="12" t="s">
        <v>6613</v>
      </c>
      <c r="AA1081" s="12" t="s">
        <v>6613</v>
      </c>
      <c r="AB1081" s="12" t="s">
        <v>6613</v>
      </c>
      <c r="AC1081" s="12" t="s">
        <v>6613</v>
      </c>
      <c r="AD1081" s="12" t="s">
        <v>6613</v>
      </c>
      <c r="AE1081" s="12" t="s">
        <v>6613</v>
      </c>
      <c r="AF1081" s="12" t="s">
        <v>45</v>
      </c>
    </row>
    <row r="1082" spans="1:32" x14ac:dyDescent="0.2">
      <c r="A1082" s="12" t="s">
        <v>1882</v>
      </c>
      <c r="B1082" s="12" t="s">
        <v>1883</v>
      </c>
      <c r="C1082" s="12" t="s">
        <v>17</v>
      </c>
      <c r="D1082" s="12" t="s">
        <v>17</v>
      </c>
      <c r="E1082" s="12" t="s">
        <v>7678</v>
      </c>
      <c r="F1082" s="12" t="s">
        <v>5458</v>
      </c>
      <c r="G1082" s="12" t="s">
        <v>615</v>
      </c>
      <c r="H1082" s="12" t="s">
        <v>6613</v>
      </c>
      <c r="I1082" s="12">
        <v>0</v>
      </c>
      <c r="J1082" s="12" t="s">
        <v>164</v>
      </c>
      <c r="K1082" s="12" t="s">
        <v>6646</v>
      </c>
      <c r="L1082" s="12" t="s">
        <v>1686</v>
      </c>
      <c r="M1082" s="12" t="s">
        <v>1686</v>
      </c>
      <c r="N1082" s="12" t="s">
        <v>5785</v>
      </c>
      <c r="O1082" s="12" t="s">
        <v>1687</v>
      </c>
      <c r="P1082" s="12" t="s">
        <v>1688</v>
      </c>
      <c r="Q1082" s="12" t="s">
        <v>6664</v>
      </c>
      <c r="R1082" s="12" t="s">
        <v>17</v>
      </c>
      <c r="S1082" s="12" t="s">
        <v>17</v>
      </c>
      <c r="T1082" s="12" t="s">
        <v>25</v>
      </c>
      <c r="U1082" s="12" t="s">
        <v>17</v>
      </c>
      <c r="V1082" s="12" t="s">
        <v>6639</v>
      </c>
      <c r="W1082" s="12" t="s">
        <v>6639</v>
      </c>
      <c r="X1082" s="12" t="s">
        <v>17</v>
      </c>
      <c r="Y1082" s="12">
        <v>1147094</v>
      </c>
      <c r="Z1082" s="12" t="s">
        <v>6613</v>
      </c>
      <c r="AA1082" s="12" t="s">
        <v>6613</v>
      </c>
      <c r="AB1082" s="12" t="s">
        <v>6613</v>
      </c>
      <c r="AC1082" s="12" t="s">
        <v>6613</v>
      </c>
      <c r="AD1082" s="12" t="s">
        <v>6613</v>
      </c>
      <c r="AE1082" s="12" t="s">
        <v>6613</v>
      </c>
      <c r="AF1082" s="12" t="s">
        <v>45</v>
      </c>
    </row>
    <row r="1083" spans="1:32" x14ac:dyDescent="0.2">
      <c r="A1083" s="12" t="s">
        <v>1909</v>
      </c>
      <c r="B1083" s="12" t="s">
        <v>1910</v>
      </c>
      <c r="C1083" s="12" t="s">
        <v>17</v>
      </c>
      <c r="D1083" s="12" t="s">
        <v>17</v>
      </c>
      <c r="E1083" s="12" t="s">
        <v>7678</v>
      </c>
      <c r="F1083" s="12" t="s">
        <v>5458</v>
      </c>
      <c r="G1083" s="12" t="s">
        <v>615</v>
      </c>
      <c r="H1083" s="12" t="s">
        <v>6613</v>
      </c>
      <c r="I1083" s="12">
        <v>0</v>
      </c>
      <c r="J1083" s="12" t="s">
        <v>164</v>
      </c>
      <c r="K1083" s="12" t="s">
        <v>6646</v>
      </c>
      <c r="L1083" s="12" t="s">
        <v>1686</v>
      </c>
      <c r="M1083" s="12" t="s">
        <v>1686</v>
      </c>
      <c r="N1083" s="12" t="s">
        <v>5785</v>
      </c>
      <c r="O1083" s="12" t="s">
        <v>1687</v>
      </c>
      <c r="P1083" s="12" t="s">
        <v>1688</v>
      </c>
      <c r="Q1083" s="12" t="s">
        <v>6664</v>
      </c>
      <c r="R1083" s="12" t="s">
        <v>17</v>
      </c>
      <c r="S1083" s="12" t="s">
        <v>17</v>
      </c>
      <c r="T1083" s="12" t="s">
        <v>25</v>
      </c>
      <c r="U1083" s="12" t="s">
        <v>17</v>
      </c>
      <c r="V1083" s="12" t="s">
        <v>6639</v>
      </c>
      <c r="W1083" s="12" t="s">
        <v>6639</v>
      </c>
      <c r="X1083" s="12" t="s">
        <v>17</v>
      </c>
      <c r="Y1083" s="12">
        <v>1148427</v>
      </c>
      <c r="Z1083" s="12" t="s">
        <v>6613</v>
      </c>
      <c r="AA1083" s="12" t="s">
        <v>6613</v>
      </c>
      <c r="AB1083" s="12" t="s">
        <v>6613</v>
      </c>
      <c r="AC1083" s="12" t="s">
        <v>6613</v>
      </c>
      <c r="AD1083" s="12" t="s">
        <v>6613</v>
      </c>
      <c r="AE1083" s="12" t="s">
        <v>6613</v>
      </c>
      <c r="AF1083" s="12" t="s">
        <v>45</v>
      </c>
    </row>
    <row r="1084" spans="1:32" x14ac:dyDescent="0.2">
      <c r="A1084" s="12" t="s">
        <v>1746</v>
      </c>
      <c r="B1084" s="12" t="s">
        <v>1747</v>
      </c>
      <c r="C1084" s="12" t="s">
        <v>17</v>
      </c>
      <c r="D1084" s="12" t="s">
        <v>17</v>
      </c>
      <c r="E1084" s="12" t="s">
        <v>7678</v>
      </c>
      <c r="F1084" s="12" t="s">
        <v>5458</v>
      </c>
      <c r="G1084" s="12" t="s">
        <v>615</v>
      </c>
      <c r="H1084" s="12" t="s">
        <v>6613</v>
      </c>
      <c r="I1084" s="12">
        <v>0</v>
      </c>
      <c r="J1084" s="12" t="s">
        <v>164</v>
      </c>
      <c r="K1084" s="12" t="s">
        <v>6646</v>
      </c>
      <c r="L1084" s="12" t="s">
        <v>1686</v>
      </c>
      <c r="M1084" s="12" t="s">
        <v>1686</v>
      </c>
      <c r="N1084" s="12" t="s">
        <v>5785</v>
      </c>
      <c r="O1084" s="12" t="s">
        <v>1687</v>
      </c>
      <c r="P1084" s="12" t="s">
        <v>1688</v>
      </c>
      <c r="Q1084" s="12" t="s">
        <v>6664</v>
      </c>
      <c r="R1084" s="12" t="s">
        <v>17</v>
      </c>
      <c r="S1084" s="12" t="s">
        <v>17</v>
      </c>
      <c r="T1084" s="12" t="s">
        <v>11</v>
      </c>
      <c r="U1084" s="12" t="s">
        <v>17</v>
      </c>
      <c r="V1084" s="12" t="s">
        <v>413</v>
      </c>
      <c r="W1084" s="12" t="s">
        <v>7415</v>
      </c>
      <c r="X1084" s="12" t="s">
        <v>17</v>
      </c>
      <c r="Y1084" s="12">
        <v>1148492</v>
      </c>
      <c r="Z1084" s="12" t="s">
        <v>6613</v>
      </c>
      <c r="AA1084" s="12" t="s">
        <v>6613</v>
      </c>
      <c r="AB1084" s="12" t="s">
        <v>6613</v>
      </c>
      <c r="AC1084" s="12" t="s">
        <v>6613</v>
      </c>
      <c r="AD1084" s="12" t="s">
        <v>6613</v>
      </c>
      <c r="AE1084" s="12" t="s">
        <v>6613</v>
      </c>
      <c r="AF1084" s="12" t="s">
        <v>45</v>
      </c>
    </row>
    <row r="1085" spans="1:32" x14ac:dyDescent="0.2">
      <c r="A1085" s="12" t="s">
        <v>1860</v>
      </c>
      <c r="B1085" s="12" t="s">
        <v>1861</v>
      </c>
      <c r="C1085" s="12" t="s">
        <v>17</v>
      </c>
      <c r="D1085" s="12" t="s">
        <v>17</v>
      </c>
      <c r="E1085" s="12" t="s">
        <v>7678</v>
      </c>
      <c r="F1085" s="12" t="s">
        <v>5458</v>
      </c>
      <c r="G1085" s="12" t="s">
        <v>615</v>
      </c>
      <c r="H1085" s="12" t="s">
        <v>6613</v>
      </c>
      <c r="I1085" s="12">
        <v>0</v>
      </c>
      <c r="J1085" s="12" t="s">
        <v>164</v>
      </c>
      <c r="K1085" s="12" t="s">
        <v>6646</v>
      </c>
      <c r="L1085" s="12" t="s">
        <v>1686</v>
      </c>
      <c r="M1085" s="12" t="s">
        <v>1686</v>
      </c>
      <c r="N1085" s="12" t="s">
        <v>5785</v>
      </c>
      <c r="O1085" s="12" t="s">
        <v>1687</v>
      </c>
      <c r="P1085" s="12" t="s">
        <v>1688</v>
      </c>
      <c r="Q1085" s="12" t="s">
        <v>6664</v>
      </c>
      <c r="R1085" s="12" t="s">
        <v>17</v>
      </c>
      <c r="S1085" s="12" t="s">
        <v>17</v>
      </c>
      <c r="T1085" s="12" t="s">
        <v>11</v>
      </c>
      <c r="U1085" s="12" t="s">
        <v>17</v>
      </c>
      <c r="V1085" s="12" t="s">
        <v>413</v>
      </c>
      <c r="W1085" s="12" t="s">
        <v>7415</v>
      </c>
      <c r="X1085" s="12" t="s">
        <v>17</v>
      </c>
      <c r="Y1085" s="12">
        <v>1150020</v>
      </c>
      <c r="Z1085" s="12" t="s">
        <v>6613</v>
      </c>
      <c r="AA1085" s="12" t="s">
        <v>6613</v>
      </c>
      <c r="AB1085" s="12" t="s">
        <v>6613</v>
      </c>
      <c r="AC1085" s="12" t="s">
        <v>6613</v>
      </c>
      <c r="AD1085" s="12" t="s">
        <v>6613</v>
      </c>
      <c r="AE1085" s="12" t="s">
        <v>6613</v>
      </c>
      <c r="AF1085" s="12" t="s">
        <v>45</v>
      </c>
    </row>
    <row r="1086" spans="1:32" x14ac:dyDescent="0.2">
      <c r="A1086" s="12" t="s">
        <v>1726</v>
      </c>
      <c r="B1086" s="12" t="s">
        <v>1727</v>
      </c>
      <c r="C1086" s="12" t="s">
        <v>17</v>
      </c>
      <c r="D1086" s="12" t="s">
        <v>17</v>
      </c>
      <c r="E1086" s="12" t="s">
        <v>7678</v>
      </c>
      <c r="F1086" s="12" t="s">
        <v>5458</v>
      </c>
      <c r="G1086" s="12" t="s">
        <v>615</v>
      </c>
      <c r="H1086" s="12" t="s">
        <v>6613</v>
      </c>
      <c r="I1086" s="12">
        <v>0</v>
      </c>
      <c r="J1086" s="12" t="s">
        <v>164</v>
      </c>
      <c r="K1086" s="12" t="s">
        <v>6646</v>
      </c>
      <c r="L1086" s="12" t="s">
        <v>1686</v>
      </c>
      <c r="M1086" s="12" t="s">
        <v>1686</v>
      </c>
      <c r="N1086" s="12" t="s">
        <v>5785</v>
      </c>
      <c r="O1086" s="12" t="s">
        <v>1687</v>
      </c>
      <c r="P1086" s="12" t="s">
        <v>1688</v>
      </c>
      <c r="Q1086" s="12" t="s">
        <v>6664</v>
      </c>
      <c r="R1086" s="12" t="s">
        <v>17</v>
      </c>
      <c r="S1086" s="12" t="s">
        <v>17</v>
      </c>
      <c r="T1086" s="12" t="s">
        <v>25</v>
      </c>
      <c r="U1086" s="12" t="s">
        <v>17</v>
      </c>
      <c r="V1086" s="12" t="s">
        <v>6639</v>
      </c>
      <c r="W1086" s="12" t="s">
        <v>6639</v>
      </c>
      <c r="X1086" s="12" t="s">
        <v>17</v>
      </c>
      <c r="Y1086" s="12">
        <v>1150162</v>
      </c>
      <c r="Z1086" s="12" t="s">
        <v>6613</v>
      </c>
      <c r="AA1086" s="12" t="s">
        <v>6613</v>
      </c>
      <c r="AB1086" s="12" t="s">
        <v>6613</v>
      </c>
      <c r="AC1086" s="12" t="s">
        <v>6613</v>
      </c>
      <c r="AD1086" s="12" t="s">
        <v>6613</v>
      </c>
      <c r="AE1086" s="12" t="s">
        <v>6613</v>
      </c>
      <c r="AF1086" s="12" t="s">
        <v>45</v>
      </c>
    </row>
    <row r="1087" spans="1:32" x14ac:dyDescent="0.2">
      <c r="A1087" s="12" t="s">
        <v>1903</v>
      </c>
      <c r="B1087" s="12" t="s">
        <v>1904</v>
      </c>
      <c r="C1087" s="12" t="s">
        <v>17</v>
      </c>
      <c r="D1087" s="12" t="s">
        <v>17</v>
      </c>
      <c r="E1087" s="12" t="s">
        <v>7678</v>
      </c>
      <c r="F1087" s="12" t="s">
        <v>5458</v>
      </c>
      <c r="G1087" s="12" t="s">
        <v>615</v>
      </c>
      <c r="H1087" s="12" t="s">
        <v>6613</v>
      </c>
      <c r="I1087" s="12">
        <v>0</v>
      </c>
      <c r="J1087" s="12" t="s">
        <v>164</v>
      </c>
      <c r="K1087" s="12" t="s">
        <v>6646</v>
      </c>
      <c r="L1087" s="12" t="s">
        <v>1686</v>
      </c>
      <c r="M1087" s="12" t="s">
        <v>1686</v>
      </c>
      <c r="N1087" s="12" t="s">
        <v>5785</v>
      </c>
      <c r="O1087" s="12" t="s">
        <v>1687</v>
      </c>
      <c r="P1087" s="12" t="s">
        <v>1688</v>
      </c>
      <c r="Q1087" s="12" t="s">
        <v>6664</v>
      </c>
      <c r="R1087" s="12" t="s">
        <v>17</v>
      </c>
      <c r="S1087" s="12" t="s">
        <v>17</v>
      </c>
      <c r="T1087" s="12" t="s">
        <v>25</v>
      </c>
      <c r="U1087" s="12" t="s">
        <v>17</v>
      </c>
      <c r="V1087" s="12" t="s">
        <v>6639</v>
      </c>
      <c r="W1087" s="12" t="s">
        <v>6639</v>
      </c>
      <c r="X1087" s="12" t="s">
        <v>17</v>
      </c>
      <c r="Y1087" s="12">
        <v>1150180</v>
      </c>
      <c r="Z1087" s="12" t="s">
        <v>6613</v>
      </c>
      <c r="AA1087" s="12" t="s">
        <v>6613</v>
      </c>
      <c r="AB1087" s="12" t="s">
        <v>6613</v>
      </c>
      <c r="AC1087" s="12" t="s">
        <v>6613</v>
      </c>
      <c r="AD1087" s="12" t="s">
        <v>6613</v>
      </c>
      <c r="AE1087" s="12" t="s">
        <v>6613</v>
      </c>
      <c r="AF1087" s="12" t="s">
        <v>45</v>
      </c>
    </row>
    <row r="1088" spans="1:32" x14ac:dyDescent="0.2">
      <c r="A1088" s="12" t="s">
        <v>1730</v>
      </c>
      <c r="B1088" s="12" t="s">
        <v>1731</v>
      </c>
      <c r="C1088" s="12" t="s">
        <v>17</v>
      </c>
      <c r="D1088" s="12" t="s">
        <v>17</v>
      </c>
      <c r="E1088" s="12" t="s">
        <v>7678</v>
      </c>
      <c r="F1088" s="12" t="s">
        <v>5458</v>
      </c>
      <c r="G1088" s="12" t="s">
        <v>615</v>
      </c>
      <c r="H1088" s="12" t="s">
        <v>6613</v>
      </c>
      <c r="I1088" s="12">
        <v>0</v>
      </c>
      <c r="J1088" s="12" t="s">
        <v>164</v>
      </c>
      <c r="K1088" s="12" t="s">
        <v>6646</v>
      </c>
      <c r="L1088" s="12" t="s">
        <v>1686</v>
      </c>
      <c r="M1088" s="12" t="s">
        <v>1686</v>
      </c>
      <c r="N1088" s="12" t="s">
        <v>5785</v>
      </c>
      <c r="O1088" s="12" t="s">
        <v>1687</v>
      </c>
      <c r="P1088" s="12" t="s">
        <v>1688</v>
      </c>
      <c r="Q1088" s="12" t="s">
        <v>6664</v>
      </c>
      <c r="R1088" s="12" t="s">
        <v>17</v>
      </c>
      <c r="S1088" s="12" t="s">
        <v>17</v>
      </c>
      <c r="T1088" s="12" t="s">
        <v>11</v>
      </c>
      <c r="U1088" s="12" t="s">
        <v>17</v>
      </c>
      <c r="V1088" s="12" t="s">
        <v>708</v>
      </c>
      <c r="W1088" s="12" t="s">
        <v>7415</v>
      </c>
      <c r="X1088" s="12" t="s">
        <v>17</v>
      </c>
      <c r="Y1088" s="12">
        <v>1151014</v>
      </c>
      <c r="Z1088" s="12" t="s">
        <v>6613</v>
      </c>
      <c r="AA1088" s="12" t="s">
        <v>6613</v>
      </c>
      <c r="AB1088" s="12" t="s">
        <v>6613</v>
      </c>
      <c r="AC1088" s="12" t="s">
        <v>6613</v>
      </c>
      <c r="AD1088" s="12" t="s">
        <v>6613</v>
      </c>
      <c r="AE1088" s="12" t="s">
        <v>6613</v>
      </c>
      <c r="AF1088" s="12" t="s">
        <v>45</v>
      </c>
    </row>
    <row r="1089" spans="1:32" x14ac:dyDescent="0.2">
      <c r="A1089" s="12" t="s">
        <v>1807</v>
      </c>
      <c r="B1089" s="12" t="s">
        <v>1808</v>
      </c>
      <c r="C1089" s="12" t="s">
        <v>17</v>
      </c>
      <c r="D1089" s="12" t="s">
        <v>17</v>
      </c>
      <c r="E1089" s="12" t="s">
        <v>7678</v>
      </c>
      <c r="F1089" s="12" t="s">
        <v>5458</v>
      </c>
      <c r="G1089" s="12" t="s">
        <v>615</v>
      </c>
      <c r="H1089" s="12" t="s">
        <v>6613</v>
      </c>
      <c r="I1089" s="12">
        <v>0</v>
      </c>
      <c r="J1089" s="12" t="s">
        <v>164</v>
      </c>
      <c r="K1089" s="12" t="s">
        <v>6646</v>
      </c>
      <c r="L1089" s="12" t="s">
        <v>1686</v>
      </c>
      <c r="M1089" s="12" t="s">
        <v>1686</v>
      </c>
      <c r="N1089" s="12" t="s">
        <v>5785</v>
      </c>
      <c r="O1089" s="12" t="s">
        <v>1687</v>
      </c>
      <c r="P1089" s="12" t="s">
        <v>1688</v>
      </c>
      <c r="Q1089" s="12" t="s">
        <v>6664</v>
      </c>
      <c r="R1089" s="12" t="s">
        <v>17</v>
      </c>
      <c r="S1089" s="12" t="s">
        <v>17</v>
      </c>
      <c r="T1089" s="12" t="s">
        <v>11</v>
      </c>
      <c r="U1089" s="12" t="s">
        <v>17</v>
      </c>
      <c r="V1089" s="12" t="s">
        <v>619</v>
      </c>
      <c r="W1089" s="12" t="s">
        <v>7415</v>
      </c>
      <c r="X1089" s="12" t="s">
        <v>17</v>
      </c>
      <c r="Y1089" s="12">
        <v>1151891</v>
      </c>
      <c r="Z1089" s="12" t="s">
        <v>6613</v>
      </c>
      <c r="AA1089" s="12" t="s">
        <v>6613</v>
      </c>
      <c r="AB1089" s="12" t="s">
        <v>6613</v>
      </c>
      <c r="AC1089" s="12" t="s">
        <v>6613</v>
      </c>
      <c r="AD1089" s="12" t="s">
        <v>6613</v>
      </c>
      <c r="AE1089" s="12" t="s">
        <v>6613</v>
      </c>
      <c r="AF1089" s="12" t="s">
        <v>45</v>
      </c>
    </row>
    <row r="1090" spans="1:32" x14ac:dyDescent="0.2">
      <c r="A1090" s="12" t="s">
        <v>1815</v>
      </c>
      <c r="B1090" s="12" t="s">
        <v>1816</v>
      </c>
      <c r="C1090" s="12" t="s">
        <v>17</v>
      </c>
      <c r="D1090" s="12" t="s">
        <v>17</v>
      </c>
      <c r="E1090" s="12" t="s">
        <v>7678</v>
      </c>
      <c r="F1090" s="12" t="s">
        <v>5458</v>
      </c>
      <c r="G1090" s="12" t="s">
        <v>615</v>
      </c>
      <c r="H1090" s="12" t="s">
        <v>6613</v>
      </c>
      <c r="I1090" s="12">
        <v>0</v>
      </c>
      <c r="J1090" s="12" t="s">
        <v>164</v>
      </c>
      <c r="K1090" s="12" t="s">
        <v>6646</v>
      </c>
      <c r="L1090" s="12" t="s">
        <v>1686</v>
      </c>
      <c r="M1090" s="12" t="s">
        <v>1686</v>
      </c>
      <c r="N1090" s="12" t="s">
        <v>5785</v>
      </c>
      <c r="O1090" s="12" t="s">
        <v>1687</v>
      </c>
      <c r="P1090" s="12" t="s">
        <v>1688</v>
      </c>
      <c r="Q1090" s="12" t="s">
        <v>6664</v>
      </c>
      <c r="R1090" s="16" t="s">
        <v>17</v>
      </c>
      <c r="S1090" s="16" t="s">
        <v>17</v>
      </c>
      <c r="T1090" s="12" t="s">
        <v>11</v>
      </c>
      <c r="U1090" s="12" t="s">
        <v>17</v>
      </c>
      <c r="V1090" s="12" t="s">
        <v>1817</v>
      </c>
      <c r="W1090" s="12" t="s">
        <v>7415</v>
      </c>
      <c r="X1090" s="12" t="s">
        <v>17</v>
      </c>
      <c r="Y1090" s="12">
        <v>1152825</v>
      </c>
      <c r="Z1090" s="12" t="s">
        <v>6613</v>
      </c>
      <c r="AA1090" s="12" t="s">
        <v>6613</v>
      </c>
      <c r="AB1090" s="12" t="s">
        <v>6613</v>
      </c>
      <c r="AC1090" s="12" t="s">
        <v>6613</v>
      </c>
      <c r="AD1090" s="12" t="s">
        <v>6613</v>
      </c>
      <c r="AE1090" s="12" t="s">
        <v>6613</v>
      </c>
      <c r="AF1090" s="12" t="s">
        <v>45</v>
      </c>
    </row>
    <row r="1091" spans="1:32" x14ac:dyDescent="0.2">
      <c r="A1091" s="12" t="s">
        <v>1837</v>
      </c>
      <c r="B1091" s="12" t="s">
        <v>1838</v>
      </c>
      <c r="C1091" s="12" t="s">
        <v>17</v>
      </c>
      <c r="D1091" s="12" t="s">
        <v>17</v>
      </c>
      <c r="E1091" s="12" t="s">
        <v>7678</v>
      </c>
      <c r="F1091" s="12" t="s">
        <v>5458</v>
      </c>
      <c r="G1091" s="12" t="s">
        <v>615</v>
      </c>
      <c r="H1091" s="12" t="s">
        <v>6613</v>
      </c>
      <c r="I1091" s="12">
        <v>0</v>
      </c>
      <c r="J1091" s="12" t="s">
        <v>164</v>
      </c>
      <c r="K1091" s="12" t="s">
        <v>6646</v>
      </c>
      <c r="L1091" s="12" t="s">
        <v>1686</v>
      </c>
      <c r="M1091" s="12" t="s">
        <v>1686</v>
      </c>
      <c r="N1091" s="12" t="s">
        <v>5785</v>
      </c>
      <c r="O1091" s="12" t="s">
        <v>1687</v>
      </c>
      <c r="P1091" s="12" t="s">
        <v>1688</v>
      </c>
      <c r="Q1091" s="12" t="s">
        <v>6664</v>
      </c>
      <c r="R1091" s="12" t="s">
        <v>17</v>
      </c>
      <c r="S1091" s="12" t="s">
        <v>17</v>
      </c>
      <c r="T1091" s="12" t="s">
        <v>11</v>
      </c>
      <c r="U1091" s="12" t="s">
        <v>17</v>
      </c>
      <c r="V1091" s="12" t="s">
        <v>653</v>
      </c>
      <c r="W1091" s="12" t="s">
        <v>7415</v>
      </c>
      <c r="X1091" s="12" t="s">
        <v>17</v>
      </c>
      <c r="Y1091" s="12">
        <v>1153395</v>
      </c>
      <c r="Z1091" s="12" t="s">
        <v>6613</v>
      </c>
      <c r="AA1091" s="12" t="s">
        <v>6613</v>
      </c>
      <c r="AB1091" s="12" t="s">
        <v>6613</v>
      </c>
      <c r="AC1091" s="12" t="s">
        <v>6613</v>
      </c>
      <c r="AD1091" s="12" t="s">
        <v>6613</v>
      </c>
      <c r="AE1091" s="12" t="s">
        <v>6613</v>
      </c>
      <c r="AF1091" s="12" t="s">
        <v>45</v>
      </c>
    </row>
    <row r="1092" spans="1:32" x14ac:dyDescent="0.2">
      <c r="A1092" s="12" t="s">
        <v>1822</v>
      </c>
      <c r="B1092" s="12" t="s">
        <v>1823</v>
      </c>
      <c r="C1092" s="12" t="s">
        <v>17</v>
      </c>
      <c r="D1092" s="12" t="s">
        <v>17</v>
      </c>
      <c r="E1092" s="12" t="s">
        <v>7678</v>
      </c>
      <c r="F1092" s="12" t="s">
        <v>5458</v>
      </c>
      <c r="G1092" s="12" t="s">
        <v>615</v>
      </c>
      <c r="H1092" s="12" t="s">
        <v>6613</v>
      </c>
      <c r="I1092" s="12">
        <v>0</v>
      </c>
      <c r="J1092" s="12" t="s">
        <v>164</v>
      </c>
      <c r="K1092" s="12" t="s">
        <v>6646</v>
      </c>
      <c r="L1092" s="12" t="s">
        <v>1686</v>
      </c>
      <c r="M1092" s="12" t="s">
        <v>1686</v>
      </c>
      <c r="N1092" s="12" t="s">
        <v>5785</v>
      </c>
      <c r="O1092" s="12" t="s">
        <v>1687</v>
      </c>
      <c r="P1092" s="12" t="s">
        <v>1688</v>
      </c>
      <c r="Q1092" s="12" t="s">
        <v>6664</v>
      </c>
      <c r="R1092" s="16" t="s">
        <v>17</v>
      </c>
      <c r="S1092" s="16" t="s">
        <v>17</v>
      </c>
      <c r="T1092" s="12" t="s">
        <v>11</v>
      </c>
      <c r="U1092" s="12" t="s">
        <v>17</v>
      </c>
      <c r="V1092" s="12" t="s">
        <v>628</v>
      </c>
      <c r="W1092" s="12" t="s">
        <v>7415</v>
      </c>
      <c r="X1092" s="12" t="s">
        <v>17</v>
      </c>
      <c r="Y1092" s="12">
        <v>1156288</v>
      </c>
      <c r="Z1092" s="12" t="s">
        <v>6613</v>
      </c>
      <c r="AA1092" s="12" t="s">
        <v>6613</v>
      </c>
      <c r="AB1092" s="12" t="s">
        <v>6613</v>
      </c>
      <c r="AC1092" s="12" t="s">
        <v>6613</v>
      </c>
      <c r="AD1092" s="12" t="s">
        <v>6613</v>
      </c>
      <c r="AE1092" s="12" t="s">
        <v>6613</v>
      </c>
      <c r="AF1092" s="12" t="s">
        <v>45</v>
      </c>
    </row>
    <row r="1093" spans="1:32" x14ac:dyDescent="0.2">
      <c r="A1093" s="12" t="s">
        <v>1760</v>
      </c>
      <c r="B1093" s="12" t="s">
        <v>1761</v>
      </c>
      <c r="C1093" s="12" t="s">
        <v>17</v>
      </c>
      <c r="D1093" s="12" t="s">
        <v>17</v>
      </c>
      <c r="E1093" s="12" t="s">
        <v>7678</v>
      </c>
      <c r="F1093" s="12" t="s">
        <v>5458</v>
      </c>
      <c r="G1093" s="12" t="s">
        <v>615</v>
      </c>
      <c r="H1093" s="12" t="s">
        <v>6613</v>
      </c>
      <c r="I1093" s="12">
        <v>0</v>
      </c>
      <c r="J1093" s="12" t="s">
        <v>164</v>
      </c>
      <c r="K1093" s="12" t="s">
        <v>6646</v>
      </c>
      <c r="L1093" s="12" t="s">
        <v>1686</v>
      </c>
      <c r="M1093" s="12" t="s">
        <v>1686</v>
      </c>
      <c r="N1093" s="12" t="s">
        <v>5785</v>
      </c>
      <c r="O1093" s="12" t="s">
        <v>1687</v>
      </c>
      <c r="P1093" s="12" t="s">
        <v>1688</v>
      </c>
      <c r="Q1093" s="12" t="s">
        <v>6664</v>
      </c>
      <c r="R1093" s="16" t="s">
        <v>17</v>
      </c>
      <c r="S1093" s="16" t="s">
        <v>17</v>
      </c>
      <c r="T1093" s="12" t="s">
        <v>11</v>
      </c>
      <c r="U1093" s="12" t="s">
        <v>17</v>
      </c>
      <c r="V1093" s="12" t="s">
        <v>1762</v>
      </c>
      <c r="W1093" s="12" t="s">
        <v>7415</v>
      </c>
      <c r="X1093" s="12" t="s">
        <v>17</v>
      </c>
      <c r="Y1093" s="12">
        <v>1158057</v>
      </c>
      <c r="Z1093" s="12" t="s">
        <v>6613</v>
      </c>
      <c r="AA1093" s="12" t="s">
        <v>6613</v>
      </c>
      <c r="AB1093" s="12" t="s">
        <v>6613</v>
      </c>
      <c r="AC1093" s="12" t="s">
        <v>6613</v>
      </c>
      <c r="AD1093" s="12" t="s">
        <v>6613</v>
      </c>
      <c r="AE1093" s="12" t="s">
        <v>6613</v>
      </c>
      <c r="AF1093" s="12" t="s">
        <v>45</v>
      </c>
    </row>
    <row r="1094" spans="1:32" x14ac:dyDescent="0.2">
      <c r="A1094" s="12" t="s">
        <v>1779</v>
      </c>
      <c r="B1094" s="12" t="s">
        <v>1780</v>
      </c>
      <c r="C1094" s="12" t="s">
        <v>17</v>
      </c>
      <c r="D1094" s="12" t="s">
        <v>17</v>
      </c>
      <c r="E1094" s="12" t="s">
        <v>7678</v>
      </c>
      <c r="F1094" s="12" t="s">
        <v>5458</v>
      </c>
      <c r="G1094" s="12" t="s">
        <v>615</v>
      </c>
      <c r="H1094" s="12" t="s">
        <v>6613</v>
      </c>
      <c r="I1094" s="12">
        <v>0</v>
      </c>
      <c r="J1094" s="12" t="s">
        <v>164</v>
      </c>
      <c r="K1094" s="12" t="s">
        <v>6646</v>
      </c>
      <c r="L1094" s="12" t="s">
        <v>1686</v>
      </c>
      <c r="M1094" s="12" t="s">
        <v>1686</v>
      </c>
      <c r="N1094" s="12" t="s">
        <v>5785</v>
      </c>
      <c r="O1094" s="12" t="s">
        <v>1687</v>
      </c>
      <c r="P1094" s="12" t="s">
        <v>1688</v>
      </c>
      <c r="Q1094" s="12" t="s">
        <v>6664</v>
      </c>
      <c r="R1094" s="12" t="s">
        <v>17</v>
      </c>
      <c r="S1094" s="12" t="s">
        <v>17</v>
      </c>
      <c r="T1094" s="12" t="s">
        <v>11</v>
      </c>
      <c r="U1094" s="12" t="s">
        <v>17</v>
      </c>
      <c r="V1094" s="12" t="s">
        <v>1710</v>
      </c>
      <c r="W1094" s="12" t="s">
        <v>7415</v>
      </c>
      <c r="X1094" s="12" t="s">
        <v>17</v>
      </c>
      <c r="Y1094" s="12">
        <v>1159219</v>
      </c>
      <c r="Z1094" s="12" t="s">
        <v>6613</v>
      </c>
      <c r="AA1094" s="12" t="s">
        <v>6613</v>
      </c>
      <c r="AB1094" s="12" t="s">
        <v>6613</v>
      </c>
      <c r="AC1094" s="12" t="s">
        <v>6613</v>
      </c>
      <c r="AD1094" s="12" t="s">
        <v>6613</v>
      </c>
      <c r="AE1094" s="12" t="s">
        <v>6613</v>
      </c>
      <c r="AF1094" s="12" t="s">
        <v>45</v>
      </c>
    </row>
    <row r="1095" spans="1:32" x14ac:dyDescent="0.2">
      <c r="A1095" s="12" t="s">
        <v>1871</v>
      </c>
      <c r="B1095" s="12" t="s">
        <v>1872</v>
      </c>
      <c r="C1095" s="12" t="s">
        <v>17</v>
      </c>
      <c r="D1095" s="12" t="s">
        <v>17</v>
      </c>
      <c r="E1095" s="12" t="s">
        <v>7678</v>
      </c>
      <c r="F1095" s="12" t="s">
        <v>5458</v>
      </c>
      <c r="G1095" s="12" t="s">
        <v>615</v>
      </c>
      <c r="H1095" s="12" t="s">
        <v>6613</v>
      </c>
      <c r="I1095" s="12">
        <v>0</v>
      </c>
      <c r="J1095" s="12" t="s">
        <v>164</v>
      </c>
      <c r="K1095" s="12" t="s">
        <v>6646</v>
      </c>
      <c r="L1095" s="12" t="s">
        <v>1686</v>
      </c>
      <c r="M1095" s="12" t="s">
        <v>1686</v>
      </c>
      <c r="N1095" s="12" t="s">
        <v>5785</v>
      </c>
      <c r="O1095" s="12" t="s">
        <v>1687</v>
      </c>
      <c r="P1095" s="12" t="s">
        <v>1688</v>
      </c>
      <c r="Q1095" s="12" t="s">
        <v>6664</v>
      </c>
      <c r="R1095" s="12" t="s">
        <v>17</v>
      </c>
      <c r="S1095" s="12" t="s">
        <v>17</v>
      </c>
      <c r="T1095" s="12" t="s">
        <v>11</v>
      </c>
      <c r="U1095" s="12" t="s">
        <v>17</v>
      </c>
      <c r="V1095" s="12" t="s">
        <v>708</v>
      </c>
      <c r="W1095" s="12" t="s">
        <v>7415</v>
      </c>
      <c r="X1095" s="12" t="s">
        <v>17</v>
      </c>
      <c r="Y1095" s="12">
        <v>1159716</v>
      </c>
      <c r="Z1095" s="12" t="s">
        <v>6613</v>
      </c>
      <c r="AA1095" s="12" t="s">
        <v>6613</v>
      </c>
      <c r="AB1095" s="12" t="s">
        <v>6613</v>
      </c>
      <c r="AC1095" s="12" t="s">
        <v>6613</v>
      </c>
      <c r="AD1095" s="12" t="s">
        <v>6613</v>
      </c>
      <c r="AE1095" s="12" t="s">
        <v>6613</v>
      </c>
      <c r="AF1095" s="12" t="s">
        <v>45</v>
      </c>
    </row>
    <row r="1096" spans="1:32" x14ac:dyDescent="0.2">
      <c r="A1096" s="12" t="s">
        <v>1799</v>
      </c>
      <c r="B1096" s="12" t="s">
        <v>1800</v>
      </c>
      <c r="C1096" s="12" t="s">
        <v>17</v>
      </c>
      <c r="D1096" s="12" t="s">
        <v>17</v>
      </c>
      <c r="E1096" s="12" t="s">
        <v>7678</v>
      </c>
      <c r="F1096" s="12" t="s">
        <v>5458</v>
      </c>
      <c r="G1096" s="12" t="s">
        <v>615</v>
      </c>
      <c r="H1096" s="12" t="s">
        <v>6613</v>
      </c>
      <c r="I1096" s="12">
        <v>0</v>
      </c>
      <c r="J1096" s="12" t="s">
        <v>164</v>
      </c>
      <c r="K1096" s="12" t="s">
        <v>6646</v>
      </c>
      <c r="L1096" s="12" t="s">
        <v>1686</v>
      </c>
      <c r="M1096" s="12" t="s">
        <v>1686</v>
      </c>
      <c r="N1096" s="12" t="s">
        <v>5785</v>
      </c>
      <c r="O1096" s="12" t="s">
        <v>1687</v>
      </c>
      <c r="P1096" s="12" t="s">
        <v>1688</v>
      </c>
      <c r="Q1096" s="12" t="s">
        <v>6664</v>
      </c>
      <c r="R1096" s="12" t="s">
        <v>17</v>
      </c>
      <c r="S1096" s="12" t="s">
        <v>17</v>
      </c>
      <c r="T1096" s="12" t="s">
        <v>11</v>
      </c>
      <c r="U1096" s="12" t="s">
        <v>17</v>
      </c>
      <c r="V1096" s="12" t="s">
        <v>739</v>
      </c>
      <c r="W1096" s="12" t="s">
        <v>7415</v>
      </c>
      <c r="X1096" s="12" t="s">
        <v>17</v>
      </c>
      <c r="Y1096" s="12">
        <v>1161135</v>
      </c>
      <c r="Z1096" s="12" t="s">
        <v>6613</v>
      </c>
      <c r="AA1096" s="12" t="s">
        <v>6613</v>
      </c>
      <c r="AB1096" s="12" t="s">
        <v>6613</v>
      </c>
      <c r="AC1096" s="12" t="s">
        <v>6613</v>
      </c>
      <c r="AD1096" s="12" t="s">
        <v>6613</v>
      </c>
      <c r="AE1096" s="12" t="s">
        <v>6613</v>
      </c>
      <c r="AF1096" s="12" t="s">
        <v>45</v>
      </c>
    </row>
    <row r="1097" spans="1:32" x14ac:dyDescent="0.2">
      <c r="A1097" s="12" t="s">
        <v>1827</v>
      </c>
      <c r="B1097" s="12" t="s">
        <v>1828</v>
      </c>
      <c r="C1097" s="12" t="s">
        <v>17</v>
      </c>
      <c r="D1097" s="12" t="s">
        <v>17</v>
      </c>
      <c r="E1097" s="12" t="s">
        <v>7678</v>
      </c>
      <c r="F1097" s="12" t="s">
        <v>5458</v>
      </c>
      <c r="G1097" s="12" t="s">
        <v>615</v>
      </c>
      <c r="H1097" s="12" t="s">
        <v>6613</v>
      </c>
      <c r="I1097" s="12">
        <v>0</v>
      </c>
      <c r="J1097" s="12" t="s">
        <v>164</v>
      </c>
      <c r="K1097" s="12" t="s">
        <v>6646</v>
      </c>
      <c r="L1097" s="12" t="s">
        <v>1686</v>
      </c>
      <c r="M1097" s="12" t="s">
        <v>1686</v>
      </c>
      <c r="N1097" s="12" t="s">
        <v>5785</v>
      </c>
      <c r="O1097" s="12" t="s">
        <v>1687</v>
      </c>
      <c r="P1097" s="12" t="s">
        <v>1688</v>
      </c>
      <c r="Q1097" s="12" t="s">
        <v>6664</v>
      </c>
      <c r="R1097" s="16" t="s">
        <v>17</v>
      </c>
      <c r="S1097" s="16" t="s">
        <v>17</v>
      </c>
      <c r="T1097" s="12" t="s">
        <v>11</v>
      </c>
      <c r="U1097" s="12" t="s">
        <v>17</v>
      </c>
      <c r="V1097" s="12" t="s">
        <v>755</v>
      </c>
      <c r="W1097" s="12" t="s">
        <v>7415</v>
      </c>
      <c r="X1097" s="12" t="s">
        <v>17</v>
      </c>
      <c r="Y1097" s="12">
        <v>1162508</v>
      </c>
      <c r="Z1097" s="12" t="s">
        <v>6613</v>
      </c>
      <c r="AA1097" s="12" t="s">
        <v>6613</v>
      </c>
      <c r="AB1097" s="12" t="s">
        <v>6613</v>
      </c>
      <c r="AC1097" s="12" t="s">
        <v>6613</v>
      </c>
      <c r="AD1097" s="12" t="s">
        <v>6613</v>
      </c>
      <c r="AE1097" s="12" t="s">
        <v>6613</v>
      </c>
      <c r="AF1097" s="12" t="s">
        <v>45</v>
      </c>
    </row>
    <row r="1098" spans="1:32" x14ac:dyDescent="0.2">
      <c r="A1098" s="12" t="s">
        <v>1785</v>
      </c>
      <c r="B1098" s="12" t="s">
        <v>1786</v>
      </c>
      <c r="C1098" s="12" t="s">
        <v>17</v>
      </c>
      <c r="D1098" s="12" t="s">
        <v>17</v>
      </c>
      <c r="E1098" s="12" t="s">
        <v>7678</v>
      </c>
      <c r="F1098" s="12" t="s">
        <v>5458</v>
      </c>
      <c r="G1098" s="12" t="s">
        <v>615</v>
      </c>
      <c r="H1098" s="12" t="s">
        <v>6613</v>
      </c>
      <c r="I1098" s="12">
        <v>0</v>
      </c>
      <c r="J1098" s="12" t="s">
        <v>164</v>
      </c>
      <c r="K1098" s="12" t="s">
        <v>6646</v>
      </c>
      <c r="L1098" s="12" t="s">
        <v>1686</v>
      </c>
      <c r="M1098" s="12" t="s">
        <v>1686</v>
      </c>
      <c r="N1098" s="12" t="s">
        <v>5785</v>
      </c>
      <c r="O1098" s="12" t="s">
        <v>1687</v>
      </c>
      <c r="P1098" s="12" t="s">
        <v>1688</v>
      </c>
      <c r="Q1098" s="12" t="s">
        <v>6664</v>
      </c>
      <c r="R1098" s="12" t="s">
        <v>17</v>
      </c>
      <c r="S1098" s="12" t="s">
        <v>17</v>
      </c>
      <c r="T1098" s="12" t="s">
        <v>11</v>
      </c>
      <c r="U1098" s="12" t="s">
        <v>17</v>
      </c>
      <c r="V1098" s="12" t="s">
        <v>653</v>
      </c>
      <c r="W1098" s="12" t="s">
        <v>7415</v>
      </c>
      <c r="X1098" s="12" t="s">
        <v>17</v>
      </c>
      <c r="Y1098" s="12">
        <v>1163396</v>
      </c>
      <c r="Z1098" s="12" t="s">
        <v>6613</v>
      </c>
      <c r="AA1098" s="12" t="s">
        <v>6613</v>
      </c>
      <c r="AB1098" s="12" t="s">
        <v>6613</v>
      </c>
      <c r="AC1098" s="12" t="s">
        <v>6613</v>
      </c>
      <c r="AD1098" s="12" t="s">
        <v>6613</v>
      </c>
      <c r="AE1098" s="12" t="s">
        <v>6613</v>
      </c>
      <c r="AF1098" s="12" t="s">
        <v>45</v>
      </c>
    </row>
    <row r="1099" spans="1:32" x14ac:dyDescent="0.2">
      <c r="A1099" s="12" t="s">
        <v>1696</v>
      </c>
      <c r="B1099" s="12" t="s">
        <v>1697</v>
      </c>
      <c r="C1099" s="12" t="s">
        <v>17</v>
      </c>
      <c r="D1099" s="12" t="s">
        <v>17</v>
      </c>
      <c r="E1099" s="12" t="s">
        <v>7678</v>
      </c>
      <c r="F1099" s="12" t="s">
        <v>5458</v>
      </c>
      <c r="G1099" s="12" t="s">
        <v>615</v>
      </c>
      <c r="H1099" s="12" t="s">
        <v>6613</v>
      </c>
      <c r="I1099" s="12">
        <v>0</v>
      </c>
      <c r="J1099" s="12" t="s">
        <v>164</v>
      </c>
      <c r="K1099" s="12" t="s">
        <v>6646</v>
      </c>
      <c r="L1099" s="12" t="s">
        <v>1686</v>
      </c>
      <c r="M1099" s="12" t="s">
        <v>1686</v>
      </c>
      <c r="N1099" s="12" t="s">
        <v>5785</v>
      </c>
      <c r="O1099" s="12" t="s">
        <v>1687</v>
      </c>
      <c r="P1099" s="12" t="s">
        <v>1688</v>
      </c>
      <c r="Q1099" s="12" t="s">
        <v>6664</v>
      </c>
      <c r="R1099" s="12" t="s">
        <v>17</v>
      </c>
      <c r="S1099" s="12" t="s">
        <v>17</v>
      </c>
      <c r="T1099" s="12" t="s">
        <v>11</v>
      </c>
      <c r="U1099" s="12" t="s">
        <v>17</v>
      </c>
      <c r="V1099" s="12" t="s">
        <v>20</v>
      </c>
      <c r="W1099" s="12" t="s">
        <v>7415</v>
      </c>
      <c r="X1099" s="12" t="s">
        <v>17</v>
      </c>
      <c r="Y1099" s="12">
        <v>1163678</v>
      </c>
      <c r="Z1099" s="12" t="s">
        <v>6613</v>
      </c>
      <c r="AA1099" s="12" t="s">
        <v>6613</v>
      </c>
      <c r="AB1099" s="12" t="s">
        <v>6613</v>
      </c>
      <c r="AC1099" s="12" t="s">
        <v>6613</v>
      </c>
      <c r="AD1099" s="12" t="s">
        <v>6613</v>
      </c>
      <c r="AE1099" s="12" t="s">
        <v>6613</v>
      </c>
      <c r="AF1099" s="12" t="s">
        <v>45</v>
      </c>
    </row>
    <row r="1100" spans="1:32" x14ac:dyDescent="0.2">
      <c r="A1100" s="12" t="s">
        <v>1890</v>
      </c>
      <c r="B1100" s="12" t="s">
        <v>1891</v>
      </c>
      <c r="C1100" s="12" t="s">
        <v>17</v>
      </c>
      <c r="D1100" s="12" t="s">
        <v>17</v>
      </c>
      <c r="E1100" s="12" t="s">
        <v>7678</v>
      </c>
      <c r="F1100" s="12" t="s">
        <v>5458</v>
      </c>
      <c r="G1100" s="12" t="s">
        <v>615</v>
      </c>
      <c r="H1100" s="12" t="s">
        <v>6613</v>
      </c>
      <c r="I1100" s="12">
        <v>0</v>
      </c>
      <c r="J1100" s="12" t="s">
        <v>164</v>
      </c>
      <c r="K1100" s="12" t="s">
        <v>6646</v>
      </c>
      <c r="L1100" s="12" t="s">
        <v>1686</v>
      </c>
      <c r="M1100" s="12" t="s">
        <v>1686</v>
      </c>
      <c r="N1100" s="12" t="s">
        <v>5785</v>
      </c>
      <c r="O1100" s="12" t="s">
        <v>1687</v>
      </c>
      <c r="P1100" s="12" t="s">
        <v>1688</v>
      </c>
      <c r="Q1100" s="12" t="s">
        <v>6664</v>
      </c>
      <c r="R1100" s="12" t="s">
        <v>17</v>
      </c>
      <c r="S1100" s="12" t="s">
        <v>17</v>
      </c>
      <c r="T1100" s="12" t="s">
        <v>11</v>
      </c>
      <c r="U1100" s="12" t="s">
        <v>17</v>
      </c>
      <c r="V1100" s="12" t="s">
        <v>1879</v>
      </c>
      <c r="W1100" s="12" t="s">
        <v>7415</v>
      </c>
      <c r="X1100" s="12" t="s">
        <v>17</v>
      </c>
      <c r="Y1100" s="12">
        <v>1164754</v>
      </c>
      <c r="Z1100" s="12" t="s">
        <v>6613</v>
      </c>
      <c r="AA1100" s="12" t="s">
        <v>6613</v>
      </c>
      <c r="AB1100" s="12" t="s">
        <v>6613</v>
      </c>
      <c r="AC1100" s="12" t="s">
        <v>6613</v>
      </c>
      <c r="AD1100" s="12" t="s">
        <v>6613</v>
      </c>
      <c r="AE1100" s="12" t="s">
        <v>6613</v>
      </c>
      <c r="AF1100" s="12" t="s">
        <v>45</v>
      </c>
    </row>
    <row r="1101" spans="1:32" x14ac:dyDescent="0.2">
      <c r="A1101" s="12" t="s">
        <v>1892</v>
      </c>
      <c r="B1101" s="12" t="s">
        <v>1893</v>
      </c>
      <c r="C1101" s="12" t="s">
        <v>17</v>
      </c>
      <c r="D1101" s="12" t="s">
        <v>17</v>
      </c>
      <c r="E1101" s="12" t="s">
        <v>7678</v>
      </c>
      <c r="F1101" s="12" t="s">
        <v>5458</v>
      </c>
      <c r="G1101" s="12" t="s">
        <v>615</v>
      </c>
      <c r="H1101" s="12" t="s">
        <v>6613</v>
      </c>
      <c r="I1101" s="12">
        <v>0</v>
      </c>
      <c r="J1101" s="12" t="s">
        <v>164</v>
      </c>
      <c r="K1101" s="12" t="s">
        <v>6646</v>
      </c>
      <c r="L1101" s="12" t="s">
        <v>1686</v>
      </c>
      <c r="M1101" s="12" t="s">
        <v>1686</v>
      </c>
      <c r="N1101" s="12" t="s">
        <v>5785</v>
      </c>
      <c r="O1101" s="12" t="s">
        <v>1687</v>
      </c>
      <c r="P1101" s="12" t="s">
        <v>1688</v>
      </c>
      <c r="Q1101" s="12" t="s">
        <v>6664</v>
      </c>
      <c r="R1101" s="12" t="s">
        <v>17</v>
      </c>
      <c r="S1101" s="12" t="s">
        <v>17</v>
      </c>
      <c r="T1101" s="12" t="s">
        <v>11</v>
      </c>
      <c r="U1101" s="12" t="s">
        <v>17</v>
      </c>
      <c r="V1101" s="12" t="s">
        <v>413</v>
      </c>
      <c r="W1101" s="12" t="s">
        <v>7415</v>
      </c>
      <c r="X1101" s="12" t="s">
        <v>17</v>
      </c>
      <c r="Y1101" s="12">
        <v>1165945</v>
      </c>
      <c r="Z1101" s="12" t="s">
        <v>6613</v>
      </c>
      <c r="AA1101" s="12" t="s">
        <v>6613</v>
      </c>
      <c r="AB1101" s="12" t="s">
        <v>6613</v>
      </c>
      <c r="AC1101" s="12" t="s">
        <v>6613</v>
      </c>
      <c r="AD1101" s="12" t="s">
        <v>6613</v>
      </c>
      <c r="AE1101" s="12" t="s">
        <v>6613</v>
      </c>
      <c r="AF1101" s="12" t="s">
        <v>45</v>
      </c>
    </row>
    <row r="1102" spans="1:32" x14ac:dyDescent="0.2">
      <c r="A1102" s="12" t="s">
        <v>1841</v>
      </c>
      <c r="B1102" s="12" t="s">
        <v>1842</v>
      </c>
      <c r="C1102" s="12" t="s">
        <v>17</v>
      </c>
      <c r="D1102" s="12" t="s">
        <v>17</v>
      </c>
      <c r="E1102" s="12" t="s">
        <v>7678</v>
      </c>
      <c r="F1102" s="12" t="s">
        <v>5458</v>
      </c>
      <c r="G1102" s="12" t="s">
        <v>615</v>
      </c>
      <c r="H1102" s="12" t="s">
        <v>6613</v>
      </c>
      <c r="I1102" s="12">
        <v>0</v>
      </c>
      <c r="J1102" s="12" t="s">
        <v>164</v>
      </c>
      <c r="K1102" s="12" t="s">
        <v>6646</v>
      </c>
      <c r="L1102" s="12" t="s">
        <v>1686</v>
      </c>
      <c r="M1102" s="12" t="s">
        <v>1686</v>
      </c>
      <c r="N1102" s="12" t="s">
        <v>5785</v>
      </c>
      <c r="O1102" s="12" t="s">
        <v>1687</v>
      </c>
      <c r="P1102" s="12" t="s">
        <v>1688</v>
      </c>
      <c r="Q1102" s="12" t="s">
        <v>6664</v>
      </c>
      <c r="R1102" s="12" t="s">
        <v>17</v>
      </c>
      <c r="S1102" s="12" t="s">
        <v>17</v>
      </c>
      <c r="T1102" s="12" t="s">
        <v>11</v>
      </c>
      <c r="U1102" s="12" t="s">
        <v>17</v>
      </c>
      <c r="V1102" s="12" t="s">
        <v>1717</v>
      </c>
      <c r="W1102" s="12" t="s">
        <v>7415</v>
      </c>
      <c r="X1102" s="12" t="s">
        <v>17</v>
      </c>
      <c r="Y1102" s="12">
        <v>1166331</v>
      </c>
      <c r="Z1102" s="12" t="s">
        <v>6613</v>
      </c>
      <c r="AA1102" s="12" t="s">
        <v>6613</v>
      </c>
      <c r="AB1102" s="12" t="s">
        <v>6613</v>
      </c>
      <c r="AC1102" s="12" t="s">
        <v>6613</v>
      </c>
      <c r="AD1102" s="12" t="s">
        <v>6613</v>
      </c>
      <c r="AE1102" s="12" t="s">
        <v>6613</v>
      </c>
      <c r="AF1102" s="12" t="s">
        <v>45</v>
      </c>
    </row>
    <row r="1103" spans="1:32" x14ac:dyDescent="0.2">
      <c r="A1103" s="12" t="s">
        <v>1851</v>
      </c>
      <c r="B1103" s="12" t="s">
        <v>1852</v>
      </c>
      <c r="C1103" s="12" t="s">
        <v>17</v>
      </c>
      <c r="D1103" s="12" t="s">
        <v>17</v>
      </c>
      <c r="E1103" s="12" t="s">
        <v>7678</v>
      </c>
      <c r="F1103" s="12" t="s">
        <v>5458</v>
      </c>
      <c r="G1103" s="12" t="s">
        <v>615</v>
      </c>
      <c r="H1103" s="12" t="s">
        <v>6613</v>
      </c>
      <c r="I1103" s="12">
        <v>0</v>
      </c>
      <c r="J1103" s="12" t="s">
        <v>164</v>
      </c>
      <c r="K1103" s="12" t="s">
        <v>6646</v>
      </c>
      <c r="L1103" s="12" t="s">
        <v>1686</v>
      </c>
      <c r="M1103" s="12" t="s">
        <v>1686</v>
      </c>
      <c r="N1103" s="12" t="s">
        <v>5785</v>
      </c>
      <c r="O1103" s="12" t="s">
        <v>1687</v>
      </c>
      <c r="P1103" s="12" t="s">
        <v>1688</v>
      </c>
      <c r="Q1103" s="12" t="s">
        <v>6664</v>
      </c>
      <c r="R1103" s="12" t="s">
        <v>17</v>
      </c>
      <c r="S1103" s="12" t="s">
        <v>17</v>
      </c>
      <c r="T1103" s="12" t="s">
        <v>11</v>
      </c>
      <c r="U1103" s="12" t="s">
        <v>17</v>
      </c>
      <c r="V1103" s="12" t="s">
        <v>802</v>
      </c>
      <c r="W1103" s="12" t="s">
        <v>7415</v>
      </c>
      <c r="X1103" s="12" t="s">
        <v>17</v>
      </c>
      <c r="Y1103" s="12">
        <v>1166696</v>
      </c>
      <c r="Z1103" s="12" t="s">
        <v>6613</v>
      </c>
      <c r="AA1103" s="12" t="s">
        <v>6613</v>
      </c>
      <c r="AB1103" s="12" t="s">
        <v>6613</v>
      </c>
      <c r="AC1103" s="12" t="s">
        <v>6613</v>
      </c>
      <c r="AD1103" s="12" t="s">
        <v>6613</v>
      </c>
      <c r="AE1103" s="12" t="s">
        <v>6613</v>
      </c>
      <c r="AF1103" s="12" t="s">
        <v>45</v>
      </c>
    </row>
    <row r="1104" spans="1:32" x14ac:dyDescent="0.2">
      <c r="A1104" s="12" t="s">
        <v>1783</v>
      </c>
      <c r="B1104" s="12" t="s">
        <v>1784</v>
      </c>
      <c r="C1104" s="12" t="s">
        <v>17</v>
      </c>
      <c r="D1104" s="12" t="s">
        <v>17</v>
      </c>
      <c r="E1104" s="12" t="s">
        <v>7678</v>
      </c>
      <c r="F1104" s="12" t="s">
        <v>5458</v>
      </c>
      <c r="G1104" s="12" t="s">
        <v>615</v>
      </c>
      <c r="H1104" s="12" t="s">
        <v>6613</v>
      </c>
      <c r="I1104" s="12">
        <v>0</v>
      </c>
      <c r="J1104" s="12" t="s">
        <v>164</v>
      </c>
      <c r="K1104" s="12" t="s">
        <v>6646</v>
      </c>
      <c r="L1104" s="12" t="s">
        <v>1686</v>
      </c>
      <c r="M1104" s="12" t="s">
        <v>1686</v>
      </c>
      <c r="N1104" s="12" t="s">
        <v>5785</v>
      </c>
      <c r="O1104" s="12" t="s">
        <v>1687</v>
      </c>
      <c r="P1104" s="12" t="s">
        <v>1688</v>
      </c>
      <c r="Q1104" s="12" t="s">
        <v>6664</v>
      </c>
      <c r="R1104" s="12" t="s">
        <v>17</v>
      </c>
      <c r="S1104" s="12" t="s">
        <v>17</v>
      </c>
      <c r="T1104" s="12" t="s">
        <v>11</v>
      </c>
      <c r="U1104" s="12" t="s">
        <v>17</v>
      </c>
      <c r="V1104" s="12" t="s">
        <v>1725</v>
      </c>
      <c r="W1104" s="12" t="s">
        <v>7415</v>
      </c>
      <c r="X1104" s="12" t="s">
        <v>17</v>
      </c>
      <c r="Y1104" s="12">
        <v>1166938</v>
      </c>
      <c r="Z1104" s="12" t="s">
        <v>6613</v>
      </c>
      <c r="AA1104" s="12" t="s">
        <v>6613</v>
      </c>
      <c r="AB1104" s="12" t="s">
        <v>6613</v>
      </c>
      <c r="AC1104" s="12" t="s">
        <v>6613</v>
      </c>
      <c r="AD1104" s="12" t="s">
        <v>6613</v>
      </c>
      <c r="AE1104" s="12" t="s">
        <v>6613</v>
      </c>
      <c r="AF1104" s="12" t="s">
        <v>45</v>
      </c>
    </row>
    <row r="1105" spans="1:32" x14ac:dyDescent="0.2">
      <c r="A1105" s="12" t="s">
        <v>1829</v>
      </c>
      <c r="B1105" s="12" t="s">
        <v>1830</v>
      </c>
      <c r="C1105" s="12" t="s">
        <v>17</v>
      </c>
      <c r="D1105" s="12" t="s">
        <v>17</v>
      </c>
      <c r="E1105" s="12" t="s">
        <v>7678</v>
      </c>
      <c r="F1105" s="12" t="s">
        <v>5458</v>
      </c>
      <c r="G1105" s="12" t="s">
        <v>615</v>
      </c>
      <c r="H1105" s="12" t="s">
        <v>6613</v>
      </c>
      <c r="I1105" s="12">
        <v>0</v>
      </c>
      <c r="J1105" s="12" t="s">
        <v>164</v>
      </c>
      <c r="K1105" s="12" t="s">
        <v>6646</v>
      </c>
      <c r="L1105" s="12" t="s">
        <v>1686</v>
      </c>
      <c r="M1105" s="12" t="s">
        <v>1686</v>
      </c>
      <c r="N1105" s="12" t="s">
        <v>5785</v>
      </c>
      <c r="O1105" s="12" t="s">
        <v>1687</v>
      </c>
      <c r="P1105" s="12" t="s">
        <v>1688</v>
      </c>
      <c r="Q1105" s="12" t="s">
        <v>6664</v>
      </c>
      <c r="R1105" s="12" t="s">
        <v>17</v>
      </c>
      <c r="S1105" s="12" t="s">
        <v>17</v>
      </c>
      <c r="T1105" s="12" t="s">
        <v>11</v>
      </c>
      <c r="U1105" s="12" t="s">
        <v>17</v>
      </c>
      <c r="V1105" s="12" t="s">
        <v>1831</v>
      </c>
      <c r="W1105" s="12" t="s">
        <v>7415</v>
      </c>
      <c r="X1105" s="12" t="s">
        <v>17</v>
      </c>
      <c r="Y1105" s="12">
        <v>1167119</v>
      </c>
      <c r="Z1105" s="12" t="s">
        <v>6613</v>
      </c>
      <c r="AA1105" s="12" t="s">
        <v>6613</v>
      </c>
      <c r="AB1105" s="12" t="s">
        <v>6613</v>
      </c>
      <c r="AC1105" s="12" t="s">
        <v>6613</v>
      </c>
      <c r="AD1105" s="12" t="s">
        <v>6613</v>
      </c>
      <c r="AE1105" s="12" t="s">
        <v>6613</v>
      </c>
      <c r="AF1105" s="12" t="s">
        <v>45</v>
      </c>
    </row>
    <row r="1106" spans="1:32" x14ac:dyDescent="0.2">
      <c r="A1106" s="12" t="s">
        <v>1869</v>
      </c>
      <c r="B1106" s="12" t="s">
        <v>1870</v>
      </c>
      <c r="C1106" s="12" t="s">
        <v>17</v>
      </c>
      <c r="D1106" s="12" t="s">
        <v>17</v>
      </c>
      <c r="E1106" s="12" t="s">
        <v>7678</v>
      </c>
      <c r="F1106" s="12" t="s">
        <v>5458</v>
      </c>
      <c r="G1106" s="12" t="s">
        <v>615</v>
      </c>
      <c r="H1106" s="12" t="s">
        <v>6613</v>
      </c>
      <c r="I1106" s="12">
        <v>0</v>
      </c>
      <c r="J1106" s="12" t="s">
        <v>164</v>
      </c>
      <c r="K1106" s="12" t="s">
        <v>6646</v>
      </c>
      <c r="L1106" s="12" t="s">
        <v>1686</v>
      </c>
      <c r="M1106" s="12" t="s">
        <v>1686</v>
      </c>
      <c r="N1106" s="12" t="s">
        <v>5785</v>
      </c>
      <c r="O1106" s="12" t="s">
        <v>1687</v>
      </c>
      <c r="P1106" s="12" t="s">
        <v>1688</v>
      </c>
      <c r="Q1106" s="12" t="s">
        <v>6664</v>
      </c>
      <c r="R1106" s="12" t="s">
        <v>17</v>
      </c>
      <c r="S1106" s="12" t="s">
        <v>17</v>
      </c>
      <c r="T1106" s="12" t="s">
        <v>11</v>
      </c>
      <c r="U1106" s="12" t="s">
        <v>17</v>
      </c>
      <c r="V1106" s="12" t="s">
        <v>1817</v>
      </c>
      <c r="W1106" s="12" t="s">
        <v>7415</v>
      </c>
      <c r="X1106" s="12" t="s">
        <v>17</v>
      </c>
      <c r="Y1106" s="12">
        <v>1167593</v>
      </c>
      <c r="Z1106" s="12" t="s">
        <v>6613</v>
      </c>
      <c r="AA1106" s="12" t="s">
        <v>6613</v>
      </c>
      <c r="AB1106" s="12" t="s">
        <v>6613</v>
      </c>
      <c r="AC1106" s="12" t="s">
        <v>6613</v>
      </c>
      <c r="AD1106" s="12" t="s">
        <v>6613</v>
      </c>
      <c r="AE1106" s="12" t="s">
        <v>6613</v>
      </c>
      <c r="AF1106" s="12" t="s">
        <v>45</v>
      </c>
    </row>
    <row r="1107" spans="1:32" x14ac:dyDescent="0.2">
      <c r="A1107" s="12" t="s">
        <v>1752</v>
      </c>
      <c r="B1107" s="12" t="s">
        <v>1753</v>
      </c>
      <c r="C1107" s="12" t="s">
        <v>17</v>
      </c>
      <c r="D1107" s="12" t="s">
        <v>17</v>
      </c>
      <c r="E1107" s="12" t="s">
        <v>7678</v>
      </c>
      <c r="F1107" s="12" t="s">
        <v>5458</v>
      </c>
      <c r="G1107" s="12" t="s">
        <v>615</v>
      </c>
      <c r="H1107" s="12" t="s">
        <v>6613</v>
      </c>
      <c r="I1107" s="12">
        <v>0</v>
      </c>
      <c r="J1107" s="12" t="s">
        <v>164</v>
      </c>
      <c r="K1107" s="12" t="s">
        <v>6646</v>
      </c>
      <c r="L1107" s="12" t="s">
        <v>1686</v>
      </c>
      <c r="M1107" s="12" t="s">
        <v>1686</v>
      </c>
      <c r="N1107" s="12" t="s">
        <v>5785</v>
      </c>
      <c r="O1107" s="12" t="s">
        <v>1687</v>
      </c>
      <c r="P1107" s="12" t="s">
        <v>1688</v>
      </c>
      <c r="Q1107" s="12" t="s">
        <v>6664</v>
      </c>
      <c r="R1107" s="12" t="s">
        <v>17</v>
      </c>
      <c r="S1107" s="12" t="s">
        <v>17</v>
      </c>
      <c r="T1107" s="12" t="s">
        <v>11</v>
      </c>
      <c r="U1107" s="12" t="s">
        <v>17</v>
      </c>
      <c r="V1107" s="12" t="s">
        <v>413</v>
      </c>
      <c r="W1107" s="12" t="s">
        <v>7415</v>
      </c>
      <c r="X1107" s="12" t="s">
        <v>17</v>
      </c>
      <c r="Y1107" s="12">
        <v>1167740</v>
      </c>
      <c r="Z1107" s="12" t="s">
        <v>6613</v>
      </c>
      <c r="AA1107" s="12" t="s">
        <v>6613</v>
      </c>
      <c r="AB1107" s="12" t="s">
        <v>6613</v>
      </c>
      <c r="AC1107" s="12" t="s">
        <v>6613</v>
      </c>
      <c r="AD1107" s="12" t="s">
        <v>6613</v>
      </c>
      <c r="AE1107" s="12" t="s">
        <v>6613</v>
      </c>
      <c r="AF1107" s="12" t="s">
        <v>45</v>
      </c>
    </row>
    <row r="1108" spans="1:32" x14ac:dyDescent="0.2">
      <c r="A1108" s="12" t="s">
        <v>1803</v>
      </c>
      <c r="B1108" s="12" t="s">
        <v>1804</v>
      </c>
      <c r="C1108" s="12" t="s">
        <v>17</v>
      </c>
      <c r="D1108" s="12" t="s">
        <v>17</v>
      </c>
      <c r="E1108" s="12" t="s">
        <v>7678</v>
      </c>
      <c r="F1108" s="12" t="s">
        <v>5458</v>
      </c>
      <c r="G1108" s="12" t="s">
        <v>615</v>
      </c>
      <c r="H1108" s="12" t="s">
        <v>6613</v>
      </c>
      <c r="I1108" s="12">
        <v>0</v>
      </c>
      <c r="J1108" s="12" t="s">
        <v>164</v>
      </c>
      <c r="K1108" s="12" t="s">
        <v>6646</v>
      </c>
      <c r="L1108" s="12" t="s">
        <v>1686</v>
      </c>
      <c r="M1108" s="12" t="s">
        <v>1686</v>
      </c>
      <c r="N1108" s="12" t="s">
        <v>5785</v>
      </c>
      <c r="O1108" s="12" t="s">
        <v>1687</v>
      </c>
      <c r="P1108" s="12" t="s">
        <v>1688</v>
      </c>
      <c r="Q1108" s="12" t="s">
        <v>6664</v>
      </c>
      <c r="R1108" s="12" t="s">
        <v>17</v>
      </c>
      <c r="S1108" s="12" t="s">
        <v>17</v>
      </c>
      <c r="T1108" s="12" t="s">
        <v>11</v>
      </c>
      <c r="U1108" s="12" t="s">
        <v>17</v>
      </c>
      <c r="V1108" s="12" t="s">
        <v>625</v>
      </c>
      <c r="W1108" s="12" t="s">
        <v>7415</v>
      </c>
      <c r="X1108" s="12" t="s">
        <v>17</v>
      </c>
      <c r="Y1108" s="12">
        <v>1168595</v>
      </c>
      <c r="Z1108" s="12" t="s">
        <v>6613</v>
      </c>
      <c r="AA1108" s="12" t="s">
        <v>6613</v>
      </c>
      <c r="AB1108" s="12" t="s">
        <v>6613</v>
      </c>
      <c r="AC1108" s="12" t="s">
        <v>6613</v>
      </c>
      <c r="AD1108" s="12" t="s">
        <v>6613</v>
      </c>
      <c r="AE1108" s="12" t="s">
        <v>6613</v>
      </c>
      <c r="AF1108" s="12" t="s">
        <v>45</v>
      </c>
    </row>
    <row r="1109" spans="1:32" x14ac:dyDescent="0.2">
      <c r="A1109" s="12" t="s">
        <v>1708</v>
      </c>
      <c r="B1109" s="12" t="s">
        <v>1709</v>
      </c>
      <c r="C1109" s="12" t="s">
        <v>17</v>
      </c>
      <c r="D1109" s="12" t="s">
        <v>17</v>
      </c>
      <c r="E1109" s="12" t="s">
        <v>7678</v>
      </c>
      <c r="F1109" s="12" t="s">
        <v>5458</v>
      </c>
      <c r="G1109" s="12" t="s">
        <v>615</v>
      </c>
      <c r="H1109" s="12" t="s">
        <v>6613</v>
      </c>
      <c r="I1109" s="12">
        <v>0</v>
      </c>
      <c r="J1109" s="12" t="s">
        <v>164</v>
      </c>
      <c r="K1109" s="12" t="s">
        <v>6646</v>
      </c>
      <c r="L1109" s="12" t="s">
        <v>1686</v>
      </c>
      <c r="M1109" s="12" t="s">
        <v>1686</v>
      </c>
      <c r="N1109" s="12" t="s">
        <v>5785</v>
      </c>
      <c r="O1109" s="12" t="s">
        <v>1687</v>
      </c>
      <c r="P1109" s="12" t="s">
        <v>1688</v>
      </c>
      <c r="Q1109" s="12" t="s">
        <v>6664</v>
      </c>
      <c r="R1109" s="12" t="s">
        <v>17</v>
      </c>
      <c r="S1109" s="12" t="s">
        <v>17</v>
      </c>
      <c r="T1109" s="12" t="s">
        <v>11</v>
      </c>
      <c r="U1109" s="12" t="s">
        <v>17</v>
      </c>
      <c r="V1109" s="12" t="s">
        <v>1710</v>
      </c>
      <c r="W1109" s="12" t="s">
        <v>7415</v>
      </c>
      <c r="X1109" s="12" t="s">
        <v>17</v>
      </c>
      <c r="Y1109" s="12">
        <v>1168940</v>
      </c>
      <c r="Z1109" s="12" t="s">
        <v>6613</v>
      </c>
      <c r="AA1109" s="12" t="s">
        <v>6613</v>
      </c>
      <c r="AB1109" s="12" t="s">
        <v>6613</v>
      </c>
      <c r="AC1109" s="12" t="s">
        <v>6613</v>
      </c>
      <c r="AD1109" s="12" t="s">
        <v>6613</v>
      </c>
      <c r="AE1109" s="12" t="s">
        <v>6613</v>
      </c>
      <c r="AF1109" s="12" t="s">
        <v>45</v>
      </c>
    </row>
    <row r="1110" spans="1:32" x14ac:dyDescent="0.2">
      <c r="A1110" s="12" t="s">
        <v>1855</v>
      </c>
      <c r="B1110" s="12" t="s">
        <v>1856</v>
      </c>
      <c r="C1110" s="12" t="s">
        <v>17</v>
      </c>
      <c r="D1110" s="12" t="s">
        <v>17</v>
      </c>
      <c r="E1110" s="12" t="s">
        <v>7678</v>
      </c>
      <c r="F1110" s="12" t="s">
        <v>5458</v>
      </c>
      <c r="G1110" s="12" t="s">
        <v>615</v>
      </c>
      <c r="H1110" s="12" t="s">
        <v>6613</v>
      </c>
      <c r="I1110" s="12">
        <v>0</v>
      </c>
      <c r="J1110" s="12" t="s">
        <v>164</v>
      </c>
      <c r="K1110" s="12" t="s">
        <v>6646</v>
      </c>
      <c r="L1110" s="12" t="s">
        <v>1686</v>
      </c>
      <c r="M1110" s="12" t="s">
        <v>1686</v>
      </c>
      <c r="N1110" s="12" t="s">
        <v>5785</v>
      </c>
      <c r="O1110" s="12" t="s">
        <v>1687</v>
      </c>
      <c r="P1110" s="12" t="s">
        <v>1688</v>
      </c>
      <c r="Q1110" s="12" t="s">
        <v>6664</v>
      </c>
      <c r="R1110" s="12" t="s">
        <v>17</v>
      </c>
      <c r="S1110" s="12" t="s">
        <v>17</v>
      </c>
      <c r="T1110" s="12" t="s">
        <v>11</v>
      </c>
      <c r="U1110" s="12" t="s">
        <v>17</v>
      </c>
      <c r="V1110" s="12" t="s">
        <v>1857</v>
      </c>
      <c r="W1110" s="12" t="s">
        <v>7415</v>
      </c>
      <c r="X1110" s="12" t="s">
        <v>17</v>
      </c>
      <c r="Y1110" s="12">
        <v>1169462</v>
      </c>
      <c r="Z1110" s="12" t="s">
        <v>6613</v>
      </c>
      <c r="AA1110" s="12" t="s">
        <v>6613</v>
      </c>
      <c r="AB1110" s="12" t="s">
        <v>6613</v>
      </c>
      <c r="AC1110" s="12" t="s">
        <v>6613</v>
      </c>
      <c r="AD1110" s="12" t="s">
        <v>6613</v>
      </c>
      <c r="AE1110" s="12" t="s">
        <v>6613</v>
      </c>
      <c r="AF1110" s="12" t="s">
        <v>45</v>
      </c>
    </row>
    <row r="1111" spans="1:32" x14ac:dyDescent="0.2">
      <c r="A1111" s="12" t="s">
        <v>1704</v>
      </c>
      <c r="B1111" s="12" t="s">
        <v>1705</v>
      </c>
      <c r="C1111" s="12" t="s">
        <v>17</v>
      </c>
      <c r="D1111" s="12" t="s">
        <v>17</v>
      </c>
      <c r="E1111" s="12" t="s">
        <v>7678</v>
      </c>
      <c r="F1111" s="12" t="s">
        <v>5458</v>
      </c>
      <c r="G1111" s="12" t="s">
        <v>615</v>
      </c>
      <c r="H1111" s="12" t="s">
        <v>6613</v>
      </c>
      <c r="I1111" s="12">
        <v>0</v>
      </c>
      <c r="J1111" s="12" t="s">
        <v>164</v>
      </c>
      <c r="K1111" s="12" t="s">
        <v>6646</v>
      </c>
      <c r="L1111" s="12" t="s">
        <v>1686</v>
      </c>
      <c r="M1111" s="12" t="s">
        <v>1686</v>
      </c>
      <c r="N1111" s="12" t="s">
        <v>5785</v>
      </c>
      <c r="O1111" s="12" t="s">
        <v>1687</v>
      </c>
      <c r="P1111" s="12" t="s">
        <v>1688</v>
      </c>
      <c r="Q1111" s="12" t="s">
        <v>6664</v>
      </c>
      <c r="R1111" s="16" t="s">
        <v>17</v>
      </c>
      <c r="S1111" s="16" t="s">
        <v>17</v>
      </c>
      <c r="T1111" s="12" t="s">
        <v>11</v>
      </c>
      <c r="U1111" s="12" t="s">
        <v>17</v>
      </c>
      <c r="V1111" s="12" t="s">
        <v>653</v>
      </c>
      <c r="W1111" s="12" t="s">
        <v>7415</v>
      </c>
      <c r="X1111" s="12" t="s">
        <v>17</v>
      </c>
      <c r="Y1111" s="12">
        <v>1170586</v>
      </c>
      <c r="Z1111" s="12" t="s">
        <v>6613</v>
      </c>
      <c r="AA1111" s="12" t="s">
        <v>6613</v>
      </c>
      <c r="AB1111" s="12" t="s">
        <v>6613</v>
      </c>
      <c r="AC1111" s="12" t="s">
        <v>6613</v>
      </c>
      <c r="AD1111" s="12" t="s">
        <v>6613</v>
      </c>
      <c r="AE1111" s="12" t="s">
        <v>6613</v>
      </c>
      <c r="AF1111" s="12" t="s">
        <v>45</v>
      </c>
    </row>
    <row r="1112" spans="1:32" x14ac:dyDescent="0.2">
      <c r="A1112" s="12" t="s">
        <v>1875</v>
      </c>
      <c r="B1112" s="12" t="s">
        <v>1876</v>
      </c>
      <c r="C1112" s="12" t="s">
        <v>17</v>
      </c>
      <c r="D1112" s="12" t="s">
        <v>17</v>
      </c>
      <c r="E1112" s="12" t="s">
        <v>7678</v>
      </c>
      <c r="F1112" s="12" t="s">
        <v>5458</v>
      </c>
      <c r="G1112" s="12" t="s">
        <v>615</v>
      </c>
      <c r="H1112" s="12" t="s">
        <v>6613</v>
      </c>
      <c r="I1112" s="12">
        <v>0</v>
      </c>
      <c r="J1112" s="12" t="s">
        <v>164</v>
      </c>
      <c r="K1112" s="12" t="s">
        <v>6646</v>
      </c>
      <c r="L1112" s="12" t="s">
        <v>1686</v>
      </c>
      <c r="M1112" s="12" t="s">
        <v>1686</v>
      </c>
      <c r="N1112" s="12" t="s">
        <v>5785</v>
      </c>
      <c r="O1112" s="12" t="s">
        <v>1687</v>
      </c>
      <c r="P1112" s="12" t="s">
        <v>1688</v>
      </c>
      <c r="Q1112" s="12" t="s">
        <v>6664</v>
      </c>
      <c r="R1112" s="16" t="s">
        <v>17</v>
      </c>
      <c r="S1112" s="16" t="s">
        <v>17</v>
      </c>
      <c r="T1112" s="12" t="s">
        <v>11</v>
      </c>
      <c r="U1112" s="12" t="s">
        <v>17</v>
      </c>
      <c r="V1112" s="12" t="s">
        <v>1717</v>
      </c>
      <c r="W1112" s="12" t="s">
        <v>7415</v>
      </c>
      <c r="X1112" s="12" t="s">
        <v>17</v>
      </c>
      <c r="Y1112" s="12">
        <v>1170838</v>
      </c>
      <c r="Z1112" s="12" t="s">
        <v>6613</v>
      </c>
      <c r="AA1112" s="12" t="s">
        <v>6613</v>
      </c>
      <c r="AB1112" s="12" t="s">
        <v>6613</v>
      </c>
      <c r="AC1112" s="12" t="s">
        <v>6613</v>
      </c>
      <c r="AD1112" s="12" t="s">
        <v>6613</v>
      </c>
      <c r="AE1112" s="12" t="s">
        <v>6613</v>
      </c>
      <c r="AF1112" s="12" t="s">
        <v>45</v>
      </c>
    </row>
    <row r="1113" spans="1:32" x14ac:dyDescent="0.2">
      <c r="A1113" s="12" t="s">
        <v>1715</v>
      </c>
      <c r="B1113" s="12" t="s">
        <v>1716</v>
      </c>
      <c r="C1113" s="12" t="s">
        <v>17</v>
      </c>
      <c r="D1113" s="12" t="s">
        <v>17</v>
      </c>
      <c r="E1113" s="12" t="s">
        <v>7678</v>
      </c>
      <c r="F1113" s="12" t="s">
        <v>5458</v>
      </c>
      <c r="G1113" s="12" t="s">
        <v>615</v>
      </c>
      <c r="H1113" s="12" t="s">
        <v>6613</v>
      </c>
      <c r="I1113" s="12">
        <v>0</v>
      </c>
      <c r="J1113" s="12" t="s">
        <v>164</v>
      </c>
      <c r="K1113" s="12" t="s">
        <v>6646</v>
      </c>
      <c r="L1113" s="12" t="s">
        <v>1686</v>
      </c>
      <c r="M1113" s="12" t="s">
        <v>1686</v>
      </c>
      <c r="N1113" s="12" t="s">
        <v>5785</v>
      </c>
      <c r="O1113" s="12" t="s">
        <v>1687</v>
      </c>
      <c r="P1113" s="12" t="s">
        <v>1688</v>
      </c>
      <c r="Q1113" s="12" t="s">
        <v>6664</v>
      </c>
      <c r="R1113" s="16" t="s">
        <v>17</v>
      </c>
      <c r="S1113" s="16" t="s">
        <v>17</v>
      </c>
      <c r="T1113" s="12" t="s">
        <v>11</v>
      </c>
      <c r="U1113" s="12" t="s">
        <v>17</v>
      </c>
      <c r="V1113" s="12" t="s">
        <v>1717</v>
      </c>
      <c r="W1113" s="12" t="s">
        <v>7415</v>
      </c>
      <c r="X1113" s="12" t="s">
        <v>17</v>
      </c>
      <c r="Y1113" s="12">
        <v>1171599</v>
      </c>
      <c r="Z1113" s="12" t="s">
        <v>6613</v>
      </c>
      <c r="AA1113" s="12" t="s">
        <v>6613</v>
      </c>
      <c r="AB1113" s="12" t="s">
        <v>6613</v>
      </c>
      <c r="AC1113" s="12" t="s">
        <v>6613</v>
      </c>
      <c r="AD1113" s="12" t="s">
        <v>6613</v>
      </c>
      <c r="AE1113" s="12" t="s">
        <v>6613</v>
      </c>
      <c r="AF1113" s="12" t="s">
        <v>45</v>
      </c>
    </row>
    <row r="1114" spans="1:32" x14ac:dyDescent="0.2">
      <c r="A1114" s="12" t="s">
        <v>1702</v>
      </c>
      <c r="B1114" s="12" t="s">
        <v>1703</v>
      </c>
      <c r="C1114" s="12" t="s">
        <v>17</v>
      </c>
      <c r="D1114" s="12" t="s">
        <v>17</v>
      </c>
      <c r="E1114" s="12" t="s">
        <v>7678</v>
      </c>
      <c r="F1114" s="12" t="s">
        <v>5458</v>
      </c>
      <c r="G1114" s="12" t="s">
        <v>615</v>
      </c>
      <c r="H1114" s="12" t="s">
        <v>6613</v>
      </c>
      <c r="I1114" s="12">
        <v>0</v>
      </c>
      <c r="J1114" s="12" t="s">
        <v>164</v>
      </c>
      <c r="K1114" s="12" t="s">
        <v>6646</v>
      </c>
      <c r="L1114" s="12" t="s">
        <v>1686</v>
      </c>
      <c r="M1114" s="12" t="s">
        <v>1686</v>
      </c>
      <c r="N1114" s="12" t="s">
        <v>5785</v>
      </c>
      <c r="O1114" s="12" t="s">
        <v>1687</v>
      </c>
      <c r="P1114" s="12" t="s">
        <v>1688</v>
      </c>
      <c r="Q1114" s="12" t="s">
        <v>6664</v>
      </c>
      <c r="R1114" s="16" t="s">
        <v>17</v>
      </c>
      <c r="S1114" s="16" t="s">
        <v>17</v>
      </c>
      <c r="T1114" s="12" t="s">
        <v>11</v>
      </c>
      <c r="U1114" s="12" t="s">
        <v>17</v>
      </c>
      <c r="V1114" s="12" t="s">
        <v>619</v>
      </c>
      <c r="W1114" s="12" t="s">
        <v>7415</v>
      </c>
      <c r="X1114" s="12" t="s">
        <v>17</v>
      </c>
      <c r="Y1114" s="12">
        <v>1172524</v>
      </c>
      <c r="Z1114" s="12" t="s">
        <v>6613</v>
      </c>
      <c r="AA1114" s="12" t="s">
        <v>6613</v>
      </c>
      <c r="AB1114" s="12" t="s">
        <v>6613</v>
      </c>
      <c r="AC1114" s="12" t="s">
        <v>6613</v>
      </c>
      <c r="AD1114" s="12" t="s">
        <v>6613</v>
      </c>
      <c r="AE1114" s="12" t="s">
        <v>6613</v>
      </c>
      <c r="AF1114" s="12" t="s">
        <v>45</v>
      </c>
    </row>
    <row r="1115" spans="1:32" x14ac:dyDescent="0.2">
      <c r="A1115" s="12" t="s">
        <v>1795</v>
      </c>
      <c r="B1115" s="12" t="s">
        <v>1796</v>
      </c>
      <c r="C1115" s="12" t="s">
        <v>17</v>
      </c>
      <c r="D1115" s="12" t="s">
        <v>17</v>
      </c>
      <c r="E1115" s="12" t="s">
        <v>7678</v>
      </c>
      <c r="F1115" s="12" t="s">
        <v>5458</v>
      </c>
      <c r="G1115" s="12" t="s">
        <v>615</v>
      </c>
      <c r="H1115" s="12" t="s">
        <v>6613</v>
      </c>
      <c r="I1115" s="12">
        <v>0</v>
      </c>
      <c r="J1115" s="12" t="s">
        <v>164</v>
      </c>
      <c r="K1115" s="12" t="s">
        <v>6646</v>
      </c>
      <c r="L1115" s="12" t="s">
        <v>1686</v>
      </c>
      <c r="M1115" s="12" t="s">
        <v>1686</v>
      </c>
      <c r="N1115" s="12" t="s">
        <v>5785</v>
      </c>
      <c r="O1115" s="12" t="s">
        <v>1687</v>
      </c>
      <c r="P1115" s="12" t="s">
        <v>1688</v>
      </c>
      <c r="Q1115" s="12" t="s">
        <v>6664</v>
      </c>
      <c r="R1115" s="12" t="s">
        <v>17</v>
      </c>
      <c r="S1115" s="12" t="s">
        <v>17</v>
      </c>
      <c r="T1115" s="12" t="s">
        <v>11</v>
      </c>
      <c r="U1115" s="12" t="s">
        <v>17</v>
      </c>
      <c r="V1115" s="12" t="s">
        <v>802</v>
      </c>
      <c r="W1115" s="12" t="s">
        <v>7415</v>
      </c>
      <c r="X1115" s="12" t="s">
        <v>17</v>
      </c>
      <c r="Y1115" s="12">
        <v>1172920</v>
      </c>
      <c r="Z1115" s="12" t="s">
        <v>6613</v>
      </c>
      <c r="AA1115" s="12" t="s">
        <v>6613</v>
      </c>
      <c r="AB1115" s="12" t="s">
        <v>6613</v>
      </c>
      <c r="AC1115" s="12" t="s">
        <v>6613</v>
      </c>
      <c r="AD1115" s="12" t="s">
        <v>6613</v>
      </c>
      <c r="AE1115" s="12" t="s">
        <v>6613</v>
      </c>
      <c r="AF1115" s="12" t="s">
        <v>45</v>
      </c>
    </row>
    <row r="1116" spans="1:32" x14ac:dyDescent="0.2">
      <c r="A1116" s="12" t="s">
        <v>1849</v>
      </c>
      <c r="B1116" s="12" t="s">
        <v>1850</v>
      </c>
      <c r="C1116" s="12" t="s">
        <v>17</v>
      </c>
      <c r="D1116" s="12" t="s">
        <v>17</v>
      </c>
      <c r="E1116" s="12" t="s">
        <v>7678</v>
      </c>
      <c r="F1116" s="12" t="s">
        <v>5458</v>
      </c>
      <c r="G1116" s="12" t="s">
        <v>615</v>
      </c>
      <c r="H1116" s="12" t="s">
        <v>6613</v>
      </c>
      <c r="I1116" s="12">
        <v>0</v>
      </c>
      <c r="J1116" s="12" t="s">
        <v>164</v>
      </c>
      <c r="K1116" s="12" t="s">
        <v>6646</v>
      </c>
      <c r="L1116" s="12" t="s">
        <v>1686</v>
      </c>
      <c r="M1116" s="12" t="s">
        <v>1686</v>
      </c>
      <c r="N1116" s="12" t="s">
        <v>5785</v>
      </c>
      <c r="O1116" s="12" t="s">
        <v>1687</v>
      </c>
      <c r="P1116" s="12" t="s">
        <v>1688</v>
      </c>
      <c r="Q1116" s="12" t="s">
        <v>6664</v>
      </c>
      <c r="R1116" s="16" t="s">
        <v>17</v>
      </c>
      <c r="S1116" s="16" t="s">
        <v>17</v>
      </c>
      <c r="T1116" s="12" t="s">
        <v>11</v>
      </c>
      <c r="U1116" s="12" t="s">
        <v>17</v>
      </c>
      <c r="V1116" s="12" t="s">
        <v>653</v>
      </c>
      <c r="W1116" s="12" t="s">
        <v>7415</v>
      </c>
      <c r="X1116" s="12" t="s">
        <v>17</v>
      </c>
      <c r="Y1116" s="12">
        <v>1173742</v>
      </c>
      <c r="Z1116" s="12" t="s">
        <v>6613</v>
      </c>
      <c r="AA1116" s="12" t="s">
        <v>6613</v>
      </c>
      <c r="AB1116" s="12" t="s">
        <v>6613</v>
      </c>
      <c r="AC1116" s="12" t="s">
        <v>6613</v>
      </c>
      <c r="AD1116" s="12" t="s">
        <v>6613</v>
      </c>
      <c r="AE1116" s="12" t="s">
        <v>6613</v>
      </c>
      <c r="AF1116" s="12" t="s">
        <v>45</v>
      </c>
    </row>
    <row r="1117" spans="1:32" x14ac:dyDescent="0.2">
      <c r="A1117" s="12" t="s">
        <v>1728</v>
      </c>
      <c r="B1117" s="12" t="s">
        <v>1729</v>
      </c>
      <c r="C1117" s="12" t="s">
        <v>17</v>
      </c>
      <c r="D1117" s="12" t="s">
        <v>17</v>
      </c>
      <c r="E1117" s="12" t="s">
        <v>7678</v>
      </c>
      <c r="F1117" s="12" t="s">
        <v>5458</v>
      </c>
      <c r="G1117" s="12" t="s">
        <v>615</v>
      </c>
      <c r="H1117" s="12" t="s">
        <v>6613</v>
      </c>
      <c r="I1117" s="12">
        <v>0</v>
      </c>
      <c r="J1117" s="12" t="s">
        <v>164</v>
      </c>
      <c r="K1117" s="12" t="s">
        <v>6646</v>
      </c>
      <c r="L1117" s="12" t="s">
        <v>1686</v>
      </c>
      <c r="M1117" s="12" t="s">
        <v>1686</v>
      </c>
      <c r="N1117" s="12" t="s">
        <v>5785</v>
      </c>
      <c r="O1117" s="12" t="s">
        <v>1687</v>
      </c>
      <c r="P1117" s="12" t="s">
        <v>1688</v>
      </c>
      <c r="Q1117" s="12" t="s">
        <v>6664</v>
      </c>
      <c r="R1117" s="12" t="s">
        <v>17</v>
      </c>
      <c r="S1117" s="12" t="s">
        <v>17</v>
      </c>
      <c r="T1117" s="12" t="s">
        <v>11</v>
      </c>
      <c r="U1117" s="12" t="s">
        <v>17</v>
      </c>
      <c r="V1117" s="12" t="s">
        <v>802</v>
      </c>
      <c r="W1117" s="12" t="s">
        <v>7415</v>
      </c>
      <c r="X1117" s="12" t="s">
        <v>17</v>
      </c>
      <c r="Y1117" s="12">
        <v>1174047</v>
      </c>
      <c r="Z1117" s="12" t="s">
        <v>6613</v>
      </c>
      <c r="AA1117" s="12" t="s">
        <v>6613</v>
      </c>
      <c r="AB1117" s="12" t="s">
        <v>6613</v>
      </c>
      <c r="AC1117" s="12" t="s">
        <v>6613</v>
      </c>
      <c r="AD1117" s="12" t="s">
        <v>6613</v>
      </c>
      <c r="AE1117" s="12" t="s">
        <v>6613</v>
      </c>
      <c r="AF1117" s="12" t="s">
        <v>45</v>
      </c>
    </row>
    <row r="1118" spans="1:32" x14ac:dyDescent="0.2">
      <c r="A1118" s="12" t="s">
        <v>1896</v>
      </c>
      <c r="B1118" s="12" t="s">
        <v>1897</v>
      </c>
      <c r="C1118" s="12" t="s">
        <v>17</v>
      </c>
      <c r="D1118" s="12" t="s">
        <v>17</v>
      </c>
      <c r="E1118" s="12" t="s">
        <v>7678</v>
      </c>
      <c r="F1118" s="12" t="s">
        <v>5458</v>
      </c>
      <c r="G1118" s="12" t="s">
        <v>615</v>
      </c>
      <c r="H1118" s="12" t="s">
        <v>6613</v>
      </c>
      <c r="I1118" s="12">
        <v>0</v>
      </c>
      <c r="J1118" s="12" t="s">
        <v>164</v>
      </c>
      <c r="K1118" s="12" t="s">
        <v>6646</v>
      </c>
      <c r="L1118" s="12" t="s">
        <v>1686</v>
      </c>
      <c r="M1118" s="12" t="s">
        <v>1686</v>
      </c>
      <c r="N1118" s="12" t="s">
        <v>5785</v>
      </c>
      <c r="O1118" s="12" t="s">
        <v>1687</v>
      </c>
      <c r="P1118" s="12" t="s">
        <v>1688</v>
      </c>
      <c r="Q1118" s="12" t="s">
        <v>6664</v>
      </c>
      <c r="R1118" s="16" t="s">
        <v>17</v>
      </c>
      <c r="S1118" s="16" t="s">
        <v>17</v>
      </c>
      <c r="T1118" s="12" t="s">
        <v>11</v>
      </c>
      <c r="U1118" s="12" t="s">
        <v>17</v>
      </c>
      <c r="V1118" s="12" t="s">
        <v>500</v>
      </c>
      <c r="W1118" s="12" t="s">
        <v>7415</v>
      </c>
      <c r="X1118" s="12" t="s">
        <v>17</v>
      </c>
      <c r="Y1118" s="12">
        <v>1174463</v>
      </c>
      <c r="Z1118" s="12" t="s">
        <v>6613</v>
      </c>
      <c r="AA1118" s="12" t="s">
        <v>6613</v>
      </c>
      <c r="AB1118" s="12" t="s">
        <v>6613</v>
      </c>
      <c r="AC1118" s="12" t="s">
        <v>6613</v>
      </c>
      <c r="AD1118" s="12" t="s">
        <v>6613</v>
      </c>
      <c r="AE1118" s="12" t="s">
        <v>6613</v>
      </c>
      <c r="AF1118" s="12" t="s">
        <v>45</v>
      </c>
    </row>
    <row r="1119" spans="1:32" x14ac:dyDescent="0.2">
      <c r="A1119" s="12" t="s">
        <v>1711</v>
      </c>
      <c r="B1119" s="12" t="s">
        <v>1712</v>
      </c>
      <c r="C1119" s="12" t="s">
        <v>17</v>
      </c>
      <c r="D1119" s="12" t="s">
        <v>17</v>
      </c>
      <c r="E1119" s="12" t="s">
        <v>7678</v>
      </c>
      <c r="F1119" s="12" t="s">
        <v>5458</v>
      </c>
      <c r="G1119" s="12" t="s">
        <v>615</v>
      </c>
      <c r="H1119" s="12" t="s">
        <v>6613</v>
      </c>
      <c r="I1119" s="12">
        <v>0</v>
      </c>
      <c r="J1119" s="12" t="s">
        <v>164</v>
      </c>
      <c r="K1119" s="12" t="s">
        <v>6646</v>
      </c>
      <c r="L1119" s="12" t="s">
        <v>1686</v>
      </c>
      <c r="M1119" s="12" t="s">
        <v>1686</v>
      </c>
      <c r="N1119" s="12" t="s">
        <v>5785</v>
      </c>
      <c r="O1119" s="12" t="s">
        <v>1687</v>
      </c>
      <c r="P1119" s="12" t="s">
        <v>1688</v>
      </c>
      <c r="Q1119" s="12" t="s">
        <v>6664</v>
      </c>
      <c r="R1119" s="16" t="s">
        <v>17</v>
      </c>
      <c r="S1119" s="16" t="s">
        <v>17</v>
      </c>
      <c r="T1119" s="12" t="s">
        <v>11</v>
      </c>
      <c r="U1119" s="12" t="s">
        <v>17</v>
      </c>
      <c r="V1119" s="12" t="s">
        <v>631</v>
      </c>
      <c r="W1119" s="12" t="s">
        <v>7415</v>
      </c>
      <c r="X1119" s="12" t="s">
        <v>17</v>
      </c>
      <c r="Y1119" s="12">
        <v>1174595</v>
      </c>
      <c r="Z1119" s="12" t="s">
        <v>6613</v>
      </c>
      <c r="AA1119" s="12" t="s">
        <v>6613</v>
      </c>
      <c r="AB1119" s="12" t="s">
        <v>6613</v>
      </c>
      <c r="AC1119" s="12" t="s">
        <v>6613</v>
      </c>
      <c r="AD1119" s="12" t="s">
        <v>6613</v>
      </c>
      <c r="AE1119" s="12" t="s">
        <v>6613</v>
      </c>
      <c r="AF1119" s="12" t="s">
        <v>45</v>
      </c>
    </row>
    <row r="1120" spans="1:32" x14ac:dyDescent="0.2">
      <c r="A1120" s="12" t="s">
        <v>1867</v>
      </c>
      <c r="B1120" s="12" t="s">
        <v>1868</v>
      </c>
      <c r="C1120" s="12" t="s">
        <v>17</v>
      </c>
      <c r="D1120" s="12" t="s">
        <v>17</v>
      </c>
      <c r="E1120" s="12" t="s">
        <v>7678</v>
      </c>
      <c r="F1120" s="12" t="s">
        <v>5458</v>
      </c>
      <c r="G1120" s="12" t="s">
        <v>615</v>
      </c>
      <c r="H1120" s="12" t="s">
        <v>6613</v>
      </c>
      <c r="I1120" s="12">
        <v>0</v>
      </c>
      <c r="J1120" s="12" t="s">
        <v>164</v>
      </c>
      <c r="K1120" s="12" t="s">
        <v>6646</v>
      </c>
      <c r="L1120" s="12" t="s">
        <v>1686</v>
      </c>
      <c r="M1120" s="12" t="s">
        <v>1686</v>
      </c>
      <c r="N1120" s="12" t="s">
        <v>5785</v>
      </c>
      <c r="O1120" s="12" t="s">
        <v>1687</v>
      </c>
      <c r="P1120" s="12" t="s">
        <v>1688</v>
      </c>
      <c r="Q1120" s="12" t="s">
        <v>6664</v>
      </c>
      <c r="R1120" s="12" t="s">
        <v>17</v>
      </c>
      <c r="S1120" s="12" t="s">
        <v>17</v>
      </c>
      <c r="T1120" s="12" t="s">
        <v>11</v>
      </c>
      <c r="U1120" s="12" t="s">
        <v>17</v>
      </c>
      <c r="V1120" s="12" t="s">
        <v>1866</v>
      </c>
      <c r="W1120" s="12" t="s">
        <v>7415</v>
      </c>
      <c r="X1120" s="12" t="s">
        <v>17</v>
      </c>
      <c r="Y1120" s="12">
        <v>1175140</v>
      </c>
      <c r="Z1120" s="12" t="s">
        <v>6613</v>
      </c>
      <c r="AA1120" s="12" t="s">
        <v>6613</v>
      </c>
      <c r="AB1120" s="12" t="s">
        <v>6613</v>
      </c>
      <c r="AC1120" s="12" t="s">
        <v>6613</v>
      </c>
      <c r="AD1120" s="12" t="s">
        <v>6613</v>
      </c>
      <c r="AE1120" s="12" t="s">
        <v>6613</v>
      </c>
      <c r="AF1120" s="12" t="s">
        <v>45</v>
      </c>
    </row>
    <row r="1121" spans="1:32" x14ac:dyDescent="0.2">
      <c r="A1121" s="12" t="s">
        <v>1748</v>
      </c>
      <c r="B1121" s="12" t="s">
        <v>1749</v>
      </c>
      <c r="C1121" s="12" t="s">
        <v>17</v>
      </c>
      <c r="D1121" s="12" t="s">
        <v>17</v>
      </c>
      <c r="E1121" s="12" t="s">
        <v>7678</v>
      </c>
      <c r="F1121" s="12" t="s">
        <v>5458</v>
      </c>
      <c r="G1121" s="12" t="s">
        <v>615</v>
      </c>
      <c r="H1121" s="12" t="s">
        <v>6613</v>
      </c>
      <c r="I1121" s="12">
        <v>0</v>
      </c>
      <c r="J1121" s="12" t="s">
        <v>164</v>
      </c>
      <c r="K1121" s="12" t="s">
        <v>6646</v>
      </c>
      <c r="L1121" s="12" t="s">
        <v>1686</v>
      </c>
      <c r="M1121" s="12" t="s">
        <v>1686</v>
      </c>
      <c r="N1121" s="12" t="s">
        <v>5785</v>
      </c>
      <c r="O1121" s="12" t="s">
        <v>1687</v>
      </c>
      <c r="P1121" s="12" t="s">
        <v>1688</v>
      </c>
      <c r="Q1121" s="12" t="s">
        <v>6664</v>
      </c>
      <c r="R1121" s="12" t="s">
        <v>17</v>
      </c>
      <c r="S1121" s="12" t="s">
        <v>17</v>
      </c>
      <c r="T1121" s="12" t="s">
        <v>11</v>
      </c>
      <c r="U1121" s="12" t="s">
        <v>17</v>
      </c>
      <c r="V1121" s="12" t="s">
        <v>666</v>
      </c>
      <c r="W1121" s="12" t="s">
        <v>7415</v>
      </c>
      <c r="X1121" s="12" t="s">
        <v>17</v>
      </c>
      <c r="Y1121" s="12">
        <v>1175427</v>
      </c>
      <c r="Z1121" s="12" t="s">
        <v>6613</v>
      </c>
      <c r="AA1121" s="12" t="s">
        <v>6613</v>
      </c>
      <c r="AB1121" s="12" t="s">
        <v>6613</v>
      </c>
      <c r="AC1121" s="12" t="s">
        <v>6613</v>
      </c>
      <c r="AD1121" s="12" t="s">
        <v>6613</v>
      </c>
      <c r="AE1121" s="12" t="s">
        <v>6613</v>
      </c>
      <c r="AF1121" s="12" t="s">
        <v>45</v>
      </c>
    </row>
    <row r="1122" spans="1:32" x14ac:dyDescent="0.2">
      <c r="A1122" s="12" t="s">
        <v>1877</v>
      </c>
      <c r="B1122" s="12" t="s">
        <v>1878</v>
      </c>
      <c r="C1122" s="12" t="s">
        <v>17</v>
      </c>
      <c r="D1122" s="12" t="s">
        <v>17</v>
      </c>
      <c r="E1122" s="12" t="s">
        <v>7678</v>
      </c>
      <c r="F1122" s="12" t="s">
        <v>5458</v>
      </c>
      <c r="G1122" s="12" t="s">
        <v>615</v>
      </c>
      <c r="H1122" s="12" t="s">
        <v>6613</v>
      </c>
      <c r="I1122" s="12">
        <v>0</v>
      </c>
      <c r="J1122" s="12" t="s">
        <v>164</v>
      </c>
      <c r="K1122" s="12" t="s">
        <v>6646</v>
      </c>
      <c r="L1122" s="12" t="s">
        <v>1686</v>
      </c>
      <c r="M1122" s="12" t="s">
        <v>1686</v>
      </c>
      <c r="N1122" s="12" t="s">
        <v>5785</v>
      </c>
      <c r="O1122" s="12" t="s">
        <v>1687</v>
      </c>
      <c r="P1122" s="12" t="s">
        <v>1688</v>
      </c>
      <c r="Q1122" s="12" t="s">
        <v>6664</v>
      </c>
      <c r="R1122" s="12" t="s">
        <v>17</v>
      </c>
      <c r="S1122" s="12" t="s">
        <v>17</v>
      </c>
      <c r="T1122" s="12" t="s">
        <v>11</v>
      </c>
      <c r="U1122" s="12" t="s">
        <v>17</v>
      </c>
      <c r="V1122" s="12" t="s">
        <v>1879</v>
      </c>
      <c r="W1122" s="12" t="s">
        <v>7415</v>
      </c>
      <c r="X1122" s="12" t="s">
        <v>17</v>
      </c>
      <c r="Y1122" s="12">
        <v>1175812</v>
      </c>
      <c r="Z1122" s="12" t="s">
        <v>6613</v>
      </c>
      <c r="AA1122" s="12" t="s">
        <v>6613</v>
      </c>
      <c r="AB1122" s="12" t="s">
        <v>6613</v>
      </c>
      <c r="AC1122" s="12" t="s">
        <v>6613</v>
      </c>
      <c r="AD1122" s="12" t="s">
        <v>6613</v>
      </c>
      <c r="AE1122" s="12" t="s">
        <v>6613</v>
      </c>
      <c r="AF1122" s="12" t="s">
        <v>45</v>
      </c>
    </row>
    <row r="1123" spans="1:32" x14ac:dyDescent="0.2">
      <c r="A1123" s="12" t="s">
        <v>1864</v>
      </c>
      <c r="B1123" s="12" t="s">
        <v>1865</v>
      </c>
      <c r="C1123" s="12" t="s">
        <v>17</v>
      </c>
      <c r="D1123" s="12" t="s">
        <v>17</v>
      </c>
      <c r="E1123" s="12" t="s">
        <v>7678</v>
      </c>
      <c r="F1123" s="12" t="s">
        <v>5458</v>
      </c>
      <c r="G1123" s="12" t="s">
        <v>615</v>
      </c>
      <c r="H1123" s="12" t="s">
        <v>6613</v>
      </c>
      <c r="I1123" s="12">
        <v>0</v>
      </c>
      <c r="J1123" s="12" t="s">
        <v>164</v>
      </c>
      <c r="K1123" s="12" t="s">
        <v>6646</v>
      </c>
      <c r="L1123" s="12" t="s">
        <v>1686</v>
      </c>
      <c r="M1123" s="12" t="s">
        <v>1686</v>
      </c>
      <c r="N1123" s="12" t="s">
        <v>5785</v>
      </c>
      <c r="O1123" s="12" t="s">
        <v>1687</v>
      </c>
      <c r="P1123" s="12" t="s">
        <v>1688</v>
      </c>
      <c r="Q1123" s="12" t="s">
        <v>6664</v>
      </c>
      <c r="R1123" s="12" t="s">
        <v>17</v>
      </c>
      <c r="S1123" s="12" t="s">
        <v>17</v>
      </c>
      <c r="T1123" s="12" t="s">
        <v>11</v>
      </c>
      <c r="U1123" s="12" t="s">
        <v>17</v>
      </c>
      <c r="V1123" s="12" t="s">
        <v>1866</v>
      </c>
      <c r="W1123" s="12" t="s">
        <v>7415</v>
      </c>
      <c r="X1123" s="12" t="s">
        <v>17</v>
      </c>
      <c r="Y1123" s="12">
        <v>1175819</v>
      </c>
      <c r="Z1123" s="12" t="s">
        <v>6613</v>
      </c>
      <c r="AA1123" s="12" t="s">
        <v>6613</v>
      </c>
      <c r="AB1123" s="12" t="s">
        <v>6613</v>
      </c>
      <c r="AC1123" s="12" t="s">
        <v>6613</v>
      </c>
      <c r="AD1123" s="12" t="s">
        <v>6613</v>
      </c>
      <c r="AE1123" s="12" t="s">
        <v>6613</v>
      </c>
      <c r="AF1123" s="12" t="s">
        <v>45</v>
      </c>
    </row>
    <row r="1124" spans="1:32" x14ac:dyDescent="0.2">
      <c r="A1124" s="12" t="s">
        <v>1787</v>
      </c>
      <c r="B1124" s="12" t="s">
        <v>1788</v>
      </c>
      <c r="C1124" s="12" t="s">
        <v>17</v>
      </c>
      <c r="D1124" s="12" t="s">
        <v>17</v>
      </c>
      <c r="E1124" s="12" t="s">
        <v>7678</v>
      </c>
      <c r="F1124" s="12" t="s">
        <v>5458</v>
      </c>
      <c r="G1124" s="12" t="s">
        <v>615</v>
      </c>
      <c r="H1124" s="12" t="s">
        <v>6613</v>
      </c>
      <c r="I1124" s="12">
        <v>0</v>
      </c>
      <c r="J1124" s="12" t="s">
        <v>164</v>
      </c>
      <c r="K1124" s="12" t="s">
        <v>6646</v>
      </c>
      <c r="L1124" s="12" t="s">
        <v>1686</v>
      </c>
      <c r="M1124" s="12" t="s">
        <v>1686</v>
      </c>
      <c r="N1124" s="12" t="s">
        <v>5785</v>
      </c>
      <c r="O1124" s="12" t="s">
        <v>1687</v>
      </c>
      <c r="P1124" s="12" t="s">
        <v>1688</v>
      </c>
      <c r="Q1124" s="12" t="s">
        <v>6664</v>
      </c>
      <c r="R1124" s="12" t="s">
        <v>17</v>
      </c>
      <c r="S1124" s="12" t="s">
        <v>17</v>
      </c>
      <c r="T1124" s="12" t="s">
        <v>11</v>
      </c>
      <c r="U1124" s="12" t="s">
        <v>17</v>
      </c>
      <c r="V1124" s="12" t="s">
        <v>708</v>
      </c>
      <c r="W1124" s="12" t="s">
        <v>7415</v>
      </c>
      <c r="X1124" s="12" t="s">
        <v>17</v>
      </c>
      <c r="Y1124" s="12">
        <v>1175956</v>
      </c>
      <c r="Z1124" s="12" t="s">
        <v>6613</v>
      </c>
      <c r="AA1124" s="12" t="s">
        <v>6613</v>
      </c>
      <c r="AB1124" s="12" t="s">
        <v>6613</v>
      </c>
      <c r="AC1124" s="12" t="s">
        <v>6613</v>
      </c>
      <c r="AD1124" s="12" t="s">
        <v>6613</v>
      </c>
      <c r="AE1124" s="12" t="s">
        <v>6613</v>
      </c>
      <c r="AF1124" s="12" t="s">
        <v>45</v>
      </c>
    </row>
    <row r="1125" spans="1:32" x14ac:dyDescent="0.2">
      <c r="A1125" s="12" t="s">
        <v>1880</v>
      </c>
      <c r="B1125" s="12" t="s">
        <v>1881</v>
      </c>
      <c r="C1125" s="12" t="s">
        <v>17</v>
      </c>
      <c r="D1125" s="12" t="s">
        <v>17</v>
      </c>
      <c r="E1125" s="12" t="s">
        <v>7678</v>
      </c>
      <c r="F1125" s="12" t="s">
        <v>5458</v>
      </c>
      <c r="G1125" s="12" t="s">
        <v>615</v>
      </c>
      <c r="H1125" s="12" t="s">
        <v>6613</v>
      </c>
      <c r="I1125" s="12">
        <v>0</v>
      </c>
      <c r="J1125" s="12" t="s">
        <v>164</v>
      </c>
      <c r="K1125" s="12" t="s">
        <v>6646</v>
      </c>
      <c r="L1125" s="12" t="s">
        <v>1686</v>
      </c>
      <c r="M1125" s="12" t="s">
        <v>1686</v>
      </c>
      <c r="N1125" s="12" t="s">
        <v>5785</v>
      </c>
      <c r="O1125" s="12" t="s">
        <v>1687</v>
      </c>
      <c r="P1125" s="12" t="s">
        <v>1688</v>
      </c>
      <c r="Q1125" s="12" t="s">
        <v>6664</v>
      </c>
      <c r="R1125" s="12" t="s">
        <v>17</v>
      </c>
      <c r="S1125" s="12" t="s">
        <v>17</v>
      </c>
      <c r="T1125" s="12" t="s">
        <v>11</v>
      </c>
      <c r="U1125" s="12" t="s">
        <v>17</v>
      </c>
      <c r="V1125" s="12" t="s">
        <v>1826</v>
      </c>
      <c r="W1125" s="12" t="s">
        <v>7415</v>
      </c>
      <c r="X1125" s="12" t="s">
        <v>17</v>
      </c>
      <c r="Y1125" s="12">
        <v>1176600</v>
      </c>
      <c r="Z1125" s="12" t="s">
        <v>6613</v>
      </c>
      <c r="AA1125" s="12" t="s">
        <v>6613</v>
      </c>
      <c r="AB1125" s="12" t="s">
        <v>6613</v>
      </c>
      <c r="AC1125" s="12" t="s">
        <v>6613</v>
      </c>
      <c r="AD1125" s="12" t="s">
        <v>6613</v>
      </c>
      <c r="AE1125" s="12" t="s">
        <v>6613</v>
      </c>
      <c r="AF1125" s="12" t="s">
        <v>45</v>
      </c>
    </row>
    <row r="1126" spans="1:32" x14ac:dyDescent="0.2">
      <c r="A1126" s="12" t="s">
        <v>1750</v>
      </c>
      <c r="B1126" s="12" t="s">
        <v>1751</v>
      </c>
      <c r="C1126" s="12" t="s">
        <v>17</v>
      </c>
      <c r="D1126" s="12" t="s">
        <v>17</v>
      </c>
      <c r="E1126" s="12" t="s">
        <v>7678</v>
      </c>
      <c r="F1126" s="12" t="s">
        <v>5458</v>
      </c>
      <c r="G1126" s="12" t="s">
        <v>615</v>
      </c>
      <c r="H1126" s="12" t="s">
        <v>6613</v>
      </c>
      <c r="I1126" s="12">
        <v>0</v>
      </c>
      <c r="J1126" s="12" t="s">
        <v>164</v>
      </c>
      <c r="K1126" s="12" t="s">
        <v>6646</v>
      </c>
      <c r="L1126" s="12" t="s">
        <v>1686</v>
      </c>
      <c r="M1126" s="12" t="s">
        <v>1686</v>
      </c>
      <c r="N1126" s="12" t="s">
        <v>5785</v>
      </c>
      <c r="O1126" s="12" t="s">
        <v>1687</v>
      </c>
      <c r="P1126" s="12" t="s">
        <v>1688</v>
      </c>
      <c r="Q1126" s="12" t="s">
        <v>6664</v>
      </c>
      <c r="R1126" s="12" t="s">
        <v>17</v>
      </c>
      <c r="S1126" s="12" t="s">
        <v>17</v>
      </c>
      <c r="T1126" s="12" t="s">
        <v>11</v>
      </c>
      <c r="U1126" s="12" t="s">
        <v>17</v>
      </c>
      <c r="V1126" s="12" t="s">
        <v>755</v>
      </c>
      <c r="W1126" s="12" t="s">
        <v>7415</v>
      </c>
      <c r="X1126" s="12" t="s">
        <v>17</v>
      </c>
      <c r="Y1126" s="12">
        <v>1176650</v>
      </c>
      <c r="Z1126" s="12" t="s">
        <v>6613</v>
      </c>
      <c r="AA1126" s="12" t="s">
        <v>6613</v>
      </c>
      <c r="AB1126" s="12" t="s">
        <v>6613</v>
      </c>
      <c r="AC1126" s="12" t="s">
        <v>6613</v>
      </c>
      <c r="AD1126" s="12" t="s">
        <v>6613</v>
      </c>
      <c r="AE1126" s="12" t="s">
        <v>6613</v>
      </c>
      <c r="AF1126" s="12" t="s">
        <v>45</v>
      </c>
    </row>
    <row r="1127" spans="1:32" x14ac:dyDescent="0.2">
      <c r="A1127" s="12" t="s">
        <v>1898</v>
      </c>
      <c r="B1127" s="12" t="s">
        <v>1899</v>
      </c>
      <c r="C1127" s="12" t="s">
        <v>17</v>
      </c>
      <c r="D1127" s="12" t="s">
        <v>17</v>
      </c>
      <c r="E1127" s="12" t="s">
        <v>7678</v>
      </c>
      <c r="F1127" s="12" t="s">
        <v>5458</v>
      </c>
      <c r="G1127" s="12" t="s">
        <v>615</v>
      </c>
      <c r="H1127" s="12" t="s">
        <v>6613</v>
      </c>
      <c r="I1127" s="12">
        <v>0</v>
      </c>
      <c r="J1127" s="12" t="s">
        <v>164</v>
      </c>
      <c r="K1127" s="12" t="s">
        <v>6646</v>
      </c>
      <c r="L1127" s="12" t="s">
        <v>1686</v>
      </c>
      <c r="M1127" s="12" t="s">
        <v>1686</v>
      </c>
      <c r="N1127" s="12" t="s">
        <v>5785</v>
      </c>
      <c r="O1127" s="12" t="s">
        <v>1687</v>
      </c>
      <c r="P1127" s="12" t="s">
        <v>1688</v>
      </c>
      <c r="Q1127" s="12" t="s">
        <v>6664</v>
      </c>
      <c r="R1127" s="12" t="s">
        <v>17</v>
      </c>
      <c r="S1127" s="12" t="s">
        <v>17</v>
      </c>
      <c r="T1127" s="12" t="s">
        <v>11</v>
      </c>
      <c r="U1127" s="12" t="s">
        <v>17</v>
      </c>
      <c r="V1127" s="12" t="s">
        <v>1900</v>
      </c>
      <c r="W1127" s="12" t="s">
        <v>7415</v>
      </c>
      <c r="X1127" s="12" t="s">
        <v>17</v>
      </c>
      <c r="Y1127" s="12">
        <v>1177475</v>
      </c>
      <c r="Z1127" s="12" t="s">
        <v>6613</v>
      </c>
      <c r="AA1127" s="12" t="s">
        <v>6613</v>
      </c>
      <c r="AB1127" s="12" t="s">
        <v>6613</v>
      </c>
      <c r="AC1127" s="12" t="s">
        <v>6613</v>
      </c>
      <c r="AD1127" s="12" t="s">
        <v>6613</v>
      </c>
      <c r="AE1127" s="12" t="s">
        <v>6613</v>
      </c>
      <c r="AF1127" s="12" t="s">
        <v>45</v>
      </c>
    </row>
    <row r="1128" spans="1:32" x14ac:dyDescent="0.2">
      <c r="A1128" s="12" t="s">
        <v>1886</v>
      </c>
      <c r="B1128" s="12" t="s">
        <v>1887</v>
      </c>
      <c r="C1128" s="12" t="s">
        <v>17</v>
      </c>
      <c r="D1128" s="12" t="s">
        <v>17</v>
      </c>
      <c r="E1128" s="12" t="s">
        <v>7678</v>
      </c>
      <c r="F1128" s="12" t="s">
        <v>5458</v>
      </c>
      <c r="G1128" s="12" t="s">
        <v>615</v>
      </c>
      <c r="H1128" s="12" t="s">
        <v>6613</v>
      </c>
      <c r="I1128" s="12">
        <v>0</v>
      </c>
      <c r="J1128" s="12" t="s">
        <v>164</v>
      </c>
      <c r="K1128" s="12" t="s">
        <v>6646</v>
      </c>
      <c r="L1128" s="12" t="s">
        <v>1686</v>
      </c>
      <c r="M1128" s="12" t="s">
        <v>1686</v>
      </c>
      <c r="N1128" s="12" t="s">
        <v>5785</v>
      </c>
      <c r="O1128" s="12" t="s">
        <v>1687</v>
      </c>
      <c r="P1128" s="12" t="s">
        <v>1688</v>
      </c>
      <c r="Q1128" s="12" t="s">
        <v>6664</v>
      </c>
      <c r="R1128" s="12" t="s">
        <v>17</v>
      </c>
      <c r="S1128" s="12" t="s">
        <v>17</v>
      </c>
      <c r="T1128" s="12" t="s">
        <v>11</v>
      </c>
      <c r="U1128" s="12" t="s">
        <v>17</v>
      </c>
      <c r="V1128" s="12" t="s">
        <v>1717</v>
      </c>
      <c r="W1128" s="12" t="s">
        <v>7415</v>
      </c>
      <c r="X1128" s="12" t="s">
        <v>17</v>
      </c>
      <c r="Y1128" s="12">
        <v>1177974</v>
      </c>
      <c r="Z1128" s="12" t="s">
        <v>6613</v>
      </c>
      <c r="AA1128" s="12" t="s">
        <v>6613</v>
      </c>
      <c r="AB1128" s="12" t="s">
        <v>6613</v>
      </c>
      <c r="AC1128" s="12" t="s">
        <v>6613</v>
      </c>
      <c r="AD1128" s="12" t="s">
        <v>6613</v>
      </c>
      <c r="AE1128" s="12" t="s">
        <v>6613</v>
      </c>
      <c r="AF1128" s="12" t="s">
        <v>45</v>
      </c>
    </row>
    <row r="1129" spans="1:32" x14ac:dyDescent="0.2">
      <c r="A1129" s="12" t="s">
        <v>1720</v>
      </c>
      <c r="B1129" s="12" t="s">
        <v>1721</v>
      </c>
      <c r="C1129" s="12" t="s">
        <v>17</v>
      </c>
      <c r="D1129" s="12" t="s">
        <v>17</v>
      </c>
      <c r="E1129" s="12" t="s">
        <v>7678</v>
      </c>
      <c r="F1129" s="12" t="s">
        <v>5458</v>
      </c>
      <c r="G1129" s="12" t="s">
        <v>615</v>
      </c>
      <c r="H1129" s="12" t="s">
        <v>6613</v>
      </c>
      <c r="I1129" s="12">
        <v>0</v>
      </c>
      <c r="J1129" s="12" t="s">
        <v>164</v>
      </c>
      <c r="K1129" s="12" t="s">
        <v>6646</v>
      </c>
      <c r="L1129" s="12" t="s">
        <v>1686</v>
      </c>
      <c r="M1129" s="12" t="s">
        <v>1686</v>
      </c>
      <c r="N1129" s="12" t="s">
        <v>5785</v>
      </c>
      <c r="O1129" s="12" t="s">
        <v>1687</v>
      </c>
      <c r="P1129" s="12" t="s">
        <v>1688</v>
      </c>
      <c r="Q1129" s="12" t="s">
        <v>6664</v>
      </c>
      <c r="R1129" s="12" t="s">
        <v>17</v>
      </c>
      <c r="S1129" s="12" t="s">
        <v>17</v>
      </c>
      <c r="T1129" s="12" t="s">
        <v>11</v>
      </c>
      <c r="U1129" s="12" t="s">
        <v>17</v>
      </c>
      <c r="V1129" s="12" t="s">
        <v>1722</v>
      </c>
      <c r="W1129" s="12" t="s">
        <v>7415</v>
      </c>
      <c r="X1129" s="12" t="s">
        <v>17</v>
      </c>
      <c r="Y1129" s="12">
        <v>1178206</v>
      </c>
      <c r="Z1129" s="12" t="s">
        <v>6613</v>
      </c>
      <c r="AA1129" s="12" t="s">
        <v>6613</v>
      </c>
      <c r="AB1129" s="12" t="s">
        <v>6613</v>
      </c>
      <c r="AC1129" s="12" t="s">
        <v>6613</v>
      </c>
      <c r="AD1129" s="12" t="s">
        <v>6613</v>
      </c>
      <c r="AE1129" s="12" t="s">
        <v>6613</v>
      </c>
      <c r="AF1129" s="12" t="s">
        <v>45</v>
      </c>
    </row>
    <row r="1130" spans="1:32" x14ac:dyDescent="0.2">
      <c r="A1130" s="12" t="s">
        <v>1901</v>
      </c>
      <c r="B1130" s="12" t="s">
        <v>1902</v>
      </c>
      <c r="C1130" s="12" t="s">
        <v>17</v>
      </c>
      <c r="D1130" s="12" t="s">
        <v>17</v>
      </c>
      <c r="E1130" s="12" t="s">
        <v>7678</v>
      </c>
      <c r="F1130" s="12" t="s">
        <v>5458</v>
      </c>
      <c r="G1130" s="12" t="s">
        <v>615</v>
      </c>
      <c r="H1130" s="12" t="s">
        <v>6613</v>
      </c>
      <c r="I1130" s="12">
        <v>0</v>
      </c>
      <c r="J1130" s="12" t="s">
        <v>164</v>
      </c>
      <c r="K1130" s="12" t="s">
        <v>6646</v>
      </c>
      <c r="L1130" s="12" t="s">
        <v>1686</v>
      </c>
      <c r="M1130" s="12" t="s">
        <v>1686</v>
      </c>
      <c r="N1130" s="12" t="s">
        <v>5785</v>
      </c>
      <c r="O1130" s="12" t="s">
        <v>1687</v>
      </c>
      <c r="P1130" s="12" t="s">
        <v>1688</v>
      </c>
      <c r="Q1130" s="12" t="s">
        <v>6664</v>
      </c>
      <c r="R1130" s="12" t="s">
        <v>17</v>
      </c>
      <c r="S1130" s="12" t="s">
        <v>17</v>
      </c>
      <c r="T1130" s="12" t="s">
        <v>11</v>
      </c>
      <c r="U1130" s="12" t="s">
        <v>17</v>
      </c>
      <c r="V1130" s="12" t="s">
        <v>413</v>
      </c>
      <c r="W1130" s="12" t="s">
        <v>7415</v>
      </c>
      <c r="X1130" s="12" t="s">
        <v>17</v>
      </c>
      <c r="Y1130" s="12">
        <v>1178256</v>
      </c>
      <c r="Z1130" s="12" t="s">
        <v>6613</v>
      </c>
      <c r="AA1130" s="12" t="s">
        <v>6613</v>
      </c>
      <c r="AB1130" s="12" t="s">
        <v>6613</v>
      </c>
      <c r="AC1130" s="12" t="s">
        <v>6613</v>
      </c>
      <c r="AD1130" s="12" t="s">
        <v>6613</v>
      </c>
      <c r="AE1130" s="12" t="s">
        <v>6613</v>
      </c>
      <c r="AF1130" s="12" t="s">
        <v>45</v>
      </c>
    </row>
    <row r="1131" spans="1:32" x14ac:dyDescent="0.2">
      <c r="A1131" s="12" t="s">
        <v>1835</v>
      </c>
      <c r="B1131" s="12" t="s">
        <v>1836</v>
      </c>
      <c r="C1131" s="12" t="s">
        <v>17</v>
      </c>
      <c r="D1131" s="12" t="s">
        <v>17</v>
      </c>
      <c r="E1131" s="12" t="s">
        <v>7678</v>
      </c>
      <c r="F1131" s="12" t="s">
        <v>5458</v>
      </c>
      <c r="G1131" s="12" t="s">
        <v>615</v>
      </c>
      <c r="H1131" s="12" t="s">
        <v>6613</v>
      </c>
      <c r="I1131" s="12">
        <v>0</v>
      </c>
      <c r="J1131" s="12" t="s">
        <v>164</v>
      </c>
      <c r="K1131" s="12" t="s">
        <v>6646</v>
      </c>
      <c r="L1131" s="12" t="s">
        <v>1686</v>
      </c>
      <c r="M1131" s="12" t="s">
        <v>1686</v>
      </c>
      <c r="N1131" s="12" t="s">
        <v>5785</v>
      </c>
      <c r="O1131" s="12" t="s">
        <v>1687</v>
      </c>
      <c r="P1131" s="12" t="s">
        <v>1688</v>
      </c>
      <c r="Q1131" s="12" t="s">
        <v>6664</v>
      </c>
      <c r="R1131" s="12" t="s">
        <v>17</v>
      </c>
      <c r="S1131" s="12" t="s">
        <v>17</v>
      </c>
      <c r="T1131" s="12" t="s">
        <v>11</v>
      </c>
      <c r="U1131" s="12" t="s">
        <v>17</v>
      </c>
      <c r="V1131" s="12" t="s">
        <v>708</v>
      </c>
      <c r="W1131" s="12" t="s">
        <v>7415</v>
      </c>
      <c r="X1131" s="12" t="s">
        <v>17</v>
      </c>
      <c r="Y1131" s="12">
        <v>1178907</v>
      </c>
      <c r="Z1131" s="12" t="s">
        <v>6613</v>
      </c>
      <c r="AA1131" s="12" t="s">
        <v>6613</v>
      </c>
      <c r="AB1131" s="12" t="s">
        <v>6613</v>
      </c>
      <c r="AC1131" s="12" t="s">
        <v>6613</v>
      </c>
      <c r="AD1131" s="12" t="s">
        <v>6613</v>
      </c>
      <c r="AE1131" s="12" t="s">
        <v>6613</v>
      </c>
      <c r="AF1131" s="12" t="s">
        <v>45</v>
      </c>
    </row>
    <row r="1132" spans="1:32" x14ac:dyDescent="0.2">
      <c r="A1132" s="12" t="s">
        <v>1894</v>
      </c>
      <c r="B1132" s="12" t="s">
        <v>1895</v>
      </c>
      <c r="C1132" s="12" t="s">
        <v>17</v>
      </c>
      <c r="D1132" s="12" t="s">
        <v>17</v>
      </c>
      <c r="E1132" s="12" t="s">
        <v>7678</v>
      </c>
      <c r="F1132" s="12" t="s">
        <v>5458</v>
      </c>
      <c r="G1132" s="12" t="s">
        <v>615</v>
      </c>
      <c r="H1132" s="12" t="s">
        <v>6613</v>
      </c>
      <c r="I1132" s="12">
        <v>0</v>
      </c>
      <c r="J1132" s="12" t="s">
        <v>164</v>
      </c>
      <c r="K1132" s="12" t="s">
        <v>6646</v>
      </c>
      <c r="L1132" s="12" t="s">
        <v>1686</v>
      </c>
      <c r="M1132" s="12" t="s">
        <v>1686</v>
      </c>
      <c r="N1132" s="12" t="s">
        <v>5785</v>
      </c>
      <c r="O1132" s="12" t="s">
        <v>1687</v>
      </c>
      <c r="P1132" s="12" t="s">
        <v>1688</v>
      </c>
      <c r="Q1132" s="12" t="s">
        <v>6664</v>
      </c>
      <c r="R1132" s="12" t="s">
        <v>17</v>
      </c>
      <c r="S1132" s="12" t="s">
        <v>17</v>
      </c>
      <c r="T1132" s="12" t="s">
        <v>11</v>
      </c>
      <c r="U1132" s="12" t="s">
        <v>17</v>
      </c>
      <c r="V1132" s="12" t="s">
        <v>708</v>
      </c>
      <c r="W1132" s="12" t="s">
        <v>7415</v>
      </c>
      <c r="X1132" s="12" t="s">
        <v>17</v>
      </c>
      <c r="Y1132" s="12">
        <v>1179666</v>
      </c>
      <c r="Z1132" s="12" t="s">
        <v>6613</v>
      </c>
      <c r="AA1132" s="12" t="s">
        <v>6613</v>
      </c>
      <c r="AB1132" s="12" t="s">
        <v>6613</v>
      </c>
      <c r="AC1132" s="12" t="s">
        <v>6613</v>
      </c>
      <c r="AD1132" s="12" t="s">
        <v>6613</v>
      </c>
      <c r="AE1132" s="12" t="s">
        <v>6613</v>
      </c>
      <c r="AF1132" s="12" t="s">
        <v>45</v>
      </c>
    </row>
    <row r="1133" spans="1:32" x14ac:dyDescent="0.2">
      <c r="A1133" s="12" t="s">
        <v>1888</v>
      </c>
      <c r="B1133" s="12" t="s">
        <v>1889</v>
      </c>
      <c r="C1133" s="12" t="s">
        <v>17</v>
      </c>
      <c r="D1133" s="12" t="s">
        <v>17</v>
      </c>
      <c r="E1133" s="12" t="s">
        <v>7678</v>
      </c>
      <c r="F1133" s="12" t="s">
        <v>5458</v>
      </c>
      <c r="G1133" s="12" t="s">
        <v>615</v>
      </c>
      <c r="H1133" s="12" t="s">
        <v>6613</v>
      </c>
      <c r="I1133" s="12">
        <v>0</v>
      </c>
      <c r="J1133" s="12" t="s">
        <v>164</v>
      </c>
      <c r="K1133" s="12" t="s">
        <v>6646</v>
      </c>
      <c r="L1133" s="12" t="s">
        <v>1686</v>
      </c>
      <c r="M1133" s="12" t="s">
        <v>1686</v>
      </c>
      <c r="N1133" s="12" t="s">
        <v>5785</v>
      </c>
      <c r="O1133" s="12" t="s">
        <v>1687</v>
      </c>
      <c r="P1133" s="12" t="s">
        <v>1688</v>
      </c>
      <c r="Q1133" s="12" t="s">
        <v>6664</v>
      </c>
      <c r="R1133" s="12" t="s">
        <v>17</v>
      </c>
      <c r="S1133" s="12" t="s">
        <v>17</v>
      </c>
      <c r="T1133" s="12" t="s">
        <v>11</v>
      </c>
      <c r="U1133" s="12" t="s">
        <v>17</v>
      </c>
      <c r="V1133" s="12" t="s">
        <v>1762</v>
      </c>
      <c r="W1133" s="12" t="s">
        <v>7415</v>
      </c>
      <c r="X1133" s="12" t="s">
        <v>17</v>
      </c>
      <c r="Y1133" s="12">
        <v>1180685</v>
      </c>
      <c r="Z1133" s="12" t="s">
        <v>6613</v>
      </c>
      <c r="AA1133" s="12" t="s">
        <v>6613</v>
      </c>
      <c r="AB1133" s="12" t="s">
        <v>6613</v>
      </c>
      <c r="AC1133" s="12" t="s">
        <v>6613</v>
      </c>
      <c r="AD1133" s="12" t="s">
        <v>6613</v>
      </c>
      <c r="AE1133" s="12" t="s">
        <v>6613</v>
      </c>
      <c r="AF1133" s="12" t="s">
        <v>45</v>
      </c>
    </row>
    <row r="1134" spans="1:32" x14ac:dyDescent="0.2">
      <c r="A1134" s="12" t="s">
        <v>2017</v>
      </c>
      <c r="B1134" s="12" t="s">
        <v>2018</v>
      </c>
      <c r="C1134" s="12" t="s">
        <v>2018</v>
      </c>
      <c r="D1134" s="12" t="s">
        <v>163</v>
      </c>
      <c r="E1134" s="12" t="s">
        <v>7676</v>
      </c>
      <c r="F1134" s="12" t="s">
        <v>5458</v>
      </c>
      <c r="G1134" s="12" t="s">
        <v>159</v>
      </c>
      <c r="H1134" s="12" t="s">
        <v>6614</v>
      </c>
      <c r="I1134" s="12">
        <v>0</v>
      </c>
      <c r="J1134" s="12" t="s">
        <v>164</v>
      </c>
      <c r="K1134" s="12" t="s">
        <v>6646</v>
      </c>
      <c r="L1134" s="12" t="s">
        <v>2019</v>
      </c>
      <c r="M1134" s="12" t="s">
        <v>2019</v>
      </c>
      <c r="N1134" s="12" t="s">
        <v>5785</v>
      </c>
      <c r="O1134" s="12" t="s">
        <v>17</v>
      </c>
      <c r="P1134" s="12" t="s">
        <v>173</v>
      </c>
      <c r="Q1134" s="12" t="s">
        <v>6664</v>
      </c>
      <c r="R1134" s="12">
        <v>33.498556010000001</v>
      </c>
      <c r="S1134" s="12">
        <v>70</v>
      </c>
      <c r="T1134" s="12" t="s">
        <v>11</v>
      </c>
      <c r="U1134" s="12" t="s">
        <v>17</v>
      </c>
      <c r="V1134" s="12" t="s">
        <v>2020</v>
      </c>
      <c r="W1134" s="12" t="s">
        <v>7415</v>
      </c>
      <c r="X1134" s="12">
        <v>63.62</v>
      </c>
      <c r="Y1134" s="12">
        <v>1119063</v>
      </c>
      <c r="Z1134" s="12" t="s">
        <v>6613</v>
      </c>
      <c r="AA1134" s="12" t="s">
        <v>6613</v>
      </c>
      <c r="AB1134" s="12" t="s">
        <v>6613</v>
      </c>
      <c r="AC1134" s="12" t="s">
        <v>6613</v>
      </c>
      <c r="AD1134" s="12" t="s">
        <v>6613</v>
      </c>
      <c r="AE1134" s="12" t="s">
        <v>6613</v>
      </c>
      <c r="AF1134" s="12" t="s">
        <v>45</v>
      </c>
    </row>
    <row r="1135" spans="1:32" x14ac:dyDescent="0.2">
      <c r="A1135" s="12" t="s">
        <v>2021</v>
      </c>
      <c r="B1135" s="12" t="s">
        <v>2022</v>
      </c>
      <c r="C1135" s="12" t="s">
        <v>2022</v>
      </c>
      <c r="D1135" s="12" t="s">
        <v>163</v>
      </c>
      <c r="E1135" s="12" t="s">
        <v>7676</v>
      </c>
      <c r="F1135" s="12" t="s">
        <v>5458</v>
      </c>
      <c r="G1135" s="12" t="s">
        <v>159</v>
      </c>
      <c r="H1135" s="12" t="s">
        <v>6614</v>
      </c>
      <c r="I1135" s="12">
        <v>0</v>
      </c>
      <c r="J1135" s="12" t="s">
        <v>164</v>
      </c>
      <c r="K1135" s="12" t="s">
        <v>6646</v>
      </c>
      <c r="L1135" s="12" t="s">
        <v>2019</v>
      </c>
      <c r="M1135" s="12" t="s">
        <v>2019</v>
      </c>
      <c r="N1135" s="12" t="s">
        <v>5785</v>
      </c>
      <c r="O1135" s="12" t="s">
        <v>17</v>
      </c>
      <c r="P1135" s="12" t="s">
        <v>173</v>
      </c>
      <c r="Q1135" s="12" t="s">
        <v>6664</v>
      </c>
      <c r="R1135" s="12">
        <v>33.498556010000001</v>
      </c>
      <c r="S1135" s="12">
        <v>70</v>
      </c>
      <c r="T1135" s="12" t="s">
        <v>11</v>
      </c>
      <c r="U1135" s="12" t="s">
        <v>17</v>
      </c>
      <c r="V1135" s="12" t="s">
        <v>2023</v>
      </c>
      <c r="W1135" s="12" t="s">
        <v>7415</v>
      </c>
      <c r="X1135" s="12">
        <v>65.989999999999995</v>
      </c>
      <c r="Y1135" s="12">
        <v>1119253</v>
      </c>
      <c r="Z1135" s="12" t="s">
        <v>6613</v>
      </c>
      <c r="AA1135" s="12" t="s">
        <v>6613</v>
      </c>
      <c r="AB1135" s="12" t="s">
        <v>6613</v>
      </c>
      <c r="AC1135" s="12" t="s">
        <v>6613</v>
      </c>
      <c r="AD1135" s="12" t="s">
        <v>6613</v>
      </c>
      <c r="AE1135" s="12" t="s">
        <v>6613</v>
      </c>
      <c r="AF1135" s="12" t="s">
        <v>45</v>
      </c>
    </row>
    <row r="1136" spans="1:32" x14ac:dyDescent="0.2">
      <c r="A1136" s="12" t="s">
        <v>2024</v>
      </c>
      <c r="B1136" s="12" t="s">
        <v>2025</v>
      </c>
      <c r="C1136" s="12" t="s">
        <v>17</v>
      </c>
      <c r="D1136" s="12" t="s">
        <v>17</v>
      </c>
      <c r="E1136" s="12" t="s">
        <v>7676</v>
      </c>
      <c r="F1136" s="12" t="s">
        <v>5458</v>
      </c>
      <c r="G1136" s="12" t="s">
        <v>222</v>
      </c>
      <c r="H1136" s="12" t="s">
        <v>6614</v>
      </c>
      <c r="I1136" s="12">
        <v>0</v>
      </c>
      <c r="J1136" s="12" t="s">
        <v>164</v>
      </c>
      <c r="K1136" s="12" t="s">
        <v>6646</v>
      </c>
      <c r="L1136" s="12" t="s">
        <v>2026</v>
      </c>
      <c r="M1136" s="12" t="s">
        <v>2026</v>
      </c>
      <c r="N1136" s="12" t="s">
        <v>5785</v>
      </c>
      <c r="O1136" s="12" t="s">
        <v>17</v>
      </c>
      <c r="P1136" s="12" t="s">
        <v>17</v>
      </c>
      <c r="Q1136" s="12" t="s">
        <v>6664</v>
      </c>
      <c r="R1136" s="12" t="s">
        <v>17</v>
      </c>
      <c r="S1136" s="12" t="s">
        <v>17</v>
      </c>
      <c r="T1136" s="12" t="s">
        <v>1126</v>
      </c>
      <c r="U1136" s="12" t="s">
        <v>17</v>
      </c>
      <c r="V1136" s="12" t="s">
        <v>7414</v>
      </c>
      <c r="W1136" s="12" t="s">
        <v>7414</v>
      </c>
      <c r="X1136" s="12" t="s">
        <v>17</v>
      </c>
      <c r="Y1136" s="12">
        <v>1181815</v>
      </c>
      <c r="Z1136" s="12" t="s">
        <v>6613</v>
      </c>
      <c r="AA1136" s="12" t="s">
        <v>6613</v>
      </c>
      <c r="AB1136" s="12" t="s">
        <v>6613</v>
      </c>
      <c r="AC1136" s="12" t="s">
        <v>6613</v>
      </c>
      <c r="AD1136" s="12" t="s">
        <v>6613</v>
      </c>
      <c r="AE1136" s="12" t="s">
        <v>6613</v>
      </c>
      <c r="AF1136" s="12" t="s">
        <v>45</v>
      </c>
    </row>
    <row r="1137" spans="1:32" x14ac:dyDescent="0.2">
      <c r="A1137" s="12" t="s">
        <v>2041</v>
      </c>
      <c r="B1137" s="12" t="s">
        <v>2042</v>
      </c>
      <c r="C1137" s="12" t="s">
        <v>17</v>
      </c>
      <c r="D1137" s="12" t="s">
        <v>17</v>
      </c>
      <c r="E1137" s="12" t="s">
        <v>7678</v>
      </c>
      <c r="F1137" s="12" t="s">
        <v>5458</v>
      </c>
      <c r="G1137" s="12" t="s">
        <v>830</v>
      </c>
      <c r="H1137" s="12" t="s">
        <v>6613</v>
      </c>
      <c r="I1137" s="12">
        <v>0</v>
      </c>
      <c r="J1137" s="12" t="s">
        <v>164</v>
      </c>
      <c r="K1137" s="12" t="s">
        <v>6646</v>
      </c>
      <c r="L1137" s="12" t="s">
        <v>2031</v>
      </c>
      <c r="M1137" s="12" t="s">
        <v>2031</v>
      </c>
      <c r="N1137" s="12" t="s">
        <v>5785</v>
      </c>
      <c r="O1137" s="12" t="s">
        <v>2032</v>
      </c>
      <c r="P1137" s="12" t="s">
        <v>166</v>
      </c>
      <c r="Q1137" s="12" t="s">
        <v>6664</v>
      </c>
      <c r="R1137" s="12" t="s">
        <v>17</v>
      </c>
      <c r="S1137" s="12" t="s">
        <v>17</v>
      </c>
      <c r="T1137" s="12" t="s">
        <v>11</v>
      </c>
      <c r="U1137" s="12" t="s">
        <v>17</v>
      </c>
      <c r="V1137" s="12" t="s">
        <v>262</v>
      </c>
      <c r="W1137" s="12" t="s">
        <v>7415</v>
      </c>
      <c r="X1137" s="12">
        <v>13.65</v>
      </c>
      <c r="Y1137" s="12">
        <v>1139202</v>
      </c>
      <c r="Z1137" s="12" t="s">
        <v>6613</v>
      </c>
      <c r="AA1137" s="12" t="s">
        <v>6613</v>
      </c>
      <c r="AB1137" s="12" t="s">
        <v>6613</v>
      </c>
      <c r="AC1137" s="12" t="s">
        <v>6613</v>
      </c>
      <c r="AD1137" s="12" t="s">
        <v>6613</v>
      </c>
      <c r="AE1137" s="12" t="s">
        <v>6613</v>
      </c>
      <c r="AF1137" s="12" t="s">
        <v>45</v>
      </c>
    </row>
    <row r="1138" spans="1:32" x14ac:dyDescent="0.2">
      <c r="A1138" s="12" t="s">
        <v>2035</v>
      </c>
      <c r="B1138" s="12" t="s">
        <v>2036</v>
      </c>
      <c r="C1138" s="12" t="s">
        <v>17</v>
      </c>
      <c r="D1138" s="12" t="s">
        <v>17</v>
      </c>
      <c r="E1138" s="12" t="s">
        <v>7678</v>
      </c>
      <c r="F1138" s="12" t="s">
        <v>5458</v>
      </c>
      <c r="G1138" s="12" t="s">
        <v>830</v>
      </c>
      <c r="H1138" s="12" t="s">
        <v>6613</v>
      </c>
      <c r="I1138" s="12">
        <v>0</v>
      </c>
      <c r="J1138" s="12" t="s">
        <v>164</v>
      </c>
      <c r="K1138" s="12" t="s">
        <v>6646</v>
      </c>
      <c r="L1138" s="12" t="s">
        <v>2031</v>
      </c>
      <c r="M1138" s="12" t="s">
        <v>2031</v>
      </c>
      <c r="N1138" s="12" t="s">
        <v>5785</v>
      </c>
      <c r="O1138" s="12" t="s">
        <v>2032</v>
      </c>
      <c r="P1138" s="12" t="s">
        <v>166</v>
      </c>
      <c r="Q1138" s="12" t="s">
        <v>6664</v>
      </c>
      <c r="R1138" s="12" t="s">
        <v>17</v>
      </c>
      <c r="S1138" s="12" t="s">
        <v>17</v>
      </c>
      <c r="T1138" s="12" t="s">
        <v>11</v>
      </c>
      <c r="U1138" s="12" t="s">
        <v>17</v>
      </c>
      <c r="V1138" s="12" t="s">
        <v>253</v>
      </c>
      <c r="W1138" s="12" t="s">
        <v>7415</v>
      </c>
      <c r="X1138" s="12">
        <v>13.87</v>
      </c>
      <c r="Y1138" s="12">
        <v>1139656</v>
      </c>
      <c r="Z1138" s="12" t="s">
        <v>6613</v>
      </c>
      <c r="AA1138" s="12" t="s">
        <v>6613</v>
      </c>
      <c r="AB1138" s="12" t="s">
        <v>6613</v>
      </c>
      <c r="AC1138" s="12" t="s">
        <v>6613</v>
      </c>
      <c r="AD1138" s="12" t="s">
        <v>6613</v>
      </c>
      <c r="AE1138" s="12" t="s">
        <v>6613</v>
      </c>
      <c r="AF1138" s="12" t="s">
        <v>45</v>
      </c>
    </row>
    <row r="1139" spans="1:32" x14ac:dyDescent="0.2">
      <c r="A1139" s="12" t="s">
        <v>2045</v>
      </c>
      <c r="B1139" s="12" t="s">
        <v>2046</v>
      </c>
      <c r="C1139" s="12" t="s">
        <v>17</v>
      </c>
      <c r="D1139" s="12" t="s">
        <v>17</v>
      </c>
      <c r="E1139" s="12" t="s">
        <v>7678</v>
      </c>
      <c r="F1139" s="12" t="s">
        <v>5458</v>
      </c>
      <c r="G1139" s="12" t="s">
        <v>830</v>
      </c>
      <c r="H1139" s="12" t="s">
        <v>6613</v>
      </c>
      <c r="I1139" s="12">
        <v>0</v>
      </c>
      <c r="J1139" s="12" t="s">
        <v>164</v>
      </c>
      <c r="K1139" s="12" t="s">
        <v>6646</v>
      </c>
      <c r="L1139" s="12" t="s">
        <v>2031</v>
      </c>
      <c r="M1139" s="12" t="s">
        <v>2031</v>
      </c>
      <c r="N1139" s="12" t="s">
        <v>5785</v>
      </c>
      <c r="O1139" s="12" t="s">
        <v>2032</v>
      </c>
      <c r="P1139" s="12" t="s">
        <v>166</v>
      </c>
      <c r="Q1139" s="12" t="s">
        <v>6664</v>
      </c>
      <c r="R1139" s="12" t="s">
        <v>17</v>
      </c>
      <c r="S1139" s="12" t="s">
        <v>17</v>
      </c>
      <c r="T1139" s="12" t="s">
        <v>11</v>
      </c>
      <c r="U1139" s="12" t="s">
        <v>17</v>
      </c>
      <c r="V1139" s="12" t="s">
        <v>2047</v>
      </c>
      <c r="W1139" s="12" t="s">
        <v>7415</v>
      </c>
      <c r="X1139" s="12">
        <v>14.22</v>
      </c>
      <c r="Y1139" s="12">
        <v>1139751</v>
      </c>
      <c r="Z1139" s="12" t="s">
        <v>6613</v>
      </c>
      <c r="AA1139" s="12" t="s">
        <v>6613</v>
      </c>
      <c r="AB1139" s="12" t="s">
        <v>6613</v>
      </c>
      <c r="AC1139" s="12" t="s">
        <v>6613</v>
      </c>
      <c r="AD1139" s="12" t="s">
        <v>6613</v>
      </c>
      <c r="AE1139" s="12" t="s">
        <v>6613</v>
      </c>
      <c r="AF1139" s="12" t="s">
        <v>45</v>
      </c>
    </row>
    <row r="1140" spans="1:32" x14ac:dyDescent="0.2">
      <c r="A1140" s="12" t="s">
        <v>2043</v>
      </c>
      <c r="B1140" s="12" t="s">
        <v>2044</v>
      </c>
      <c r="C1140" s="12" t="s">
        <v>17</v>
      </c>
      <c r="D1140" s="12" t="s">
        <v>17</v>
      </c>
      <c r="E1140" s="12" t="s">
        <v>7678</v>
      </c>
      <c r="F1140" s="12" t="s">
        <v>5458</v>
      </c>
      <c r="G1140" s="12" t="s">
        <v>830</v>
      </c>
      <c r="H1140" s="12" t="s">
        <v>6613</v>
      </c>
      <c r="I1140" s="12">
        <v>0</v>
      </c>
      <c r="J1140" s="12" t="s">
        <v>164</v>
      </c>
      <c r="K1140" s="12" t="s">
        <v>6646</v>
      </c>
      <c r="L1140" s="12" t="s">
        <v>2031</v>
      </c>
      <c r="M1140" s="12" t="s">
        <v>2031</v>
      </c>
      <c r="N1140" s="12" t="s">
        <v>5785</v>
      </c>
      <c r="O1140" s="12" t="s">
        <v>2032</v>
      </c>
      <c r="P1140" s="12" t="s">
        <v>166</v>
      </c>
      <c r="Q1140" s="12" t="s">
        <v>6664</v>
      </c>
      <c r="R1140" s="12" t="s">
        <v>17</v>
      </c>
      <c r="S1140" s="12" t="s">
        <v>17</v>
      </c>
      <c r="T1140" s="12" t="s">
        <v>11</v>
      </c>
      <c r="U1140" s="12" t="s">
        <v>17</v>
      </c>
      <c r="V1140" s="12" t="s">
        <v>841</v>
      </c>
      <c r="W1140" s="12" t="s">
        <v>7415</v>
      </c>
      <c r="X1140" s="12">
        <v>14.18</v>
      </c>
      <c r="Y1140" s="12">
        <v>1139763</v>
      </c>
      <c r="Z1140" s="12" t="s">
        <v>6613</v>
      </c>
      <c r="AA1140" s="12" t="s">
        <v>6613</v>
      </c>
      <c r="AB1140" s="12" t="s">
        <v>6613</v>
      </c>
      <c r="AC1140" s="12" t="s">
        <v>6613</v>
      </c>
      <c r="AD1140" s="12" t="s">
        <v>6613</v>
      </c>
      <c r="AE1140" s="12" t="s">
        <v>6613</v>
      </c>
      <c r="AF1140" s="12" t="s">
        <v>45</v>
      </c>
    </row>
    <row r="1141" spans="1:32" x14ac:dyDescent="0.2">
      <c r="A1141" s="12" t="s">
        <v>2039</v>
      </c>
      <c r="B1141" s="12" t="s">
        <v>2040</v>
      </c>
      <c r="C1141" s="12" t="s">
        <v>17</v>
      </c>
      <c r="D1141" s="12" t="s">
        <v>17</v>
      </c>
      <c r="E1141" s="12" t="s">
        <v>7678</v>
      </c>
      <c r="F1141" s="12" t="s">
        <v>5458</v>
      </c>
      <c r="G1141" s="12" t="s">
        <v>830</v>
      </c>
      <c r="H1141" s="12" t="s">
        <v>6613</v>
      </c>
      <c r="I1141" s="12">
        <v>0</v>
      </c>
      <c r="J1141" s="12" t="s">
        <v>164</v>
      </c>
      <c r="K1141" s="12" t="s">
        <v>6646</v>
      </c>
      <c r="L1141" s="12" t="s">
        <v>2031</v>
      </c>
      <c r="M1141" s="12" t="s">
        <v>2031</v>
      </c>
      <c r="N1141" s="12" t="s">
        <v>5785</v>
      </c>
      <c r="O1141" s="12" t="s">
        <v>2032</v>
      </c>
      <c r="P1141" s="12" t="s">
        <v>166</v>
      </c>
      <c r="Q1141" s="12" t="s">
        <v>6664</v>
      </c>
      <c r="R1141" s="12" t="s">
        <v>17</v>
      </c>
      <c r="S1141" s="12" t="s">
        <v>17</v>
      </c>
      <c r="T1141" s="12" t="s">
        <v>11</v>
      </c>
      <c r="U1141" s="12" t="s">
        <v>17</v>
      </c>
      <c r="V1141" s="12" t="s">
        <v>841</v>
      </c>
      <c r="W1141" s="12" t="s">
        <v>7415</v>
      </c>
      <c r="X1141" s="12">
        <v>13.96</v>
      </c>
      <c r="Y1141" s="12">
        <v>1139953</v>
      </c>
      <c r="Z1141" s="12" t="s">
        <v>6613</v>
      </c>
      <c r="AA1141" s="12" t="s">
        <v>6613</v>
      </c>
      <c r="AB1141" s="12" t="s">
        <v>6613</v>
      </c>
      <c r="AC1141" s="12" t="s">
        <v>6613</v>
      </c>
      <c r="AD1141" s="12" t="s">
        <v>6613</v>
      </c>
      <c r="AE1141" s="12" t="s">
        <v>6613</v>
      </c>
      <c r="AF1141" s="12" t="s">
        <v>45</v>
      </c>
    </row>
    <row r="1142" spans="1:32" x14ac:dyDescent="0.2">
      <c r="A1142" s="12" t="s">
        <v>2037</v>
      </c>
      <c r="B1142" s="12" t="s">
        <v>2038</v>
      </c>
      <c r="C1142" s="12" t="s">
        <v>17</v>
      </c>
      <c r="D1142" s="12" t="s">
        <v>17</v>
      </c>
      <c r="E1142" s="12" t="s">
        <v>7678</v>
      </c>
      <c r="F1142" s="12" t="s">
        <v>5458</v>
      </c>
      <c r="G1142" s="12" t="s">
        <v>830</v>
      </c>
      <c r="H1142" s="12" t="s">
        <v>6613</v>
      </c>
      <c r="I1142" s="12">
        <v>0</v>
      </c>
      <c r="J1142" s="12" t="s">
        <v>164</v>
      </c>
      <c r="K1142" s="12" t="s">
        <v>6646</v>
      </c>
      <c r="L1142" s="12" t="s">
        <v>2031</v>
      </c>
      <c r="M1142" s="12" t="s">
        <v>2031</v>
      </c>
      <c r="N1142" s="12" t="s">
        <v>5785</v>
      </c>
      <c r="O1142" s="12" t="s">
        <v>2032</v>
      </c>
      <c r="P1142" s="12" t="s">
        <v>166</v>
      </c>
      <c r="Q1142" s="12" t="s">
        <v>6664</v>
      </c>
      <c r="R1142" s="12" t="s">
        <v>17</v>
      </c>
      <c r="S1142" s="12" t="s">
        <v>17</v>
      </c>
      <c r="T1142" s="12" t="s">
        <v>11</v>
      </c>
      <c r="U1142" s="12" t="s">
        <v>17</v>
      </c>
      <c r="V1142" s="12" t="s">
        <v>253</v>
      </c>
      <c r="W1142" s="12" t="s">
        <v>7415</v>
      </c>
      <c r="X1142" s="12">
        <v>13.41</v>
      </c>
      <c r="Y1142" s="12">
        <v>1140152</v>
      </c>
      <c r="Z1142" s="12" t="s">
        <v>6613</v>
      </c>
      <c r="AA1142" s="12" t="s">
        <v>6613</v>
      </c>
      <c r="AB1142" s="12" t="s">
        <v>6613</v>
      </c>
      <c r="AC1142" s="12" t="s">
        <v>6613</v>
      </c>
      <c r="AD1142" s="12" t="s">
        <v>6613</v>
      </c>
      <c r="AE1142" s="12" t="s">
        <v>6613</v>
      </c>
      <c r="AF1142" s="12" t="s">
        <v>45</v>
      </c>
    </row>
    <row r="1143" spans="1:32" x14ac:dyDescent="0.2">
      <c r="A1143" s="12" t="s">
        <v>2029</v>
      </c>
      <c r="B1143" s="12" t="s">
        <v>2030</v>
      </c>
      <c r="C1143" s="12" t="s">
        <v>17</v>
      </c>
      <c r="D1143" s="12" t="s">
        <v>17</v>
      </c>
      <c r="E1143" s="12" t="s">
        <v>7678</v>
      </c>
      <c r="F1143" s="12" t="s">
        <v>5458</v>
      </c>
      <c r="G1143" s="12" t="s">
        <v>830</v>
      </c>
      <c r="H1143" s="12" t="s">
        <v>6613</v>
      </c>
      <c r="I1143" s="12">
        <v>0</v>
      </c>
      <c r="J1143" s="12" t="s">
        <v>164</v>
      </c>
      <c r="K1143" s="12" t="s">
        <v>6646</v>
      </c>
      <c r="L1143" s="12" t="s">
        <v>2031</v>
      </c>
      <c r="M1143" s="12" t="s">
        <v>2031</v>
      </c>
      <c r="N1143" s="12" t="s">
        <v>5785</v>
      </c>
      <c r="O1143" s="12" t="s">
        <v>2032</v>
      </c>
      <c r="P1143" s="12" t="s">
        <v>166</v>
      </c>
      <c r="Q1143" s="12" t="s">
        <v>6664</v>
      </c>
      <c r="R1143" s="12" t="s">
        <v>17</v>
      </c>
      <c r="S1143" s="12" t="s">
        <v>17</v>
      </c>
      <c r="T1143" s="12" t="s">
        <v>11</v>
      </c>
      <c r="U1143" s="12" t="s">
        <v>17</v>
      </c>
      <c r="V1143" s="12" t="s">
        <v>841</v>
      </c>
      <c r="W1143" s="12" t="s">
        <v>7415</v>
      </c>
      <c r="X1143" s="12">
        <v>14.31</v>
      </c>
      <c r="Y1143" s="12">
        <v>1141246</v>
      </c>
      <c r="Z1143" s="12" t="s">
        <v>6613</v>
      </c>
      <c r="AA1143" s="12" t="s">
        <v>6613</v>
      </c>
      <c r="AB1143" s="12" t="s">
        <v>6613</v>
      </c>
      <c r="AC1143" s="12" t="s">
        <v>6613</v>
      </c>
      <c r="AD1143" s="12" t="s">
        <v>6613</v>
      </c>
      <c r="AE1143" s="12" t="s">
        <v>6613</v>
      </c>
      <c r="AF1143" s="12" t="s">
        <v>45</v>
      </c>
    </row>
    <row r="1144" spans="1:32" x14ac:dyDescent="0.2">
      <c r="A1144" s="12" t="s">
        <v>2048</v>
      </c>
      <c r="B1144" s="12" t="s">
        <v>2049</v>
      </c>
      <c r="C1144" s="12" t="s">
        <v>17</v>
      </c>
      <c r="D1144" s="12" t="s">
        <v>17</v>
      </c>
      <c r="E1144" s="12" t="s">
        <v>7678</v>
      </c>
      <c r="F1144" s="12" t="s">
        <v>5458</v>
      </c>
      <c r="G1144" s="12" t="s">
        <v>830</v>
      </c>
      <c r="H1144" s="12" t="s">
        <v>6613</v>
      </c>
      <c r="I1144" s="12">
        <v>0</v>
      </c>
      <c r="J1144" s="12" t="s">
        <v>164</v>
      </c>
      <c r="K1144" s="12" t="s">
        <v>6646</v>
      </c>
      <c r="L1144" s="12" t="s">
        <v>2031</v>
      </c>
      <c r="M1144" s="12" t="s">
        <v>2031</v>
      </c>
      <c r="N1144" s="12" t="s">
        <v>5785</v>
      </c>
      <c r="O1144" s="12" t="s">
        <v>2032</v>
      </c>
      <c r="P1144" s="12" t="s">
        <v>166</v>
      </c>
      <c r="Q1144" s="12" t="s">
        <v>6664</v>
      </c>
      <c r="R1144" s="12" t="s">
        <v>17</v>
      </c>
      <c r="S1144" s="12" t="s">
        <v>17</v>
      </c>
      <c r="T1144" s="12" t="s">
        <v>11</v>
      </c>
      <c r="U1144" s="12" t="s">
        <v>17</v>
      </c>
      <c r="V1144" s="12" t="s">
        <v>2050</v>
      </c>
      <c r="W1144" s="12" t="s">
        <v>7415</v>
      </c>
      <c r="X1144" s="12">
        <v>13.47</v>
      </c>
      <c r="Y1144" s="12">
        <v>1170038</v>
      </c>
      <c r="Z1144" s="12" t="s">
        <v>6613</v>
      </c>
      <c r="AA1144" s="12" t="s">
        <v>6613</v>
      </c>
      <c r="AB1144" s="12" t="s">
        <v>6613</v>
      </c>
      <c r="AC1144" s="12" t="s">
        <v>6613</v>
      </c>
      <c r="AD1144" s="12" t="s">
        <v>6613</v>
      </c>
      <c r="AE1144" s="12" t="s">
        <v>6613</v>
      </c>
      <c r="AF1144" s="12" t="s">
        <v>45</v>
      </c>
    </row>
    <row r="1145" spans="1:32" x14ac:dyDescent="0.2">
      <c r="A1145" s="12" t="s">
        <v>2033</v>
      </c>
      <c r="B1145" s="12" t="s">
        <v>2034</v>
      </c>
      <c r="C1145" s="12" t="s">
        <v>17</v>
      </c>
      <c r="D1145" s="12" t="s">
        <v>17</v>
      </c>
      <c r="E1145" s="12" t="s">
        <v>7678</v>
      </c>
      <c r="F1145" s="12" t="s">
        <v>5458</v>
      </c>
      <c r="G1145" s="12" t="s">
        <v>830</v>
      </c>
      <c r="H1145" s="12" t="s">
        <v>6613</v>
      </c>
      <c r="I1145" s="12">
        <v>0</v>
      </c>
      <c r="J1145" s="12" t="s">
        <v>164</v>
      </c>
      <c r="K1145" s="12" t="s">
        <v>6646</v>
      </c>
      <c r="L1145" s="12" t="s">
        <v>2031</v>
      </c>
      <c r="M1145" s="12" t="s">
        <v>2031</v>
      </c>
      <c r="N1145" s="12" t="s">
        <v>5785</v>
      </c>
      <c r="O1145" s="12" t="s">
        <v>2032</v>
      </c>
      <c r="P1145" s="12" t="s">
        <v>166</v>
      </c>
      <c r="Q1145" s="12" t="s">
        <v>6664</v>
      </c>
      <c r="R1145" s="12" t="s">
        <v>17</v>
      </c>
      <c r="S1145" s="12" t="s">
        <v>17</v>
      </c>
      <c r="T1145" s="12" t="s">
        <v>11</v>
      </c>
      <c r="U1145" s="12" t="s">
        <v>17</v>
      </c>
      <c r="V1145" s="12" t="s">
        <v>677</v>
      </c>
      <c r="W1145" s="12" t="s">
        <v>7415</v>
      </c>
      <c r="X1145" s="12">
        <v>14.37</v>
      </c>
      <c r="Y1145" s="12">
        <v>1170110</v>
      </c>
      <c r="Z1145" s="12" t="s">
        <v>6613</v>
      </c>
      <c r="AA1145" s="12" t="s">
        <v>6613</v>
      </c>
      <c r="AB1145" s="12" t="s">
        <v>6613</v>
      </c>
      <c r="AC1145" s="12" t="s">
        <v>6613</v>
      </c>
      <c r="AD1145" s="12" t="s">
        <v>6613</v>
      </c>
      <c r="AE1145" s="12" t="s">
        <v>6613</v>
      </c>
      <c r="AF1145" s="12" t="s">
        <v>45</v>
      </c>
    </row>
    <row r="1146" spans="1:32" x14ac:dyDescent="0.2">
      <c r="A1146" s="12" t="s">
        <v>2051</v>
      </c>
      <c r="B1146" s="12" t="s">
        <v>2052</v>
      </c>
      <c r="C1146" s="12" t="s">
        <v>17</v>
      </c>
      <c r="D1146" s="12" t="s">
        <v>17</v>
      </c>
      <c r="E1146" s="12" t="s">
        <v>7678</v>
      </c>
      <c r="F1146" s="12" t="s">
        <v>5458</v>
      </c>
      <c r="G1146" s="12" t="s">
        <v>830</v>
      </c>
      <c r="H1146" s="12" t="s">
        <v>6613</v>
      </c>
      <c r="I1146" s="12">
        <v>0</v>
      </c>
      <c r="J1146" s="12" t="s">
        <v>164</v>
      </c>
      <c r="K1146" s="12" t="s">
        <v>6646</v>
      </c>
      <c r="L1146" s="12" t="s">
        <v>2031</v>
      </c>
      <c r="M1146" s="12" t="s">
        <v>2031</v>
      </c>
      <c r="N1146" s="12" t="s">
        <v>5785</v>
      </c>
      <c r="O1146" s="12" t="s">
        <v>2032</v>
      </c>
      <c r="P1146" s="12" t="s">
        <v>166</v>
      </c>
      <c r="Q1146" s="12" t="s">
        <v>6664</v>
      </c>
      <c r="R1146" s="12" t="s">
        <v>17</v>
      </c>
      <c r="S1146" s="12" t="s">
        <v>17</v>
      </c>
      <c r="T1146" s="12" t="s">
        <v>11</v>
      </c>
      <c r="U1146" s="12" t="s">
        <v>17</v>
      </c>
      <c r="V1146" s="12" t="s">
        <v>413</v>
      </c>
      <c r="W1146" s="12" t="s">
        <v>7415</v>
      </c>
      <c r="X1146" s="12">
        <v>15.29</v>
      </c>
      <c r="Y1146" s="12">
        <v>1171814</v>
      </c>
      <c r="Z1146" s="12" t="s">
        <v>6613</v>
      </c>
      <c r="AA1146" s="12" t="s">
        <v>6613</v>
      </c>
      <c r="AB1146" s="12" t="s">
        <v>6613</v>
      </c>
      <c r="AC1146" s="12" t="s">
        <v>6613</v>
      </c>
      <c r="AD1146" s="12" t="s">
        <v>6613</v>
      </c>
      <c r="AE1146" s="12" t="s">
        <v>6613</v>
      </c>
      <c r="AF1146" s="12" t="s">
        <v>45</v>
      </c>
    </row>
    <row r="1147" spans="1:32" x14ac:dyDescent="0.2">
      <c r="A1147" s="12" t="s">
        <v>2053</v>
      </c>
      <c r="B1147" s="12" t="s">
        <v>2055</v>
      </c>
      <c r="C1147" s="12" t="s">
        <v>2055</v>
      </c>
      <c r="D1147" s="12" t="s">
        <v>17</v>
      </c>
      <c r="E1147" s="12" t="s">
        <v>7678</v>
      </c>
      <c r="F1147" s="12" t="s">
        <v>5458</v>
      </c>
      <c r="G1147" s="12" t="s">
        <v>2054</v>
      </c>
      <c r="H1147" s="12" t="s">
        <v>6614</v>
      </c>
      <c r="I1147" s="12">
        <v>0</v>
      </c>
      <c r="J1147" s="12" t="s">
        <v>164</v>
      </c>
      <c r="K1147" s="12" t="s">
        <v>6646</v>
      </c>
      <c r="L1147" s="12" t="s">
        <v>2056</v>
      </c>
      <c r="M1147" s="12" t="s">
        <v>2056</v>
      </c>
      <c r="N1147" s="12" t="s">
        <v>5785</v>
      </c>
      <c r="O1147" s="12" t="s">
        <v>17</v>
      </c>
      <c r="P1147" s="12" t="s">
        <v>166</v>
      </c>
      <c r="Q1147" s="12" t="s">
        <v>6664</v>
      </c>
      <c r="R1147" s="12" t="s">
        <v>17</v>
      </c>
      <c r="S1147" s="12" t="s">
        <v>17</v>
      </c>
      <c r="T1147" s="12" t="s">
        <v>25</v>
      </c>
      <c r="U1147" s="12" t="s">
        <v>17</v>
      </c>
      <c r="V1147" s="12" t="s">
        <v>6639</v>
      </c>
      <c r="W1147" s="12" t="s">
        <v>6639</v>
      </c>
      <c r="X1147" s="12">
        <v>15.989000000000001</v>
      </c>
      <c r="Y1147" s="12">
        <v>1150278</v>
      </c>
      <c r="Z1147" s="12" t="s">
        <v>6613</v>
      </c>
      <c r="AA1147" s="12" t="s">
        <v>6613</v>
      </c>
      <c r="AB1147" s="12" t="s">
        <v>6613</v>
      </c>
      <c r="AC1147" s="12" t="s">
        <v>6613</v>
      </c>
      <c r="AD1147" s="12" t="s">
        <v>6613</v>
      </c>
      <c r="AE1147" s="12" t="s">
        <v>6613</v>
      </c>
      <c r="AF1147" s="12" t="s">
        <v>45</v>
      </c>
    </row>
    <row r="1148" spans="1:32" x14ac:dyDescent="0.2">
      <c r="A1148" s="12" t="s">
        <v>2125</v>
      </c>
      <c r="B1148" s="12" t="s">
        <v>2126</v>
      </c>
      <c r="C1148" s="12" t="s">
        <v>2126</v>
      </c>
      <c r="D1148" s="12" t="s">
        <v>163</v>
      </c>
      <c r="E1148" s="12" t="s">
        <v>7676</v>
      </c>
      <c r="F1148" s="12" t="s">
        <v>5458</v>
      </c>
      <c r="G1148" s="12" t="s">
        <v>159</v>
      </c>
      <c r="H1148" s="12" t="s">
        <v>6613</v>
      </c>
      <c r="I1148" s="12">
        <v>0</v>
      </c>
      <c r="J1148" s="12" t="s">
        <v>164</v>
      </c>
      <c r="K1148" s="12" t="s">
        <v>6646</v>
      </c>
      <c r="L1148" s="12" t="s">
        <v>2124</v>
      </c>
      <c r="M1148" s="12" t="s">
        <v>2124</v>
      </c>
      <c r="N1148" s="12" t="s">
        <v>5785</v>
      </c>
      <c r="O1148" s="12" t="s">
        <v>17</v>
      </c>
      <c r="P1148" s="12" t="s">
        <v>166</v>
      </c>
      <c r="Q1148" s="12" t="s">
        <v>6664</v>
      </c>
      <c r="R1148" s="12">
        <v>13.5</v>
      </c>
      <c r="S1148" s="12">
        <v>80</v>
      </c>
      <c r="T1148" s="12" t="s">
        <v>11</v>
      </c>
      <c r="U1148" s="12" t="s">
        <v>17</v>
      </c>
      <c r="V1148" s="12" t="s">
        <v>601</v>
      </c>
      <c r="W1148" s="12" t="s">
        <v>7415</v>
      </c>
      <c r="X1148" s="12">
        <v>52.55</v>
      </c>
      <c r="Y1148" s="12">
        <v>1119748</v>
      </c>
      <c r="Z1148" s="12" t="s">
        <v>6613</v>
      </c>
      <c r="AA1148" s="12" t="s">
        <v>6613</v>
      </c>
      <c r="AB1148" s="12" t="s">
        <v>6613</v>
      </c>
      <c r="AC1148" s="12" t="s">
        <v>6613</v>
      </c>
      <c r="AD1148" s="12" t="s">
        <v>6613</v>
      </c>
      <c r="AE1148" s="12" t="s">
        <v>6613</v>
      </c>
      <c r="AF1148" s="12" t="s">
        <v>45</v>
      </c>
    </row>
    <row r="1149" spans="1:32" x14ac:dyDescent="0.2">
      <c r="A1149" s="12" t="s">
        <v>2122</v>
      </c>
      <c r="B1149" s="12" t="s">
        <v>2123</v>
      </c>
      <c r="C1149" s="12" t="s">
        <v>2123</v>
      </c>
      <c r="D1149" s="12" t="s">
        <v>163</v>
      </c>
      <c r="E1149" s="12" t="s">
        <v>7676</v>
      </c>
      <c r="F1149" s="12" t="s">
        <v>5458</v>
      </c>
      <c r="G1149" s="12" t="s">
        <v>159</v>
      </c>
      <c r="H1149" s="12" t="s">
        <v>6613</v>
      </c>
      <c r="I1149" s="12">
        <v>0</v>
      </c>
      <c r="J1149" s="12" t="s">
        <v>164</v>
      </c>
      <c r="K1149" s="12" t="s">
        <v>6646</v>
      </c>
      <c r="L1149" s="12" t="s">
        <v>2124</v>
      </c>
      <c r="M1149" s="12" t="s">
        <v>2124</v>
      </c>
      <c r="N1149" s="12" t="s">
        <v>5785</v>
      </c>
      <c r="O1149" s="12" t="s">
        <v>17</v>
      </c>
      <c r="P1149" s="12" t="s">
        <v>166</v>
      </c>
      <c r="Q1149" s="12" t="s">
        <v>6664</v>
      </c>
      <c r="R1149" s="12">
        <v>13.5</v>
      </c>
      <c r="S1149" s="12">
        <v>80</v>
      </c>
      <c r="T1149" s="12" t="s">
        <v>11</v>
      </c>
      <c r="U1149" s="12" t="s">
        <v>17</v>
      </c>
      <c r="V1149" s="12" t="s">
        <v>1710</v>
      </c>
      <c r="W1149" s="12" t="s">
        <v>7415</v>
      </c>
      <c r="X1149" s="12">
        <v>49.7</v>
      </c>
      <c r="Y1149" s="12">
        <v>1120000</v>
      </c>
      <c r="Z1149" s="12" t="s">
        <v>6613</v>
      </c>
      <c r="AA1149" s="12" t="s">
        <v>6613</v>
      </c>
      <c r="AB1149" s="12" t="s">
        <v>6613</v>
      </c>
      <c r="AC1149" s="12" t="s">
        <v>6613</v>
      </c>
      <c r="AD1149" s="12" t="s">
        <v>6613</v>
      </c>
      <c r="AE1149" s="12" t="s">
        <v>6613</v>
      </c>
      <c r="AF1149" s="12" t="s">
        <v>45</v>
      </c>
    </row>
    <row r="1150" spans="1:32" x14ac:dyDescent="0.2">
      <c r="A1150" s="12" t="s">
        <v>2259</v>
      </c>
      <c r="B1150" s="12" t="s">
        <v>2260</v>
      </c>
      <c r="C1150" s="12" t="s">
        <v>17</v>
      </c>
      <c r="D1150" s="12" t="s">
        <v>17</v>
      </c>
      <c r="E1150" s="12" t="s">
        <v>7678</v>
      </c>
      <c r="F1150" s="12" t="s">
        <v>5458</v>
      </c>
      <c r="G1150" s="12" t="s">
        <v>615</v>
      </c>
      <c r="H1150" s="12" t="s">
        <v>6613</v>
      </c>
      <c r="I1150" s="12">
        <v>0</v>
      </c>
      <c r="J1150" s="12" t="s">
        <v>164</v>
      </c>
      <c r="K1150" s="12" t="s">
        <v>6646</v>
      </c>
      <c r="L1150" s="12" t="s">
        <v>2129</v>
      </c>
      <c r="M1150" s="12" t="s">
        <v>2129</v>
      </c>
      <c r="N1150" s="12" t="s">
        <v>5785</v>
      </c>
      <c r="O1150" s="12" t="s">
        <v>2130</v>
      </c>
      <c r="P1150" s="12" t="s">
        <v>166</v>
      </c>
      <c r="Q1150" s="12" t="s">
        <v>6664</v>
      </c>
      <c r="R1150" s="12" t="s">
        <v>17</v>
      </c>
      <c r="S1150" s="12" t="s">
        <v>17</v>
      </c>
      <c r="T1150" s="12" t="s">
        <v>25</v>
      </c>
      <c r="U1150" s="12" t="s">
        <v>17</v>
      </c>
      <c r="V1150" s="12" t="s">
        <v>6639</v>
      </c>
      <c r="W1150" s="12" t="s">
        <v>6639</v>
      </c>
      <c r="X1150" s="12" t="s">
        <v>17</v>
      </c>
      <c r="Y1150" s="12">
        <v>1064624</v>
      </c>
      <c r="Z1150" s="12" t="s">
        <v>6613</v>
      </c>
      <c r="AA1150" s="12" t="s">
        <v>6613</v>
      </c>
      <c r="AB1150" s="12" t="s">
        <v>6613</v>
      </c>
      <c r="AC1150" s="12" t="s">
        <v>6613</v>
      </c>
      <c r="AD1150" s="12" t="s">
        <v>6613</v>
      </c>
      <c r="AE1150" s="12" t="s">
        <v>6613</v>
      </c>
      <c r="AF1150" s="12" t="s">
        <v>45</v>
      </c>
    </row>
    <row r="1151" spans="1:32" x14ac:dyDescent="0.2">
      <c r="A1151" s="12" t="s">
        <v>2294</v>
      </c>
      <c r="B1151" s="12" t="s">
        <v>2295</v>
      </c>
      <c r="C1151" s="12" t="s">
        <v>17</v>
      </c>
      <c r="D1151" s="12" t="s">
        <v>17</v>
      </c>
      <c r="E1151" s="12" t="s">
        <v>7678</v>
      </c>
      <c r="F1151" s="12" t="s">
        <v>5458</v>
      </c>
      <c r="G1151" s="12" t="s">
        <v>615</v>
      </c>
      <c r="H1151" s="12" t="s">
        <v>6613</v>
      </c>
      <c r="I1151" s="12">
        <v>0</v>
      </c>
      <c r="J1151" s="12" t="s">
        <v>164</v>
      </c>
      <c r="K1151" s="12" t="s">
        <v>6646</v>
      </c>
      <c r="L1151" s="12" t="s">
        <v>2129</v>
      </c>
      <c r="M1151" s="12" t="s">
        <v>2129</v>
      </c>
      <c r="N1151" s="12" t="s">
        <v>5785</v>
      </c>
      <c r="O1151" s="12" t="s">
        <v>2130</v>
      </c>
      <c r="P1151" s="12" t="s">
        <v>166</v>
      </c>
      <c r="Q1151" s="12" t="s">
        <v>6664</v>
      </c>
      <c r="R1151" s="12" t="s">
        <v>17</v>
      </c>
      <c r="S1151" s="12" t="s">
        <v>17</v>
      </c>
      <c r="T1151" s="12" t="s">
        <v>25</v>
      </c>
      <c r="U1151" s="12" t="s">
        <v>17</v>
      </c>
      <c r="V1151" s="12" t="s">
        <v>6639</v>
      </c>
      <c r="W1151" s="12" t="s">
        <v>6639</v>
      </c>
      <c r="X1151" s="12" t="s">
        <v>17</v>
      </c>
      <c r="Y1151" s="12">
        <v>1106121</v>
      </c>
      <c r="Z1151" s="12" t="s">
        <v>6613</v>
      </c>
      <c r="AA1151" s="12" t="s">
        <v>6613</v>
      </c>
      <c r="AB1151" s="12" t="s">
        <v>6613</v>
      </c>
      <c r="AC1151" s="12" t="s">
        <v>6613</v>
      </c>
      <c r="AD1151" s="12" t="s">
        <v>6613</v>
      </c>
      <c r="AE1151" s="12" t="s">
        <v>6613</v>
      </c>
      <c r="AF1151" s="12" t="s">
        <v>45</v>
      </c>
    </row>
    <row r="1152" spans="1:32" x14ac:dyDescent="0.2">
      <c r="A1152" s="12" t="s">
        <v>2284</v>
      </c>
      <c r="B1152" s="12" t="s">
        <v>2285</v>
      </c>
      <c r="C1152" s="12" t="s">
        <v>17</v>
      </c>
      <c r="D1152" s="12" t="s">
        <v>17</v>
      </c>
      <c r="E1152" s="12" t="s">
        <v>7678</v>
      </c>
      <c r="F1152" s="12" t="s">
        <v>5458</v>
      </c>
      <c r="G1152" s="12" t="s">
        <v>615</v>
      </c>
      <c r="H1152" s="12" t="s">
        <v>6613</v>
      </c>
      <c r="I1152" s="12">
        <v>0</v>
      </c>
      <c r="J1152" s="12" t="s">
        <v>164</v>
      </c>
      <c r="K1152" s="12" t="s">
        <v>6646</v>
      </c>
      <c r="L1152" s="12" t="s">
        <v>2129</v>
      </c>
      <c r="M1152" s="12" t="s">
        <v>2129</v>
      </c>
      <c r="N1152" s="12" t="s">
        <v>5785</v>
      </c>
      <c r="O1152" s="12" t="s">
        <v>2130</v>
      </c>
      <c r="P1152" s="12" t="s">
        <v>166</v>
      </c>
      <c r="Q1152" s="12" t="s">
        <v>6664</v>
      </c>
      <c r="R1152" s="12" t="s">
        <v>17</v>
      </c>
      <c r="S1152" s="12" t="s">
        <v>17</v>
      </c>
      <c r="T1152" s="12" t="s">
        <v>25</v>
      </c>
      <c r="U1152" s="12" t="s">
        <v>17</v>
      </c>
      <c r="V1152" s="12" t="s">
        <v>6639</v>
      </c>
      <c r="W1152" s="12" t="s">
        <v>6639</v>
      </c>
      <c r="X1152" s="12" t="s">
        <v>17</v>
      </c>
      <c r="Y1152" s="12">
        <v>1107475</v>
      </c>
      <c r="Z1152" s="12" t="s">
        <v>6613</v>
      </c>
      <c r="AA1152" s="12" t="s">
        <v>6613</v>
      </c>
      <c r="AB1152" s="12" t="s">
        <v>6613</v>
      </c>
      <c r="AC1152" s="12" t="s">
        <v>6613</v>
      </c>
      <c r="AD1152" s="12" t="s">
        <v>6613</v>
      </c>
      <c r="AE1152" s="12" t="s">
        <v>6613</v>
      </c>
      <c r="AF1152" s="12" t="s">
        <v>45</v>
      </c>
    </row>
    <row r="1153" spans="1:41" x14ac:dyDescent="0.2">
      <c r="A1153" s="12" t="s">
        <v>2165</v>
      </c>
      <c r="B1153" s="12" t="s">
        <v>2166</v>
      </c>
      <c r="C1153" s="12" t="s">
        <v>17</v>
      </c>
      <c r="D1153" s="12" t="s">
        <v>17</v>
      </c>
      <c r="E1153" s="12" t="s">
        <v>7678</v>
      </c>
      <c r="F1153" s="12" t="s">
        <v>5458</v>
      </c>
      <c r="G1153" s="12" t="s">
        <v>615</v>
      </c>
      <c r="H1153" s="12" t="s">
        <v>6613</v>
      </c>
      <c r="I1153" s="12">
        <v>0</v>
      </c>
      <c r="J1153" s="12" t="s">
        <v>164</v>
      </c>
      <c r="K1153" s="12" t="s">
        <v>6646</v>
      </c>
      <c r="L1153" s="12" t="s">
        <v>2129</v>
      </c>
      <c r="M1153" s="12" t="s">
        <v>2129</v>
      </c>
      <c r="N1153" s="12" t="s">
        <v>5785</v>
      </c>
      <c r="O1153" s="12" t="s">
        <v>2130</v>
      </c>
      <c r="P1153" s="12" t="s">
        <v>166</v>
      </c>
      <c r="Q1153" s="12" t="s">
        <v>6664</v>
      </c>
      <c r="R1153" s="12" t="s">
        <v>17</v>
      </c>
      <c r="S1153" s="12" t="s">
        <v>17</v>
      </c>
      <c r="T1153" s="12" t="s">
        <v>25</v>
      </c>
      <c r="U1153" s="12" t="s">
        <v>17</v>
      </c>
      <c r="V1153" s="12" t="s">
        <v>6639</v>
      </c>
      <c r="W1153" s="12" t="s">
        <v>6639</v>
      </c>
      <c r="X1153" s="12" t="s">
        <v>17</v>
      </c>
      <c r="Y1153" s="12">
        <v>1109030</v>
      </c>
      <c r="Z1153" s="12" t="s">
        <v>6613</v>
      </c>
      <c r="AA1153" s="12" t="s">
        <v>6613</v>
      </c>
      <c r="AB1153" s="12" t="s">
        <v>6613</v>
      </c>
      <c r="AC1153" s="12" t="s">
        <v>6613</v>
      </c>
      <c r="AD1153" s="12" t="s">
        <v>6613</v>
      </c>
      <c r="AE1153" s="12" t="s">
        <v>6613</v>
      </c>
      <c r="AF1153" s="12" t="s">
        <v>45</v>
      </c>
    </row>
    <row r="1154" spans="1:41" x14ac:dyDescent="0.2">
      <c r="A1154" s="12" t="s">
        <v>2300</v>
      </c>
      <c r="B1154" s="12" t="s">
        <v>2301</v>
      </c>
      <c r="C1154" s="12" t="s">
        <v>17</v>
      </c>
      <c r="D1154" s="12" t="s">
        <v>17</v>
      </c>
      <c r="E1154" s="12" t="s">
        <v>7678</v>
      </c>
      <c r="F1154" s="12" t="s">
        <v>5458</v>
      </c>
      <c r="G1154" s="12" t="s">
        <v>615</v>
      </c>
      <c r="H1154" s="12" t="s">
        <v>6613</v>
      </c>
      <c r="I1154" s="12">
        <v>0</v>
      </c>
      <c r="J1154" s="12" t="s">
        <v>164</v>
      </c>
      <c r="K1154" s="12" t="s">
        <v>6646</v>
      </c>
      <c r="L1154" s="12" t="s">
        <v>2129</v>
      </c>
      <c r="M1154" s="12" t="s">
        <v>2129</v>
      </c>
      <c r="N1154" s="12" t="s">
        <v>5785</v>
      </c>
      <c r="O1154" s="12" t="s">
        <v>2130</v>
      </c>
      <c r="P1154" s="12" t="s">
        <v>166</v>
      </c>
      <c r="Q1154" s="12" t="s">
        <v>6664</v>
      </c>
      <c r="R1154" s="12" t="s">
        <v>17</v>
      </c>
      <c r="S1154" s="12" t="s">
        <v>17</v>
      </c>
      <c r="T1154" s="12" t="s">
        <v>25</v>
      </c>
      <c r="U1154" s="12" t="s">
        <v>17</v>
      </c>
      <c r="V1154" s="12" t="s">
        <v>6639</v>
      </c>
      <c r="W1154" s="12" t="s">
        <v>6639</v>
      </c>
      <c r="X1154" s="12" t="s">
        <v>17</v>
      </c>
      <c r="Y1154" s="12">
        <v>1118080</v>
      </c>
      <c r="Z1154" s="12" t="s">
        <v>6613</v>
      </c>
      <c r="AA1154" s="12" t="s">
        <v>6613</v>
      </c>
      <c r="AB1154" s="12" t="s">
        <v>6613</v>
      </c>
      <c r="AC1154" s="12" t="s">
        <v>6613</v>
      </c>
      <c r="AD1154" s="12" t="s">
        <v>6613</v>
      </c>
      <c r="AE1154" s="12" t="s">
        <v>6613</v>
      </c>
      <c r="AF1154" s="12" t="s">
        <v>45</v>
      </c>
    </row>
    <row r="1155" spans="1:41" x14ac:dyDescent="0.2">
      <c r="A1155" s="12" t="s">
        <v>2288</v>
      </c>
      <c r="B1155" s="12" t="s">
        <v>2289</v>
      </c>
      <c r="C1155" s="12" t="s">
        <v>17</v>
      </c>
      <c r="D1155" s="12" t="s">
        <v>17</v>
      </c>
      <c r="E1155" s="12" t="s">
        <v>7678</v>
      </c>
      <c r="F1155" s="12" t="s">
        <v>5458</v>
      </c>
      <c r="G1155" s="12" t="s">
        <v>615</v>
      </c>
      <c r="H1155" s="12" t="s">
        <v>6613</v>
      </c>
      <c r="I1155" s="12">
        <v>0</v>
      </c>
      <c r="J1155" s="12" t="s">
        <v>164</v>
      </c>
      <c r="K1155" s="12" t="s">
        <v>6646</v>
      </c>
      <c r="L1155" s="12" t="s">
        <v>2129</v>
      </c>
      <c r="M1155" s="12" t="s">
        <v>2129</v>
      </c>
      <c r="N1155" s="12" t="s">
        <v>5785</v>
      </c>
      <c r="O1155" s="12" t="s">
        <v>2130</v>
      </c>
      <c r="P1155" s="12" t="s">
        <v>166</v>
      </c>
      <c r="Q1155" s="12" t="s">
        <v>6664</v>
      </c>
      <c r="R1155" s="12" t="s">
        <v>17</v>
      </c>
      <c r="S1155" s="12" t="s">
        <v>17</v>
      </c>
      <c r="T1155" s="12" t="s">
        <v>25</v>
      </c>
      <c r="U1155" s="12" t="s">
        <v>17</v>
      </c>
      <c r="V1155" s="12" t="s">
        <v>6639</v>
      </c>
      <c r="W1155" s="12" t="s">
        <v>6639</v>
      </c>
      <c r="X1155" s="12" t="s">
        <v>17</v>
      </c>
      <c r="Y1155" s="12">
        <v>1124337</v>
      </c>
      <c r="Z1155" s="12" t="s">
        <v>6613</v>
      </c>
      <c r="AA1155" s="12" t="s">
        <v>6613</v>
      </c>
      <c r="AB1155" s="12" t="s">
        <v>6613</v>
      </c>
      <c r="AC1155" s="12" t="s">
        <v>6613</v>
      </c>
      <c r="AD1155" s="12" t="s">
        <v>6613</v>
      </c>
      <c r="AE1155" s="12" t="s">
        <v>6613</v>
      </c>
      <c r="AF1155" s="12" t="s">
        <v>45</v>
      </c>
    </row>
    <row r="1156" spans="1:41" x14ac:dyDescent="0.2">
      <c r="A1156" s="12" t="s">
        <v>2248</v>
      </c>
      <c r="B1156" s="12" t="s">
        <v>2249</v>
      </c>
      <c r="C1156" s="12" t="s">
        <v>17</v>
      </c>
      <c r="D1156" s="12" t="s">
        <v>17</v>
      </c>
      <c r="E1156" s="12" t="s">
        <v>7678</v>
      </c>
      <c r="F1156" s="12" t="s">
        <v>5458</v>
      </c>
      <c r="G1156" s="12" t="s">
        <v>615</v>
      </c>
      <c r="H1156" s="12" t="s">
        <v>6613</v>
      </c>
      <c r="I1156" s="12">
        <v>0</v>
      </c>
      <c r="J1156" s="12" t="s">
        <v>164</v>
      </c>
      <c r="K1156" s="12" t="s">
        <v>6646</v>
      </c>
      <c r="L1156" s="12" t="s">
        <v>2129</v>
      </c>
      <c r="M1156" s="12" t="s">
        <v>2129</v>
      </c>
      <c r="N1156" s="12" t="s">
        <v>5785</v>
      </c>
      <c r="O1156" s="12" t="s">
        <v>2130</v>
      </c>
      <c r="P1156" s="12" t="s">
        <v>166</v>
      </c>
      <c r="Q1156" s="12" t="s">
        <v>6664</v>
      </c>
      <c r="R1156" s="12" t="s">
        <v>17</v>
      </c>
      <c r="S1156" s="12" t="s">
        <v>17</v>
      </c>
      <c r="T1156" s="12" t="s">
        <v>25</v>
      </c>
      <c r="U1156" s="12" t="s">
        <v>17</v>
      </c>
      <c r="V1156" s="12" t="s">
        <v>6639</v>
      </c>
      <c r="W1156" s="12" t="s">
        <v>6639</v>
      </c>
      <c r="X1156" s="12" t="s">
        <v>17</v>
      </c>
      <c r="Y1156" s="12">
        <v>1124345</v>
      </c>
      <c r="Z1156" s="12" t="s">
        <v>6613</v>
      </c>
      <c r="AA1156" s="12" t="s">
        <v>6613</v>
      </c>
      <c r="AB1156" s="12" t="s">
        <v>6613</v>
      </c>
      <c r="AC1156" s="12" t="s">
        <v>6613</v>
      </c>
      <c r="AD1156" s="12" t="s">
        <v>6613</v>
      </c>
      <c r="AE1156" s="12" t="s">
        <v>6613</v>
      </c>
      <c r="AF1156" s="12" t="s">
        <v>45</v>
      </c>
    </row>
    <row r="1157" spans="1:41" x14ac:dyDescent="0.2">
      <c r="A1157" s="12" t="s">
        <v>2304</v>
      </c>
      <c r="B1157" s="12" t="s">
        <v>2305</v>
      </c>
      <c r="C1157" s="12" t="s">
        <v>17</v>
      </c>
      <c r="D1157" s="12" t="s">
        <v>17</v>
      </c>
      <c r="E1157" s="12" t="s">
        <v>7678</v>
      </c>
      <c r="F1157" s="12" t="s">
        <v>5458</v>
      </c>
      <c r="G1157" s="12" t="s">
        <v>615</v>
      </c>
      <c r="H1157" s="12" t="s">
        <v>6613</v>
      </c>
      <c r="I1157" s="12">
        <v>0</v>
      </c>
      <c r="J1157" s="12" t="s">
        <v>164</v>
      </c>
      <c r="K1157" s="12" t="s">
        <v>6646</v>
      </c>
      <c r="L1157" s="12" t="s">
        <v>2129</v>
      </c>
      <c r="M1157" s="12" t="s">
        <v>2129</v>
      </c>
      <c r="N1157" s="12" t="s">
        <v>5785</v>
      </c>
      <c r="O1157" s="12" t="s">
        <v>2130</v>
      </c>
      <c r="P1157" s="12" t="s">
        <v>166</v>
      </c>
      <c r="Q1157" s="12" t="s">
        <v>6664</v>
      </c>
      <c r="R1157" s="12" t="s">
        <v>17</v>
      </c>
      <c r="S1157" s="12" t="s">
        <v>17</v>
      </c>
      <c r="T1157" s="12" t="s">
        <v>25</v>
      </c>
      <c r="U1157" s="12" t="s">
        <v>17</v>
      </c>
      <c r="V1157" s="12" t="s">
        <v>6639</v>
      </c>
      <c r="W1157" s="12" t="s">
        <v>6639</v>
      </c>
      <c r="X1157" s="12" t="s">
        <v>17</v>
      </c>
      <c r="Y1157" s="12">
        <v>1130548</v>
      </c>
      <c r="Z1157" s="12" t="s">
        <v>6613</v>
      </c>
      <c r="AA1157" s="12" t="s">
        <v>6613</v>
      </c>
      <c r="AB1157" s="12" t="s">
        <v>6613</v>
      </c>
      <c r="AC1157" s="12" t="s">
        <v>6613</v>
      </c>
      <c r="AD1157" s="12" t="s">
        <v>6613</v>
      </c>
      <c r="AE1157" s="12" t="s">
        <v>6613</v>
      </c>
      <c r="AF1157" s="12" t="s">
        <v>45</v>
      </c>
    </row>
    <row r="1158" spans="1:41" x14ac:dyDescent="0.2">
      <c r="A1158" s="12" t="s">
        <v>2296</v>
      </c>
      <c r="B1158" s="12" t="s">
        <v>2297</v>
      </c>
      <c r="C1158" s="12" t="s">
        <v>17</v>
      </c>
      <c r="D1158" s="12" t="s">
        <v>17</v>
      </c>
      <c r="E1158" s="12" t="s">
        <v>7678</v>
      </c>
      <c r="F1158" s="12" t="s">
        <v>5458</v>
      </c>
      <c r="G1158" s="12" t="s">
        <v>615</v>
      </c>
      <c r="H1158" s="12" t="s">
        <v>6613</v>
      </c>
      <c r="I1158" s="12">
        <v>0</v>
      </c>
      <c r="J1158" s="12" t="s">
        <v>164</v>
      </c>
      <c r="K1158" s="12" t="s">
        <v>6646</v>
      </c>
      <c r="L1158" s="12" t="s">
        <v>2129</v>
      </c>
      <c r="M1158" s="12" t="s">
        <v>2129</v>
      </c>
      <c r="N1158" s="12" t="s">
        <v>5785</v>
      </c>
      <c r="O1158" s="12" t="s">
        <v>2130</v>
      </c>
      <c r="P1158" s="12" t="s">
        <v>166</v>
      </c>
      <c r="Q1158" s="12" t="s">
        <v>6664</v>
      </c>
      <c r="R1158" s="12" t="s">
        <v>17</v>
      </c>
      <c r="S1158" s="12" t="s">
        <v>17</v>
      </c>
      <c r="T1158" s="12" t="s">
        <v>25</v>
      </c>
      <c r="U1158" s="12" t="s">
        <v>17</v>
      </c>
      <c r="V1158" s="12" t="s">
        <v>6639</v>
      </c>
      <c r="W1158" s="12" t="s">
        <v>6639</v>
      </c>
      <c r="X1158" s="12" t="s">
        <v>17</v>
      </c>
      <c r="Y1158" s="12">
        <v>1131182</v>
      </c>
      <c r="Z1158" s="12" t="s">
        <v>6613</v>
      </c>
      <c r="AA1158" s="12" t="s">
        <v>6613</v>
      </c>
      <c r="AB1158" s="12" t="s">
        <v>6613</v>
      </c>
      <c r="AC1158" s="12" t="s">
        <v>6613</v>
      </c>
      <c r="AD1158" s="12" t="s">
        <v>6613</v>
      </c>
      <c r="AE1158" s="12" t="s">
        <v>6613</v>
      </c>
      <c r="AF1158" s="12" t="s">
        <v>45</v>
      </c>
    </row>
    <row r="1159" spans="1:41" x14ac:dyDescent="0.2">
      <c r="A1159" s="12" t="s">
        <v>2314</v>
      </c>
      <c r="B1159" s="12" t="s">
        <v>2315</v>
      </c>
      <c r="C1159" s="12" t="s">
        <v>17</v>
      </c>
      <c r="D1159" s="12" t="s">
        <v>17</v>
      </c>
      <c r="E1159" s="12" t="s">
        <v>7678</v>
      </c>
      <c r="F1159" s="12" t="s">
        <v>5458</v>
      </c>
      <c r="G1159" s="12" t="s">
        <v>615</v>
      </c>
      <c r="H1159" s="12" t="s">
        <v>6613</v>
      </c>
      <c r="I1159" s="12">
        <v>0</v>
      </c>
      <c r="J1159" s="12" t="s">
        <v>164</v>
      </c>
      <c r="K1159" s="12" t="s">
        <v>6646</v>
      </c>
      <c r="L1159" s="12" t="s">
        <v>2129</v>
      </c>
      <c r="M1159" s="12" t="s">
        <v>2129</v>
      </c>
      <c r="N1159" s="12" t="s">
        <v>5785</v>
      </c>
      <c r="O1159" s="12" t="s">
        <v>2130</v>
      </c>
      <c r="P1159" s="12" t="s">
        <v>166</v>
      </c>
      <c r="Q1159" s="12" t="s">
        <v>6664</v>
      </c>
      <c r="R1159" s="12" t="s">
        <v>17</v>
      </c>
      <c r="S1159" s="12" t="s">
        <v>17</v>
      </c>
      <c r="T1159" s="12" t="s">
        <v>25</v>
      </c>
      <c r="U1159" s="12" t="s">
        <v>17</v>
      </c>
      <c r="V1159" s="12" t="s">
        <v>6639</v>
      </c>
      <c r="W1159" s="12" t="s">
        <v>6639</v>
      </c>
      <c r="X1159" s="12" t="s">
        <v>17</v>
      </c>
      <c r="Y1159" s="12">
        <v>1131835</v>
      </c>
      <c r="Z1159" s="12" t="s">
        <v>6613</v>
      </c>
      <c r="AA1159" s="12" t="s">
        <v>6613</v>
      </c>
      <c r="AB1159" s="12" t="s">
        <v>6613</v>
      </c>
      <c r="AC1159" s="12" t="s">
        <v>6613</v>
      </c>
      <c r="AD1159" s="12" t="s">
        <v>6613</v>
      </c>
      <c r="AE1159" s="12" t="s">
        <v>6613</v>
      </c>
      <c r="AF1159" s="12" t="s">
        <v>45</v>
      </c>
    </row>
    <row r="1160" spans="1:41" x14ac:dyDescent="0.2">
      <c r="A1160" s="12" t="s">
        <v>2280</v>
      </c>
      <c r="B1160" s="12" t="s">
        <v>2281</v>
      </c>
      <c r="C1160" s="12" t="s">
        <v>17</v>
      </c>
      <c r="D1160" s="12" t="s">
        <v>17</v>
      </c>
      <c r="E1160" s="12" t="s">
        <v>7678</v>
      </c>
      <c r="F1160" s="12" t="s">
        <v>5458</v>
      </c>
      <c r="G1160" s="12" t="s">
        <v>615</v>
      </c>
      <c r="H1160" s="12" t="s">
        <v>6613</v>
      </c>
      <c r="I1160" s="12">
        <v>0</v>
      </c>
      <c r="J1160" s="12" t="s">
        <v>164</v>
      </c>
      <c r="K1160" s="12" t="s">
        <v>6646</v>
      </c>
      <c r="L1160" s="12" t="s">
        <v>2129</v>
      </c>
      <c r="M1160" s="12" t="s">
        <v>2129</v>
      </c>
      <c r="N1160" s="12" t="s">
        <v>5785</v>
      </c>
      <c r="O1160" s="12" t="s">
        <v>2130</v>
      </c>
      <c r="P1160" s="12" t="s">
        <v>166</v>
      </c>
      <c r="Q1160" s="12" t="s">
        <v>6664</v>
      </c>
      <c r="R1160" s="12" t="s">
        <v>17</v>
      </c>
      <c r="S1160" s="12" t="s">
        <v>17</v>
      </c>
      <c r="T1160" s="12" t="s">
        <v>25</v>
      </c>
      <c r="U1160" s="12" t="s">
        <v>17</v>
      </c>
      <c r="V1160" s="12" t="s">
        <v>6639</v>
      </c>
      <c r="W1160" s="12" t="s">
        <v>6639</v>
      </c>
      <c r="X1160" s="12" t="s">
        <v>17</v>
      </c>
      <c r="Y1160" s="12">
        <v>1132963</v>
      </c>
      <c r="Z1160" s="12" t="s">
        <v>6613</v>
      </c>
      <c r="AA1160" s="12" t="s">
        <v>6613</v>
      </c>
      <c r="AB1160" s="12" t="s">
        <v>6613</v>
      </c>
      <c r="AC1160" s="12" t="s">
        <v>6613</v>
      </c>
      <c r="AD1160" s="12" t="s">
        <v>6613</v>
      </c>
      <c r="AE1160" s="12" t="s">
        <v>6613</v>
      </c>
      <c r="AF1160" s="12" t="s">
        <v>45</v>
      </c>
    </row>
    <row r="1161" spans="1:41" x14ac:dyDescent="0.2">
      <c r="A1161" s="12" t="s">
        <v>2264</v>
      </c>
      <c r="B1161" s="12" t="s">
        <v>2265</v>
      </c>
      <c r="C1161" s="12" t="s">
        <v>17</v>
      </c>
      <c r="D1161" s="12" t="s">
        <v>17</v>
      </c>
      <c r="E1161" s="12" t="s">
        <v>7678</v>
      </c>
      <c r="F1161" s="12" t="s">
        <v>5458</v>
      </c>
      <c r="G1161" s="12" t="s">
        <v>615</v>
      </c>
      <c r="H1161" s="12" t="s">
        <v>6613</v>
      </c>
      <c r="I1161" s="12">
        <v>0</v>
      </c>
      <c r="J1161" s="12" t="s">
        <v>164</v>
      </c>
      <c r="K1161" s="12" t="s">
        <v>6646</v>
      </c>
      <c r="L1161" s="12" t="s">
        <v>2129</v>
      </c>
      <c r="M1161" s="12" t="s">
        <v>2129</v>
      </c>
      <c r="N1161" s="12" t="s">
        <v>5785</v>
      </c>
      <c r="O1161" s="12" t="s">
        <v>2130</v>
      </c>
      <c r="P1161" s="12" t="s">
        <v>166</v>
      </c>
      <c r="Q1161" s="12" t="s">
        <v>6664</v>
      </c>
      <c r="R1161" s="12" t="s">
        <v>17</v>
      </c>
      <c r="S1161" s="12" t="s">
        <v>17</v>
      </c>
      <c r="T1161" s="12" t="s">
        <v>25</v>
      </c>
      <c r="U1161" s="12" t="s">
        <v>17</v>
      </c>
      <c r="V1161" s="12" t="s">
        <v>6639</v>
      </c>
      <c r="W1161" s="12" t="s">
        <v>6639</v>
      </c>
      <c r="X1161" s="12" t="s">
        <v>17</v>
      </c>
      <c r="Y1161" s="12">
        <v>1135651</v>
      </c>
      <c r="Z1161" s="12" t="s">
        <v>6613</v>
      </c>
      <c r="AA1161" s="12" t="s">
        <v>6613</v>
      </c>
      <c r="AB1161" s="12" t="s">
        <v>6613</v>
      </c>
      <c r="AC1161" s="12" t="s">
        <v>6613</v>
      </c>
      <c r="AD1161" s="12" t="s">
        <v>6613</v>
      </c>
      <c r="AE1161" s="12" t="s">
        <v>6613</v>
      </c>
      <c r="AF1161" s="12" t="s">
        <v>45</v>
      </c>
    </row>
    <row r="1162" spans="1:41" x14ac:dyDescent="0.2">
      <c r="A1162" s="12" t="s">
        <v>2177</v>
      </c>
      <c r="B1162" s="12" t="s">
        <v>2178</v>
      </c>
      <c r="C1162" s="12" t="s">
        <v>17</v>
      </c>
      <c r="D1162" s="12" t="s">
        <v>17</v>
      </c>
      <c r="E1162" s="12" t="s">
        <v>7678</v>
      </c>
      <c r="F1162" s="12" t="s">
        <v>5458</v>
      </c>
      <c r="G1162" s="12" t="s">
        <v>615</v>
      </c>
      <c r="H1162" s="12" t="s">
        <v>6613</v>
      </c>
      <c r="I1162" s="12">
        <v>0</v>
      </c>
      <c r="J1162" s="12" t="s">
        <v>164</v>
      </c>
      <c r="K1162" s="12" t="s">
        <v>6646</v>
      </c>
      <c r="L1162" s="12" t="s">
        <v>2129</v>
      </c>
      <c r="M1162" s="12" t="s">
        <v>2129</v>
      </c>
      <c r="N1162" s="12" t="s">
        <v>5785</v>
      </c>
      <c r="O1162" s="12" t="s">
        <v>2130</v>
      </c>
      <c r="P1162" s="12" t="s">
        <v>166</v>
      </c>
      <c r="Q1162" s="12" t="s">
        <v>6664</v>
      </c>
      <c r="R1162" s="12" t="s">
        <v>17</v>
      </c>
      <c r="S1162" s="12" t="s">
        <v>17</v>
      </c>
      <c r="T1162" s="12" t="s">
        <v>25</v>
      </c>
      <c r="U1162" s="12" t="s">
        <v>17</v>
      </c>
      <c r="V1162" s="12" t="s">
        <v>6639</v>
      </c>
      <c r="W1162" s="12" t="s">
        <v>6639</v>
      </c>
      <c r="X1162" s="12" t="s">
        <v>17</v>
      </c>
      <c r="Y1162" s="12">
        <v>1136779</v>
      </c>
      <c r="Z1162" s="12" t="s">
        <v>6613</v>
      </c>
      <c r="AA1162" s="12" t="s">
        <v>6613</v>
      </c>
      <c r="AB1162" s="12" t="s">
        <v>6613</v>
      </c>
      <c r="AC1162" s="12" t="s">
        <v>6613</v>
      </c>
      <c r="AD1162" s="12" t="s">
        <v>6613</v>
      </c>
      <c r="AE1162" s="12" t="s">
        <v>6613</v>
      </c>
      <c r="AF1162" s="12" t="s">
        <v>45</v>
      </c>
    </row>
    <row r="1163" spans="1:41" x14ac:dyDescent="0.2">
      <c r="A1163" s="12" t="s">
        <v>2254</v>
      </c>
      <c r="B1163" s="12" t="s">
        <v>2255</v>
      </c>
      <c r="C1163" s="12" t="s">
        <v>17</v>
      </c>
      <c r="D1163" s="12" t="s">
        <v>17</v>
      </c>
      <c r="E1163" s="12" t="s">
        <v>7678</v>
      </c>
      <c r="F1163" s="12" t="s">
        <v>5458</v>
      </c>
      <c r="G1163" s="12" t="s">
        <v>615</v>
      </c>
      <c r="H1163" s="12" t="s">
        <v>6613</v>
      </c>
      <c r="I1163" s="12">
        <v>0</v>
      </c>
      <c r="J1163" s="12" t="s">
        <v>164</v>
      </c>
      <c r="K1163" s="12" t="s">
        <v>6646</v>
      </c>
      <c r="L1163" s="12" t="s">
        <v>2129</v>
      </c>
      <c r="M1163" s="12" t="s">
        <v>2129</v>
      </c>
      <c r="N1163" s="12" t="s">
        <v>5785</v>
      </c>
      <c r="O1163" s="12" t="s">
        <v>2130</v>
      </c>
      <c r="P1163" s="12" t="s">
        <v>166</v>
      </c>
      <c r="Q1163" s="12" t="s">
        <v>6664</v>
      </c>
      <c r="R1163" s="12" t="s">
        <v>17</v>
      </c>
      <c r="S1163" s="12" t="s">
        <v>17</v>
      </c>
      <c r="T1163" s="12" t="s">
        <v>25</v>
      </c>
      <c r="U1163" s="12" t="s">
        <v>17</v>
      </c>
      <c r="V1163" s="12" t="s">
        <v>6639</v>
      </c>
      <c r="W1163" s="12" t="s">
        <v>6639</v>
      </c>
      <c r="X1163" s="12" t="s">
        <v>17</v>
      </c>
      <c r="Y1163" s="12">
        <v>1137586</v>
      </c>
      <c r="Z1163" s="12" t="s">
        <v>6613</v>
      </c>
      <c r="AA1163" s="12" t="s">
        <v>6613</v>
      </c>
      <c r="AB1163" s="12" t="s">
        <v>6613</v>
      </c>
      <c r="AC1163" s="12" t="s">
        <v>6613</v>
      </c>
      <c r="AD1163" s="12" t="s">
        <v>6613</v>
      </c>
      <c r="AE1163" s="12" t="s">
        <v>6613</v>
      </c>
      <c r="AF1163" s="12" t="s">
        <v>45</v>
      </c>
    </row>
    <row r="1164" spans="1:41" x14ac:dyDescent="0.2">
      <c r="A1164" s="12" t="s">
        <v>2270</v>
      </c>
      <c r="B1164" s="12" t="s">
        <v>2271</v>
      </c>
      <c r="C1164" s="12" t="s">
        <v>17</v>
      </c>
      <c r="D1164" s="12" t="s">
        <v>17</v>
      </c>
      <c r="E1164" s="12" t="s">
        <v>7678</v>
      </c>
      <c r="F1164" s="12" t="s">
        <v>5458</v>
      </c>
      <c r="G1164" s="12" t="s">
        <v>615</v>
      </c>
      <c r="H1164" s="12" t="s">
        <v>6613</v>
      </c>
      <c r="I1164" s="12">
        <v>0</v>
      </c>
      <c r="J1164" s="12" t="s">
        <v>164</v>
      </c>
      <c r="K1164" s="12" t="s">
        <v>6646</v>
      </c>
      <c r="L1164" s="12" t="s">
        <v>2129</v>
      </c>
      <c r="M1164" s="12" t="s">
        <v>2129</v>
      </c>
      <c r="N1164" s="12" t="s">
        <v>5785</v>
      </c>
      <c r="O1164" s="12" t="s">
        <v>2130</v>
      </c>
      <c r="P1164" s="12" t="s">
        <v>166</v>
      </c>
      <c r="Q1164" s="12" t="s">
        <v>6664</v>
      </c>
      <c r="R1164" s="16" t="s">
        <v>17</v>
      </c>
      <c r="S1164" s="16" t="s">
        <v>17</v>
      </c>
      <c r="T1164" s="12" t="s">
        <v>25</v>
      </c>
      <c r="U1164" s="12" t="s">
        <v>17</v>
      </c>
      <c r="V1164" s="12" t="s">
        <v>6639</v>
      </c>
      <c r="W1164" s="12" t="s">
        <v>6639</v>
      </c>
      <c r="X1164" s="12" t="s">
        <v>17</v>
      </c>
      <c r="Y1164" s="12">
        <v>1138277</v>
      </c>
      <c r="Z1164" s="12" t="s">
        <v>6613</v>
      </c>
      <c r="AA1164" s="12" t="s">
        <v>6613</v>
      </c>
      <c r="AB1164" s="12" t="s">
        <v>6613</v>
      </c>
      <c r="AC1164" s="12" t="s">
        <v>6613</v>
      </c>
      <c r="AD1164" s="12" t="s">
        <v>6613</v>
      </c>
      <c r="AE1164" s="12" t="s">
        <v>6613</v>
      </c>
      <c r="AF1164" s="12" t="s">
        <v>45</v>
      </c>
    </row>
    <row r="1165" spans="1:41" x14ac:dyDescent="0.2">
      <c r="A1165" s="12" t="s">
        <v>2242</v>
      </c>
      <c r="B1165" s="12" t="s">
        <v>2243</v>
      </c>
      <c r="C1165" s="12" t="s">
        <v>17</v>
      </c>
      <c r="D1165" s="12" t="s">
        <v>17</v>
      </c>
      <c r="E1165" s="12" t="s">
        <v>7678</v>
      </c>
      <c r="F1165" s="12" t="s">
        <v>5458</v>
      </c>
      <c r="G1165" s="12" t="s">
        <v>615</v>
      </c>
      <c r="H1165" s="12" t="s">
        <v>6613</v>
      </c>
      <c r="I1165" s="12">
        <v>0</v>
      </c>
      <c r="J1165" s="12" t="s">
        <v>164</v>
      </c>
      <c r="K1165" s="12" t="s">
        <v>6646</v>
      </c>
      <c r="L1165" s="12" t="s">
        <v>2129</v>
      </c>
      <c r="M1165" s="12" t="s">
        <v>2129</v>
      </c>
      <c r="N1165" s="12" t="s">
        <v>5785</v>
      </c>
      <c r="O1165" s="12" t="s">
        <v>2130</v>
      </c>
      <c r="P1165" s="12" t="s">
        <v>166</v>
      </c>
      <c r="Q1165" s="12" t="s">
        <v>6664</v>
      </c>
      <c r="R1165" s="12" t="s">
        <v>17</v>
      </c>
      <c r="S1165" s="12" t="s">
        <v>17</v>
      </c>
      <c r="T1165" s="12" t="s">
        <v>25</v>
      </c>
      <c r="U1165" s="12" t="s">
        <v>17</v>
      </c>
      <c r="V1165" s="12" t="s">
        <v>6639</v>
      </c>
      <c r="W1165" s="12" t="s">
        <v>6639</v>
      </c>
      <c r="X1165" s="12" t="s">
        <v>17</v>
      </c>
      <c r="Y1165" s="12">
        <v>1139259</v>
      </c>
      <c r="Z1165" s="12" t="s">
        <v>6613</v>
      </c>
      <c r="AA1165" s="12" t="s">
        <v>6613</v>
      </c>
      <c r="AB1165" s="12" t="s">
        <v>6613</v>
      </c>
      <c r="AC1165" s="12" t="s">
        <v>6613</v>
      </c>
      <c r="AD1165" s="12" t="s">
        <v>6613</v>
      </c>
      <c r="AE1165" s="12" t="s">
        <v>6613</v>
      </c>
      <c r="AF1165" s="12" t="s">
        <v>45</v>
      </c>
      <c r="AO1165" s="12"/>
    </row>
    <row r="1166" spans="1:41" x14ac:dyDescent="0.2">
      <c r="A1166" s="12" t="s">
        <v>2181</v>
      </c>
      <c r="B1166" s="12" t="s">
        <v>2182</v>
      </c>
      <c r="C1166" s="12" t="s">
        <v>17</v>
      </c>
      <c r="D1166" s="12" t="s">
        <v>17</v>
      </c>
      <c r="E1166" s="12" t="s">
        <v>7678</v>
      </c>
      <c r="F1166" s="12" t="s">
        <v>5458</v>
      </c>
      <c r="G1166" s="12" t="s">
        <v>615</v>
      </c>
      <c r="H1166" s="12" t="s">
        <v>6613</v>
      </c>
      <c r="I1166" s="12">
        <v>0</v>
      </c>
      <c r="J1166" s="12" t="s">
        <v>164</v>
      </c>
      <c r="K1166" s="12" t="s">
        <v>6646</v>
      </c>
      <c r="L1166" s="12" t="s">
        <v>2129</v>
      </c>
      <c r="M1166" s="12" t="s">
        <v>2129</v>
      </c>
      <c r="N1166" s="12" t="s">
        <v>5785</v>
      </c>
      <c r="O1166" s="12" t="s">
        <v>2130</v>
      </c>
      <c r="P1166" s="12" t="s">
        <v>166</v>
      </c>
      <c r="Q1166" s="12" t="s">
        <v>6664</v>
      </c>
      <c r="R1166" s="12" t="s">
        <v>17</v>
      </c>
      <c r="S1166" s="12" t="s">
        <v>17</v>
      </c>
      <c r="T1166" s="12" t="s">
        <v>25</v>
      </c>
      <c r="U1166" s="12" t="s">
        <v>17</v>
      </c>
      <c r="V1166" s="12" t="s">
        <v>6639</v>
      </c>
      <c r="W1166" s="12" t="s">
        <v>6639</v>
      </c>
      <c r="X1166" s="12" t="s">
        <v>17</v>
      </c>
      <c r="Y1166" s="12">
        <v>1139993</v>
      </c>
      <c r="Z1166" s="12" t="s">
        <v>6613</v>
      </c>
      <c r="AA1166" s="12" t="s">
        <v>6613</v>
      </c>
      <c r="AB1166" s="12" t="s">
        <v>6613</v>
      </c>
      <c r="AC1166" s="12" t="s">
        <v>6613</v>
      </c>
      <c r="AD1166" s="12" t="s">
        <v>6613</v>
      </c>
      <c r="AE1166" s="12" t="s">
        <v>6613</v>
      </c>
      <c r="AF1166" s="12" t="s">
        <v>45</v>
      </c>
      <c r="AO1166" s="12"/>
    </row>
    <row r="1167" spans="1:41" x14ac:dyDescent="0.2">
      <c r="A1167" s="12" t="s">
        <v>2298</v>
      </c>
      <c r="B1167" s="12" t="s">
        <v>2299</v>
      </c>
      <c r="C1167" s="12" t="s">
        <v>17</v>
      </c>
      <c r="D1167" s="12" t="s">
        <v>17</v>
      </c>
      <c r="E1167" s="12" t="s">
        <v>7678</v>
      </c>
      <c r="F1167" s="12" t="s">
        <v>5458</v>
      </c>
      <c r="G1167" s="12" t="s">
        <v>615</v>
      </c>
      <c r="H1167" s="12" t="s">
        <v>6613</v>
      </c>
      <c r="I1167" s="12">
        <v>0</v>
      </c>
      <c r="J1167" s="12" t="s">
        <v>164</v>
      </c>
      <c r="K1167" s="12" t="s">
        <v>6646</v>
      </c>
      <c r="L1167" s="12" t="s">
        <v>2129</v>
      </c>
      <c r="M1167" s="12" t="s">
        <v>2129</v>
      </c>
      <c r="N1167" s="12" t="s">
        <v>5785</v>
      </c>
      <c r="O1167" s="12" t="s">
        <v>2130</v>
      </c>
      <c r="P1167" s="12" t="s">
        <v>166</v>
      </c>
      <c r="Q1167" s="12" t="s">
        <v>6664</v>
      </c>
      <c r="R1167" s="12" t="s">
        <v>17</v>
      </c>
      <c r="S1167" s="12" t="s">
        <v>17</v>
      </c>
      <c r="T1167" s="12" t="s">
        <v>25</v>
      </c>
      <c r="U1167" s="12" t="s">
        <v>17</v>
      </c>
      <c r="V1167" s="12" t="s">
        <v>6639</v>
      </c>
      <c r="W1167" s="12" t="s">
        <v>6639</v>
      </c>
      <c r="X1167" s="12" t="s">
        <v>17</v>
      </c>
      <c r="Y1167" s="12">
        <v>1140047</v>
      </c>
      <c r="Z1167" s="12" t="s">
        <v>6613</v>
      </c>
      <c r="AA1167" s="12" t="s">
        <v>6613</v>
      </c>
      <c r="AB1167" s="12" t="s">
        <v>6613</v>
      </c>
      <c r="AC1167" s="12" t="s">
        <v>6613</v>
      </c>
      <c r="AD1167" s="12" t="s">
        <v>6613</v>
      </c>
      <c r="AE1167" s="12" t="s">
        <v>6613</v>
      </c>
      <c r="AF1167" s="12" t="s">
        <v>45</v>
      </c>
    </row>
    <row r="1168" spans="1:41" x14ac:dyDescent="0.2">
      <c r="A1168" s="12" t="s">
        <v>2292</v>
      </c>
      <c r="B1168" s="12" t="s">
        <v>2293</v>
      </c>
      <c r="C1168" s="12" t="s">
        <v>17</v>
      </c>
      <c r="D1168" s="12" t="s">
        <v>17</v>
      </c>
      <c r="E1168" s="12" t="s">
        <v>7678</v>
      </c>
      <c r="F1168" s="12" t="s">
        <v>5458</v>
      </c>
      <c r="G1168" s="12" t="s">
        <v>615</v>
      </c>
      <c r="H1168" s="12" t="s">
        <v>6613</v>
      </c>
      <c r="I1168" s="12">
        <v>0</v>
      </c>
      <c r="J1168" s="12" t="s">
        <v>164</v>
      </c>
      <c r="K1168" s="12" t="s">
        <v>6646</v>
      </c>
      <c r="L1168" s="12" t="s">
        <v>2129</v>
      </c>
      <c r="M1168" s="12" t="s">
        <v>2129</v>
      </c>
      <c r="N1168" s="12" t="s">
        <v>5785</v>
      </c>
      <c r="O1168" s="12" t="s">
        <v>2130</v>
      </c>
      <c r="P1168" s="12" t="s">
        <v>166</v>
      </c>
      <c r="Q1168" s="12" t="s">
        <v>6664</v>
      </c>
      <c r="R1168" s="12" t="s">
        <v>17</v>
      </c>
      <c r="S1168" s="12" t="s">
        <v>17</v>
      </c>
      <c r="T1168" s="12" t="s">
        <v>11</v>
      </c>
      <c r="U1168" s="12" t="s">
        <v>17</v>
      </c>
      <c r="V1168" s="12" t="s">
        <v>666</v>
      </c>
      <c r="W1168" s="12" t="s">
        <v>7415</v>
      </c>
      <c r="X1168" s="12" t="s">
        <v>17</v>
      </c>
      <c r="Y1168" s="12">
        <v>1140163</v>
      </c>
      <c r="Z1168" s="12" t="s">
        <v>6613</v>
      </c>
      <c r="AA1168" s="12" t="s">
        <v>6613</v>
      </c>
      <c r="AB1168" s="12" t="s">
        <v>6613</v>
      </c>
      <c r="AC1168" s="12" t="s">
        <v>6613</v>
      </c>
      <c r="AD1168" s="12" t="s">
        <v>6613</v>
      </c>
      <c r="AE1168" s="12" t="s">
        <v>6613</v>
      </c>
      <c r="AF1168" s="12" t="s">
        <v>45</v>
      </c>
    </row>
    <row r="1169" spans="1:32" x14ac:dyDescent="0.2">
      <c r="A1169" s="12" t="s">
        <v>2214</v>
      </c>
      <c r="B1169" s="12" t="s">
        <v>2215</v>
      </c>
      <c r="C1169" s="12" t="s">
        <v>17</v>
      </c>
      <c r="D1169" s="12" t="s">
        <v>17</v>
      </c>
      <c r="E1169" s="12" t="s">
        <v>7678</v>
      </c>
      <c r="F1169" s="12" t="s">
        <v>5458</v>
      </c>
      <c r="G1169" s="12" t="s">
        <v>615</v>
      </c>
      <c r="H1169" s="12" t="s">
        <v>6613</v>
      </c>
      <c r="I1169" s="12">
        <v>0</v>
      </c>
      <c r="J1169" s="12" t="s">
        <v>164</v>
      </c>
      <c r="K1169" s="12" t="s">
        <v>6646</v>
      </c>
      <c r="L1169" s="12" t="s">
        <v>2129</v>
      </c>
      <c r="M1169" s="12" t="s">
        <v>2129</v>
      </c>
      <c r="N1169" s="12" t="s">
        <v>5785</v>
      </c>
      <c r="O1169" s="12" t="s">
        <v>2130</v>
      </c>
      <c r="P1169" s="12" t="s">
        <v>166</v>
      </c>
      <c r="Q1169" s="12" t="s">
        <v>6664</v>
      </c>
      <c r="R1169" s="12" t="s">
        <v>17</v>
      </c>
      <c r="S1169" s="12" t="s">
        <v>17</v>
      </c>
      <c r="T1169" s="12" t="s">
        <v>25</v>
      </c>
      <c r="U1169" s="12" t="s">
        <v>17</v>
      </c>
      <c r="V1169" s="12" t="s">
        <v>6639</v>
      </c>
      <c r="W1169" s="12" t="s">
        <v>6639</v>
      </c>
      <c r="X1169" s="12" t="s">
        <v>17</v>
      </c>
      <c r="Y1169" s="12">
        <v>1141440</v>
      </c>
      <c r="Z1169" s="12" t="s">
        <v>6613</v>
      </c>
      <c r="AA1169" s="12" t="s">
        <v>6613</v>
      </c>
      <c r="AB1169" s="12" t="s">
        <v>6613</v>
      </c>
      <c r="AC1169" s="12" t="s">
        <v>6613</v>
      </c>
      <c r="AD1169" s="12" t="s">
        <v>6613</v>
      </c>
      <c r="AE1169" s="12" t="s">
        <v>6613</v>
      </c>
      <c r="AF1169" s="12" t="s">
        <v>45</v>
      </c>
    </row>
    <row r="1170" spans="1:32" x14ac:dyDescent="0.2">
      <c r="A1170" s="12" t="s">
        <v>2204</v>
      </c>
      <c r="B1170" s="12" t="s">
        <v>2205</v>
      </c>
      <c r="C1170" s="12" t="s">
        <v>17</v>
      </c>
      <c r="D1170" s="12" t="s">
        <v>17</v>
      </c>
      <c r="E1170" s="12" t="s">
        <v>7678</v>
      </c>
      <c r="F1170" s="12" t="s">
        <v>5458</v>
      </c>
      <c r="G1170" s="12" t="s">
        <v>615</v>
      </c>
      <c r="H1170" s="12" t="s">
        <v>6613</v>
      </c>
      <c r="I1170" s="12">
        <v>0</v>
      </c>
      <c r="J1170" s="12" t="s">
        <v>164</v>
      </c>
      <c r="K1170" s="12" t="s">
        <v>6646</v>
      </c>
      <c r="L1170" s="12" t="s">
        <v>2129</v>
      </c>
      <c r="M1170" s="12" t="s">
        <v>2129</v>
      </c>
      <c r="N1170" s="12" t="s">
        <v>5785</v>
      </c>
      <c r="O1170" s="12" t="s">
        <v>2130</v>
      </c>
      <c r="P1170" s="12" t="s">
        <v>166</v>
      </c>
      <c r="Q1170" s="12" t="s">
        <v>6664</v>
      </c>
      <c r="R1170" s="16" t="s">
        <v>17</v>
      </c>
      <c r="S1170" s="16" t="s">
        <v>17</v>
      </c>
      <c r="T1170" s="12" t="s">
        <v>25</v>
      </c>
      <c r="U1170" s="12" t="s">
        <v>17</v>
      </c>
      <c r="V1170" s="12" t="s">
        <v>6639</v>
      </c>
      <c r="W1170" s="12" t="s">
        <v>6639</v>
      </c>
      <c r="X1170" s="12" t="s">
        <v>17</v>
      </c>
      <c r="Y1170" s="12">
        <v>1143204</v>
      </c>
      <c r="Z1170" s="12" t="s">
        <v>6613</v>
      </c>
      <c r="AA1170" s="12" t="s">
        <v>6613</v>
      </c>
      <c r="AB1170" s="12" t="s">
        <v>6613</v>
      </c>
      <c r="AC1170" s="12" t="s">
        <v>6613</v>
      </c>
      <c r="AD1170" s="12" t="s">
        <v>6613</v>
      </c>
      <c r="AE1170" s="12" t="s">
        <v>6613</v>
      </c>
      <c r="AF1170" s="12" t="s">
        <v>45</v>
      </c>
    </row>
    <row r="1171" spans="1:32" x14ac:dyDescent="0.2">
      <c r="A1171" s="12" t="s">
        <v>2282</v>
      </c>
      <c r="B1171" s="12" t="s">
        <v>2283</v>
      </c>
      <c r="C1171" s="12" t="s">
        <v>17</v>
      </c>
      <c r="D1171" s="12" t="s">
        <v>17</v>
      </c>
      <c r="E1171" s="12" t="s">
        <v>7678</v>
      </c>
      <c r="F1171" s="12" t="s">
        <v>5458</v>
      </c>
      <c r="G1171" s="12" t="s">
        <v>615</v>
      </c>
      <c r="H1171" s="12" t="s">
        <v>6613</v>
      </c>
      <c r="I1171" s="12">
        <v>0</v>
      </c>
      <c r="J1171" s="12" t="s">
        <v>164</v>
      </c>
      <c r="K1171" s="12" t="s">
        <v>6646</v>
      </c>
      <c r="L1171" s="12" t="s">
        <v>2129</v>
      </c>
      <c r="M1171" s="12" t="s">
        <v>2129</v>
      </c>
      <c r="N1171" s="12" t="s">
        <v>5785</v>
      </c>
      <c r="O1171" s="12" t="s">
        <v>2130</v>
      </c>
      <c r="P1171" s="12" t="s">
        <v>166</v>
      </c>
      <c r="Q1171" s="12" t="s">
        <v>6664</v>
      </c>
      <c r="R1171" s="16" t="s">
        <v>17</v>
      </c>
      <c r="S1171" s="16" t="s">
        <v>17</v>
      </c>
      <c r="T1171" s="12" t="s">
        <v>25</v>
      </c>
      <c r="U1171" s="12" t="s">
        <v>17</v>
      </c>
      <c r="V1171" s="12" t="s">
        <v>6639</v>
      </c>
      <c r="W1171" s="12" t="s">
        <v>6639</v>
      </c>
      <c r="X1171" s="12" t="s">
        <v>17</v>
      </c>
      <c r="Y1171" s="12">
        <v>1144261</v>
      </c>
      <c r="Z1171" s="12" t="s">
        <v>6613</v>
      </c>
      <c r="AA1171" s="12" t="s">
        <v>6613</v>
      </c>
      <c r="AB1171" s="12" t="s">
        <v>6613</v>
      </c>
      <c r="AC1171" s="12" t="s">
        <v>6613</v>
      </c>
      <c r="AD1171" s="12" t="s">
        <v>6613</v>
      </c>
      <c r="AE1171" s="12" t="s">
        <v>6613</v>
      </c>
      <c r="AF1171" s="12" t="s">
        <v>45</v>
      </c>
    </row>
    <row r="1172" spans="1:32" x14ac:dyDescent="0.2">
      <c r="A1172" s="12" t="s">
        <v>2200</v>
      </c>
      <c r="B1172" s="12" t="s">
        <v>2201</v>
      </c>
      <c r="C1172" s="12" t="s">
        <v>17</v>
      </c>
      <c r="D1172" s="12" t="s">
        <v>17</v>
      </c>
      <c r="E1172" s="12" t="s">
        <v>7678</v>
      </c>
      <c r="F1172" s="12" t="s">
        <v>5458</v>
      </c>
      <c r="G1172" s="12" t="s">
        <v>615</v>
      </c>
      <c r="H1172" s="12" t="s">
        <v>6613</v>
      </c>
      <c r="I1172" s="12">
        <v>0</v>
      </c>
      <c r="J1172" s="12" t="s">
        <v>164</v>
      </c>
      <c r="K1172" s="12" t="s">
        <v>6646</v>
      </c>
      <c r="L1172" s="12" t="s">
        <v>2129</v>
      </c>
      <c r="M1172" s="12" t="s">
        <v>2129</v>
      </c>
      <c r="N1172" s="12" t="s">
        <v>5785</v>
      </c>
      <c r="O1172" s="12" t="s">
        <v>2130</v>
      </c>
      <c r="P1172" s="12" t="s">
        <v>166</v>
      </c>
      <c r="Q1172" s="12" t="s">
        <v>6664</v>
      </c>
      <c r="R1172" s="12" t="s">
        <v>17</v>
      </c>
      <c r="S1172" s="12" t="s">
        <v>17</v>
      </c>
      <c r="T1172" s="12" t="s">
        <v>25</v>
      </c>
      <c r="U1172" s="12" t="s">
        <v>17</v>
      </c>
      <c r="V1172" s="12" t="s">
        <v>6639</v>
      </c>
      <c r="W1172" s="12" t="s">
        <v>6639</v>
      </c>
      <c r="X1172" s="12" t="s">
        <v>17</v>
      </c>
      <c r="Y1172" s="12">
        <v>1145540</v>
      </c>
      <c r="Z1172" s="12" t="s">
        <v>6613</v>
      </c>
      <c r="AA1172" s="12" t="s">
        <v>6613</v>
      </c>
      <c r="AB1172" s="12" t="s">
        <v>6613</v>
      </c>
      <c r="AC1172" s="12" t="s">
        <v>6613</v>
      </c>
      <c r="AD1172" s="12" t="s">
        <v>6613</v>
      </c>
      <c r="AE1172" s="12" t="s">
        <v>6613</v>
      </c>
      <c r="AF1172" s="12" t="s">
        <v>45</v>
      </c>
    </row>
    <row r="1173" spans="1:32" x14ac:dyDescent="0.2">
      <c r="A1173" s="12" t="s">
        <v>2329</v>
      </c>
      <c r="B1173" s="12" t="s">
        <v>2330</v>
      </c>
      <c r="C1173" s="12" t="s">
        <v>17</v>
      </c>
      <c r="D1173" s="12" t="s">
        <v>17</v>
      </c>
      <c r="E1173" s="12" t="s">
        <v>7678</v>
      </c>
      <c r="F1173" s="12" t="s">
        <v>5458</v>
      </c>
      <c r="G1173" s="12" t="s">
        <v>615</v>
      </c>
      <c r="H1173" s="12" t="s">
        <v>6613</v>
      </c>
      <c r="I1173" s="12">
        <v>0</v>
      </c>
      <c r="J1173" s="12" t="s">
        <v>164</v>
      </c>
      <c r="K1173" s="12" t="s">
        <v>6646</v>
      </c>
      <c r="L1173" s="12" t="s">
        <v>2129</v>
      </c>
      <c r="M1173" s="12" t="s">
        <v>2129</v>
      </c>
      <c r="N1173" s="12" t="s">
        <v>5785</v>
      </c>
      <c r="O1173" s="12" t="s">
        <v>2130</v>
      </c>
      <c r="P1173" s="12" t="s">
        <v>166</v>
      </c>
      <c r="Q1173" s="12" t="s">
        <v>6664</v>
      </c>
      <c r="R1173" s="12" t="s">
        <v>17</v>
      </c>
      <c r="S1173" s="12" t="s">
        <v>17</v>
      </c>
      <c r="T1173" s="12" t="s">
        <v>25</v>
      </c>
      <c r="U1173" s="12" t="s">
        <v>17</v>
      </c>
      <c r="V1173" s="12" t="s">
        <v>6639</v>
      </c>
      <c r="W1173" s="12" t="s">
        <v>6639</v>
      </c>
      <c r="X1173" s="12" t="s">
        <v>17</v>
      </c>
      <c r="Y1173" s="12">
        <v>1146300</v>
      </c>
      <c r="Z1173" s="12" t="s">
        <v>6613</v>
      </c>
      <c r="AA1173" s="12" t="s">
        <v>6613</v>
      </c>
      <c r="AB1173" s="12" t="s">
        <v>6613</v>
      </c>
      <c r="AC1173" s="12" t="s">
        <v>6613</v>
      </c>
      <c r="AD1173" s="12" t="s">
        <v>6613</v>
      </c>
      <c r="AE1173" s="12" t="s">
        <v>6613</v>
      </c>
      <c r="AF1173" s="12" t="s">
        <v>45</v>
      </c>
    </row>
    <row r="1174" spans="1:32" x14ac:dyDescent="0.2">
      <c r="A1174" s="12" t="s">
        <v>2161</v>
      </c>
      <c r="B1174" s="12" t="s">
        <v>2162</v>
      </c>
      <c r="C1174" s="12" t="s">
        <v>17</v>
      </c>
      <c r="D1174" s="12" t="s">
        <v>17</v>
      </c>
      <c r="E1174" s="12" t="s">
        <v>7678</v>
      </c>
      <c r="F1174" s="12" t="s">
        <v>5458</v>
      </c>
      <c r="G1174" s="12" t="s">
        <v>615</v>
      </c>
      <c r="H1174" s="12" t="s">
        <v>6613</v>
      </c>
      <c r="I1174" s="12">
        <v>0</v>
      </c>
      <c r="J1174" s="12" t="s">
        <v>164</v>
      </c>
      <c r="K1174" s="12" t="s">
        <v>6646</v>
      </c>
      <c r="L1174" s="12" t="s">
        <v>2129</v>
      </c>
      <c r="M1174" s="12" t="s">
        <v>2129</v>
      </c>
      <c r="N1174" s="12" t="s">
        <v>5785</v>
      </c>
      <c r="O1174" s="12" t="s">
        <v>2130</v>
      </c>
      <c r="P1174" s="12" t="s">
        <v>166</v>
      </c>
      <c r="Q1174" s="12" t="s">
        <v>6664</v>
      </c>
      <c r="R1174" s="12" t="s">
        <v>17</v>
      </c>
      <c r="S1174" s="12" t="s">
        <v>17</v>
      </c>
      <c r="T1174" s="12" t="s">
        <v>25</v>
      </c>
      <c r="U1174" s="12" t="s">
        <v>17</v>
      </c>
      <c r="V1174" s="12" t="s">
        <v>6639</v>
      </c>
      <c r="W1174" s="12" t="s">
        <v>6639</v>
      </c>
      <c r="X1174" s="12" t="s">
        <v>17</v>
      </c>
      <c r="Y1174" s="12">
        <v>1146504</v>
      </c>
      <c r="Z1174" s="12" t="s">
        <v>6613</v>
      </c>
      <c r="AA1174" s="12" t="s">
        <v>6613</v>
      </c>
      <c r="AB1174" s="12" t="s">
        <v>6613</v>
      </c>
      <c r="AC1174" s="12" t="s">
        <v>6613</v>
      </c>
      <c r="AD1174" s="12" t="s">
        <v>6613</v>
      </c>
      <c r="AE1174" s="12" t="s">
        <v>6613</v>
      </c>
      <c r="AF1174" s="12" t="s">
        <v>45</v>
      </c>
    </row>
    <row r="1175" spans="1:32" x14ac:dyDescent="0.2">
      <c r="A1175" s="12" t="s">
        <v>2321</v>
      </c>
      <c r="B1175" s="12" t="s">
        <v>2322</v>
      </c>
      <c r="C1175" s="12" t="s">
        <v>17</v>
      </c>
      <c r="D1175" s="12" t="s">
        <v>17</v>
      </c>
      <c r="E1175" s="12" t="s">
        <v>7678</v>
      </c>
      <c r="F1175" s="12" t="s">
        <v>5458</v>
      </c>
      <c r="G1175" s="12" t="s">
        <v>615</v>
      </c>
      <c r="H1175" s="12" t="s">
        <v>6613</v>
      </c>
      <c r="I1175" s="12">
        <v>0</v>
      </c>
      <c r="J1175" s="12" t="s">
        <v>164</v>
      </c>
      <c r="K1175" s="12" t="s">
        <v>6646</v>
      </c>
      <c r="L1175" s="12" t="s">
        <v>2129</v>
      </c>
      <c r="M1175" s="12" t="s">
        <v>2129</v>
      </c>
      <c r="N1175" s="12" t="s">
        <v>5785</v>
      </c>
      <c r="O1175" s="12" t="s">
        <v>2130</v>
      </c>
      <c r="P1175" s="12" t="s">
        <v>166</v>
      </c>
      <c r="Q1175" s="12" t="s">
        <v>6664</v>
      </c>
      <c r="R1175" s="12" t="s">
        <v>17</v>
      </c>
      <c r="S1175" s="12" t="s">
        <v>17</v>
      </c>
      <c r="T1175" s="12" t="s">
        <v>25</v>
      </c>
      <c r="U1175" s="12" t="s">
        <v>17</v>
      </c>
      <c r="V1175" s="12" t="s">
        <v>6639</v>
      </c>
      <c r="W1175" s="12" t="s">
        <v>6639</v>
      </c>
      <c r="X1175" s="12" t="s">
        <v>17</v>
      </c>
      <c r="Y1175" s="12">
        <v>1147007</v>
      </c>
      <c r="Z1175" s="12" t="s">
        <v>6613</v>
      </c>
      <c r="AA1175" s="12" t="s">
        <v>6613</v>
      </c>
      <c r="AB1175" s="12" t="s">
        <v>6613</v>
      </c>
      <c r="AC1175" s="12" t="s">
        <v>6613</v>
      </c>
      <c r="AD1175" s="12" t="s">
        <v>6613</v>
      </c>
      <c r="AE1175" s="12" t="s">
        <v>6613</v>
      </c>
      <c r="AF1175" s="12" t="s">
        <v>45</v>
      </c>
    </row>
    <row r="1176" spans="1:32" x14ac:dyDescent="0.2">
      <c r="A1176" s="12" t="s">
        <v>2225</v>
      </c>
      <c r="B1176" s="12" t="s">
        <v>2226</v>
      </c>
      <c r="C1176" s="12" t="s">
        <v>17</v>
      </c>
      <c r="D1176" s="12" t="s">
        <v>17</v>
      </c>
      <c r="E1176" s="12" t="s">
        <v>7678</v>
      </c>
      <c r="F1176" s="12" t="s">
        <v>5458</v>
      </c>
      <c r="G1176" s="12" t="s">
        <v>615</v>
      </c>
      <c r="H1176" s="12" t="s">
        <v>6613</v>
      </c>
      <c r="I1176" s="12">
        <v>0</v>
      </c>
      <c r="J1176" s="12" t="s">
        <v>164</v>
      </c>
      <c r="K1176" s="12" t="s">
        <v>6646</v>
      </c>
      <c r="L1176" s="12" t="s">
        <v>2129</v>
      </c>
      <c r="M1176" s="12" t="s">
        <v>2129</v>
      </c>
      <c r="N1176" s="12" t="s">
        <v>5785</v>
      </c>
      <c r="O1176" s="12" t="s">
        <v>2130</v>
      </c>
      <c r="P1176" s="12" t="s">
        <v>166</v>
      </c>
      <c r="Q1176" s="12" t="s">
        <v>6664</v>
      </c>
      <c r="R1176" s="12" t="s">
        <v>17</v>
      </c>
      <c r="S1176" s="12" t="s">
        <v>17</v>
      </c>
      <c r="T1176" s="12" t="s">
        <v>25</v>
      </c>
      <c r="U1176" s="12" t="s">
        <v>17</v>
      </c>
      <c r="V1176" s="12" t="s">
        <v>6639</v>
      </c>
      <c r="W1176" s="12" t="s">
        <v>6639</v>
      </c>
      <c r="X1176" s="12" t="s">
        <v>17</v>
      </c>
      <c r="Y1176" s="12">
        <v>1147010</v>
      </c>
      <c r="Z1176" s="12" t="s">
        <v>6613</v>
      </c>
      <c r="AA1176" s="12" t="s">
        <v>6613</v>
      </c>
      <c r="AB1176" s="12" t="s">
        <v>6613</v>
      </c>
      <c r="AC1176" s="12" t="s">
        <v>6613</v>
      </c>
      <c r="AD1176" s="12" t="s">
        <v>6613</v>
      </c>
      <c r="AE1176" s="12" t="s">
        <v>6613</v>
      </c>
      <c r="AF1176" s="12" t="s">
        <v>45</v>
      </c>
    </row>
    <row r="1177" spans="1:32" x14ac:dyDescent="0.2">
      <c r="A1177" s="12" t="s">
        <v>2333</v>
      </c>
      <c r="B1177" s="12" t="s">
        <v>2334</v>
      </c>
      <c r="C1177" s="12" t="s">
        <v>17</v>
      </c>
      <c r="D1177" s="12" t="s">
        <v>17</v>
      </c>
      <c r="E1177" s="12" t="s">
        <v>7678</v>
      </c>
      <c r="F1177" s="12" t="s">
        <v>5458</v>
      </c>
      <c r="G1177" s="12" t="s">
        <v>615</v>
      </c>
      <c r="H1177" s="12" t="s">
        <v>6613</v>
      </c>
      <c r="I1177" s="12">
        <v>0</v>
      </c>
      <c r="J1177" s="12" t="s">
        <v>164</v>
      </c>
      <c r="K1177" s="12" t="s">
        <v>6646</v>
      </c>
      <c r="L1177" s="12" t="s">
        <v>2129</v>
      </c>
      <c r="M1177" s="12" t="s">
        <v>2129</v>
      </c>
      <c r="N1177" s="12" t="s">
        <v>5785</v>
      </c>
      <c r="O1177" s="12" t="s">
        <v>2130</v>
      </c>
      <c r="P1177" s="12" t="s">
        <v>166</v>
      </c>
      <c r="Q1177" s="12" t="s">
        <v>6664</v>
      </c>
      <c r="R1177" s="12" t="s">
        <v>17</v>
      </c>
      <c r="S1177" s="12" t="s">
        <v>17</v>
      </c>
      <c r="T1177" s="12" t="s">
        <v>25</v>
      </c>
      <c r="U1177" s="12" t="s">
        <v>17</v>
      </c>
      <c r="V1177" s="12" t="s">
        <v>6639</v>
      </c>
      <c r="W1177" s="12" t="s">
        <v>6639</v>
      </c>
      <c r="X1177" s="12" t="s">
        <v>17</v>
      </c>
      <c r="Y1177" s="12">
        <v>1147481</v>
      </c>
      <c r="Z1177" s="12" t="s">
        <v>6613</v>
      </c>
      <c r="AA1177" s="12" t="s">
        <v>6613</v>
      </c>
      <c r="AB1177" s="12" t="s">
        <v>6613</v>
      </c>
      <c r="AC1177" s="12" t="s">
        <v>6613</v>
      </c>
      <c r="AD1177" s="12" t="s">
        <v>6613</v>
      </c>
      <c r="AE1177" s="12" t="s">
        <v>6613</v>
      </c>
      <c r="AF1177" s="12" t="s">
        <v>45</v>
      </c>
    </row>
    <row r="1178" spans="1:32" x14ac:dyDescent="0.2">
      <c r="A1178" s="12" t="s">
        <v>2331</v>
      </c>
      <c r="B1178" s="12" t="s">
        <v>2332</v>
      </c>
      <c r="C1178" s="12" t="s">
        <v>17</v>
      </c>
      <c r="D1178" s="12" t="s">
        <v>17</v>
      </c>
      <c r="E1178" s="12" t="s">
        <v>7678</v>
      </c>
      <c r="F1178" s="12" t="s">
        <v>5458</v>
      </c>
      <c r="G1178" s="12" t="s">
        <v>615</v>
      </c>
      <c r="H1178" s="12" t="s">
        <v>6613</v>
      </c>
      <c r="I1178" s="12">
        <v>0</v>
      </c>
      <c r="J1178" s="12" t="s">
        <v>164</v>
      </c>
      <c r="K1178" s="12" t="s">
        <v>6646</v>
      </c>
      <c r="L1178" s="12" t="s">
        <v>2129</v>
      </c>
      <c r="M1178" s="12" t="s">
        <v>2129</v>
      </c>
      <c r="N1178" s="12" t="s">
        <v>5785</v>
      </c>
      <c r="O1178" s="12" t="s">
        <v>2130</v>
      </c>
      <c r="P1178" s="12" t="s">
        <v>166</v>
      </c>
      <c r="Q1178" s="12" t="s">
        <v>6664</v>
      </c>
      <c r="R1178" s="12" t="s">
        <v>17</v>
      </c>
      <c r="S1178" s="12" t="s">
        <v>17</v>
      </c>
      <c r="T1178" s="12" t="s">
        <v>25</v>
      </c>
      <c r="U1178" s="12" t="s">
        <v>17</v>
      </c>
      <c r="V1178" s="12" t="s">
        <v>6639</v>
      </c>
      <c r="W1178" s="12" t="s">
        <v>6639</v>
      </c>
      <c r="X1178" s="12" t="s">
        <v>17</v>
      </c>
      <c r="Y1178" s="12">
        <v>1147578</v>
      </c>
      <c r="Z1178" s="12" t="s">
        <v>6613</v>
      </c>
      <c r="AA1178" s="12" t="s">
        <v>6613</v>
      </c>
      <c r="AB1178" s="12" t="s">
        <v>6613</v>
      </c>
      <c r="AC1178" s="12" t="s">
        <v>6613</v>
      </c>
      <c r="AD1178" s="12" t="s">
        <v>6613</v>
      </c>
      <c r="AE1178" s="12" t="s">
        <v>6613</v>
      </c>
      <c r="AF1178" s="12" t="s">
        <v>45</v>
      </c>
    </row>
    <row r="1179" spans="1:32" x14ac:dyDescent="0.2">
      <c r="A1179" s="12" t="s">
        <v>2150</v>
      </c>
      <c r="B1179" s="12" t="s">
        <v>2151</v>
      </c>
      <c r="C1179" s="12" t="s">
        <v>17</v>
      </c>
      <c r="D1179" s="12" t="s">
        <v>17</v>
      </c>
      <c r="E1179" s="12" t="s">
        <v>7678</v>
      </c>
      <c r="F1179" s="12" t="s">
        <v>5458</v>
      </c>
      <c r="G1179" s="12" t="s">
        <v>615</v>
      </c>
      <c r="H1179" s="12" t="s">
        <v>6613</v>
      </c>
      <c r="I1179" s="12">
        <v>0</v>
      </c>
      <c r="J1179" s="12" t="s">
        <v>164</v>
      </c>
      <c r="K1179" s="12" t="s">
        <v>6646</v>
      </c>
      <c r="L1179" s="12" t="s">
        <v>2129</v>
      </c>
      <c r="M1179" s="12" t="s">
        <v>2129</v>
      </c>
      <c r="N1179" s="12" t="s">
        <v>5785</v>
      </c>
      <c r="O1179" s="12" t="s">
        <v>2130</v>
      </c>
      <c r="P1179" s="12" t="s">
        <v>166</v>
      </c>
      <c r="Q1179" s="12" t="s">
        <v>6664</v>
      </c>
      <c r="R1179" s="12" t="s">
        <v>17</v>
      </c>
      <c r="S1179" s="12" t="s">
        <v>17</v>
      </c>
      <c r="T1179" s="12" t="s">
        <v>25</v>
      </c>
      <c r="U1179" s="12" t="s">
        <v>17</v>
      </c>
      <c r="V1179" s="12" t="s">
        <v>6639</v>
      </c>
      <c r="W1179" s="12" t="s">
        <v>6639</v>
      </c>
      <c r="X1179" s="12" t="s">
        <v>17</v>
      </c>
      <c r="Y1179" s="12">
        <v>1147854</v>
      </c>
      <c r="Z1179" s="12" t="s">
        <v>6613</v>
      </c>
      <c r="AA1179" s="12" t="s">
        <v>6613</v>
      </c>
      <c r="AB1179" s="12" t="s">
        <v>6613</v>
      </c>
      <c r="AC1179" s="12" t="s">
        <v>6613</v>
      </c>
      <c r="AD1179" s="12" t="s">
        <v>6613</v>
      </c>
      <c r="AE1179" s="12" t="s">
        <v>6613</v>
      </c>
      <c r="AF1179" s="12" t="s">
        <v>45</v>
      </c>
    </row>
    <row r="1180" spans="1:32" x14ac:dyDescent="0.2">
      <c r="A1180" s="12" t="s">
        <v>2319</v>
      </c>
      <c r="B1180" s="12" t="s">
        <v>2320</v>
      </c>
      <c r="C1180" s="12" t="s">
        <v>17</v>
      </c>
      <c r="D1180" s="12" t="s">
        <v>17</v>
      </c>
      <c r="E1180" s="12" t="s">
        <v>7678</v>
      </c>
      <c r="F1180" s="12" t="s">
        <v>5458</v>
      </c>
      <c r="G1180" s="12" t="s">
        <v>615</v>
      </c>
      <c r="H1180" s="12" t="s">
        <v>6613</v>
      </c>
      <c r="I1180" s="12">
        <v>0</v>
      </c>
      <c r="J1180" s="12" t="s">
        <v>164</v>
      </c>
      <c r="K1180" s="12" t="s">
        <v>6646</v>
      </c>
      <c r="L1180" s="12" t="s">
        <v>2129</v>
      </c>
      <c r="M1180" s="12" t="s">
        <v>2129</v>
      </c>
      <c r="N1180" s="12" t="s">
        <v>5785</v>
      </c>
      <c r="O1180" s="12" t="s">
        <v>2130</v>
      </c>
      <c r="P1180" s="12" t="s">
        <v>166</v>
      </c>
      <c r="Q1180" s="12" t="s">
        <v>6664</v>
      </c>
      <c r="R1180" s="16" t="s">
        <v>17</v>
      </c>
      <c r="S1180" s="16" t="s">
        <v>17</v>
      </c>
      <c r="T1180" s="12" t="s">
        <v>25</v>
      </c>
      <c r="U1180" s="12" t="s">
        <v>17</v>
      </c>
      <c r="V1180" s="12" t="s">
        <v>6639</v>
      </c>
      <c r="W1180" s="12" t="s">
        <v>6639</v>
      </c>
      <c r="X1180" s="12" t="s">
        <v>17</v>
      </c>
      <c r="Y1180" s="12">
        <v>1148256</v>
      </c>
      <c r="Z1180" s="12" t="s">
        <v>6613</v>
      </c>
      <c r="AA1180" s="12" t="s">
        <v>6613</v>
      </c>
      <c r="AB1180" s="12" t="s">
        <v>6613</v>
      </c>
      <c r="AC1180" s="12" t="s">
        <v>6613</v>
      </c>
      <c r="AD1180" s="12" t="s">
        <v>6613</v>
      </c>
      <c r="AE1180" s="12" t="s">
        <v>6613</v>
      </c>
      <c r="AF1180" s="12" t="s">
        <v>45</v>
      </c>
    </row>
    <row r="1181" spans="1:32" x14ac:dyDescent="0.2">
      <c r="A1181" s="12" t="s">
        <v>2325</v>
      </c>
      <c r="B1181" s="12" t="s">
        <v>2326</v>
      </c>
      <c r="C1181" s="12" t="s">
        <v>17</v>
      </c>
      <c r="D1181" s="12" t="s">
        <v>17</v>
      </c>
      <c r="E1181" s="12" t="s">
        <v>7678</v>
      </c>
      <c r="F1181" s="12" t="s">
        <v>5458</v>
      </c>
      <c r="G1181" s="12" t="s">
        <v>615</v>
      </c>
      <c r="H1181" s="12" t="s">
        <v>6613</v>
      </c>
      <c r="I1181" s="12">
        <v>0</v>
      </c>
      <c r="J1181" s="12" t="s">
        <v>164</v>
      </c>
      <c r="K1181" s="12" t="s">
        <v>6646</v>
      </c>
      <c r="L1181" s="12" t="s">
        <v>2129</v>
      </c>
      <c r="M1181" s="12" t="s">
        <v>2129</v>
      </c>
      <c r="N1181" s="12" t="s">
        <v>5785</v>
      </c>
      <c r="O1181" s="12" t="s">
        <v>2130</v>
      </c>
      <c r="P1181" s="12" t="s">
        <v>166</v>
      </c>
      <c r="Q1181" s="12" t="s">
        <v>6664</v>
      </c>
      <c r="R1181" s="12" t="s">
        <v>17</v>
      </c>
      <c r="S1181" s="12" t="s">
        <v>17</v>
      </c>
      <c r="T1181" s="12" t="s">
        <v>25</v>
      </c>
      <c r="U1181" s="12" t="s">
        <v>17</v>
      </c>
      <c r="V1181" s="12" t="s">
        <v>6639</v>
      </c>
      <c r="W1181" s="12" t="s">
        <v>6639</v>
      </c>
      <c r="X1181" s="12" t="s">
        <v>17</v>
      </c>
      <c r="Y1181" s="12">
        <v>1148273</v>
      </c>
      <c r="Z1181" s="12" t="s">
        <v>6613</v>
      </c>
      <c r="AA1181" s="12" t="s">
        <v>6613</v>
      </c>
      <c r="AB1181" s="12" t="s">
        <v>6613</v>
      </c>
      <c r="AC1181" s="12" t="s">
        <v>6613</v>
      </c>
      <c r="AD1181" s="12" t="s">
        <v>6613</v>
      </c>
      <c r="AE1181" s="12" t="s">
        <v>6613</v>
      </c>
      <c r="AF1181" s="12" t="s">
        <v>45</v>
      </c>
    </row>
    <row r="1182" spans="1:32" x14ac:dyDescent="0.2">
      <c r="A1182" s="12" t="s">
        <v>2137</v>
      </c>
      <c r="B1182" s="12" t="s">
        <v>2138</v>
      </c>
      <c r="C1182" s="12" t="s">
        <v>17</v>
      </c>
      <c r="D1182" s="12" t="s">
        <v>17</v>
      </c>
      <c r="E1182" s="12" t="s">
        <v>7678</v>
      </c>
      <c r="F1182" s="12" t="s">
        <v>5458</v>
      </c>
      <c r="G1182" s="12" t="s">
        <v>615</v>
      </c>
      <c r="H1182" s="12" t="s">
        <v>6613</v>
      </c>
      <c r="I1182" s="12">
        <v>0</v>
      </c>
      <c r="J1182" s="12" t="s">
        <v>164</v>
      </c>
      <c r="K1182" s="12" t="s">
        <v>6646</v>
      </c>
      <c r="L1182" s="12" t="s">
        <v>2129</v>
      </c>
      <c r="M1182" s="12" t="s">
        <v>2129</v>
      </c>
      <c r="N1182" s="12" t="s">
        <v>5785</v>
      </c>
      <c r="O1182" s="12" t="s">
        <v>2130</v>
      </c>
      <c r="P1182" s="12" t="s">
        <v>166</v>
      </c>
      <c r="Q1182" s="12" t="s">
        <v>6664</v>
      </c>
      <c r="R1182" s="12" t="s">
        <v>17</v>
      </c>
      <c r="S1182" s="12" t="s">
        <v>17</v>
      </c>
      <c r="T1182" s="12" t="s">
        <v>25</v>
      </c>
      <c r="U1182" s="12" t="s">
        <v>17</v>
      </c>
      <c r="V1182" s="12" t="s">
        <v>6639</v>
      </c>
      <c r="W1182" s="12" t="s">
        <v>6639</v>
      </c>
      <c r="X1182" s="12" t="s">
        <v>17</v>
      </c>
      <c r="Y1182" s="12">
        <v>1148323</v>
      </c>
      <c r="Z1182" s="12" t="s">
        <v>6613</v>
      </c>
      <c r="AA1182" s="12" t="s">
        <v>6613</v>
      </c>
      <c r="AB1182" s="12" t="s">
        <v>6613</v>
      </c>
      <c r="AC1182" s="12" t="s">
        <v>6613</v>
      </c>
      <c r="AD1182" s="12" t="s">
        <v>6613</v>
      </c>
      <c r="AE1182" s="12" t="s">
        <v>6613</v>
      </c>
      <c r="AF1182" s="12" t="s">
        <v>45</v>
      </c>
    </row>
    <row r="1183" spans="1:32" x14ac:dyDescent="0.2">
      <c r="A1183" s="12" t="s">
        <v>2183</v>
      </c>
      <c r="B1183" s="12" t="s">
        <v>2184</v>
      </c>
      <c r="C1183" s="12" t="s">
        <v>17</v>
      </c>
      <c r="D1183" s="12" t="s">
        <v>17</v>
      </c>
      <c r="E1183" s="12" t="s">
        <v>7678</v>
      </c>
      <c r="F1183" s="12" t="s">
        <v>5458</v>
      </c>
      <c r="G1183" s="12" t="s">
        <v>615</v>
      </c>
      <c r="H1183" s="12" t="s">
        <v>6613</v>
      </c>
      <c r="I1183" s="12">
        <v>0</v>
      </c>
      <c r="J1183" s="12" t="s">
        <v>164</v>
      </c>
      <c r="K1183" s="12" t="s">
        <v>6646</v>
      </c>
      <c r="L1183" s="12" t="s">
        <v>2129</v>
      </c>
      <c r="M1183" s="12" t="s">
        <v>2129</v>
      </c>
      <c r="N1183" s="12" t="s">
        <v>5785</v>
      </c>
      <c r="O1183" s="12" t="s">
        <v>2130</v>
      </c>
      <c r="P1183" s="12" t="s">
        <v>166</v>
      </c>
      <c r="Q1183" s="12" t="s">
        <v>6664</v>
      </c>
      <c r="R1183" s="12" t="s">
        <v>17</v>
      </c>
      <c r="S1183" s="12" t="s">
        <v>17</v>
      </c>
      <c r="T1183" s="12" t="s">
        <v>25</v>
      </c>
      <c r="U1183" s="12" t="s">
        <v>17</v>
      </c>
      <c r="V1183" s="12" t="s">
        <v>6639</v>
      </c>
      <c r="W1183" s="12" t="s">
        <v>6639</v>
      </c>
      <c r="X1183" s="12" t="s">
        <v>17</v>
      </c>
      <c r="Y1183" s="12">
        <v>1148387</v>
      </c>
      <c r="Z1183" s="12" t="s">
        <v>6613</v>
      </c>
      <c r="AA1183" s="12" t="s">
        <v>6613</v>
      </c>
      <c r="AB1183" s="12" t="s">
        <v>6613</v>
      </c>
      <c r="AC1183" s="12" t="s">
        <v>6613</v>
      </c>
      <c r="AD1183" s="12" t="s">
        <v>6613</v>
      </c>
      <c r="AE1183" s="12" t="s">
        <v>6613</v>
      </c>
      <c r="AF1183" s="12" t="s">
        <v>45</v>
      </c>
    </row>
    <row r="1184" spans="1:32" x14ac:dyDescent="0.2">
      <c r="A1184" s="12" t="s">
        <v>2193</v>
      </c>
      <c r="B1184" s="12" t="s">
        <v>2194</v>
      </c>
      <c r="C1184" s="12" t="s">
        <v>17</v>
      </c>
      <c r="D1184" s="12" t="s">
        <v>17</v>
      </c>
      <c r="E1184" s="12" t="s">
        <v>7678</v>
      </c>
      <c r="F1184" s="12" t="s">
        <v>5458</v>
      </c>
      <c r="G1184" s="12" t="s">
        <v>615</v>
      </c>
      <c r="H1184" s="12" t="s">
        <v>6613</v>
      </c>
      <c r="I1184" s="12">
        <v>0</v>
      </c>
      <c r="J1184" s="12" t="s">
        <v>164</v>
      </c>
      <c r="K1184" s="12" t="s">
        <v>6646</v>
      </c>
      <c r="L1184" s="12" t="s">
        <v>2129</v>
      </c>
      <c r="M1184" s="12" t="s">
        <v>2129</v>
      </c>
      <c r="N1184" s="12" t="s">
        <v>5785</v>
      </c>
      <c r="O1184" s="12" t="s">
        <v>2130</v>
      </c>
      <c r="P1184" s="12" t="s">
        <v>166</v>
      </c>
      <c r="Q1184" s="12" t="s">
        <v>6664</v>
      </c>
      <c r="R1184" s="12" t="s">
        <v>17</v>
      </c>
      <c r="S1184" s="12" t="s">
        <v>17</v>
      </c>
      <c r="T1184" s="12" t="s">
        <v>25</v>
      </c>
      <c r="U1184" s="12" t="s">
        <v>17</v>
      </c>
      <c r="V1184" s="12" t="s">
        <v>6639</v>
      </c>
      <c r="W1184" s="12" t="s">
        <v>6639</v>
      </c>
      <c r="X1184" s="12" t="s">
        <v>17</v>
      </c>
      <c r="Y1184" s="12">
        <v>1148706</v>
      </c>
      <c r="Z1184" s="12" t="s">
        <v>6613</v>
      </c>
      <c r="AA1184" s="12" t="s">
        <v>6613</v>
      </c>
      <c r="AB1184" s="12" t="s">
        <v>6613</v>
      </c>
      <c r="AC1184" s="12" t="s">
        <v>6613</v>
      </c>
      <c r="AD1184" s="12" t="s">
        <v>6613</v>
      </c>
      <c r="AE1184" s="12" t="s">
        <v>6613</v>
      </c>
      <c r="AF1184" s="12" t="s">
        <v>45</v>
      </c>
    </row>
    <row r="1185" spans="1:32" x14ac:dyDescent="0.2">
      <c r="A1185" s="12" t="s">
        <v>2131</v>
      </c>
      <c r="B1185" s="12" t="s">
        <v>2132</v>
      </c>
      <c r="C1185" s="12" t="s">
        <v>17</v>
      </c>
      <c r="D1185" s="12" t="s">
        <v>17</v>
      </c>
      <c r="E1185" s="12" t="s">
        <v>7678</v>
      </c>
      <c r="F1185" s="12" t="s">
        <v>5458</v>
      </c>
      <c r="G1185" s="12" t="s">
        <v>615</v>
      </c>
      <c r="H1185" s="12" t="s">
        <v>6613</v>
      </c>
      <c r="I1185" s="12">
        <v>0</v>
      </c>
      <c r="J1185" s="12" t="s">
        <v>164</v>
      </c>
      <c r="K1185" s="12" t="s">
        <v>6646</v>
      </c>
      <c r="L1185" s="12" t="s">
        <v>2129</v>
      </c>
      <c r="M1185" s="12" t="s">
        <v>2129</v>
      </c>
      <c r="N1185" s="12" t="s">
        <v>5785</v>
      </c>
      <c r="O1185" s="12" t="s">
        <v>2130</v>
      </c>
      <c r="P1185" s="12" t="s">
        <v>166</v>
      </c>
      <c r="Q1185" s="12" t="s">
        <v>6664</v>
      </c>
      <c r="R1185" s="12" t="s">
        <v>17</v>
      </c>
      <c r="S1185" s="12" t="s">
        <v>17</v>
      </c>
      <c r="T1185" s="12" t="s">
        <v>25</v>
      </c>
      <c r="U1185" s="12" t="s">
        <v>17</v>
      </c>
      <c r="V1185" s="12" t="s">
        <v>6639</v>
      </c>
      <c r="W1185" s="12" t="s">
        <v>6639</v>
      </c>
      <c r="X1185" s="12" t="s">
        <v>17</v>
      </c>
      <c r="Y1185" s="12">
        <v>1148955</v>
      </c>
      <c r="Z1185" s="12" t="s">
        <v>6613</v>
      </c>
      <c r="AA1185" s="12" t="s">
        <v>6613</v>
      </c>
      <c r="AB1185" s="12" t="s">
        <v>6613</v>
      </c>
      <c r="AC1185" s="12" t="s">
        <v>6613</v>
      </c>
      <c r="AD1185" s="12" t="s">
        <v>6613</v>
      </c>
      <c r="AE1185" s="12" t="s">
        <v>6613</v>
      </c>
      <c r="AF1185" s="12" t="s">
        <v>45</v>
      </c>
    </row>
    <row r="1186" spans="1:32" x14ac:dyDescent="0.2">
      <c r="A1186" s="12" t="s">
        <v>2308</v>
      </c>
      <c r="B1186" s="12" t="s">
        <v>2309</v>
      </c>
      <c r="C1186" s="12" t="s">
        <v>17</v>
      </c>
      <c r="D1186" s="12" t="s">
        <v>17</v>
      </c>
      <c r="E1186" s="12" t="s">
        <v>7678</v>
      </c>
      <c r="F1186" s="12" t="s">
        <v>5458</v>
      </c>
      <c r="G1186" s="12" t="s">
        <v>615</v>
      </c>
      <c r="H1186" s="12" t="s">
        <v>6613</v>
      </c>
      <c r="I1186" s="12">
        <v>0</v>
      </c>
      <c r="J1186" s="12" t="s">
        <v>164</v>
      </c>
      <c r="K1186" s="12" t="s">
        <v>6646</v>
      </c>
      <c r="L1186" s="12" t="s">
        <v>2129</v>
      </c>
      <c r="M1186" s="12" t="s">
        <v>2129</v>
      </c>
      <c r="N1186" s="12" t="s">
        <v>5785</v>
      </c>
      <c r="O1186" s="12" t="s">
        <v>2130</v>
      </c>
      <c r="P1186" s="12" t="s">
        <v>166</v>
      </c>
      <c r="Q1186" s="12" t="s">
        <v>6664</v>
      </c>
      <c r="R1186" s="12" t="s">
        <v>17</v>
      </c>
      <c r="S1186" s="12" t="s">
        <v>17</v>
      </c>
      <c r="T1186" s="12" t="s">
        <v>11</v>
      </c>
      <c r="U1186" s="12" t="s">
        <v>17</v>
      </c>
      <c r="V1186" s="12" t="s">
        <v>601</v>
      </c>
      <c r="W1186" s="12" t="s">
        <v>7415</v>
      </c>
      <c r="X1186" s="12" t="s">
        <v>17</v>
      </c>
      <c r="Y1186" s="12">
        <v>1148998</v>
      </c>
      <c r="Z1186" s="12" t="s">
        <v>6613</v>
      </c>
      <c r="AA1186" s="12" t="s">
        <v>6613</v>
      </c>
      <c r="AB1186" s="12" t="s">
        <v>6613</v>
      </c>
      <c r="AC1186" s="12" t="s">
        <v>6613</v>
      </c>
      <c r="AD1186" s="12" t="s">
        <v>6613</v>
      </c>
      <c r="AE1186" s="12" t="s">
        <v>6613</v>
      </c>
      <c r="AF1186" s="12" t="s">
        <v>45</v>
      </c>
    </row>
    <row r="1187" spans="1:32" x14ac:dyDescent="0.2">
      <c r="A1187" s="12" t="s">
        <v>2231</v>
      </c>
      <c r="B1187" s="12" t="s">
        <v>2232</v>
      </c>
      <c r="C1187" s="12" t="s">
        <v>17</v>
      </c>
      <c r="D1187" s="12" t="s">
        <v>17</v>
      </c>
      <c r="E1187" s="12" t="s">
        <v>7678</v>
      </c>
      <c r="F1187" s="12" t="s">
        <v>5458</v>
      </c>
      <c r="G1187" s="12" t="s">
        <v>615</v>
      </c>
      <c r="H1187" s="12" t="s">
        <v>6613</v>
      </c>
      <c r="I1187" s="12">
        <v>0</v>
      </c>
      <c r="J1187" s="12" t="s">
        <v>164</v>
      </c>
      <c r="K1187" s="12" t="s">
        <v>6646</v>
      </c>
      <c r="L1187" s="12" t="s">
        <v>2129</v>
      </c>
      <c r="M1187" s="12" t="s">
        <v>2129</v>
      </c>
      <c r="N1187" s="12" t="s">
        <v>5785</v>
      </c>
      <c r="O1187" s="12" t="s">
        <v>2130</v>
      </c>
      <c r="P1187" s="12" t="s">
        <v>166</v>
      </c>
      <c r="Q1187" s="12" t="s">
        <v>6664</v>
      </c>
      <c r="R1187" s="12" t="s">
        <v>17</v>
      </c>
      <c r="S1187" s="12" t="s">
        <v>17</v>
      </c>
      <c r="T1187" s="12" t="s">
        <v>25</v>
      </c>
      <c r="U1187" s="12" t="s">
        <v>17</v>
      </c>
      <c r="V1187" s="12" t="s">
        <v>6639</v>
      </c>
      <c r="W1187" s="12" t="s">
        <v>6639</v>
      </c>
      <c r="X1187" s="12" t="s">
        <v>17</v>
      </c>
      <c r="Y1187" s="12">
        <v>1149066</v>
      </c>
      <c r="Z1187" s="12" t="s">
        <v>6613</v>
      </c>
      <c r="AA1187" s="12" t="s">
        <v>6613</v>
      </c>
      <c r="AB1187" s="12" t="s">
        <v>6613</v>
      </c>
      <c r="AC1187" s="12" t="s">
        <v>6613</v>
      </c>
      <c r="AD1187" s="12" t="s">
        <v>6613</v>
      </c>
      <c r="AE1187" s="12" t="s">
        <v>6613</v>
      </c>
      <c r="AF1187" s="12" t="s">
        <v>45</v>
      </c>
    </row>
    <row r="1188" spans="1:32" x14ac:dyDescent="0.2">
      <c r="A1188" s="12" t="s">
        <v>2189</v>
      </c>
      <c r="B1188" s="12" t="s">
        <v>2190</v>
      </c>
      <c r="C1188" s="12" t="s">
        <v>17</v>
      </c>
      <c r="D1188" s="12" t="s">
        <v>17</v>
      </c>
      <c r="E1188" s="12" t="s">
        <v>7678</v>
      </c>
      <c r="F1188" s="12" t="s">
        <v>5458</v>
      </c>
      <c r="G1188" s="12" t="s">
        <v>615</v>
      </c>
      <c r="H1188" s="12" t="s">
        <v>6613</v>
      </c>
      <c r="I1188" s="12">
        <v>0</v>
      </c>
      <c r="J1188" s="12" t="s">
        <v>164</v>
      </c>
      <c r="K1188" s="12" t="s">
        <v>6646</v>
      </c>
      <c r="L1188" s="12" t="s">
        <v>2129</v>
      </c>
      <c r="M1188" s="12" t="s">
        <v>2129</v>
      </c>
      <c r="N1188" s="12" t="s">
        <v>5785</v>
      </c>
      <c r="O1188" s="12" t="s">
        <v>2130</v>
      </c>
      <c r="P1188" s="12" t="s">
        <v>166</v>
      </c>
      <c r="Q1188" s="12" t="s">
        <v>6664</v>
      </c>
      <c r="R1188" s="12" t="s">
        <v>17</v>
      </c>
      <c r="S1188" s="12" t="s">
        <v>17</v>
      </c>
      <c r="T1188" s="12" t="s">
        <v>25</v>
      </c>
      <c r="U1188" s="12" t="s">
        <v>17</v>
      </c>
      <c r="V1188" s="12" t="s">
        <v>6639</v>
      </c>
      <c r="W1188" s="12" t="s">
        <v>6639</v>
      </c>
      <c r="X1188" s="12" t="s">
        <v>17</v>
      </c>
      <c r="Y1188" s="12">
        <v>1149305</v>
      </c>
      <c r="Z1188" s="12" t="s">
        <v>6613</v>
      </c>
      <c r="AA1188" s="12" t="s">
        <v>6613</v>
      </c>
      <c r="AB1188" s="12" t="s">
        <v>6613</v>
      </c>
      <c r="AC1188" s="12" t="s">
        <v>6613</v>
      </c>
      <c r="AD1188" s="12" t="s">
        <v>6613</v>
      </c>
      <c r="AE1188" s="12" t="s">
        <v>6613</v>
      </c>
      <c r="AF1188" s="12" t="s">
        <v>45</v>
      </c>
    </row>
    <row r="1189" spans="1:32" x14ac:dyDescent="0.2">
      <c r="A1189" s="12" t="s">
        <v>2152</v>
      </c>
      <c r="B1189" s="12" t="s">
        <v>2153</v>
      </c>
      <c r="C1189" s="12" t="s">
        <v>17</v>
      </c>
      <c r="D1189" s="12" t="s">
        <v>17</v>
      </c>
      <c r="E1189" s="12" t="s">
        <v>7678</v>
      </c>
      <c r="F1189" s="12" t="s">
        <v>5458</v>
      </c>
      <c r="G1189" s="12" t="s">
        <v>615</v>
      </c>
      <c r="H1189" s="12" t="s">
        <v>6613</v>
      </c>
      <c r="I1189" s="12">
        <v>0</v>
      </c>
      <c r="J1189" s="12" t="s">
        <v>164</v>
      </c>
      <c r="K1189" s="12" t="s">
        <v>6646</v>
      </c>
      <c r="L1189" s="12" t="s">
        <v>2129</v>
      </c>
      <c r="M1189" s="12" t="s">
        <v>2129</v>
      </c>
      <c r="N1189" s="12" t="s">
        <v>5785</v>
      </c>
      <c r="O1189" s="12" t="s">
        <v>2130</v>
      </c>
      <c r="P1189" s="12" t="s">
        <v>166</v>
      </c>
      <c r="Q1189" s="12" t="s">
        <v>6664</v>
      </c>
      <c r="R1189" s="12" t="s">
        <v>17</v>
      </c>
      <c r="S1189" s="12" t="s">
        <v>17</v>
      </c>
      <c r="T1189" s="12" t="s">
        <v>25</v>
      </c>
      <c r="U1189" s="12" t="s">
        <v>17</v>
      </c>
      <c r="V1189" s="12" t="s">
        <v>6639</v>
      </c>
      <c r="W1189" s="12" t="s">
        <v>6639</v>
      </c>
      <c r="X1189" s="12" t="s">
        <v>17</v>
      </c>
      <c r="Y1189" s="12">
        <v>1149706</v>
      </c>
      <c r="Z1189" s="12" t="s">
        <v>6613</v>
      </c>
      <c r="AA1189" s="12" t="s">
        <v>6613</v>
      </c>
      <c r="AB1189" s="12" t="s">
        <v>6613</v>
      </c>
      <c r="AC1189" s="12" t="s">
        <v>6613</v>
      </c>
      <c r="AD1189" s="12" t="s">
        <v>6613</v>
      </c>
      <c r="AE1189" s="12" t="s">
        <v>6613</v>
      </c>
      <c r="AF1189" s="12" t="s">
        <v>45</v>
      </c>
    </row>
    <row r="1190" spans="1:32" x14ac:dyDescent="0.2">
      <c r="A1190" s="12" t="s">
        <v>2179</v>
      </c>
      <c r="B1190" s="12" t="s">
        <v>2180</v>
      </c>
      <c r="C1190" s="12" t="s">
        <v>17</v>
      </c>
      <c r="D1190" s="12" t="s">
        <v>17</v>
      </c>
      <c r="E1190" s="12" t="s">
        <v>7678</v>
      </c>
      <c r="F1190" s="12" t="s">
        <v>5458</v>
      </c>
      <c r="G1190" s="12" t="s">
        <v>615</v>
      </c>
      <c r="H1190" s="12" t="s">
        <v>6613</v>
      </c>
      <c r="I1190" s="12">
        <v>0</v>
      </c>
      <c r="J1190" s="12" t="s">
        <v>164</v>
      </c>
      <c r="K1190" s="12" t="s">
        <v>6646</v>
      </c>
      <c r="L1190" s="12" t="s">
        <v>2129</v>
      </c>
      <c r="M1190" s="12" t="s">
        <v>2129</v>
      </c>
      <c r="N1190" s="12" t="s">
        <v>5785</v>
      </c>
      <c r="O1190" s="12" t="s">
        <v>2130</v>
      </c>
      <c r="P1190" s="12" t="s">
        <v>166</v>
      </c>
      <c r="Q1190" s="12" t="s">
        <v>6664</v>
      </c>
      <c r="R1190" s="12" t="s">
        <v>17</v>
      </c>
      <c r="S1190" s="12" t="s">
        <v>17</v>
      </c>
      <c r="T1190" s="12" t="s">
        <v>25</v>
      </c>
      <c r="U1190" s="12" t="s">
        <v>17</v>
      </c>
      <c r="V1190" s="12" t="s">
        <v>6639</v>
      </c>
      <c r="W1190" s="12" t="s">
        <v>6639</v>
      </c>
      <c r="X1190" s="12" t="s">
        <v>17</v>
      </c>
      <c r="Y1190" s="12">
        <v>1149778</v>
      </c>
      <c r="Z1190" s="12" t="s">
        <v>6613</v>
      </c>
      <c r="AA1190" s="12" t="s">
        <v>6613</v>
      </c>
      <c r="AB1190" s="12" t="s">
        <v>6613</v>
      </c>
      <c r="AC1190" s="12" t="s">
        <v>6613</v>
      </c>
      <c r="AD1190" s="12" t="s">
        <v>6613</v>
      </c>
      <c r="AE1190" s="12" t="s">
        <v>6613</v>
      </c>
      <c r="AF1190" s="12" t="s">
        <v>45</v>
      </c>
    </row>
    <row r="1191" spans="1:32" x14ac:dyDescent="0.2">
      <c r="A1191" s="12" t="s">
        <v>2227</v>
      </c>
      <c r="B1191" s="12" t="s">
        <v>2228</v>
      </c>
      <c r="C1191" s="12" t="s">
        <v>17</v>
      </c>
      <c r="D1191" s="12" t="s">
        <v>17</v>
      </c>
      <c r="E1191" s="12" t="s">
        <v>7678</v>
      </c>
      <c r="F1191" s="12" t="s">
        <v>5458</v>
      </c>
      <c r="G1191" s="12" t="s">
        <v>615</v>
      </c>
      <c r="H1191" s="12" t="s">
        <v>6613</v>
      </c>
      <c r="I1191" s="12">
        <v>0</v>
      </c>
      <c r="J1191" s="12" t="s">
        <v>164</v>
      </c>
      <c r="K1191" s="12" t="s">
        <v>6646</v>
      </c>
      <c r="L1191" s="12" t="s">
        <v>2129</v>
      </c>
      <c r="M1191" s="12" t="s">
        <v>2129</v>
      </c>
      <c r="N1191" s="12" t="s">
        <v>5785</v>
      </c>
      <c r="O1191" s="12" t="s">
        <v>2130</v>
      </c>
      <c r="P1191" s="12" t="s">
        <v>166</v>
      </c>
      <c r="Q1191" s="12" t="s">
        <v>6664</v>
      </c>
      <c r="R1191" s="12" t="s">
        <v>17</v>
      </c>
      <c r="S1191" s="12" t="s">
        <v>17</v>
      </c>
      <c r="T1191" s="12" t="s">
        <v>25</v>
      </c>
      <c r="U1191" s="12" t="s">
        <v>17</v>
      </c>
      <c r="V1191" s="12" t="s">
        <v>6639</v>
      </c>
      <c r="W1191" s="12" t="s">
        <v>6639</v>
      </c>
      <c r="X1191" s="12" t="s">
        <v>17</v>
      </c>
      <c r="Y1191" s="12">
        <v>1149849</v>
      </c>
      <c r="Z1191" s="12" t="s">
        <v>6613</v>
      </c>
      <c r="AA1191" s="12" t="s">
        <v>6613</v>
      </c>
      <c r="AB1191" s="12" t="s">
        <v>6613</v>
      </c>
      <c r="AC1191" s="12" t="s">
        <v>6613</v>
      </c>
      <c r="AD1191" s="12" t="s">
        <v>6613</v>
      </c>
      <c r="AE1191" s="12" t="s">
        <v>6613</v>
      </c>
      <c r="AF1191" s="12" t="s">
        <v>45</v>
      </c>
    </row>
    <row r="1192" spans="1:32" x14ac:dyDescent="0.2">
      <c r="A1192" s="12" t="s">
        <v>2202</v>
      </c>
      <c r="B1192" s="12" t="s">
        <v>2203</v>
      </c>
      <c r="C1192" s="12" t="s">
        <v>17</v>
      </c>
      <c r="D1192" s="12" t="s">
        <v>17</v>
      </c>
      <c r="E1192" s="12" t="s">
        <v>7678</v>
      </c>
      <c r="F1192" s="12" t="s">
        <v>5458</v>
      </c>
      <c r="G1192" s="12" t="s">
        <v>615</v>
      </c>
      <c r="H1192" s="12" t="s">
        <v>6613</v>
      </c>
      <c r="I1192" s="12">
        <v>0</v>
      </c>
      <c r="J1192" s="12" t="s">
        <v>164</v>
      </c>
      <c r="K1192" s="12" t="s">
        <v>6646</v>
      </c>
      <c r="L1192" s="12" t="s">
        <v>2129</v>
      </c>
      <c r="M1192" s="12" t="s">
        <v>2129</v>
      </c>
      <c r="N1192" s="12" t="s">
        <v>5785</v>
      </c>
      <c r="O1192" s="12" t="s">
        <v>2130</v>
      </c>
      <c r="P1192" s="12" t="s">
        <v>166</v>
      </c>
      <c r="Q1192" s="12" t="s">
        <v>6664</v>
      </c>
      <c r="R1192" s="12" t="s">
        <v>17</v>
      </c>
      <c r="S1192" s="12" t="s">
        <v>17</v>
      </c>
      <c r="T1192" s="12" t="s">
        <v>25</v>
      </c>
      <c r="U1192" s="12" t="s">
        <v>17</v>
      </c>
      <c r="V1192" s="12" t="s">
        <v>6639</v>
      </c>
      <c r="W1192" s="12" t="s">
        <v>6639</v>
      </c>
      <c r="X1192" s="12" t="s">
        <v>17</v>
      </c>
      <c r="Y1192" s="12">
        <v>1150167</v>
      </c>
      <c r="Z1192" s="12" t="s">
        <v>6613</v>
      </c>
      <c r="AA1192" s="12" t="s">
        <v>6613</v>
      </c>
      <c r="AB1192" s="12" t="s">
        <v>6613</v>
      </c>
      <c r="AC1192" s="12" t="s">
        <v>6613</v>
      </c>
      <c r="AD1192" s="12" t="s">
        <v>6613</v>
      </c>
      <c r="AE1192" s="12" t="s">
        <v>6613</v>
      </c>
      <c r="AF1192" s="12" t="s">
        <v>45</v>
      </c>
    </row>
    <row r="1193" spans="1:32" x14ac:dyDescent="0.2">
      <c r="A1193" s="12" t="s">
        <v>2157</v>
      </c>
      <c r="B1193" s="12" t="s">
        <v>2158</v>
      </c>
      <c r="C1193" s="12" t="s">
        <v>17</v>
      </c>
      <c r="D1193" s="12" t="s">
        <v>17</v>
      </c>
      <c r="E1193" s="12" t="s">
        <v>7678</v>
      </c>
      <c r="F1193" s="12" t="s">
        <v>5458</v>
      </c>
      <c r="G1193" s="12" t="s">
        <v>615</v>
      </c>
      <c r="H1193" s="12" t="s">
        <v>6613</v>
      </c>
      <c r="I1193" s="12">
        <v>0</v>
      </c>
      <c r="J1193" s="12" t="s">
        <v>164</v>
      </c>
      <c r="K1193" s="12" t="s">
        <v>6646</v>
      </c>
      <c r="L1193" s="12" t="s">
        <v>2129</v>
      </c>
      <c r="M1193" s="12" t="s">
        <v>2129</v>
      </c>
      <c r="N1193" s="12" t="s">
        <v>5785</v>
      </c>
      <c r="O1193" s="12" t="s">
        <v>2130</v>
      </c>
      <c r="P1193" s="12" t="s">
        <v>166</v>
      </c>
      <c r="Q1193" s="12" t="s">
        <v>6664</v>
      </c>
      <c r="R1193" s="16" t="s">
        <v>17</v>
      </c>
      <c r="S1193" s="16" t="s">
        <v>17</v>
      </c>
      <c r="T1193" s="12" t="s">
        <v>25</v>
      </c>
      <c r="U1193" s="12" t="s">
        <v>17</v>
      </c>
      <c r="V1193" s="12" t="s">
        <v>6639</v>
      </c>
      <c r="W1193" s="12" t="s">
        <v>6639</v>
      </c>
      <c r="X1193" s="12" t="s">
        <v>17</v>
      </c>
      <c r="Y1193" s="12">
        <v>1150244</v>
      </c>
      <c r="Z1193" s="12" t="s">
        <v>6613</v>
      </c>
      <c r="AA1193" s="12" t="s">
        <v>6613</v>
      </c>
      <c r="AB1193" s="12" t="s">
        <v>6613</v>
      </c>
      <c r="AC1193" s="12" t="s">
        <v>6613</v>
      </c>
      <c r="AD1193" s="12" t="s">
        <v>6613</v>
      </c>
      <c r="AE1193" s="12" t="s">
        <v>6613</v>
      </c>
      <c r="AF1193" s="12" t="s">
        <v>45</v>
      </c>
    </row>
    <row r="1194" spans="1:32" x14ac:dyDescent="0.2">
      <c r="A1194" s="12" t="s">
        <v>2143</v>
      </c>
      <c r="B1194" s="12" t="s">
        <v>2144</v>
      </c>
      <c r="C1194" s="12" t="s">
        <v>17</v>
      </c>
      <c r="D1194" s="12" t="s">
        <v>17</v>
      </c>
      <c r="E1194" s="12" t="s">
        <v>7678</v>
      </c>
      <c r="F1194" s="12" t="s">
        <v>5458</v>
      </c>
      <c r="G1194" s="12" t="s">
        <v>615</v>
      </c>
      <c r="H1194" s="12" t="s">
        <v>6613</v>
      </c>
      <c r="I1194" s="12">
        <v>0</v>
      </c>
      <c r="J1194" s="12" t="s">
        <v>164</v>
      </c>
      <c r="K1194" s="12" t="s">
        <v>6646</v>
      </c>
      <c r="L1194" s="12" t="s">
        <v>2129</v>
      </c>
      <c r="M1194" s="12" t="s">
        <v>2129</v>
      </c>
      <c r="N1194" s="12" t="s">
        <v>5785</v>
      </c>
      <c r="O1194" s="12" t="s">
        <v>2130</v>
      </c>
      <c r="P1194" s="12" t="s">
        <v>166</v>
      </c>
      <c r="Q1194" s="12" t="s">
        <v>6664</v>
      </c>
      <c r="R1194" s="12" t="s">
        <v>17</v>
      </c>
      <c r="S1194" s="12" t="s">
        <v>17</v>
      </c>
      <c r="T1194" s="12" t="s">
        <v>25</v>
      </c>
      <c r="U1194" s="12" t="s">
        <v>17</v>
      </c>
      <c r="V1194" s="12" t="s">
        <v>6639</v>
      </c>
      <c r="W1194" s="12" t="s">
        <v>6639</v>
      </c>
      <c r="X1194" s="12" t="s">
        <v>17</v>
      </c>
      <c r="Y1194" s="12">
        <v>1150366</v>
      </c>
      <c r="Z1194" s="12" t="s">
        <v>6613</v>
      </c>
      <c r="AA1194" s="12" t="s">
        <v>6613</v>
      </c>
      <c r="AB1194" s="12" t="s">
        <v>6613</v>
      </c>
      <c r="AC1194" s="12" t="s">
        <v>6613</v>
      </c>
      <c r="AD1194" s="12" t="s">
        <v>6613</v>
      </c>
      <c r="AE1194" s="12" t="s">
        <v>6613</v>
      </c>
      <c r="AF1194" s="12" t="s">
        <v>45</v>
      </c>
    </row>
    <row r="1195" spans="1:32" x14ac:dyDescent="0.2">
      <c r="A1195" s="12" t="s">
        <v>2290</v>
      </c>
      <c r="B1195" s="12" t="s">
        <v>2291</v>
      </c>
      <c r="C1195" s="12" t="s">
        <v>17</v>
      </c>
      <c r="D1195" s="12" t="s">
        <v>17</v>
      </c>
      <c r="E1195" s="12" t="s">
        <v>7678</v>
      </c>
      <c r="F1195" s="12" t="s">
        <v>5458</v>
      </c>
      <c r="G1195" s="12" t="s">
        <v>615</v>
      </c>
      <c r="H1195" s="12" t="s">
        <v>6613</v>
      </c>
      <c r="I1195" s="12">
        <v>0</v>
      </c>
      <c r="J1195" s="12" t="s">
        <v>164</v>
      </c>
      <c r="K1195" s="12" t="s">
        <v>6646</v>
      </c>
      <c r="L1195" s="12" t="s">
        <v>2129</v>
      </c>
      <c r="M1195" s="12" t="s">
        <v>2129</v>
      </c>
      <c r="N1195" s="12" t="s">
        <v>5785</v>
      </c>
      <c r="O1195" s="12" t="s">
        <v>2130</v>
      </c>
      <c r="P1195" s="12" t="s">
        <v>166</v>
      </c>
      <c r="Q1195" s="12" t="s">
        <v>6664</v>
      </c>
      <c r="R1195" s="12" t="s">
        <v>17</v>
      </c>
      <c r="S1195" s="12" t="s">
        <v>17</v>
      </c>
      <c r="T1195" s="12" t="s">
        <v>11</v>
      </c>
      <c r="U1195" s="12" t="s">
        <v>17</v>
      </c>
      <c r="V1195" s="12" t="s">
        <v>1182</v>
      </c>
      <c r="W1195" s="12" t="s">
        <v>7415</v>
      </c>
      <c r="X1195" s="12" t="s">
        <v>17</v>
      </c>
      <c r="Y1195" s="12">
        <v>1153122</v>
      </c>
      <c r="Z1195" s="12" t="s">
        <v>6613</v>
      </c>
      <c r="AA1195" s="12" t="s">
        <v>6613</v>
      </c>
      <c r="AB1195" s="12" t="s">
        <v>6613</v>
      </c>
      <c r="AC1195" s="12" t="s">
        <v>6613</v>
      </c>
      <c r="AD1195" s="12" t="s">
        <v>6613</v>
      </c>
      <c r="AE1195" s="12" t="s">
        <v>6613</v>
      </c>
      <c r="AF1195" s="12" t="s">
        <v>45</v>
      </c>
    </row>
    <row r="1196" spans="1:32" x14ac:dyDescent="0.2">
      <c r="A1196" s="12" t="s">
        <v>2302</v>
      </c>
      <c r="B1196" s="12" t="s">
        <v>2303</v>
      </c>
      <c r="C1196" s="12" t="s">
        <v>17</v>
      </c>
      <c r="D1196" s="12" t="s">
        <v>17</v>
      </c>
      <c r="E1196" s="12" t="s">
        <v>7678</v>
      </c>
      <c r="F1196" s="12" t="s">
        <v>5458</v>
      </c>
      <c r="G1196" s="12" t="s">
        <v>615</v>
      </c>
      <c r="H1196" s="12" t="s">
        <v>6613</v>
      </c>
      <c r="I1196" s="12">
        <v>0</v>
      </c>
      <c r="J1196" s="12" t="s">
        <v>164</v>
      </c>
      <c r="K1196" s="12" t="s">
        <v>6646</v>
      </c>
      <c r="L1196" s="12" t="s">
        <v>2129</v>
      </c>
      <c r="M1196" s="12" t="s">
        <v>2129</v>
      </c>
      <c r="N1196" s="12" t="s">
        <v>5785</v>
      </c>
      <c r="O1196" s="12" t="s">
        <v>2130</v>
      </c>
      <c r="P1196" s="12" t="s">
        <v>166</v>
      </c>
      <c r="Q1196" s="12" t="s">
        <v>6664</v>
      </c>
      <c r="R1196" s="12" t="s">
        <v>17</v>
      </c>
      <c r="S1196" s="12" t="s">
        <v>17</v>
      </c>
      <c r="T1196" s="12" t="s">
        <v>11</v>
      </c>
      <c r="U1196" s="12" t="s">
        <v>17</v>
      </c>
      <c r="V1196" s="12" t="s">
        <v>413</v>
      </c>
      <c r="W1196" s="12" t="s">
        <v>7415</v>
      </c>
      <c r="X1196" s="12" t="s">
        <v>17</v>
      </c>
      <c r="Y1196" s="12">
        <v>1154623</v>
      </c>
      <c r="Z1196" s="12" t="s">
        <v>6613</v>
      </c>
      <c r="AA1196" s="12" t="s">
        <v>6613</v>
      </c>
      <c r="AB1196" s="12" t="s">
        <v>6613</v>
      </c>
      <c r="AC1196" s="12" t="s">
        <v>6613</v>
      </c>
      <c r="AD1196" s="12" t="s">
        <v>6613</v>
      </c>
      <c r="AE1196" s="12" t="s">
        <v>6613</v>
      </c>
      <c r="AF1196" s="12" t="s">
        <v>45</v>
      </c>
    </row>
    <row r="1197" spans="1:32" x14ac:dyDescent="0.2">
      <c r="A1197" s="12" t="s">
        <v>2252</v>
      </c>
      <c r="B1197" s="12" t="s">
        <v>2253</v>
      </c>
      <c r="C1197" s="12" t="s">
        <v>17</v>
      </c>
      <c r="D1197" s="12" t="s">
        <v>17</v>
      </c>
      <c r="E1197" s="12" t="s">
        <v>7678</v>
      </c>
      <c r="F1197" s="12" t="s">
        <v>5458</v>
      </c>
      <c r="G1197" s="12" t="s">
        <v>615</v>
      </c>
      <c r="H1197" s="12" t="s">
        <v>6613</v>
      </c>
      <c r="I1197" s="12">
        <v>0</v>
      </c>
      <c r="J1197" s="12" t="s">
        <v>164</v>
      </c>
      <c r="K1197" s="12" t="s">
        <v>6646</v>
      </c>
      <c r="L1197" s="12" t="s">
        <v>2129</v>
      </c>
      <c r="M1197" s="12" t="s">
        <v>2129</v>
      </c>
      <c r="N1197" s="12" t="s">
        <v>5785</v>
      </c>
      <c r="O1197" s="12" t="s">
        <v>2130</v>
      </c>
      <c r="P1197" s="12" t="s">
        <v>166</v>
      </c>
      <c r="Q1197" s="12" t="s">
        <v>6664</v>
      </c>
      <c r="R1197" s="16" t="s">
        <v>17</v>
      </c>
      <c r="S1197" s="16" t="s">
        <v>17</v>
      </c>
      <c r="T1197" s="12" t="s">
        <v>11</v>
      </c>
      <c r="U1197" s="12" t="s">
        <v>17</v>
      </c>
      <c r="V1197" s="12" t="s">
        <v>619</v>
      </c>
      <c r="W1197" s="12" t="s">
        <v>7415</v>
      </c>
      <c r="X1197" s="12" t="s">
        <v>17</v>
      </c>
      <c r="Y1197" s="12">
        <v>1155219</v>
      </c>
      <c r="Z1197" s="12" t="s">
        <v>6613</v>
      </c>
      <c r="AA1197" s="12" t="s">
        <v>6613</v>
      </c>
      <c r="AB1197" s="12" t="s">
        <v>6613</v>
      </c>
      <c r="AC1197" s="12" t="s">
        <v>6613</v>
      </c>
      <c r="AD1197" s="12" t="s">
        <v>6613</v>
      </c>
      <c r="AE1197" s="12" t="s">
        <v>6613</v>
      </c>
      <c r="AF1197" s="12" t="s">
        <v>45</v>
      </c>
    </row>
    <row r="1198" spans="1:32" x14ac:dyDescent="0.2">
      <c r="A1198" s="12" t="s">
        <v>2244</v>
      </c>
      <c r="B1198" s="12" t="s">
        <v>2245</v>
      </c>
      <c r="C1198" s="12" t="s">
        <v>17</v>
      </c>
      <c r="D1198" s="12" t="s">
        <v>17</v>
      </c>
      <c r="E1198" s="12" t="s">
        <v>7678</v>
      </c>
      <c r="F1198" s="12" t="s">
        <v>5458</v>
      </c>
      <c r="G1198" s="12" t="s">
        <v>615</v>
      </c>
      <c r="H1198" s="12" t="s">
        <v>6613</v>
      </c>
      <c r="I1198" s="12">
        <v>0</v>
      </c>
      <c r="J1198" s="12" t="s">
        <v>164</v>
      </c>
      <c r="K1198" s="12" t="s">
        <v>6646</v>
      </c>
      <c r="L1198" s="12" t="s">
        <v>2129</v>
      </c>
      <c r="M1198" s="12" t="s">
        <v>2129</v>
      </c>
      <c r="N1198" s="12" t="s">
        <v>5785</v>
      </c>
      <c r="O1198" s="12" t="s">
        <v>2130</v>
      </c>
      <c r="P1198" s="12" t="s">
        <v>166</v>
      </c>
      <c r="Q1198" s="12" t="s">
        <v>6664</v>
      </c>
      <c r="R1198" s="12" t="s">
        <v>17</v>
      </c>
      <c r="S1198" s="12" t="s">
        <v>17</v>
      </c>
      <c r="T1198" s="12" t="s">
        <v>11</v>
      </c>
      <c r="U1198" s="12" t="s">
        <v>17</v>
      </c>
      <c r="V1198" s="12" t="s">
        <v>619</v>
      </c>
      <c r="W1198" s="12" t="s">
        <v>7415</v>
      </c>
      <c r="X1198" s="12" t="s">
        <v>17</v>
      </c>
      <c r="Y1198" s="12">
        <v>1155848</v>
      </c>
      <c r="Z1198" s="12" t="s">
        <v>6613</v>
      </c>
      <c r="AA1198" s="12" t="s">
        <v>6613</v>
      </c>
      <c r="AB1198" s="12" t="s">
        <v>6613</v>
      </c>
      <c r="AC1198" s="12" t="s">
        <v>6613</v>
      </c>
      <c r="AD1198" s="12" t="s">
        <v>6613</v>
      </c>
      <c r="AE1198" s="12" t="s">
        <v>6613</v>
      </c>
      <c r="AF1198" s="12" t="s">
        <v>45</v>
      </c>
    </row>
    <row r="1199" spans="1:32" x14ac:dyDescent="0.2">
      <c r="A1199" s="12" t="s">
        <v>2139</v>
      </c>
      <c r="B1199" s="12" t="s">
        <v>2140</v>
      </c>
      <c r="C1199" s="12" t="s">
        <v>17</v>
      </c>
      <c r="D1199" s="12" t="s">
        <v>17</v>
      </c>
      <c r="E1199" s="12" t="s">
        <v>7678</v>
      </c>
      <c r="F1199" s="12" t="s">
        <v>5458</v>
      </c>
      <c r="G1199" s="12" t="s">
        <v>615</v>
      </c>
      <c r="H1199" s="12" t="s">
        <v>6613</v>
      </c>
      <c r="I1199" s="12">
        <v>0</v>
      </c>
      <c r="J1199" s="12" t="s">
        <v>164</v>
      </c>
      <c r="K1199" s="12" t="s">
        <v>6646</v>
      </c>
      <c r="L1199" s="12" t="s">
        <v>2129</v>
      </c>
      <c r="M1199" s="12" t="s">
        <v>2129</v>
      </c>
      <c r="N1199" s="12" t="s">
        <v>5785</v>
      </c>
      <c r="O1199" s="12" t="s">
        <v>2130</v>
      </c>
      <c r="P1199" s="12" t="s">
        <v>166</v>
      </c>
      <c r="Q1199" s="12" t="s">
        <v>6664</v>
      </c>
      <c r="R1199" s="12" t="s">
        <v>17</v>
      </c>
      <c r="S1199" s="12" t="s">
        <v>17</v>
      </c>
      <c r="T1199" s="12" t="s">
        <v>11</v>
      </c>
      <c r="U1199" s="12" t="s">
        <v>17</v>
      </c>
      <c r="V1199" s="12" t="s">
        <v>802</v>
      </c>
      <c r="W1199" s="12" t="s">
        <v>7415</v>
      </c>
      <c r="X1199" s="12" t="s">
        <v>17</v>
      </c>
      <c r="Y1199" s="12">
        <v>1157286</v>
      </c>
      <c r="Z1199" s="12" t="s">
        <v>6613</v>
      </c>
      <c r="AA1199" s="12" t="s">
        <v>6613</v>
      </c>
      <c r="AB1199" s="12" t="s">
        <v>6613</v>
      </c>
      <c r="AC1199" s="12" t="s">
        <v>6613</v>
      </c>
      <c r="AD1199" s="12" t="s">
        <v>6613</v>
      </c>
      <c r="AE1199" s="12" t="s">
        <v>6613</v>
      </c>
      <c r="AF1199" s="12" t="s">
        <v>45</v>
      </c>
    </row>
    <row r="1200" spans="1:32" x14ac:dyDescent="0.2">
      <c r="A1200" s="12" t="s">
        <v>2209</v>
      </c>
      <c r="B1200" s="12" t="s">
        <v>2210</v>
      </c>
      <c r="C1200" s="12" t="s">
        <v>17</v>
      </c>
      <c r="D1200" s="12" t="s">
        <v>17</v>
      </c>
      <c r="E1200" s="12" t="s">
        <v>7678</v>
      </c>
      <c r="F1200" s="12" t="s">
        <v>5458</v>
      </c>
      <c r="G1200" s="12" t="s">
        <v>615</v>
      </c>
      <c r="H1200" s="12" t="s">
        <v>6613</v>
      </c>
      <c r="I1200" s="12">
        <v>0</v>
      </c>
      <c r="J1200" s="12" t="s">
        <v>164</v>
      </c>
      <c r="K1200" s="12" t="s">
        <v>6646</v>
      </c>
      <c r="L1200" s="12" t="s">
        <v>2129</v>
      </c>
      <c r="M1200" s="12" t="s">
        <v>2129</v>
      </c>
      <c r="N1200" s="12" t="s">
        <v>5785</v>
      </c>
      <c r="O1200" s="12" t="s">
        <v>2130</v>
      </c>
      <c r="P1200" s="12" t="s">
        <v>166</v>
      </c>
      <c r="Q1200" s="12" t="s">
        <v>6664</v>
      </c>
      <c r="R1200" s="12" t="s">
        <v>17</v>
      </c>
      <c r="S1200" s="12" t="s">
        <v>17</v>
      </c>
      <c r="T1200" s="12" t="s">
        <v>11</v>
      </c>
      <c r="U1200" s="12" t="s">
        <v>17</v>
      </c>
      <c r="V1200" s="12" t="s">
        <v>653</v>
      </c>
      <c r="W1200" s="12" t="s">
        <v>7415</v>
      </c>
      <c r="X1200" s="12" t="s">
        <v>17</v>
      </c>
      <c r="Y1200" s="12">
        <v>1158404</v>
      </c>
      <c r="Z1200" s="12" t="s">
        <v>6613</v>
      </c>
      <c r="AA1200" s="12" t="s">
        <v>6613</v>
      </c>
      <c r="AB1200" s="12" t="s">
        <v>6613</v>
      </c>
      <c r="AC1200" s="12" t="s">
        <v>6613</v>
      </c>
      <c r="AD1200" s="12" t="s">
        <v>6613</v>
      </c>
      <c r="AE1200" s="12" t="s">
        <v>6613</v>
      </c>
      <c r="AF1200" s="12" t="s">
        <v>45</v>
      </c>
    </row>
    <row r="1201" spans="1:32" x14ac:dyDescent="0.2">
      <c r="A1201" s="12" t="s">
        <v>2278</v>
      </c>
      <c r="B1201" s="12" t="s">
        <v>2279</v>
      </c>
      <c r="C1201" s="12" t="s">
        <v>17</v>
      </c>
      <c r="D1201" s="12" t="s">
        <v>17</v>
      </c>
      <c r="E1201" s="12" t="s">
        <v>7678</v>
      </c>
      <c r="F1201" s="12" t="s">
        <v>5458</v>
      </c>
      <c r="G1201" s="12" t="s">
        <v>615</v>
      </c>
      <c r="H1201" s="12" t="s">
        <v>6613</v>
      </c>
      <c r="I1201" s="12">
        <v>0</v>
      </c>
      <c r="J1201" s="12" t="s">
        <v>164</v>
      </c>
      <c r="K1201" s="12" t="s">
        <v>6646</v>
      </c>
      <c r="L1201" s="12" t="s">
        <v>2129</v>
      </c>
      <c r="M1201" s="12" t="s">
        <v>2129</v>
      </c>
      <c r="N1201" s="12" t="s">
        <v>5785</v>
      </c>
      <c r="O1201" s="12" t="s">
        <v>2130</v>
      </c>
      <c r="P1201" s="12" t="s">
        <v>166</v>
      </c>
      <c r="Q1201" s="12" t="s">
        <v>6664</v>
      </c>
      <c r="R1201" s="12" t="s">
        <v>17</v>
      </c>
      <c r="S1201" s="12" t="s">
        <v>17</v>
      </c>
      <c r="T1201" s="12" t="s">
        <v>11</v>
      </c>
      <c r="U1201" s="12" t="s">
        <v>17</v>
      </c>
      <c r="V1201" s="12" t="s">
        <v>755</v>
      </c>
      <c r="W1201" s="12" t="s">
        <v>7415</v>
      </c>
      <c r="X1201" s="12" t="s">
        <v>17</v>
      </c>
      <c r="Y1201" s="12">
        <v>1160177</v>
      </c>
      <c r="Z1201" s="12" t="s">
        <v>6613</v>
      </c>
      <c r="AA1201" s="12" t="s">
        <v>6613</v>
      </c>
      <c r="AB1201" s="12" t="s">
        <v>6613</v>
      </c>
      <c r="AC1201" s="12" t="s">
        <v>6613</v>
      </c>
      <c r="AD1201" s="12" t="s">
        <v>6613</v>
      </c>
      <c r="AE1201" s="12" t="s">
        <v>6613</v>
      </c>
      <c r="AF1201" s="12" t="s">
        <v>45</v>
      </c>
    </row>
    <row r="1202" spans="1:32" x14ac:dyDescent="0.2">
      <c r="A1202" s="12" t="s">
        <v>2286</v>
      </c>
      <c r="B1202" s="12" t="s">
        <v>2287</v>
      </c>
      <c r="C1202" s="12" t="s">
        <v>17</v>
      </c>
      <c r="D1202" s="12" t="s">
        <v>17</v>
      </c>
      <c r="E1202" s="12" t="s">
        <v>7678</v>
      </c>
      <c r="F1202" s="12" t="s">
        <v>5458</v>
      </c>
      <c r="G1202" s="12" t="s">
        <v>615</v>
      </c>
      <c r="H1202" s="12" t="s">
        <v>6613</v>
      </c>
      <c r="I1202" s="12">
        <v>0</v>
      </c>
      <c r="J1202" s="12" t="s">
        <v>164</v>
      </c>
      <c r="K1202" s="12" t="s">
        <v>6646</v>
      </c>
      <c r="L1202" s="12" t="s">
        <v>2129</v>
      </c>
      <c r="M1202" s="12" t="s">
        <v>2129</v>
      </c>
      <c r="N1202" s="12" t="s">
        <v>5785</v>
      </c>
      <c r="O1202" s="12" t="s">
        <v>2130</v>
      </c>
      <c r="P1202" s="12" t="s">
        <v>166</v>
      </c>
      <c r="Q1202" s="12" t="s">
        <v>6664</v>
      </c>
      <c r="R1202" s="12" t="s">
        <v>17</v>
      </c>
      <c r="S1202" s="12" t="s">
        <v>17</v>
      </c>
      <c r="T1202" s="12" t="s">
        <v>11</v>
      </c>
      <c r="U1202" s="12" t="s">
        <v>17</v>
      </c>
      <c r="V1202" s="12" t="s">
        <v>771</v>
      </c>
      <c r="W1202" s="12" t="s">
        <v>7415</v>
      </c>
      <c r="X1202" s="12" t="s">
        <v>17</v>
      </c>
      <c r="Y1202" s="12">
        <v>1161582</v>
      </c>
      <c r="Z1202" s="12" t="s">
        <v>6613</v>
      </c>
      <c r="AA1202" s="12" t="s">
        <v>6613</v>
      </c>
      <c r="AB1202" s="12" t="s">
        <v>6613</v>
      </c>
      <c r="AC1202" s="12" t="s">
        <v>6613</v>
      </c>
      <c r="AD1202" s="12" t="s">
        <v>6613</v>
      </c>
      <c r="AE1202" s="12" t="s">
        <v>6613</v>
      </c>
      <c r="AF1202" s="12" t="s">
        <v>45</v>
      </c>
    </row>
    <row r="1203" spans="1:32" x14ac:dyDescent="0.2">
      <c r="A1203" s="12" t="s">
        <v>2335</v>
      </c>
      <c r="B1203" s="12" t="s">
        <v>2336</v>
      </c>
      <c r="C1203" s="12" t="s">
        <v>17</v>
      </c>
      <c r="D1203" s="12" t="s">
        <v>17</v>
      </c>
      <c r="E1203" s="12" t="s">
        <v>7678</v>
      </c>
      <c r="F1203" s="12" t="s">
        <v>5458</v>
      </c>
      <c r="G1203" s="12" t="s">
        <v>615</v>
      </c>
      <c r="H1203" s="12" t="s">
        <v>6613</v>
      </c>
      <c r="I1203" s="12">
        <v>0</v>
      </c>
      <c r="J1203" s="12" t="s">
        <v>164</v>
      </c>
      <c r="K1203" s="12" t="s">
        <v>6646</v>
      </c>
      <c r="L1203" s="12" t="s">
        <v>2129</v>
      </c>
      <c r="M1203" s="12" t="s">
        <v>2129</v>
      </c>
      <c r="N1203" s="12" t="s">
        <v>5785</v>
      </c>
      <c r="O1203" s="12" t="s">
        <v>2130</v>
      </c>
      <c r="P1203" s="12" t="s">
        <v>166</v>
      </c>
      <c r="Q1203" s="12" t="s">
        <v>6664</v>
      </c>
      <c r="R1203" s="12" t="s">
        <v>17</v>
      </c>
      <c r="S1203" s="12" t="s">
        <v>17</v>
      </c>
      <c r="T1203" s="12" t="s">
        <v>11</v>
      </c>
      <c r="U1203" s="12" t="s">
        <v>17</v>
      </c>
      <c r="V1203" s="12" t="s">
        <v>253</v>
      </c>
      <c r="W1203" s="12" t="s">
        <v>7415</v>
      </c>
      <c r="X1203" s="12" t="s">
        <v>17</v>
      </c>
      <c r="Y1203" s="12">
        <v>1161878</v>
      </c>
      <c r="Z1203" s="12" t="s">
        <v>6613</v>
      </c>
      <c r="AA1203" s="12" t="s">
        <v>6613</v>
      </c>
      <c r="AB1203" s="12" t="s">
        <v>6613</v>
      </c>
      <c r="AC1203" s="12" t="s">
        <v>6613</v>
      </c>
      <c r="AD1203" s="12" t="s">
        <v>6613</v>
      </c>
      <c r="AE1203" s="12" t="s">
        <v>6613</v>
      </c>
      <c r="AF1203" s="12" t="s">
        <v>45</v>
      </c>
    </row>
    <row r="1204" spans="1:32" x14ac:dyDescent="0.2">
      <c r="A1204" s="12" t="s">
        <v>2246</v>
      </c>
      <c r="B1204" s="12" t="s">
        <v>2247</v>
      </c>
      <c r="C1204" s="12" t="s">
        <v>17</v>
      </c>
      <c r="D1204" s="12" t="s">
        <v>17</v>
      </c>
      <c r="E1204" s="12" t="s">
        <v>7678</v>
      </c>
      <c r="F1204" s="12" t="s">
        <v>5458</v>
      </c>
      <c r="G1204" s="12" t="s">
        <v>615</v>
      </c>
      <c r="H1204" s="12" t="s">
        <v>6613</v>
      </c>
      <c r="I1204" s="12">
        <v>0</v>
      </c>
      <c r="J1204" s="12" t="s">
        <v>164</v>
      </c>
      <c r="K1204" s="12" t="s">
        <v>6646</v>
      </c>
      <c r="L1204" s="12" t="s">
        <v>2129</v>
      </c>
      <c r="M1204" s="12" t="s">
        <v>2129</v>
      </c>
      <c r="N1204" s="12" t="s">
        <v>5785</v>
      </c>
      <c r="O1204" s="12" t="s">
        <v>2130</v>
      </c>
      <c r="P1204" s="12" t="s">
        <v>166</v>
      </c>
      <c r="Q1204" s="12" t="s">
        <v>6664</v>
      </c>
      <c r="R1204" s="12" t="s">
        <v>17</v>
      </c>
      <c r="S1204" s="12" t="s">
        <v>17</v>
      </c>
      <c r="T1204" s="12" t="s">
        <v>11</v>
      </c>
      <c r="U1204" s="12" t="s">
        <v>17</v>
      </c>
      <c r="V1204" s="12" t="s">
        <v>413</v>
      </c>
      <c r="W1204" s="12" t="s">
        <v>7415</v>
      </c>
      <c r="X1204" s="12" t="s">
        <v>17</v>
      </c>
      <c r="Y1204" s="12">
        <v>1162013</v>
      </c>
      <c r="Z1204" s="12" t="s">
        <v>6613</v>
      </c>
      <c r="AA1204" s="12" t="s">
        <v>6613</v>
      </c>
      <c r="AB1204" s="12" t="s">
        <v>6613</v>
      </c>
      <c r="AC1204" s="12" t="s">
        <v>6613</v>
      </c>
      <c r="AD1204" s="12" t="s">
        <v>6613</v>
      </c>
      <c r="AE1204" s="12" t="s">
        <v>6613</v>
      </c>
      <c r="AF1204" s="12" t="s">
        <v>45</v>
      </c>
    </row>
    <row r="1205" spans="1:32" x14ac:dyDescent="0.2">
      <c r="A1205" s="12" t="s">
        <v>2266</v>
      </c>
      <c r="B1205" s="12" t="s">
        <v>2267</v>
      </c>
      <c r="C1205" s="12" t="s">
        <v>17</v>
      </c>
      <c r="D1205" s="12" t="s">
        <v>17</v>
      </c>
      <c r="E1205" s="12" t="s">
        <v>7678</v>
      </c>
      <c r="F1205" s="12" t="s">
        <v>5458</v>
      </c>
      <c r="G1205" s="12" t="s">
        <v>615</v>
      </c>
      <c r="H1205" s="12" t="s">
        <v>6613</v>
      </c>
      <c r="I1205" s="12">
        <v>0</v>
      </c>
      <c r="J1205" s="12" t="s">
        <v>164</v>
      </c>
      <c r="K1205" s="12" t="s">
        <v>6646</v>
      </c>
      <c r="L1205" s="12" t="s">
        <v>2129</v>
      </c>
      <c r="M1205" s="12" t="s">
        <v>2129</v>
      </c>
      <c r="N1205" s="12" t="s">
        <v>5785</v>
      </c>
      <c r="O1205" s="12" t="s">
        <v>2130</v>
      </c>
      <c r="P1205" s="12" t="s">
        <v>166</v>
      </c>
      <c r="Q1205" s="12" t="s">
        <v>6664</v>
      </c>
      <c r="R1205" s="12" t="s">
        <v>17</v>
      </c>
      <c r="S1205" s="12" t="s">
        <v>17</v>
      </c>
      <c r="T1205" s="12" t="s">
        <v>11</v>
      </c>
      <c r="U1205" s="12" t="s">
        <v>17</v>
      </c>
      <c r="V1205" s="12" t="s">
        <v>1553</v>
      </c>
      <c r="W1205" s="12" t="s">
        <v>7415</v>
      </c>
      <c r="X1205" s="12" t="s">
        <v>17</v>
      </c>
      <c r="Y1205" s="12">
        <v>1162814</v>
      </c>
      <c r="Z1205" s="12" t="s">
        <v>6613</v>
      </c>
      <c r="AA1205" s="12" t="s">
        <v>6613</v>
      </c>
      <c r="AB1205" s="12" t="s">
        <v>6613</v>
      </c>
      <c r="AC1205" s="12" t="s">
        <v>6613</v>
      </c>
      <c r="AD1205" s="12" t="s">
        <v>6613</v>
      </c>
      <c r="AE1205" s="12" t="s">
        <v>6613</v>
      </c>
      <c r="AF1205" s="12" t="s">
        <v>45</v>
      </c>
    </row>
    <row r="1206" spans="1:32" x14ac:dyDescent="0.2">
      <c r="A1206" s="12" t="s">
        <v>2218</v>
      </c>
      <c r="B1206" s="12" t="s">
        <v>2219</v>
      </c>
      <c r="C1206" s="12" t="s">
        <v>17</v>
      </c>
      <c r="D1206" s="12" t="s">
        <v>17</v>
      </c>
      <c r="E1206" s="12" t="s">
        <v>7678</v>
      </c>
      <c r="F1206" s="12" t="s">
        <v>5458</v>
      </c>
      <c r="G1206" s="12" t="s">
        <v>615</v>
      </c>
      <c r="H1206" s="12" t="s">
        <v>6613</v>
      </c>
      <c r="I1206" s="12">
        <v>0</v>
      </c>
      <c r="J1206" s="12" t="s">
        <v>164</v>
      </c>
      <c r="K1206" s="12" t="s">
        <v>6646</v>
      </c>
      <c r="L1206" s="12" t="s">
        <v>2129</v>
      </c>
      <c r="M1206" s="12" t="s">
        <v>2129</v>
      </c>
      <c r="N1206" s="12" t="s">
        <v>5785</v>
      </c>
      <c r="O1206" s="12" t="s">
        <v>2130</v>
      </c>
      <c r="P1206" s="12" t="s">
        <v>166</v>
      </c>
      <c r="Q1206" s="12" t="s">
        <v>6664</v>
      </c>
      <c r="R1206" s="12" t="s">
        <v>17</v>
      </c>
      <c r="S1206" s="12" t="s">
        <v>17</v>
      </c>
      <c r="T1206" s="12" t="s">
        <v>11</v>
      </c>
      <c r="U1206" s="12" t="s">
        <v>17</v>
      </c>
      <c r="V1206" s="12" t="s">
        <v>2220</v>
      </c>
      <c r="W1206" s="12" t="s">
        <v>7415</v>
      </c>
      <c r="X1206" s="12" t="s">
        <v>17</v>
      </c>
      <c r="Y1206" s="12">
        <v>1165087</v>
      </c>
      <c r="Z1206" s="12" t="s">
        <v>6613</v>
      </c>
      <c r="AA1206" s="12" t="s">
        <v>6613</v>
      </c>
      <c r="AB1206" s="12" t="s">
        <v>6613</v>
      </c>
      <c r="AC1206" s="12" t="s">
        <v>6613</v>
      </c>
      <c r="AD1206" s="12" t="s">
        <v>6613</v>
      </c>
      <c r="AE1206" s="12" t="s">
        <v>6613</v>
      </c>
      <c r="AF1206" s="12" t="s">
        <v>45</v>
      </c>
    </row>
    <row r="1207" spans="1:32" x14ac:dyDescent="0.2">
      <c r="A1207" s="12" t="s">
        <v>2274</v>
      </c>
      <c r="B1207" s="12" t="s">
        <v>2275</v>
      </c>
      <c r="C1207" s="12" t="s">
        <v>17</v>
      </c>
      <c r="D1207" s="12" t="s">
        <v>17</v>
      </c>
      <c r="E1207" s="12" t="s">
        <v>7678</v>
      </c>
      <c r="F1207" s="12" t="s">
        <v>5458</v>
      </c>
      <c r="G1207" s="12" t="s">
        <v>615</v>
      </c>
      <c r="H1207" s="12" t="s">
        <v>6613</v>
      </c>
      <c r="I1207" s="12">
        <v>0</v>
      </c>
      <c r="J1207" s="12" t="s">
        <v>164</v>
      </c>
      <c r="K1207" s="12" t="s">
        <v>6646</v>
      </c>
      <c r="L1207" s="12" t="s">
        <v>2129</v>
      </c>
      <c r="M1207" s="12" t="s">
        <v>2129</v>
      </c>
      <c r="N1207" s="12" t="s">
        <v>5785</v>
      </c>
      <c r="O1207" s="12" t="s">
        <v>2130</v>
      </c>
      <c r="P1207" s="12" t="s">
        <v>166</v>
      </c>
      <c r="Q1207" s="12" t="s">
        <v>6664</v>
      </c>
      <c r="R1207" s="12" t="s">
        <v>17</v>
      </c>
      <c r="S1207" s="12" t="s">
        <v>17</v>
      </c>
      <c r="T1207" s="12" t="s">
        <v>11</v>
      </c>
      <c r="U1207" s="12" t="s">
        <v>17</v>
      </c>
      <c r="V1207" s="12" t="s">
        <v>755</v>
      </c>
      <c r="W1207" s="12" t="s">
        <v>7415</v>
      </c>
      <c r="X1207" s="12" t="s">
        <v>17</v>
      </c>
      <c r="Y1207" s="12">
        <v>1165654</v>
      </c>
      <c r="Z1207" s="12" t="s">
        <v>6613</v>
      </c>
      <c r="AA1207" s="12" t="s">
        <v>6613</v>
      </c>
      <c r="AB1207" s="12" t="s">
        <v>6613</v>
      </c>
      <c r="AC1207" s="12" t="s">
        <v>6613</v>
      </c>
      <c r="AD1207" s="12" t="s">
        <v>6613</v>
      </c>
      <c r="AE1207" s="12" t="s">
        <v>6613</v>
      </c>
      <c r="AF1207" s="12" t="s">
        <v>45</v>
      </c>
    </row>
    <row r="1208" spans="1:32" x14ac:dyDescent="0.2">
      <c r="A1208" s="12" t="s">
        <v>2268</v>
      </c>
      <c r="B1208" s="12" t="s">
        <v>2269</v>
      </c>
      <c r="C1208" s="12" t="s">
        <v>17</v>
      </c>
      <c r="D1208" s="12" t="s">
        <v>17</v>
      </c>
      <c r="E1208" s="12" t="s">
        <v>7678</v>
      </c>
      <c r="F1208" s="12" t="s">
        <v>5458</v>
      </c>
      <c r="G1208" s="12" t="s">
        <v>615</v>
      </c>
      <c r="H1208" s="12" t="s">
        <v>6613</v>
      </c>
      <c r="I1208" s="12">
        <v>0</v>
      </c>
      <c r="J1208" s="12" t="s">
        <v>164</v>
      </c>
      <c r="K1208" s="12" t="s">
        <v>6646</v>
      </c>
      <c r="L1208" s="12" t="s">
        <v>2129</v>
      </c>
      <c r="M1208" s="12" t="s">
        <v>2129</v>
      </c>
      <c r="N1208" s="12" t="s">
        <v>5785</v>
      </c>
      <c r="O1208" s="12" t="s">
        <v>2130</v>
      </c>
      <c r="P1208" s="12" t="s">
        <v>166</v>
      </c>
      <c r="Q1208" s="12" t="s">
        <v>6664</v>
      </c>
      <c r="R1208" s="12" t="s">
        <v>17</v>
      </c>
      <c r="S1208" s="12" t="s">
        <v>17</v>
      </c>
      <c r="T1208" s="12" t="s">
        <v>11</v>
      </c>
      <c r="U1208" s="12" t="s">
        <v>17</v>
      </c>
      <c r="V1208" s="12" t="s">
        <v>653</v>
      </c>
      <c r="W1208" s="12" t="s">
        <v>7415</v>
      </c>
      <c r="X1208" s="12" t="s">
        <v>17</v>
      </c>
      <c r="Y1208" s="12">
        <v>1167088</v>
      </c>
      <c r="Z1208" s="12" t="s">
        <v>6613</v>
      </c>
      <c r="AA1208" s="12" t="s">
        <v>6613</v>
      </c>
      <c r="AB1208" s="12" t="s">
        <v>6613</v>
      </c>
      <c r="AC1208" s="12" t="s">
        <v>6613</v>
      </c>
      <c r="AD1208" s="12" t="s">
        <v>6613</v>
      </c>
      <c r="AE1208" s="12" t="s">
        <v>6613</v>
      </c>
      <c r="AF1208" s="12" t="s">
        <v>45</v>
      </c>
    </row>
    <row r="1209" spans="1:32" x14ac:dyDescent="0.2">
      <c r="A1209" s="12" t="s">
        <v>2261</v>
      </c>
      <c r="B1209" s="12" t="s">
        <v>2262</v>
      </c>
      <c r="C1209" s="12" t="s">
        <v>17</v>
      </c>
      <c r="D1209" s="12" t="s">
        <v>17</v>
      </c>
      <c r="E1209" s="12" t="s">
        <v>7678</v>
      </c>
      <c r="F1209" s="12" t="s">
        <v>5458</v>
      </c>
      <c r="G1209" s="12" t="s">
        <v>615</v>
      </c>
      <c r="H1209" s="12" t="s">
        <v>6613</v>
      </c>
      <c r="I1209" s="12">
        <v>0</v>
      </c>
      <c r="J1209" s="12" t="s">
        <v>164</v>
      </c>
      <c r="K1209" s="12" t="s">
        <v>6646</v>
      </c>
      <c r="L1209" s="12" t="s">
        <v>2129</v>
      </c>
      <c r="M1209" s="12" t="s">
        <v>2129</v>
      </c>
      <c r="N1209" s="12" t="s">
        <v>5785</v>
      </c>
      <c r="O1209" s="12" t="s">
        <v>2130</v>
      </c>
      <c r="P1209" s="12" t="s">
        <v>166</v>
      </c>
      <c r="Q1209" s="12" t="s">
        <v>6664</v>
      </c>
      <c r="R1209" s="12" t="s">
        <v>17</v>
      </c>
      <c r="S1209" s="12" t="s">
        <v>17</v>
      </c>
      <c r="T1209" s="12" t="s">
        <v>11</v>
      </c>
      <c r="U1209" s="12" t="s">
        <v>17</v>
      </c>
      <c r="V1209" s="12" t="s">
        <v>2263</v>
      </c>
      <c r="W1209" s="12" t="s">
        <v>7415</v>
      </c>
      <c r="X1209" s="12" t="s">
        <v>17</v>
      </c>
      <c r="Y1209" s="12">
        <v>1167321</v>
      </c>
      <c r="Z1209" s="12" t="s">
        <v>6613</v>
      </c>
      <c r="AA1209" s="12" t="s">
        <v>6613</v>
      </c>
      <c r="AB1209" s="12" t="s">
        <v>6613</v>
      </c>
      <c r="AC1209" s="12" t="s">
        <v>6613</v>
      </c>
      <c r="AD1209" s="12" t="s">
        <v>6613</v>
      </c>
      <c r="AE1209" s="12" t="s">
        <v>6613</v>
      </c>
      <c r="AF1209" s="12" t="s">
        <v>45</v>
      </c>
    </row>
    <row r="1210" spans="1:32" x14ac:dyDescent="0.2">
      <c r="A1210" s="12" t="s">
        <v>2306</v>
      </c>
      <c r="B1210" s="12" t="s">
        <v>2307</v>
      </c>
      <c r="C1210" s="12" t="s">
        <v>17</v>
      </c>
      <c r="D1210" s="12" t="s">
        <v>17</v>
      </c>
      <c r="E1210" s="12" t="s">
        <v>7678</v>
      </c>
      <c r="F1210" s="12" t="s">
        <v>5458</v>
      </c>
      <c r="G1210" s="12" t="s">
        <v>615</v>
      </c>
      <c r="H1210" s="12" t="s">
        <v>6613</v>
      </c>
      <c r="I1210" s="12">
        <v>0</v>
      </c>
      <c r="J1210" s="12" t="s">
        <v>164</v>
      </c>
      <c r="K1210" s="12" t="s">
        <v>6646</v>
      </c>
      <c r="L1210" s="12" t="s">
        <v>2129</v>
      </c>
      <c r="M1210" s="12" t="s">
        <v>2129</v>
      </c>
      <c r="N1210" s="12" t="s">
        <v>5785</v>
      </c>
      <c r="O1210" s="12" t="s">
        <v>2130</v>
      </c>
      <c r="P1210" s="12" t="s">
        <v>166</v>
      </c>
      <c r="Q1210" s="12" t="s">
        <v>6664</v>
      </c>
      <c r="R1210" s="12" t="s">
        <v>17</v>
      </c>
      <c r="S1210" s="12" t="s">
        <v>17</v>
      </c>
      <c r="T1210" s="12" t="s">
        <v>11</v>
      </c>
      <c r="U1210" s="12" t="s">
        <v>17</v>
      </c>
      <c r="V1210" s="12" t="s">
        <v>413</v>
      </c>
      <c r="W1210" s="12" t="s">
        <v>7415</v>
      </c>
      <c r="X1210" s="12" t="s">
        <v>17</v>
      </c>
      <c r="Y1210" s="12">
        <v>1167755</v>
      </c>
      <c r="Z1210" s="12" t="s">
        <v>6613</v>
      </c>
      <c r="AA1210" s="12" t="s">
        <v>6613</v>
      </c>
      <c r="AB1210" s="12" t="s">
        <v>6613</v>
      </c>
      <c r="AC1210" s="12" t="s">
        <v>6613</v>
      </c>
      <c r="AD1210" s="12" t="s">
        <v>6613</v>
      </c>
      <c r="AE1210" s="12" t="s">
        <v>6613</v>
      </c>
      <c r="AF1210" s="12" t="s">
        <v>45</v>
      </c>
    </row>
    <row r="1211" spans="1:32" x14ac:dyDescent="0.2">
      <c r="A1211" s="12" t="s">
        <v>2185</v>
      </c>
      <c r="B1211" s="12" t="s">
        <v>2186</v>
      </c>
      <c r="C1211" s="12" t="s">
        <v>17</v>
      </c>
      <c r="D1211" s="12" t="s">
        <v>17</v>
      </c>
      <c r="E1211" s="12" t="s">
        <v>7678</v>
      </c>
      <c r="F1211" s="12" t="s">
        <v>5458</v>
      </c>
      <c r="G1211" s="12" t="s">
        <v>615</v>
      </c>
      <c r="H1211" s="12" t="s">
        <v>6613</v>
      </c>
      <c r="I1211" s="12">
        <v>0</v>
      </c>
      <c r="J1211" s="12" t="s">
        <v>164</v>
      </c>
      <c r="K1211" s="12" t="s">
        <v>6646</v>
      </c>
      <c r="L1211" s="12" t="s">
        <v>2129</v>
      </c>
      <c r="M1211" s="12" t="s">
        <v>2129</v>
      </c>
      <c r="N1211" s="12" t="s">
        <v>5785</v>
      </c>
      <c r="O1211" s="12" t="s">
        <v>2130</v>
      </c>
      <c r="P1211" s="12" t="s">
        <v>166</v>
      </c>
      <c r="Q1211" s="12" t="s">
        <v>6664</v>
      </c>
      <c r="R1211" s="12" t="s">
        <v>17</v>
      </c>
      <c r="S1211" s="12" t="s">
        <v>17</v>
      </c>
      <c r="T1211" s="12" t="s">
        <v>11</v>
      </c>
      <c r="U1211" s="12" t="s">
        <v>17</v>
      </c>
      <c r="V1211" s="12" t="s">
        <v>619</v>
      </c>
      <c r="W1211" s="12" t="s">
        <v>7415</v>
      </c>
      <c r="X1211" s="12" t="s">
        <v>17</v>
      </c>
      <c r="Y1211" s="12">
        <v>1168216</v>
      </c>
      <c r="Z1211" s="12" t="s">
        <v>6613</v>
      </c>
      <c r="AA1211" s="12" t="s">
        <v>6613</v>
      </c>
      <c r="AB1211" s="12" t="s">
        <v>6613</v>
      </c>
      <c r="AC1211" s="12" t="s">
        <v>6613</v>
      </c>
      <c r="AD1211" s="12" t="s">
        <v>6613</v>
      </c>
      <c r="AE1211" s="12" t="s">
        <v>6613</v>
      </c>
      <c r="AF1211" s="12" t="s">
        <v>45</v>
      </c>
    </row>
    <row r="1212" spans="1:32" x14ac:dyDescent="0.2">
      <c r="A1212" s="12" t="s">
        <v>2197</v>
      </c>
      <c r="B1212" s="12" t="s">
        <v>2198</v>
      </c>
      <c r="C1212" s="12" t="s">
        <v>17</v>
      </c>
      <c r="D1212" s="12" t="s">
        <v>17</v>
      </c>
      <c r="E1212" s="12" t="s">
        <v>7678</v>
      </c>
      <c r="F1212" s="12" t="s">
        <v>5458</v>
      </c>
      <c r="G1212" s="12" t="s">
        <v>615</v>
      </c>
      <c r="H1212" s="12" t="s">
        <v>6613</v>
      </c>
      <c r="I1212" s="12">
        <v>0</v>
      </c>
      <c r="J1212" s="12" t="s">
        <v>164</v>
      </c>
      <c r="K1212" s="12" t="s">
        <v>6646</v>
      </c>
      <c r="L1212" s="12" t="s">
        <v>2129</v>
      </c>
      <c r="M1212" s="12" t="s">
        <v>2129</v>
      </c>
      <c r="N1212" s="12" t="s">
        <v>5785</v>
      </c>
      <c r="O1212" s="12" t="s">
        <v>2130</v>
      </c>
      <c r="P1212" s="12" t="s">
        <v>166</v>
      </c>
      <c r="Q1212" s="12" t="s">
        <v>6664</v>
      </c>
      <c r="R1212" s="12" t="s">
        <v>17</v>
      </c>
      <c r="S1212" s="12" t="s">
        <v>17</v>
      </c>
      <c r="T1212" s="12" t="s">
        <v>11</v>
      </c>
      <c r="U1212" s="12" t="s">
        <v>17</v>
      </c>
      <c r="V1212" s="12" t="s">
        <v>2199</v>
      </c>
      <c r="W1212" s="12" t="s">
        <v>7415</v>
      </c>
      <c r="X1212" s="12" t="s">
        <v>17</v>
      </c>
      <c r="Y1212" s="12">
        <v>1168719</v>
      </c>
      <c r="Z1212" s="12" t="s">
        <v>6613</v>
      </c>
      <c r="AA1212" s="12" t="s">
        <v>6613</v>
      </c>
      <c r="AB1212" s="12" t="s">
        <v>6613</v>
      </c>
      <c r="AC1212" s="12" t="s">
        <v>6613</v>
      </c>
      <c r="AD1212" s="12" t="s">
        <v>6613</v>
      </c>
      <c r="AE1212" s="12" t="s">
        <v>6613</v>
      </c>
      <c r="AF1212" s="12" t="s">
        <v>45</v>
      </c>
    </row>
    <row r="1213" spans="1:32" x14ac:dyDescent="0.2">
      <c r="A1213" s="12" t="s">
        <v>2169</v>
      </c>
      <c r="B1213" s="12" t="s">
        <v>2170</v>
      </c>
      <c r="C1213" s="12" t="s">
        <v>17</v>
      </c>
      <c r="D1213" s="12" t="s">
        <v>17</v>
      </c>
      <c r="E1213" s="12" t="s">
        <v>7678</v>
      </c>
      <c r="F1213" s="12" t="s">
        <v>5458</v>
      </c>
      <c r="G1213" s="12" t="s">
        <v>615</v>
      </c>
      <c r="H1213" s="12" t="s">
        <v>6613</v>
      </c>
      <c r="I1213" s="12">
        <v>0</v>
      </c>
      <c r="J1213" s="12" t="s">
        <v>164</v>
      </c>
      <c r="K1213" s="12" t="s">
        <v>6646</v>
      </c>
      <c r="L1213" s="12" t="s">
        <v>2129</v>
      </c>
      <c r="M1213" s="12" t="s">
        <v>2129</v>
      </c>
      <c r="N1213" s="12" t="s">
        <v>5785</v>
      </c>
      <c r="O1213" s="12" t="s">
        <v>2130</v>
      </c>
      <c r="P1213" s="12" t="s">
        <v>166</v>
      </c>
      <c r="Q1213" s="12" t="s">
        <v>6664</v>
      </c>
      <c r="R1213" s="12" t="s">
        <v>17</v>
      </c>
      <c r="S1213" s="12" t="s">
        <v>17</v>
      </c>
      <c r="T1213" s="12" t="s">
        <v>11</v>
      </c>
      <c r="U1213" s="12" t="s">
        <v>17</v>
      </c>
      <c r="V1213" s="12" t="s">
        <v>2171</v>
      </c>
      <c r="W1213" s="12" t="s">
        <v>7415</v>
      </c>
      <c r="X1213" s="12" t="s">
        <v>17</v>
      </c>
      <c r="Y1213" s="12">
        <v>1169655</v>
      </c>
      <c r="Z1213" s="12" t="s">
        <v>6613</v>
      </c>
      <c r="AA1213" s="12" t="s">
        <v>6613</v>
      </c>
      <c r="AB1213" s="12" t="s">
        <v>6613</v>
      </c>
      <c r="AC1213" s="12" t="s">
        <v>6613</v>
      </c>
      <c r="AD1213" s="12" t="s">
        <v>6613</v>
      </c>
      <c r="AE1213" s="12" t="s">
        <v>6613</v>
      </c>
      <c r="AF1213" s="12" t="s">
        <v>45</v>
      </c>
    </row>
    <row r="1214" spans="1:32" x14ac:dyDescent="0.2">
      <c r="A1214" s="12" t="s">
        <v>2141</v>
      </c>
      <c r="B1214" s="12" t="s">
        <v>2142</v>
      </c>
      <c r="C1214" s="12" t="s">
        <v>17</v>
      </c>
      <c r="D1214" s="12" t="s">
        <v>17</v>
      </c>
      <c r="E1214" s="12" t="s">
        <v>7678</v>
      </c>
      <c r="F1214" s="12" t="s">
        <v>5458</v>
      </c>
      <c r="G1214" s="12" t="s">
        <v>615</v>
      </c>
      <c r="H1214" s="12" t="s">
        <v>6613</v>
      </c>
      <c r="I1214" s="12">
        <v>0</v>
      </c>
      <c r="J1214" s="12" t="s">
        <v>164</v>
      </c>
      <c r="K1214" s="12" t="s">
        <v>6646</v>
      </c>
      <c r="L1214" s="12" t="s">
        <v>2129</v>
      </c>
      <c r="M1214" s="12" t="s">
        <v>2129</v>
      </c>
      <c r="N1214" s="12" t="s">
        <v>5785</v>
      </c>
      <c r="O1214" s="12" t="s">
        <v>2130</v>
      </c>
      <c r="P1214" s="12" t="s">
        <v>166</v>
      </c>
      <c r="Q1214" s="12" t="s">
        <v>6664</v>
      </c>
      <c r="R1214" s="12" t="s">
        <v>17</v>
      </c>
      <c r="S1214" s="12" t="s">
        <v>17</v>
      </c>
      <c r="T1214" s="12" t="s">
        <v>11</v>
      </c>
      <c r="U1214" s="12" t="s">
        <v>17</v>
      </c>
      <c r="V1214" s="12" t="s">
        <v>708</v>
      </c>
      <c r="W1214" s="12" t="s">
        <v>7415</v>
      </c>
      <c r="X1214" s="12" t="s">
        <v>17</v>
      </c>
      <c r="Y1214" s="12">
        <v>1169656</v>
      </c>
      <c r="Z1214" s="12" t="s">
        <v>6613</v>
      </c>
      <c r="AA1214" s="12" t="s">
        <v>6613</v>
      </c>
      <c r="AB1214" s="12" t="s">
        <v>6613</v>
      </c>
      <c r="AC1214" s="12" t="s">
        <v>6613</v>
      </c>
      <c r="AD1214" s="12" t="s">
        <v>6613</v>
      </c>
      <c r="AE1214" s="12" t="s">
        <v>6613</v>
      </c>
      <c r="AF1214" s="12" t="s">
        <v>45</v>
      </c>
    </row>
    <row r="1215" spans="1:32" x14ac:dyDescent="0.2">
      <c r="A1215" s="12" t="s">
        <v>2233</v>
      </c>
      <c r="B1215" s="12" t="s">
        <v>2234</v>
      </c>
      <c r="C1215" s="12" t="s">
        <v>17</v>
      </c>
      <c r="D1215" s="12" t="s">
        <v>17</v>
      </c>
      <c r="E1215" s="12" t="s">
        <v>7678</v>
      </c>
      <c r="F1215" s="12" t="s">
        <v>5458</v>
      </c>
      <c r="G1215" s="12" t="s">
        <v>615</v>
      </c>
      <c r="H1215" s="12" t="s">
        <v>6613</v>
      </c>
      <c r="I1215" s="12">
        <v>0</v>
      </c>
      <c r="J1215" s="12" t="s">
        <v>164</v>
      </c>
      <c r="K1215" s="12" t="s">
        <v>6646</v>
      </c>
      <c r="L1215" s="12" t="s">
        <v>2129</v>
      </c>
      <c r="M1215" s="12" t="s">
        <v>2129</v>
      </c>
      <c r="N1215" s="12" t="s">
        <v>5785</v>
      </c>
      <c r="O1215" s="12" t="s">
        <v>2130</v>
      </c>
      <c r="P1215" s="12" t="s">
        <v>166</v>
      </c>
      <c r="Q1215" s="12" t="s">
        <v>6664</v>
      </c>
      <c r="R1215" s="12" t="s">
        <v>17</v>
      </c>
      <c r="S1215" s="12" t="s">
        <v>17</v>
      </c>
      <c r="T1215" s="12" t="s">
        <v>11</v>
      </c>
      <c r="U1215" s="12" t="s">
        <v>17</v>
      </c>
      <c r="V1215" s="12" t="s">
        <v>755</v>
      </c>
      <c r="W1215" s="12" t="s">
        <v>7415</v>
      </c>
      <c r="X1215" s="12" t="s">
        <v>17</v>
      </c>
      <c r="Y1215" s="12">
        <v>1169685</v>
      </c>
      <c r="Z1215" s="12" t="s">
        <v>6613</v>
      </c>
      <c r="AA1215" s="12" t="s">
        <v>6613</v>
      </c>
      <c r="AB1215" s="12" t="s">
        <v>6613</v>
      </c>
      <c r="AC1215" s="12" t="s">
        <v>6613</v>
      </c>
      <c r="AD1215" s="12" t="s">
        <v>6613</v>
      </c>
      <c r="AE1215" s="12" t="s">
        <v>6613</v>
      </c>
      <c r="AF1215" s="12" t="s">
        <v>45</v>
      </c>
    </row>
    <row r="1216" spans="1:32" x14ac:dyDescent="0.2">
      <c r="A1216" s="12" t="s">
        <v>2276</v>
      </c>
      <c r="B1216" s="12" t="s">
        <v>2277</v>
      </c>
      <c r="C1216" s="12" t="s">
        <v>17</v>
      </c>
      <c r="D1216" s="12" t="s">
        <v>17</v>
      </c>
      <c r="E1216" s="12" t="s">
        <v>7678</v>
      </c>
      <c r="F1216" s="12" t="s">
        <v>5458</v>
      </c>
      <c r="G1216" s="12" t="s">
        <v>615</v>
      </c>
      <c r="H1216" s="12" t="s">
        <v>6613</v>
      </c>
      <c r="I1216" s="12">
        <v>0</v>
      </c>
      <c r="J1216" s="12" t="s">
        <v>164</v>
      </c>
      <c r="K1216" s="12" t="s">
        <v>6646</v>
      </c>
      <c r="L1216" s="12" t="s">
        <v>2129</v>
      </c>
      <c r="M1216" s="12" t="s">
        <v>2129</v>
      </c>
      <c r="N1216" s="12" t="s">
        <v>5785</v>
      </c>
      <c r="O1216" s="12" t="s">
        <v>2130</v>
      </c>
      <c r="P1216" s="12" t="s">
        <v>166</v>
      </c>
      <c r="Q1216" s="12" t="s">
        <v>6664</v>
      </c>
      <c r="R1216" s="16" t="s">
        <v>17</v>
      </c>
      <c r="S1216" s="16" t="s">
        <v>17</v>
      </c>
      <c r="T1216" s="12" t="s">
        <v>11</v>
      </c>
      <c r="U1216" s="12" t="s">
        <v>17</v>
      </c>
      <c r="V1216" s="12" t="s">
        <v>802</v>
      </c>
      <c r="W1216" s="12" t="s">
        <v>7415</v>
      </c>
      <c r="X1216" s="12" t="s">
        <v>17</v>
      </c>
      <c r="Y1216" s="12">
        <v>1169769</v>
      </c>
      <c r="Z1216" s="12" t="s">
        <v>6613</v>
      </c>
      <c r="AA1216" s="12" t="s">
        <v>6613</v>
      </c>
      <c r="AB1216" s="12" t="s">
        <v>6613</v>
      </c>
      <c r="AC1216" s="12" t="s">
        <v>6613</v>
      </c>
      <c r="AD1216" s="12" t="s">
        <v>6613</v>
      </c>
      <c r="AE1216" s="12" t="s">
        <v>6613</v>
      </c>
      <c r="AF1216" s="12" t="s">
        <v>45</v>
      </c>
    </row>
    <row r="1217" spans="1:32" x14ac:dyDescent="0.2">
      <c r="A1217" s="12" t="s">
        <v>2272</v>
      </c>
      <c r="B1217" s="12" t="s">
        <v>2273</v>
      </c>
      <c r="C1217" s="12" t="s">
        <v>17</v>
      </c>
      <c r="D1217" s="12" t="s">
        <v>17</v>
      </c>
      <c r="E1217" s="12" t="s">
        <v>7678</v>
      </c>
      <c r="F1217" s="12" t="s">
        <v>5458</v>
      </c>
      <c r="G1217" s="12" t="s">
        <v>615</v>
      </c>
      <c r="H1217" s="12" t="s">
        <v>6613</v>
      </c>
      <c r="I1217" s="12">
        <v>0</v>
      </c>
      <c r="J1217" s="12" t="s">
        <v>164</v>
      </c>
      <c r="K1217" s="12" t="s">
        <v>6646</v>
      </c>
      <c r="L1217" s="12" t="s">
        <v>2129</v>
      </c>
      <c r="M1217" s="12" t="s">
        <v>2129</v>
      </c>
      <c r="N1217" s="12" t="s">
        <v>5785</v>
      </c>
      <c r="O1217" s="12" t="s">
        <v>2130</v>
      </c>
      <c r="P1217" s="12" t="s">
        <v>166</v>
      </c>
      <c r="Q1217" s="12" t="s">
        <v>6664</v>
      </c>
      <c r="R1217" s="16" t="s">
        <v>17</v>
      </c>
      <c r="S1217" s="16" t="s">
        <v>17</v>
      </c>
      <c r="T1217" s="12" t="s">
        <v>11</v>
      </c>
      <c r="U1217" s="12" t="s">
        <v>17</v>
      </c>
      <c r="V1217" s="12" t="s">
        <v>755</v>
      </c>
      <c r="W1217" s="12" t="s">
        <v>7415</v>
      </c>
      <c r="X1217" s="12" t="s">
        <v>17</v>
      </c>
      <c r="Y1217" s="12">
        <v>1169879</v>
      </c>
      <c r="Z1217" s="12" t="s">
        <v>6613</v>
      </c>
      <c r="AA1217" s="12" t="s">
        <v>6613</v>
      </c>
      <c r="AB1217" s="12" t="s">
        <v>6613</v>
      </c>
      <c r="AC1217" s="12" t="s">
        <v>6613</v>
      </c>
      <c r="AD1217" s="12" t="s">
        <v>6613</v>
      </c>
      <c r="AE1217" s="12" t="s">
        <v>6613</v>
      </c>
      <c r="AF1217" s="12" t="s">
        <v>45</v>
      </c>
    </row>
    <row r="1218" spans="1:32" x14ac:dyDescent="0.2">
      <c r="A1218" s="12" t="s">
        <v>2195</v>
      </c>
      <c r="B1218" s="12" t="s">
        <v>2196</v>
      </c>
      <c r="C1218" s="12" t="s">
        <v>17</v>
      </c>
      <c r="D1218" s="12" t="s">
        <v>17</v>
      </c>
      <c r="E1218" s="12" t="s">
        <v>7678</v>
      </c>
      <c r="F1218" s="12" t="s">
        <v>5458</v>
      </c>
      <c r="G1218" s="12" t="s">
        <v>615</v>
      </c>
      <c r="H1218" s="12" t="s">
        <v>6613</v>
      </c>
      <c r="I1218" s="12">
        <v>0</v>
      </c>
      <c r="J1218" s="12" t="s">
        <v>164</v>
      </c>
      <c r="K1218" s="12" t="s">
        <v>6646</v>
      </c>
      <c r="L1218" s="12" t="s">
        <v>2129</v>
      </c>
      <c r="M1218" s="12" t="s">
        <v>2129</v>
      </c>
      <c r="N1218" s="12" t="s">
        <v>5785</v>
      </c>
      <c r="O1218" s="12" t="s">
        <v>2130</v>
      </c>
      <c r="P1218" s="12" t="s">
        <v>166</v>
      </c>
      <c r="Q1218" s="12" t="s">
        <v>6664</v>
      </c>
      <c r="R1218" s="12" t="s">
        <v>17</v>
      </c>
      <c r="S1218" s="12" t="s">
        <v>17</v>
      </c>
      <c r="T1218" s="12" t="s">
        <v>11</v>
      </c>
      <c r="U1218" s="12" t="s">
        <v>17</v>
      </c>
      <c r="V1218" s="12" t="s">
        <v>601</v>
      </c>
      <c r="W1218" s="12" t="s">
        <v>7415</v>
      </c>
      <c r="X1218" s="12" t="s">
        <v>17</v>
      </c>
      <c r="Y1218" s="12">
        <v>1170825</v>
      </c>
      <c r="Z1218" s="12" t="s">
        <v>6613</v>
      </c>
      <c r="AA1218" s="12" t="s">
        <v>6613</v>
      </c>
      <c r="AB1218" s="12" t="s">
        <v>6613</v>
      </c>
      <c r="AC1218" s="12" t="s">
        <v>6613</v>
      </c>
      <c r="AD1218" s="12" t="s">
        <v>6613</v>
      </c>
      <c r="AE1218" s="12" t="s">
        <v>6613</v>
      </c>
      <c r="AF1218" s="12" t="s">
        <v>45</v>
      </c>
    </row>
    <row r="1219" spans="1:32" x14ac:dyDescent="0.2">
      <c r="A1219" s="12" t="s">
        <v>2312</v>
      </c>
      <c r="B1219" s="12" t="s">
        <v>2313</v>
      </c>
      <c r="C1219" s="12" t="s">
        <v>17</v>
      </c>
      <c r="D1219" s="12" t="s">
        <v>17</v>
      </c>
      <c r="E1219" s="12" t="s">
        <v>7678</v>
      </c>
      <c r="F1219" s="12" t="s">
        <v>5458</v>
      </c>
      <c r="G1219" s="12" t="s">
        <v>615</v>
      </c>
      <c r="H1219" s="12" t="s">
        <v>6613</v>
      </c>
      <c r="I1219" s="12">
        <v>0</v>
      </c>
      <c r="J1219" s="12" t="s">
        <v>164</v>
      </c>
      <c r="K1219" s="12" t="s">
        <v>6646</v>
      </c>
      <c r="L1219" s="12" t="s">
        <v>2129</v>
      </c>
      <c r="M1219" s="12" t="s">
        <v>2129</v>
      </c>
      <c r="N1219" s="12" t="s">
        <v>5785</v>
      </c>
      <c r="O1219" s="12" t="s">
        <v>2130</v>
      </c>
      <c r="P1219" s="12" t="s">
        <v>166</v>
      </c>
      <c r="Q1219" s="12" t="s">
        <v>6664</v>
      </c>
      <c r="R1219" s="12" t="s">
        <v>17</v>
      </c>
      <c r="S1219" s="12" t="s">
        <v>17</v>
      </c>
      <c r="T1219" s="12" t="s">
        <v>11</v>
      </c>
      <c r="U1219" s="12" t="s">
        <v>17</v>
      </c>
      <c r="V1219" s="12" t="s">
        <v>631</v>
      </c>
      <c r="W1219" s="12" t="s">
        <v>7415</v>
      </c>
      <c r="X1219" s="12" t="s">
        <v>17</v>
      </c>
      <c r="Y1219" s="12">
        <v>1171652</v>
      </c>
      <c r="Z1219" s="12" t="s">
        <v>6613</v>
      </c>
      <c r="AA1219" s="12" t="s">
        <v>6613</v>
      </c>
      <c r="AB1219" s="12" t="s">
        <v>6613</v>
      </c>
      <c r="AC1219" s="12" t="s">
        <v>6613</v>
      </c>
      <c r="AD1219" s="12" t="s">
        <v>6613</v>
      </c>
      <c r="AE1219" s="12" t="s">
        <v>6613</v>
      </c>
      <c r="AF1219" s="12" t="s">
        <v>45</v>
      </c>
    </row>
    <row r="1220" spans="1:32" x14ac:dyDescent="0.2">
      <c r="A1220" s="12" t="s">
        <v>2154</v>
      </c>
      <c r="B1220" s="12" t="s">
        <v>2155</v>
      </c>
      <c r="C1220" s="12" t="s">
        <v>17</v>
      </c>
      <c r="D1220" s="12" t="s">
        <v>17</v>
      </c>
      <c r="E1220" s="12" t="s">
        <v>7678</v>
      </c>
      <c r="F1220" s="12" t="s">
        <v>5458</v>
      </c>
      <c r="G1220" s="12" t="s">
        <v>615</v>
      </c>
      <c r="H1220" s="12" t="s">
        <v>6613</v>
      </c>
      <c r="I1220" s="12">
        <v>0</v>
      </c>
      <c r="J1220" s="12" t="s">
        <v>164</v>
      </c>
      <c r="K1220" s="12" t="s">
        <v>6646</v>
      </c>
      <c r="L1220" s="12" t="s">
        <v>2129</v>
      </c>
      <c r="M1220" s="12" t="s">
        <v>2129</v>
      </c>
      <c r="N1220" s="12" t="s">
        <v>5785</v>
      </c>
      <c r="O1220" s="12" t="s">
        <v>2130</v>
      </c>
      <c r="P1220" s="12" t="s">
        <v>166</v>
      </c>
      <c r="Q1220" s="12" t="s">
        <v>6664</v>
      </c>
      <c r="R1220" s="12" t="s">
        <v>17</v>
      </c>
      <c r="S1220" s="12" t="s">
        <v>17</v>
      </c>
      <c r="T1220" s="12" t="s">
        <v>11</v>
      </c>
      <c r="U1220" s="12" t="s">
        <v>17</v>
      </c>
      <c r="V1220" s="12" t="s">
        <v>2156</v>
      </c>
      <c r="W1220" s="12" t="s">
        <v>7415</v>
      </c>
      <c r="X1220" s="12" t="s">
        <v>17</v>
      </c>
      <c r="Y1220" s="12">
        <v>1171676</v>
      </c>
      <c r="Z1220" s="12" t="s">
        <v>6613</v>
      </c>
      <c r="AA1220" s="12" t="s">
        <v>6613</v>
      </c>
      <c r="AB1220" s="12" t="s">
        <v>6613</v>
      </c>
      <c r="AC1220" s="12" t="s">
        <v>6613</v>
      </c>
      <c r="AD1220" s="12" t="s">
        <v>6613</v>
      </c>
      <c r="AE1220" s="12" t="s">
        <v>6613</v>
      </c>
      <c r="AF1220" s="12" t="s">
        <v>45</v>
      </c>
    </row>
    <row r="1221" spans="1:32" x14ac:dyDescent="0.2">
      <c r="A1221" s="12" t="s">
        <v>2172</v>
      </c>
      <c r="B1221" s="12" t="s">
        <v>2173</v>
      </c>
      <c r="C1221" s="12" t="s">
        <v>17</v>
      </c>
      <c r="D1221" s="12" t="s">
        <v>17</v>
      </c>
      <c r="E1221" s="12" t="s">
        <v>7678</v>
      </c>
      <c r="F1221" s="12" t="s">
        <v>5458</v>
      </c>
      <c r="G1221" s="12" t="s">
        <v>615</v>
      </c>
      <c r="H1221" s="12" t="s">
        <v>6613</v>
      </c>
      <c r="I1221" s="12">
        <v>0</v>
      </c>
      <c r="J1221" s="12" t="s">
        <v>164</v>
      </c>
      <c r="K1221" s="12" t="s">
        <v>6646</v>
      </c>
      <c r="L1221" s="12" t="s">
        <v>2129</v>
      </c>
      <c r="M1221" s="12" t="s">
        <v>2129</v>
      </c>
      <c r="N1221" s="12" t="s">
        <v>5785</v>
      </c>
      <c r="O1221" s="12" t="s">
        <v>2130</v>
      </c>
      <c r="P1221" s="12" t="s">
        <v>166</v>
      </c>
      <c r="Q1221" s="12" t="s">
        <v>6664</v>
      </c>
      <c r="R1221" s="12" t="s">
        <v>17</v>
      </c>
      <c r="S1221" s="12" t="s">
        <v>17</v>
      </c>
      <c r="T1221" s="12" t="s">
        <v>11</v>
      </c>
      <c r="U1221" s="12" t="s">
        <v>17</v>
      </c>
      <c r="V1221" s="12" t="s">
        <v>2174</v>
      </c>
      <c r="W1221" s="12" t="s">
        <v>7415</v>
      </c>
      <c r="X1221" s="12" t="s">
        <v>17</v>
      </c>
      <c r="Y1221" s="12">
        <v>1171886</v>
      </c>
      <c r="Z1221" s="12" t="s">
        <v>6613</v>
      </c>
      <c r="AA1221" s="12" t="s">
        <v>6613</v>
      </c>
      <c r="AB1221" s="12" t="s">
        <v>6613</v>
      </c>
      <c r="AC1221" s="12" t="s">
        <v>6613</v>
      </c>
      <c r="AD1221" s="12" t="s">
        <v>6613</v>
      </c>
      <c r="AE1221" s="12" t="s">
        <v>6613</v>
      </c>
      <c r="AF1221" s="12" t="s">
        <v>45</v>
      </c>
    </row>
    <row r="1222" spans="1:32" x14ac:dyDescent="0.2">
      <c r="A1222" s="12" t="s">
        <v>2211</v>
      </c>
      <c r="B1222" s="12" t="s">
        <v>2212</v>
      </c>
      <c r="C1222" s="12" t="s">
        <v>17</v>
      </c>
      <c r="D1222" s="12" t="s">
        <v>17</v>
      </c>
      <c r="E1222" s="12" t="s">
        <v>7678</v>
      </c>
      <c r="F1222" s="12" t="s">
        <v>5458</v>
      </c>
      <c r="G1222" s="12" t="s">
        <v>615</v>
      </c>
      <c r="H1222" s="12" t="s">
        <v>6613</v>
      </c>
      <c r="I1222" s="12">
        <v>0</v>
      </c>
      <c r="J1222" s="12" t="s">
        <v>164</v>
      </c>
      <c r="K1222" s="12" t="s">
        <v>6646</v>
      </c>
      <c r="L1222" s="12" t="s">
        <v>2129</v>
      </c>
      <c r="M1222" s="12" t="s">
        <v>2129</v>
      </c>
      <c r="N1222" s="12" t="s">
        <v>5785</v>
      </c>
      <c r="O1222" s="12" t="s">
        <v>2130</v>
      </c>
      <c r="P1222" s="12" t="s">
        <v>166</v>
      </c>
      <c r="Q1222" s="12" t="s">
        <v>6664</v>
      </c>
      <c r="R1222" s="12" t="s">
        <v>17</v>
      </c>
      <c r="S1222" s="12" t="s">
        <v>17</v>
      </c>
      <c r="T1222" s="12" t="s">
        <v>11</v>
      </c>
      <c r="U1222" s="12" t="s">
        <v>17</v>
      </c>
      <c r="V1222" s="12" t="s">
        <v>2213</v>
      </c>
      <c r="W1222" s="12" t="s">
        <v>7415</v>
      </c>
      <c r="X1222" s="12" t="s">
        <v>17</v>
      </c>
      <c r="Y1222" s="12">
        <v>1172530</v>
      </c>
      <c r="Z1222" s="12" t="s">
        <v>6613</v>
      </c>
      <c r="AA1222" s="12" t="s">
        <v>6613</v>
      </c>
      <c r="AB1222" s="12" t="s">
        <v>6613</v>
      </c>
      <c r="AC1222" s="12" t="s">
        <v>6613</v>
      </c>
      <c r="AD1222" s="12" t="s">
        <v>6613</v>
      </c>
      <c r="AE1222" s="12" t="s">
        <v>6613</v>
      </c>
      <c r="AF1222" s="12" t="s">
        <v>45</v>
      </c>
    </row>
    <row r="1223" spans="1:32" x14ac:dyDescent="0.2">
      <c r="A1223" s="12" t="s">
        <v>2310</v>
      </c>
      <c r="B1223" s="12" t="s">
        <v>2311</v>
      </c>
      <c r="C1223" s="12" t="s">
        <v>17</v>
      </c>
      <c r="D1223" s="12" t="s">
        <v>17</v>
      </c>
      <c r="E1223" s="12" t="s">
        <v>7678</v>
      </c>
      <c r="F1223" s="12" t="s">
        <v>5458</v>
      </c>
      <c r="G1223" s="12" t="s">
        <v>615</v>
      </c>
      <c r="H1223" s="12" t="s">
        <v>6613</v>
      </c>
      <c r="I1223" s="12">
        <v>0</v>
      </c>
      <c r="J1223" s="12" t="s">
        <v>164</v>
      </c>
      <c r="K1223" s="12" t="s">
        <v>6646</v>
      </c>
      <c r="L1223" s="12" t="s">
        <v>2129</v>
      </c>
      <c r="M1223" s="12" t="s">
        <v>2129</v>
      </c>
      <c r="N1223" s="12" t="s">
        <v>5785</v>
      </c>
      <c r="O1223" s="12" t="s">
        <v>2130</v>
      </c>
      <c r="P1223" s="12" t="s">
        <v>166</v>
      </c>
      <c r="Q1223" s="12" t="s">
        <v>6664</v>
      </c>
      <c r="R1223" s="12" t="s">
        <v>17</v>
      </c>
      <c r="S1223" s="12" t="s">
        <v>17</v>
      </c>
      <c r="T1223" s="12" t="s">
        <v>11</v>
      </c>
      <c r="U1223" s="12" t="s">
        <v>17</v>
      </c>
      <c r="V1223" s="12" t="s">
        <v>755</v>
      </c>
      <c r="W1223" s="12" t="s">
        <v>7415</v>
      </c>
      <c r="X1223" s="12" t="s">
        <v>17</v>
      </c>
      <c r="Y1223" s="12">
        <v>1172744</v>
      </c>
      <c r="Z1223" s="12" t="s">
        <v>6613</v>
      </c>
      <c r="AA1223" s="12" t="s">
        <v>6613</v>
      </c>
      <c r="AB1223" s="12" t="s">
        <v>6613</v>
      </c>
      <c r="AC1223" s="12" t="s">
        <v>6613</v>
      </c>
      <c r="AD1223" s="12" t="s">
        <v>6613</v>
      </c>
      <c r="AE1223" s="12" t="s">
        <v>6613</v>
      </c>
      <c r="AF1223" s="12" t="s">
        <v>45</v>
      </c>
    </row>
    <row r="1224" spans="1:32" x14ac:dyDescent="0.2">
      <c r="A1224" s="12" t="s">
        <v>2223</v>
      </c>
      <c r="B1224" s="12" t="s">
        <v>2224</v>
      </c>
      <c r="C1224" s="12" t="s">
        <v>17</v>
      </c>
      <c r="D1224" s="12" t="s">
        <v>17</v>
      </c>
      <c r="E1224" s="12" t="s">
        <v>7678</v>
      </c>
      <c r="F1224" s="12" t="s">
        <v>5458</v>
      </c>
      <c r="G1224" s="12" t="s">
        <v>615</v>
      </c>
      <c r="H1224" s="12" t="s">
        <v>6613</v>
      </c>
      <c r="I1224" s="12">
        <v>0</v>
      </c>
      <c r="J1224" s="12" t="s">
        <v>164</v>
      </c>
      <c r="K1224" s="12" t="s">
        <v>6646</v>
      </c>
      <c r="L1224" s="12" t="s">
        <v>2129</v>
      </c>
      <c r="M1224" s="12" t="s">
        <v>2129</v>
      </c>
      <c r="N1224" s="12" t="s">
        <v>5785</v>
      </c>
      <c r="O1224" s="12" t="s">
        <v>2130</v>
      </c>
      <c r="P1224" s="12" t="s">
        <v>166</v>
      </c>
      <c r="Q1224" s="12" t="s">
        <v>6664</v>
      </c>
      <c r="R1224" s="12" t="s">
        <v>17</v>
      </c>
      <c r="S1224" s="12" t="s">
        <v>17</v>
      </c>
      <c r="T1224" s="12" t="s">
        <v>11</v>
      </c>
      <c r="U1224" s="12" t="s">
        <v>17</v>
      </c>
      <c r="V1224" s="12" t="s">
        <v>2220</v>
      </c>
      <c r="W1224" s="12" t="s">
        <v>7415</v>
      </c>
      <c r="X1224" s="12" t="s">
        <v>17</v>
      </c>
      <c r="Y1224" s="12">
        <v>1174047</v>
      </c>
      <c r="Z1224" s="12" t="s">
        <v>6613</v>
      </c>
      <c r="AA1224" s="12" t="s">
        <v>6613</v>
      </c>
      <c r="AB1224" s="12" t="s">
        <v>6613</v>
      </c>
      <c r="AC1224" s="12" t="s">
        <v>6613</v>
      </c>
      <c r="AD1224" s="12" t="s">
        <v>6613</v>
      </c>
      <c r="AE1224" s="12" t="s">
        <v>6613</v>
      </c>
      <c r="AF1224" s="12" t="s">
        <v>45</v>
      </c>
    </row>
    <row r="1225" spans="1:32" x14ac:dyDescent="0.2">
      <c r="A1225" s="12" t="s">
        <v>2221</v>
      </c>
      <c r="B1225" s="12" t="s">
        <v>2222</v>
      </c>
      <c r="C1225" s="12" t="s">
        <v>17</v>
      </c>
      <c r="D1225" s="12" t="s">
        <v>17</v>
      </c>
      <c r="E1225" s="12" t="s">
        <v>7678</v>
      </c>
      <c r="F1225" s="12" t="s">
        <v>5458</v>
      </c>
      <c r="G1225" s="12" t="s">
        <v>615</v>
      </c>
      <c r="H1225" s="12" t="s">
        <v>6613</v>
      </c>
      <c r="I1225" s="12">
        <v>0</v>
      </c>
      <c r="J1225" s="12" t="s">
        <v>164</v>
      </c>
      <c r="K1225" s="12" t="s">
        <v>6646</v>
      </c>
      <c r="L1225" s="12" t="s">
        <v>2129</v>
      </c>
      <c r="M1225" s="12" t="s">
        <v>2129</v>
      </c>
      <c r="N1225" s="12" t="s">
        <v>5785</v>
      </c>
      <c r="O1225" s="12" t="s">
        <v>2130</v>
      </c>
      <c r="P1225" s="12" t="s">
        <v>166</v>
      </c>
      <c r="Q1225" s="12" t="s">
        <v>6664</v>
      </c>
      <c r="R1225" s="12" t="s">
        <v>17</v>
      </c>
      <c r="S1225" s="12" t="s">
        <v>17</v>
      </c>
      <c r="T1225" s="12" t="s">
        <v>11</v>
      </c>
      <c r="U1225" s="12" t="s">
        <v>17</v>
      </c>
      <c r="V1225" s="12" t="s">
        <v>653</v>
      </c>
      <c r="W1225" s="12" t="s">
        <v>7415</v>
      </c>
      <c r="X1225" s="12" t="s">
        <v>17</v>
      </c>
      <c r="Y1225" s="12">
        <v>1174108</v>
      </c>
      <c r="Z1225" s="12" t="s">
        <v>6613</v>
      </c>
      <c r="AA1225" s="12" t="s">
        <v>6613</v>
      </c>
      <c r="AB1225" s="12" t="s">
        <v>6613</v>
      </c>
      <c r="AC1225" s="12" t="s">
        <v>6613</v>
      </c>
      <c r="AD1225" s="12" t="s">
        <v>6613</v>
      </c>
      <c r="AE1225" s="12" t="s">
        <v>6613</v>
      </c>
      <c r="AF1225" s="12" t="s">
        <v>45</v>
      </c>
    </row>
    <row r="1226" spans="1:32" x14ac:dyDescent="0.2">
      <c r="A1226" s="12" t="s">
        <v>2327</v>
      </c>
      <c r="B1226" s="12" t="s">
        <v>2328</v>
      </c>
      <c r="C1226" s="12" t="s">
        <v>17</v>
      </c>
      <c r="D1226" s="12" t="s">
        <v>17</v>
      </c>
      <c r="E1226" s="12" t="s">
        <v>7678</v>
      </c>
      <c r="F1226" s="12" t="s">
        <v>5458</v>
      </c>
      <c r="G1226" s="12" t="s">
        <v>615</v>
      </c>
      <c r="H1226" s="12" t="s">
        <v>6613</v>
      </c>
      <c r="I1226" s="12">
        <v>0</v>
      </c>
      <c r="J1226" s="12" t="s">
        <v>164</v>
      </c>
      <c r="K1226" s="12" t="s">
        <v>6646</v>
      </c>
      <c r="L1226" s="12" t="s">
        <v>2129</v>
      </c>
      <c r="M1226" s="12" t="s">
        <v>2129</v>
      </c>
      <c r="N1226" s="12" t="s">
        <v>5785</v>
      </c>
      <c r="O1226" s="12" t="s">
        <v>2130</v>
      </c>
      <c r="P1226" s="12" t="s">
        <v>166</v>
      </c>
      <c r="Q1226" s="12" t="s">
        <v>6664</v>
      </c>
      <c r="R1226" s="12" t="s">
        <v>17</v>
      </c>
      <c r="S1226" s="12" t="s">
        <v>17</v>
      </c>
      <c r="T1226" s="12" t="s">
        <v>11</v>
      </c>
      <c r="U1226" s="12" t="s">
        <v>17</v>
      </c>
      <c r="V1226" s="12" t="s">
        <v>752</v>
      </c>
      <c r="W1226" s="12" t="s">
        <v>7415</v>
      </c>
      <c r="X1226" s="12" t="s">
        <v>17</v>
      </c>
      <c r="Y1226" s="12">
        <v>1175030</v>
      </c>
      <c r="Z1226" s="12" t="s">
        <v>6613</v>
      </c>
      <c r="AA1226" s="12" t="s">
        <v>6613</v>
      </c>
      <c r="AB1226" s="12" t="s">
        <v>6613</v>
      </c>
      <c r="AC1226" s="12" t="s">
        <v>6613</v>
      </c>
      <c r="AD1226" s="12" t="s">
        <v>6613</v>
      </c>
      <c r="AE1226" s="12" t="s">
        <v>6613</v>
      </c>
      <c r="AF1226" s="12" t="s">
        <v>45</v>
      </c>
    </row>
    <row r="1227" spans="1:32" x14ac:dyDescent="0.2">
      <c r="A1227" s="12" t="s">
        <v>2339</v>
      </c>
      <c r="B1227" s="12" t="s">
        <v>2340</v>
      </c>
      <c r="C1227" s="12" t="s">
        <v>17</v>
      </c>
      <c r="D1227" s="12" t="s">
        <v>17</v>
      </c>
      <c r="E1227" s="12" t="s">
        <v>7678</v>
      </c>
      <c r="F1227" s="12" t="s">
        <v>5458</v>
      </c>
      <c r="G1227" s="12" t="s">
        <v>615</v>
      </c>
      <c r="H1227" s="12" t="s">
        <v>6613</v>
      </c>
      <c r="I1227" s="12">
        <v>0</v>
      </c>
      <c r="J1227" s="12" t="s">
        <v>164</v>
      </c>
      <c r="K1227" s="12" t="s">
        <v>6646</v>
      </c>
      <c r="L1227" s="12" t="s">
        <v>2129</v>
      </c>
      <c r="M1227" s="12" t="s">
        <v>2129</v>
      </c>
      <c r="N1227" s="12" t="s">
        <v>5785</v>
      </c>
      <c r="O1227" s="12" t="s">
        <v>2130</v>
      </c>
      <c r="P1227" s="12" t="s">
        <v>166</v>
      </c>
      <c r="Q1227" s="12" t="s">
        <v>6664</v>
      </c>
      <c r="R1227" s="12" t="s">
        <v>17</v>
      </c>
      <c r="S1227" s="12" t="s">
        <v>17</v>
      </c>
      <c r="T1227" s="12" t="s">
        <v>11</v>
      </c>
      <c r="U1227" s="12" t="s">
        <v>17</v>
      </c>
      <c r="V1227" s="12" t="s">
        <v>2149</v>
      </c>
      <c r="W1227" s="12" t="s">
        <v>7415</v>
      </c>
      <c r="X1227" s="12" t="s">
        <v>17</v>
      </c>
      <c r="Y1227" s="12">
        <v>1175053</v>
      </c>
      <c r="Z1227" s="12" t="s">
        <v>6613</v>
      </c>
      <c r="AA1227" s="12" t="s">
        <v>6613</v>
      </c>
      <c r="AB1227" s="12" t="s">
        <v>6613</v>
      </c>
      <c r="AC1227" s="12" t="s">
        <v>6613</v>
      </c>
      <c r="AD1227" s="12" t="s">
        <v>6613</v>
      </c>
      <c r="AE1227" s="12" t="s">
        <v>6613</v>
      </c>
      <c r="AF1227" s="12" t="s">
        <v>45</v>
      </c>
    </row>
    <row r="1228" spans="1:32" x14ac:dyDescent="0.2">
      <c r="A1228" s="12" t="s">
        <v>2229</v>
      </c>
      <c r="B1228" s="12" t="s">
        <v>2230</v>
      </c>
      <c r="C1228" s="12" t="s">
        <v>17</v>
      </c>
      <c r="D1228" s="12" t="s">
        <v>17</v>
      </c>
      <c r="E1228" s="12" t="s">
        <v>7678</v>
      </c>
      <c r="F1228" s="12" t="s">
        <v>5458</v>
      </c>
      <c r="G1228" s="12" t="s">
        <v>615</v>
      </c>
      <c r="H1228" s="12" t="s">
        <v>6613</v>
      </c>
      <c r="I1228" s="12">
        <v>0</v>
      </c>
      <c r="J1228" s="12" t="s">
        <v>164</v>
      </c>
      <c r="K1228" s="12" t="s">
        <v>6646</v>
      </c>
      <c r="L1228" s="12" t="s">
        <v>2129</v>
      </c>
      <c r="M1228" s="12" t="s">
        <v>2129</v>
      </c>
      <c r="N1228" s="12" t="s">
        <v>5785</v>
      </c>
      <c r="O1228" s="12" t="s">
        <v>2130</v>
      </c>
      <c r="P1228" s="12" t="s">
        <v>166</v>
      </c>
      <c r="Q1228" s="12" t="s">
        <v>6664</v>
      </c>
      <c r="R1228" s="12" t="s">
        <v>17</v>
      </c>
      <c r="S1228" s="12" t="s">
        <v>17</v>
      </c>
      <c r="T1228" s="12" t="s">
        <v>11</v>
      </c>
      <c r="U1228" s="12" t="s">
        <v>17</v>
      </c>
      <c r="V1228" s="12" t="s">
        <v>413</v>
      </c>
      <c r="W1228" s="12" t="s">
        <v>7415</v>
      </c>
      <c r="X1228" s="12" t="s">
        <v>17</v>
      </c>
      <c r="Y1228" s="12">
        <v>1175255</v>
      </c>
      <c r="Z1228" s="12" t="s">
        <v>6613</v>
      </c>
      <c r="AA1228" s="12" t="s">
        <v>6613</v>
      </c>
      <c r="AB1228" s="12" t="s">
        <v>6613</v>
      </c>
      <c r="AC1228" s="12" t="s">
        <v>6613</v>
      </c>
      <c r="AD1228" s="12" t="s">
        <v>6613</v>
      </c>
      <c r="AE1228" s="12" t="s">
        <v>6613</v>
      </c>
      <c r="AF1228" s="12" t="s">
        <v>45</v>
      </c>
    </row>
    <row r="1229" spans="1:32" x14ac:dyDescent="0.2">
      <c r="A1229" s="12" t="s">
        <v>2175</v>
      </c>
      <c r="B1229" s="12" t="s">
        <v>2176</v>
      </c>
      <c r="C1229" s="12" t="s">
        <v>17</v>
      </c>
      <c r="D1229" s="12" t="s">
        <v>17</v>
      </c>
      <c r="E1229" s="12" t="s">
        <v>7678</v>
      </c>
      <c r="F1229" s="12" t="s">
        <v>5458</v>
      </c>
      <c r="G1229" s="12" t="s">
        <v>615</v>
      </c>
      <c r="H1229" s="12" t="s">
        <v>6613</v>
      </c>
      <c r="I1229" s="12">
        <v>0</v>
      </c>
      <c r="J1229" s="12" t="s">
        <v>164</v>
      </c>
      <c r="K1229" s="12" t="s">
        <v>6646</v>
      </c>
      <c r="L1229" s="12" t="s">
        <v>2129</v>
      </c>
      <c r="M1229" s="12" t="s">
        <v>2129</v>
      </c>
      <c r="N1229" s="12" t="s">
        <v>5785</v>
      </c>
      <c r="O1229" s="12" t="s">
        <v>2130</v>
      </c>
      <c r="P1229" s="12" t="s">
        <v>166</v>
      </c>
      <c r="Q1229" s="12" t="s">
        <v>6664</v>
      </c>
      <c r="R1229" s="12" t="s">
        <v>17</v>
      </c>
      <c r="S1229" s="12" t="s">
        <v>17</v>
      </c>
      <c r="T1229" s="12" t="s">
        <v>11</v>
      </c>
      <c r="U1229" s="12" t="s">
        <v>17</v>
      </c>
      <c r="V1229" s="12" t="s">
        <v>708</v>
      </c>
      <c r="W1229" s="12" t="s">
        <v>7415</v>
      </c>
      <c r="X1229" s="12" t="s">
        <v>17</v>
      </c>
      <c r="Y1229" s="12">
        <v>1175851</v>
      </c>
      <c r="Z1229" s="12" t="s">
        <v>6613</v>
      </c>
      <c r="AA1229" s="12" t="s">
        <v>6613</v>
      </c>
      <c r="AB1229" s="12" t="s">
        <v>6613</v>
      </c>
      <c r="AC1229" s="12" t="s">
        <v>6613</v>
      </c>
      <c r="AD1229" s="12" t="s">
        <v>6613</v>
      </c>
      <c r="AE1229" s="12" t="s">
        <v>6613</v>
      </c>
      <c r="AF1229" s="12" t="s">
        <v>45</v>
      </c>
    </row>
    <row r="1230" spans="1:32" x14ac:dyDescent="0.2">
      <c r="A1230" s="12" t="s">
        <v>2240</v>
      </c>
      <c r="B1230" s="12" t="s">
        <v>2241</v>
      </c>
      <c r="C1230" s="12" t="s">
        <v>17</v>
      </c>
      <c r="D1230" s="12" t="s">
        <v>17</v>
      </c>
      <c r="E1230" s="12" t="s">
        <v>7678</v>
      </c>
      <c r="F1230" s="12" t="s">
        <v>5458</v>
      </c>
      <c r="G1230" s="12" t="s">
        <v>615</v>
      </c>
      <c r="H1230" s="12" t="s">
        <v>6613</v>
      </c>
      <c r="I1230" s="12">
        <v>0</v>
      </c>
      <c r="J1230" s="12" t="s">
        <v>164</v>
      </c>
      <c r="K1230" s="12" t="s">
        <v>6646</v>
      </c>
      <c r="L1230" s="12" t="s">
        <v>2129</v>
      </c>
      <c r="M1230" s="12" t="s">
        <v>2129</v>
      </c>
      <c r="N1230" s="12" t="s">
        <v>5785</v>
      </c>
      <c r="O1230" s="12" t="s">
        <v>2130</v>
      </c>
      <c r="P1230" s="12" t="s">
        <v>166</v>
      </c>
      <c r="Q1230" s="12" t="s">
        <v>6664</v>
      </c>
      <c r="R1230" s="12" t="s">
        <v>17</v>
      </c>
      <c r="S1230" s="12" t="s">
        <v>17</v>
      </c>
      <c r="T1230" s="12" t="s">
        <v>11</v>
      </c>
      <c r="U1230" s="12" t="s">
        <v>17</v>
      </c>
      <c r="V1230" s="12" t="s">
        <v>2149</v>
      </c>
      <c r="W1230" s="12" t="s">
        <v>7415</v>
      </c>
      <c r="X1230" s="12" t="s">
        <v>17</v>
      </c>
      <c r="Y1230" s="12">
        <v>1176317</v>
      </c>
      <c r="Z1230" s="12" t="s">
        <v>6613</v>
      </c>
      <c r="AA1230" s="12" t="s">
        <v>6613</v>
      </c>
      <c r="AB1230" s="12" t="s">
        <v>6613</v>
      </c>
      <c r="AC1230" s="12" t="s">
        <v>6613</v>
      </c>
      <c r="AD1230" s="12" t="s">
        <v>6613</v>
      </c>
      <c r="AE1230" s="12" t="s">
        <v>6613</v>
      </c>
      <c r="AF1230" s="12" t="s">
        <v>45</v>
      </c>
    </row>
    <row r="1231" spans="1:32" x14ac:dyDescent="0.2">
      <c r="A1231" s="12" t="s">
        <v>2323</v>
      </c>
      <c r="B1231" s="12" t="s">
        <v>2324</v>
      </c>
      <c r="C1231" s="12" t="s">
        <v>17</v>
      </c>
      <c r="D1231" s="12" t="s">
        <v>17</v>
      </c>
      <c r="E1231" s="12" t="s">
        <v>7678</v>
      </c>
      <c r="F1231" s="12" t="s">
        <v>5458</v>
      </c>
      <c r="G1231" s="12" t="s">
        <v>615</v>
      </c>
      <c r="H1231" s="12" t="s">
        <v>6613</v>
      </c>
      <c r="I1231" s="12">
        <v>0</v>
      </c>
      <c r="J1231" s="12" t="s">
        <v>164</v>
      </c>
      <c r="K1231" s="12" t="s">
        <v>6646</v>
      </c>
      <c r="L1231" s="12" t="s">
        <v>2129</v>
      </c>
      <c r="M1231" s="12" t="s">
        <v>2129</v>
      </c>
      <c r="N1231" s="12" t="s">
        <v>5785</v>
      </c>
      <c r="O1231" s="12" t="s">
        <v>2130</v>
      </c>
      <c r="P1231" s="12" t="s">
        <v>166</v>
      </c>
      <c r="Q1231" s="12" t="s">
        <v>6664</v>
      </c>
      <c r="R1231" s="12" t="s">
        <v>17</v>
      </c>
      <c r="S1231" s="12" t="s">
        <v>17</v>
      </c>
      <c r="T1231" s="12" t="s">
        <v>11</v>
      </c>
      <c r="U1231" s="12" t="s">
        <v>17</v>
      </c>
      <c r="V1231" s="12" t="s">
        <v>666</v>
      </c>
      <c r="W1231" s="12" t="s">
        <v>7415</v>
      </c>
      <c r="X1231" s="12" t="s">
        <v>17</v>
      </c>
      <c r="Y1231" s="12">
        <v>1176751</v>
      </c>
      <c r="Z1231" s="12" t="s">
        <v>6613</v>
      </c>
      <c r="AA1231" s="12" t="s">
        <v>6613</v>
      </c>
      <c r="AB1231" s="12" t="s">
        <v>6613</v>
      </c>
      <c r="AC1231" s="12" t="s">
        <v>6613</v>
      </c>
      <c r="AD1231" s="12" t="s">
        <v>6613</v>
      </c>
      <c r="AE1231" s="12" t="s">
        <v>6613</v>
      </c>
      <c r="AF1231" s="12" t="s">
        <v>45</v>
      </c>
    </row>
    <row r="1232" spans="1:32" x14ac:dyDescent="0.2">
      <c r="A1232" s="12" t="s">
        <v>2341</v>
      </c>
      <c r="B1232" s="12" t="s">
        <v>2342</v>
      </c>
      <c r="C1232" s="12" t="s">
        <v>17</v>
      </c>
      <c r="D1232" s="12" t="s">
        <v>17</v>
      </c>
      <c r="E1232" s="12" t="s">
        <v>7678</v>
      </c>
      <c r="F1232" s="12" t="s">
        <v>5458</v>
      </c>
      <c r="G1232" s="12" t="s">
        <v>615</v>
      </c>
      <c r="H1232" s="12" t="s">
        <v>6613</v>
      </c>
      <c r="I1232" s="12">
        <v>0</v>
      </c>
      <c r="J1232" s="12" t="s">
        <v>164</v>
      </c>
      <c r="K1232" s="12" t="s">
        <v>6646</v>
      </c>
      <c r="L1232" s="12" t="s">
        <v>2129</v>
      </c>
      <c r="M1232" s="12" t="s">
        <v>2129</v>
      </c>
      <c r="N1232" s="12" t="s">
        <v>5785</v>
      </c>
      <c r="O1232" s="12" t="s">
        <v>2130</v>
      </c>
      <c r="P1232" s="12" t="s">
        <v>166</v>
      </c>
      <c r="Q1232" s="12" t="s">
        <v>6664</v>
      </c>
      <c r="R1232" s="12" t="s">
        <v>17</v>
      </c>
      <c r="S1232" s="12" t="s">
        <v>17</v>
      </c>
      <c r="T1232" s="12" t="s">
        <v>11</v>
      </c>
      <c r="U1232" s="12" t="s">
        <v>17</v>
      </c>
      <c r="V1232" s="12" t="s">
        <v>2343</v>
      </c>
      <c r="W1232" s="12" t="s">
        <v>7415</v>
      </c>
      <c r="X1232" s="12" t="s">
        <v>17</v>
      </c>
      <c r="Y1232" s="12">
        <v>1176998</v>
      </c>
      <c r="Z1232" s="12" t="s">
        <v>6613</v>
      </c>
      <c r="AA1232" s="12" t="s">
        <v>6613</v>
      </c>
      <c r="AB1232" s="12" t="s">
        <v>6613</v>
      </c>
      <c r="AC1232" s="12" t="s">
        <v>6613</v>
      </c>
      <c r="AD1232" s="12" t="s">
        <v>6613</v>
      </c>
      <c r="AE1232" s="12" t="s">
        <v>6613</v>
      </c>
      <c r="AF1232" s="12" t="s">
        <v>45</v>
      </c>
    </row>
    <row r="1233" spans="1:32" x14ac:dyDescent="0.2">
      <c r="A1233" s="12" t="s">
        <v>2237</v>
      </c>
      <c r="B1233" s="12" t="s">
        <v>2238</v>
      </c>
      <c r="C1233" s="12" t="s">
        <v>17</v>
      </c>
      <c r="D1233" s="12" t="s">
        <v>17</v>
      </c>
      <c r="E1233" s="12" t="s">
        <v>7678</v>
      </c>
      <c r="F1233" s="12" t="s">
        <v>5458</v>
      </c>
      <c r="G1233" s="12" t="s">
        <v>615</v>
      </c>
      <c r="H1233" s="12" t="s">
        <v>6613</v>
      </c>
      <c r="I1233" s="12">
        <v>0</v>
      </c>
      <c r="J1233" s="12" t="s">
        <v>164</v>
      </c>
      <c r="K1233" s="12" t="s">
        <v>6646</v>
      </c>
      <c r="L1233" s="12" t="s">
        <v>2129</v>
      </c>
      <c r="M1233" s="12" t="s">
        <v>2129</v>
      </c>
      <c r="N1233" s="12" t="s">
        <v>5785</v>
      </c>
      <c r="O1233" s="12" t="s">
        <v>2130</v>
      </c>
      <c r="P1233" s="12" t="s">
        <v>166</v>
      </c>
      <c r="Q1233" s="12" t="s">
        <v>6664</v>
      </c>
      <c r="R1233" s="12" t="s">
        <v>17</v>
      </c>
      <c r="S1233" s="12" t="s">
        <v>17</v>
      </c>
      <c r="T1233" s="12" t="s">
        <v>11</v>
      </c>
      <c r="U1233" s="12" t="s">
        <v>17</v>
      </c>
      <c r="V1233" s="12" t="s">
        <v>2239</v>
      </c>
      <c r="W1233" s="12" t="s">
        <v>7415</v>
      </c>
      <c r="X1233" s="12" t="s">
        <v>17</v>
      </c>
      <c r="Y1233" s="12">
        <v>1177444</v>
      </c>
      <c r="Z1233" s="12" t="s">
        <v>6613</v>
      </c>
      <c r="AA1233" s="12" t="s">
        <v>6613</v>
      </c>
      <c r="AB1233" s="12" t="s">
        <v>6613</v>
      </c>
      <c r="AC1233" s="12" t="s">
        <v>6613</v>
      </c>
      <c r="AD1233" s="12" t="s">
        <v>6613</v>
      </c>
      <c r="AE1233" s="12" t="s">
        <v>6613</v>
      </c>
      <c r="AF1233" s="12" t="s">
        <v>45</v>
      </c>
    </row>
    <row r="1234" spans="1:32" x14ac:dyDescent="0.2">
      <c r="A1234" s="12" t="s">
        <v>2344</v>
      </c>
      <c r="B1234" s="12" t="s">
        <v>2345</v>
      </c>
      <c r="C1234" s="12" t="s">
        <v>17</v>
      </c>
      <c r="D1234" s="12" t="s">
        <v>17</v>
      </c>
      <c r="E1234" s="12" t="s">
        <v>7678</v>
      </c>
      <c r="F1234" s="12" t="s">
        <v>5458</v>
      </c>
      <c r="G1234" s="12" t="s">
        <v>615</v>
      </c>
      <c r="H1234" s="12" t="s">
        <v>6613</v>
      </c>
      <c r="I1234" s="12">
        <v>0</v>
      </c>
      <c r="J1234" s="12" t="s">
        <v>164</v>
      </c>
      <c r="K1234" s="12" t="s">
        <v>6646</v>
      </c>
      <c r="L1234" s="12" t="s">
        <v>2129</v>
      </c>
      <c r="M1234" s="12" t="s">
        <v>2129</v>
      </c>
      <c r="N1234" s="12" t="s">
        <v>5785</v>
      </c>
      <c r="O1234" s="12" t="s">
        <v>2130</v>
      </c>
      <c r="P1234" s="12" t="s">
        <v>166</v>
      </c>
      <c r="Q1234" s="12" t="s">
        <v>6664</v>
      </c>
      <c r="R1234" s="12" t="s">
        <v>17</v>
      </c>
      <c r="S1234" s="12" t="s">
        <v>17</v>
      </c>
      <c r="T1234" s="12" t="s">
        <v>11</v>
      </c>
      <c r="U1234" s="12" t="s">
        <v>17</v>
      </c>
      <c r="V1234" s="12" t="s">
        <v>2220</v>
      </c>
      <c r="W1234" s="12" t="s">
        <v>7415</v>
      </c>
      <c r="X1234" s="12" t="s">
        <v>17</v>
      </c>
      <c r="Y1234" s="12">
        <v>1177458</v>
      </c>
      <c r="Z1234" s="12" t="s">
        <v>6613</v>
      </c>
      <c r="AA1234" s="12" t="s">
        <v>6613</v>
      </c>
      <c r="AB1234" s="12" t="s">
        <v>6613</v>
      </c>
      <c r="AC1234" s="12" t="s">
        <v>6613</v>
      </c>
      <c r="AD1234" s="12" t="s">
        <v>6613</v>
      </c>
      <c r="AE1234" s="12" t="s">
        <v>6613</v>
      </c>
      <c r="AF1234" s="12" t="s">
        <v>45</v>
      </c>
    </row>
    <row r="1235" spans="1:32" x14ac:dyDescent="0.2">
      <c r="A1235" s="12" t="s">
        <v>2235</v>
      </c>
      <c r="B1235" s="12" t="s">
        <v>2236</v>
      </c>
      <c r="C1235" s="12" t="s">
        <v>17</v>
      </c>
      <c r="D1235" s="12" t="s">
        <v>17</v>
      </c>
      <c r="E1235" s="12" t="s">
        <v>7678</v>
      </c>
      <c r="F1235" s="12" t="s">
        <v>5458</v>
      </c>
      <c r="G1235" s="12" t="s">
        <v>615</v>
      </c>
      <c r="H1235" s="12" t="s">
        <v>6613</v>
      </c>
      <c r="I1235" s="12">
        <v>0</v>
      </c>
      <c r="J1235" s="12" t="s">
        <v>164</v>
      </c>
      <c r="K1235" s="12" t="s">
        <v>6646</v>
      </c>
      <c r="L1235" s="12" t="s">
        <v>2129</v>
      </c>
      <c r="M1235" s="12" t="s">
        <v>2129</v>
      </c>
      <c r="N1235" s="12" t="s">
        <v>5785</v>
      </c>
      <c r="O1235" s="12" t="s">
        <v>2130</v>
      </c>
      <c r="P1235" s="12" t="s">
        <v>166</v>
      </c>
      <c r="Q1235" s="12" t="s">
        <v>6664</v>
      </c>
      <c r="R1235" s="12" t="s">
        <v>17</v>
      </c>
      <c r="S1235" s="12" t="s">
        <v>17</v>
      </c>
      <c r="T1235" s="12" t="s">
        <v>11</v>
      </c>
      <c r="U1235" s="12" t="s">
        <v>17</v>
      </c>
      <c r="V1235" s="12" t="s">
        <v>755</v>
      </c>
      <c r="W1235" s="12" t="s">
        <v>7415</v>
      </c>
      <c r="X1235" s="12" t="s">
        <v>17</v>
      </c>
      <c r="Y1235" s="12">
        <v>1177836</v>
      </c>
      <c r="Z1235" s="12" t="s">
        <v>6613</v>
      </c>
      <c r="AA1235" s="12" t="s">
        <v>6613</v>
      </c>
      <c r="AB1235" s="12" t="s">
        <v>6613</v>
      </c>
      <c r="AC1235" s="12" t="s">
        <v>6613</v>
      </c>
      <c r="AD1235" s="12" t="s">
        <v>6613</v>
      </c>
      <c r="AE1235" s="12" t="s">
        <v>6613</v>
      </c>
      <c r="AF1235" s="12" t="s">
        <v>45</v>
      </c>
    </row>
    <row r="1236" spans="1:32" x14ac:dyDescent="0.2">
      <c r="A1236" s="12" t="s">
        <v>2346</v>
      </c>
      <c r="B1236" s="12" t="s">
        <v>2347</v>
      </c>
      <c r="C1236" s="12" t="s">
        <v>17</v>
      </c>
      <c r="D1236" s="12" t="s">
        <v>17</v>
      </c>
      <c r="E1236" s="12" t="s">
        <v>7678</v>
      </c>
      <c r="F1236" s="12" t="s">
        <v>5458</v>
      </c>
      <c r="G1236" s="12" t="s">
        <v>615</v>
      </c>
      <c r="H1236" s="12" t="s">
        <v>6613</v>
      </c>
      <c r="I1236" s="12">
        <v>0</v>
      </c>
      <c r="J1236" s="12" t="s">
        <v>164</v>
      </c>
      <c r="K1236" s="12" t="s">
        <v>6646</v>
      </c>
      <c r="L1236" s="12" t="s">
        <v>2129</v>
      </c>
      <c r="M1236" s="12" t="s">
        <v>2129</v>
      </c>
      <c r="N1236" s="12" t="s">
        <v>5785</v>
      </c>
      <c r="O1236" s="12" t="s">
        <v>2130</v>
      </c>
      <c r="P1236" s="12" t="s">
        <v>166</v>
      </c>
      <c r="Q1236" s="12" t="s">
        <v>6664</v>
      </c>
      <c r="R1236" s="12" t="s">
        <v>17</v>
      </c>
      <c r="S1236" s="12" t="s">
        <v>17</v>
      </c>
      <c r="T1236" s="12" t="s">
        <v>11</v>
      </c>
      <c r="U1236" s="12" t="s">
        <v>17</v>
      </c>
      <c r="V1236" s="12" t="s">
        <v>619</v>
      </c>
      <c r="W1236" s="12" t="s">
        <v>7415</v>
      </c>
      <c r="X1236" s="12" t="s">
        <v>17</v>
      </c>
      <c r="Y1236" s="12">
        <v>1178192</v>
      </c>
      <c r="Z1236" s="12" t="s">
        <v>6613</v>
      </c>
      <c r="AA1236" s="12" t="s">
        <v>6613</v>
      </c>
      <c r="AB1236" s="12" t="s">
        <v>6613</v>
      </c>
      <c r="AC1236" s="12" t="s">
        <v>6613</v>
      </c>
      <c r="AD1236" s="12" t="s">
        <v>6613</v>
      </c>
      <c r="AE1236" s="12" t="s">
        <v>6613</v>
      </c>
      <c r="AF1236" s="12" t="s">
        <v>45</v>
      </c>
    </row>
    <row r="1237" spans="1:32" x14ac:dyDescent="0.2">
      <c r="A1237" s="12" t="s">
        <v>2250</v>
      </c>
      <c r="B1237" s="12" t="s">
        <v>2251</v>
      </c>
      <c r="C1237" s="12" t="s">
        <v>17</v>
      </c>
      <c r="D1237" s="12" t="s">
        <v>17</v>
      </c>
      <c r="E1237" s="12" t="s">
        <v>7678</v>
      </c>
      <c r="F1237" s="12" t="s">
        <v>5458</v>
      </c>
      <c r="G1237" s="12" t="s">
        <v>615</v>
      </c>
      <c r="H1237" s="12" t="s">
        <v>6613</v>
      </c>
      <c r="I1237" s="12">
        <v>0</v>
      </c>
      <c r="J1237" s="12" t="s">
        <v>164</v>
      </c>
      <c r="K1237" s="12" t="s">
        <v>6646</v>
      </c>
      <c r="L1237" s="12" t="s">
        <v>2129</v>
      </c>
      <c r="M1237" s="12" t="s">
        <v>2129</v>
      </c>
      <c r="N1237" s="12" t="s">
        <v>5785</v>
      </c>
      <c r="O1237" s="12" t="s">
        <v>2130</v>
      </c>
      <c r="P1237" s="12" t="s">
        <v>166</v>
      </c>
      <c r="Q1237" s="12" t="s">
        <v>6664</v>
      </c>
      <c r="R1237" s="12" t="s">
        <v>17</v>
      </c>
      <c r="S1237" s="12" t="s">
        <v>17</v>
      </c>
      <c r="T1237" s="12" t="s">
        <v>11</v>
      </c>
      <c r="U1237" s="12" t="s">
        <v>17</v>
      </c>
      <c r="V1237" s="12" t="s">
        <v>2149</v>
      </c>
      <c r="W1237" s="12" t="s">
        <v>7415</v>
      </c>
      <c r="X1237" s="12" t="s">
        <v>17</v>
      </c>
      <c r="Y1237" s="12">
        <v>1178381</v>
      </c>
      <c r="Z1237" s="12" t="s">
        <v>6613</v>
      </c>
      <c r="AA1237" s="12" t="s">
        <v>6613</v>
      </c>
      <c r="AB1237" s="12" t="s">
        <v>6613</v>
      </c>
      <c r="AC1237" s="12" t="s">
        <v>6613</v>
      </c>
      <c r="AD1237" s="12" t="s">
        <v>6613</v>
      </c>
      <c r="AE1237" s="12" t="s">
        <v>6613</v>
      </c>
      <c r="AF1237" s="12" t="s">
        <v>45</v>
      </c>
    </row>
    <row r="1238" spans="1:32" x14ac:dyDescent="0.2">
      <c r="A1238" s="12" t="s">
        <v>2316</v>
      </c>
      <c r="B1238" s="12" t="s">
        <v>2317</v>
      </c>
      <c r="C1238" s="12" t="s">
        <v>17</v>
      </c>
      <c r="D1238" s="12" t="s">
        <v>17</v>
      </c>
      <c r="E1238" s="12" t="s">
        <v>7678</v>
      </c>
      <c r="F1238" s="12" t="s">
        <v>5458</v>
      </c>
      <c r="G1238" s="12" t="s">
        <v>615</v>
      </c>
      <c r="H1238" s="12" t="s">
        <v>6613</v>
      </c>
      <c r="I1238" s="12">
        <v>0</v>
      </c>
      <c r="J1238" s="12" t="s">
        <v>164</v>
      </c>
      <c r="K1238" s="12" t="s">
        <v>6646</v>
      </c>
      <c r="L1238" s="12" t="s">
        <v>2129</v>
      </c>
      <c r="M1238" s="12" t="s">
        <v>2129</v>
      </c>
      <c r="N1238" s="12" t="s">
        <v>5785</v>
      </c>
      <c r="O1238" s="12" t="s">
        <v>2130</v>
      </c>
      <c r="P1238" s="12" t="s">
        <v>166</v>
      </c>
      <c r="Q1238" s="12" t="s">
        <v>6664</v>
      </c>
      <c r="R1238" s="12" t="s">
        <v>17</v>
      </c>
      <c r="S1238" s="12" t="s">
        <v>17</v>
      </c>
      <c r="T1238" s="12" t="s">
        <v>11</v>
      </c>
      <c r="U1238" s="12" t="s">
        <v>17</v>
      </c>
      <c r="V1238" s="12" t="s">
        <v>2318</v>
      </c>
      <c r="W1238" s="12" t="s">
        <v>7415</v>
      </c>
      <c r="X1238" s="12" t="s">
        <v>17</v>
      </c>
      <c r="Y1238" s="12">
        <v>1178883</v>
      </c>
      <c r="Z1238" s="12" t="s">
        <v>6613</v>
      </c>
      <c r="AA1238" s="12" t="s">
        <v>6613</v>
      </c>
      <c r="AB1238" s="12" t="s">
        <v>6613</v>
      </c>
      <c r="AC1238" s="12" t="s">
        <v>6613</v>
      </c>
      <c r="AD1238" s="12" t="s">
        <v>6613</v>
      </c>
      <c r="AE1238" s="12" t="s">
        <v>6613</v>
      </c>
      <c r="AF1238" s="12" t="s">
        <v>45</v>
      </c>
    </row>
    <row r="1239" spans="1:32" x14ac:dyDescent="0.2">
      <c r="A1239" s="12" t="s">
        <v>2337</v>
      </c>
      <c r="B1239" s="12" t="s">
        <v>2338</v>
      </c>
      <c r="C1239" s="12" t="s">
        <v>17</v>
      </c>
      <c r="D1239" s="12" t="s">
        <v>17</v>
      </c>
      <c r="E1239" s="12" t="s">
        <v>7678</v>
      </c>
      <c r="F1239" s="12" t="s">
        <v>5458</v>
      </c>
      <c r="G1239" s="12" t="s">
        <v>615</v>
      </c>
      <c r="H1239" s="12" t="s">
        <v>6613</v>
      </c>
      <c r="I1239" s="12">
        <v>0</v>
      </c>
      <c r="J1239" s="12" t="s">
        <v>164</v>
      </c>
      <c r="K1239" s="12" t="s">
        <v>6646</v>
      </c>
      <c r="L1239" s="12" t="s">
        <v>2129</v>
      </c>
      <c r="M1239" s="12" t="s">
        <v>2129</v>
      </c>
      <c r="N1239" s="12" t="s">
        <v>5785</v>
      </c>
      <c r="O1239" s="12" t="s">
        <v>2130</v>
      </c>
      <c r="P1239" s="12" t="s">
        <v>166</v>
      </c>
      <c r="Q1239" s="12" t="s">
        <v>6664</v>
      </c>
      <c r="R1239" s="12" t="s">
        <v>17</v>
      </c>
      <c r="S1239" s="12" t="s">
        <v>17</v>
      </c>
      <c r="T1239" s="12" t="s">
        <v>11</v>
      </c>
      <c r="U1239" s="12" t="s">
        <v>17</v>
      </c>
      <c r="V1239" s="12" t="s">
        <v>2318</v>
      </c>
      <c r="W1239" s="12" t="s">
        <v>7415</v>
      </c>
      <c r="X1239" s="12" t="s">
        <v>17</v>
      </c>
      <c r="Y1239" s="12">
        <v>1179241</v>
      </c>
      <c r="Z1239" s="12" t="s">
        <v>6613</v>
      </c>
      <c r="AA1239" s="12" t="s">
        <v>6613</v>
      </c>
      <c r="AB1239" s="12" t="s">
        <v>6613</v>
      </c>
      <c r="AC1239" s="12" t="s">
        <v>6613</v>
      </c>
      <c r="AD1239" s="12" t="s">
        <v>6613</v>
      </c>
      <c r="AE1239" s="12" t="s">
        <v>6613</v>
      </c>
      <c r="AF1239" s="12" t="s">
        <v>45</v>
      </c>
    </row>
    <row r="1240" spans="1:32" x14ac:dyDescent="0.2">
      <c r="A1240" s="12" t="s">
        <v>2256</v>
      </c>
      <c r="B1240" s="12" t="s">
        <v>2257</v>
      </c>
      <c r="C1240" s="12" t="s">
        <v>17</v>
      </c>
      <c r="D1240" s="12" t="s">
        <v>17</v>
      </c>
      <c r="E1240" s="12" t="s">
        <v>7678</v>
      </c>
      <c r="F1240" s="12" t="s">
        <v>5458</v>
      </c>
      <c r="G1240" s="12" t="s">
        <v>615</v>
      </c>
      <c r="H1240" s="12" t="s">
        <v>6613</v>
      </c>
      <c r="I1240" s="12">
        <v>0</v>
      </c>
      <c r="J1240" s="12" t="s">
        <v>164</v>
      </c>
      <c r="K1240" s="12" t="s">
        <v>6646</v>
      </c>
      <c r="L1240" s="12" t="s">
        <v>2129</v>
      </c>
      <c r="M1240" s="12" t="s">
        <v>2129</v>
      </c>
      <c r="N1240" s="12" t="s">
        <v>5785</v>
      </c>
      <c r="O1240" s="12" t="s">
        <v>2130</v>
      </c>
      <c r="P1240" s="12" t="s">
        <v>166</v>
      </c>
      <c r="Q1240" s="12" t="s">
        <v>6664</v>
      </c>
      <c r="R1240" s="12" t="s">
        <v>17</v>
      </c>
      <c r="S1240" s="12" t="s">
        <v>17</v>
      </c>
      <c r="T1240" s="12" t="s">
        <v>11</v>
      </c>
      <c r="U1240" s="12" t="s">
        <v>17</v>
      </c>
      <c r="V1240" s="12" t="s">
        <v>2258</v>
      </c>
      <c r="W1240" s="12" t="s">
        <v>7415</v>
      </c>
      <c r="X1240" s="12" t="s">
        <v>17</v>
      </c>
      <c r="Y1240" s="12">
        <v>1180748</v>
      </c>
      <c r="Z1240" s="12" t="s">
        <v>6613</v>
      </c>
      <c r="AA1240" s="12" t="s">
        <v>6613</v>
      </c>
      <c r="AB1240" s="12" t="s">
        <v>6613</v>
      </c>
      <c r="AC1240" s="12" t="s">
        <v>6613</v>
      </c>
      <c r="AD1240" s="12" t="s">
        <v>6613</v>
      </c>
      <c r="AE1240" s="12" t="s">
        <v>6613</v>
      </c>
      <c r="AF1240" s="12" t="s">
        <v>45</v>
      </c>
    </row>
    <row r="1241" spans="1:32" x14ac:dyDescent="0.2">
      <c r="A1241" s="12" t="s">
        <v>2147</v>
      </c>
      <c r="B1241" s="12" t="s">
        <v>2148</v>
      </c>
      <c r="C1241" s="12" t="s">
        <v>17</v>
      </c>
      <c r="D1241" s="12" t="s">
        <v>17</v>
      </c>
      <c r="E1241" s="12" t="s">
        <v>7678</v>
      </c>
      <c r="F1241" s="12" t="s">
        <v>5458</v>
      </c>
      <c r="G1241" s="12" t="s">
        <v>615</v>
      </c>
      <c r="H1241" s="12" t="s">
        <v>6613</v>
      </c>
      <c r="I1241" s="12">
        <v>0</v>
      </c>
      <c r="J1241" s="12" t="s">
        <v>164</v>
      </c>
      <c r="K1241" s="12" t="s">
        <v>6646</v>
      </c>
      <c r="L1241" s="12" t="s">
        <v>2129</v>
      </c>
      <c r="M1241" s="12" t="s">
        <v>2129</v>
      </c>
      <c r="N1241" s="12" t="s">
        <v>5785</v>
      </c>
      <c r="O1241" s="12" t="s">
        <v>2130</v>
      </c>
      <c r="P1241" s="12" t="s">
        <v>166</v>
      </c>
      <c r="Q1241" s="12" t="s">
        <v>6664</v>
      </c>
      <c r="R1241" s="12" t="s">
        <v>17</v>
      </c>
      <c r="S1241" s="12" t="s">
        <v>17</v>
      </c>
      <c r="T1241" s="12" t="s">
        <v>11</v>
      </c>
      <c r="U1241" s="12" t="s">
        <v>17</v>
      </c>
      <c r="V1241" s="12" t="s">
        <v>2149</v>
      </c>
      <c r="W1241" s="12" t="s">
        <v>7415</v>
      </c>
      <c r="X1241" s="12" t="s">
        <v>17</v>
      </c>
      <c r="Y1241" s="12">
        <v>1180751</v>
      </c>
      <c r="Z1241" s="12" t="s">
        <v>6613</v>
      </c>
      <c r="AA1241" s="12" t="s">
        <v>6613</v>
      </c>
      <c r="AB1241" s="12" t="s">
        <v>6613</v>
      </c>
      <c r="AC1241" s="12" t="s">
        <v>6613</v>
      </c>
      <c r="AD1241" s="12" t="s">
        <v>6613</v>
      </c>
      <c r="AE1241" s="12" t="s">
        <v>6613</v>
      </c>
      <c r="AF1241" s="12" t="s">
        <v>45</v>
      </c>
    </row>
    <row r="1242" spans="1:32" x14ac:dyDescent="0.2">
      <c r="A1242" s="12" t="s">
        <v>2187</v>
      </c>
      <c r="B1242" s="12" t="s">
        <v>2188</v>
      </c>
      <c r="C1242" s="12" t="s">
        <v>17</v>
      </c>
      <c r="D1242" s="12" t="s">
        <v>17</v>
      </c>
      <c r="E1242" s="12" t="s">
        <v>7678</v>
      </c>
      <c r="F1242" s="12" t="s">
        <v>5458</v>
      </c>
      <c r="G1242" s="12" t="s">
        <v>615</v>
      </c>
      <c r="H1242" s="12" t="s">
        <v>6613</v>
      </c>
      <c r="I1242" s="12">
        <v>0</v>
      </c>
      <c r="J1242" s="12" t="s">
        <v>164</v>
      </c>
      <c r="K1242" s="12" t="s">
        <v>6646</v>
      </c>
      <c r="L1242" s="12" t="s">
        <v>2129</v>
      </c>
      <c r="M1242" s="12" t="s">
        <v>2129</v>
      </c>
      <c r="N1242" s="12" t="s">
        <v>5785</v>
      </c>
      <c r="O1242" s="12" t="s">
        <v>2130</v>
      </c>
      <c r="P1242" s="12" t="s">
        <v>166</v>
      </c>
      <c r="Q1242" s="12" t="s">
        <v>6664</v>
      </c>
      <c r="R1242" s="12" t="s">
        <v>17</v>
      </c>
      <c r="S1242" s="12" t="s">
        <v>17</v>
      </c>
      <c r="T1242" s="12" t="s">
        <v>11</v>
      </c>
      <c r="U1242" s="12" t="s">
        <v>17</v>
      </c>
      <c r="V1242" s="12" t="s">
        <v>413</v>
      </c>
      <c r="W1242" s="12" t="s">
        <v>7415</v>
      </c>
      <c r="X1242" s="12" t="s">
        <v>17</v>
      </c>
      <c r="Y1242" s="12">
        <v>1180905</v>
      </c>
      <c r="Z1242" s="12" t="s">
        <v>6613</v>
      </c>
      <c r="AA1242" s="12" t="s">
        <v>6613</v>
      </c>
      <c r="AB1242" s="12" t="s">
        <v>6613</v>
      </c>
      <c r="AC1242" s="12" t="s">
        <v>6613</v>
      </c>
      <c r="AD1242" s="12" t="s">
        <v>6613</v>
      </c>
      <c r="AE1242" s="12" t="s">
        <v>6613</v>
      </c>
      <c r="AF1242" s="12" t="s">
        <v>45</v>
      </c>
    </row>
    <row r="1243" spans="1:32" x14ac:dyDescent="0.2">
      <c r="A1243" s="12" t="s">
        <v>2216</v>
      </c>
      <c r="B1243" s="12" t="s">
        <v>2217</v>
      </c>
      <c r="C1243" s="12" t="s">
        <v>17</v>
      </c>
      <c r="D1243" s="12" t="s">
        <v>17</v>
      </c>
      <c r="E1243" s="12" t="s">
        <v>7678</v>
      </c>
      <c r="F1243" s="12" t="s">
        <v>5458</v>
      </c>
      <c r="G1243" s="12" t="s">
        <v>615</v>
      </c>
      <c r="H1243" s="12" t="s">
        <v>6613</v>
      </c>
      <c r="I1243" s="12">
        <v>0</v>
      </c>
      <c r="J1243" s="12" t="s">
        <v>164</v>
      </c>
      <c r="K1243" s="12" t="s">
        <v>6646</v>
      </c>
      <c r="L1243" s="12" t="s">
        <v>2129</v>
      </c>
      <c r="M1243" s="12" t="s">
        <v>2129</v>
      </c>
      <c r="N1243" s="12" t="s">
        <v>5785</v>
      </c>
      <c r="O1243" s="12" t="s">
        <v>2130</v>
      </c>
      <c r="P1243" s="12" t="s">
        <v>166</v>
      </c>
      <c r="Q1243" s="12" t="s">
        <v>6664</v>
      </c>
      <c r="R1243" s="12" t="s">
        <v>17</v>
      </c>
      <c r="S1243" s="12" t="s">
        <v>17</v>
      </c>
      <c r="T1243" s="12" t="s">
        <v>11</v>
      </c>
      <c r="U1243" s="12" t="s">
        <v>17</v>
      </c>
      <c r="V1243" s="12" t="s">
        <v>2149</v>
      </c>
      <c r="W1243" s="12" t="s">
        <v>7415</v>
      </c>
      <c r="X1243" s="12" t="s">
        <v>17</v>
      </c>
      <c r="Y1243" s="12">
        <v>1180967</v>
      </c>
      <c r="Z1243" s="12" t="s">
        <v>6613</v>
      </c>
      <c r="AA1243" s="12" t="s">
        <v>6613</v>
      </c>
      <c r="AB1243" s="12" t="s">
        <v>6613</v>
      </c>
      <c r="AC1243" s="12" t="s">
        <v>6613</v>
      </c>
      <c r="AD1243" s="12" t="s">
        <v>6613</v>
      </c>
      <c r="AE1243" s="12" t="s">
        <v>6613</v>
      </c>
      <c r="AF1243" s="12" t="s">
        <v>45</v>
      </c>
    </row>
    <row r="1244" spans="1:32" x14ac:dyDescent="0.2">
      <c r="A1244" s="12" t="s">
        <v>2133</v>
      </c>
      <c r="B1244" s="12" t="s">
        <v>2134</v>
      </c>
      <c r="C1244" s="12" t="s">
        <v>17</v>
      </c>
      <c r="D1244" s="12" t="s">
        <v>17</v>
      </c>
      <c r="E1244" s="12" t="s">
        <v>7678</v>
      </c>
      <c r="F1244" s="12" t="s">
        <v>5458</v>
      </c>
      <c r="G1244" s="12" t="s">
        <v>615</v>
      </c>
      <c r="H1244" s="12" t="s">
        <v>6613</v>
      </c>
      <c r="I1244" s="12">
        <v>0</v>
      </c>
      <c r="J1244" s="12" t="s">
        <v>164</v>
      </c>
      <c r="K1244" s="12" t="s">
        <v>6646</v>
      </c>
      <c r="L1244" s="12" t="s">
        <v>2129</v>
      </c>
      <c r="M1244" s="12" t="s">
        <v>2129</v>
      </c>
      <c r="N1244" s="12" t="s">
        <v>5785</v>
      </c>
      <c r="O1244" s="12" t="s">
        <v>2130</v>
      </c>
      <c r="P1244" s="12" t="s">
        <v>166</v>
      </c>
      <c r="Q1244" s="12" t="s">
        <v>6664</v>
      </c>
      <c r="R1244" s="12" t="s">
        <v>17</v>
      </c>
      <c r="S1244" s="12" t="s">
        <v>17</v>
      </c>
      <c r="T1244" s="12" t="s">
        <v>11</v>
      </c>
      <c r="U1244" s="12" t="s">
        <v>17</v>
      </c>
      <c r="V1244" s="12" t="s">
        <v>653</v>
      </c>
      <c r="W1244" s="12" t="s">
        <v>7415</v>
      </c>
      <c r="X1244" s="12" t="s">
        <v>17</v>
      </c>
      <c r="Y1244" s="12">
        <v>1180996</v>
      </c>
      <c r="Z1244" s="12" t="s">
        <v>6613</v>
      </c>
      <c r="AA1244" s="12" t="s">
        <v>6613</v>
      </c>
      <c r="AB1244" s="12" t="s">
        <v>6613</v>
      </c>
      <c r="AC1244" s="12" t="s">
        <v>6613</v>
      </c>
      <c r="AD1244" s="12" t="s">
        <v>6613</v>
      </c>
      <c r="AE1244" s="12" t="s">
        <v>6613</v>
      </c>
      <c r="AF1244" s="12" t="s">
        <v>45</v>
      </c>
    </row>
    <row r="1245" spans="1:32" x14ac:dyDescent="0.2">
      <c r="A1245" s="12" t="s">
        <v>2159</v>
      </c>
      <c r="B1245" s="12" t="s">
        <v>2160</v>
      </c>
      <c r="C1245" s="12" t="s">
        <v>17</v>
      </c>
      <c r="D1245" s="12" t="s">
        <v>17</v>
      </c>
      <c r="E1245" s="12" t="s">
        <v>7678</v>
      </c>
      <c r="F1245" s="12" t="s">
        <v>5458</v>
      </c>
      <c r="G1245" s="12" t="s">
        <v>615</v>
      </c>
      <c r="H1245" s="12" t="s">
        <v>6613</v>
      </c>
      <c r="I1245" s="12">
        <v>0</v>
      </c>
      <c r="J1245" s="12" t="s">
        <v>164</v>
      </c>
      <c r="K1245" s="12" t="s">
        <v>6646</v>
      </c>
      <c r="L1245" s="12" t="s">
        <v>2129</v>
      </c>
      <c r="M1245" s="12" t="s">
        <v>2129</v>
      </c>
      <c r="N1245" s="12" t="s">
        <v>5785</v>
      </c>
      <c r="O1245" s="12" t="s">
        <v>2130</v>
      </c>
      <c r="P1245" s="12" t="s">
        <v>166</v>
      </c>
      <c r="Q1245" s="12" t="s">
        <v>6664</v>
      </c>
      <c r="R1245" s="12" t="s">
        <v>17</v>
      </c>
      <c r="S1245" s="12" t="s">
        <v>17</v>
      </c>
      <c r="T1245" s="12" t="s">
        <v>11</v>
      </c>
      <c r="U1245" s="12" t="s">
        <v>17</v>
      </c>
      <c r="V1245" s="12" t="s">
        <v>2149</v>
      </c>
      <c r="W1245" s="12" t="s">
        <v>7415</v>
      </c>
      <c r="X1245" s="12" t="s">
        <v>17</v>
      </c>
      <c r="Y1245" s="12">
        <v>1181001</v>
      </c>
      <c r="Z1245" s="12" t="s">
        <v>6613</v>
      </c>
      <c r="AA1245" s="12" t="s">
        <v>6613</v>
      </c>
      <c r="AB1245" s="12" t="s">
        <v>6613</v>
      </c>
      <c r="AC1245" s="12" t="s">
        <v>6613</v>
      </c>
      <c r="AD1245" s="12" t="s">
        <v>6613</v>
      </c>
      <c r="AE1245" s="12" t="s">
        <v>6613</v>
      </c>
      <c r="AF1245" s="12" t="s">
        <v>45</v>
      </c>
    </row>
    <row r="1246" spans="1:32" x14ac:dyDescent="0.2">
      <c r="A1246" s="12" t="s">
        <v>2135</v>
      </c>
      <c r="B1246" s="12" t="s">
        <v>2136</v>
      </c>
      <c r="C1246" s="12" t="s">
        <v>17</v>
      </c>
      <c r="D1246" s="12" t="s">
        <v>17</v>
      </c>
      <c r="E1246" s="12" t="s">
        <v>7678</v>
      </c>
      <c r="F1246" s="12" t="s">
        <v>5458</v>
      </c>
      <c r="G1246" s="12" t="s">
        <v>615</v>
      </c>
      <c r="H1246" s="12" t="s">
        <v>6613</v>
      </c>
      <c r="I1246" s="12">
        <v>0</v>
      </c>
      <c r="J1246" s="12" t="s">
        <v>164</v>
      </c>
      <c r="K1246" s="12" t="s">
        <v>6646</v>
      </c>
      <c r="L1246" s="12" t="s">
        <v>2129</v>
      </c>
      <c r="M1246" s="12" t="s">
        <v>2129</v>
      </c>
      <c r="N1246" s="12" t="s">
        <v>5785</v>
      </c>
      <c r="O1246" s="12" t="s">
        <v>2130</v>
      </c>
      <c r="P1246" s="12" t="s">
        <v>166</v>
      </c>
      <c r="Q1246" s="12" t="s">
        <v>6664</v>
      </c>
      <c r="R1246" s="12" t="s">
        <v>17</v>
      </c>
      <c r="S1246" s="12" t="s">
        <v>17</v>
      </c>
      <c r="T1246" s="12" t="s">
        <v>11</v>
      </c>
      <c r="U1246" s="12" t="s">
        <v>17</v>
      </c>
      <c r="V1246" s="12" t="s">
        <v>752</v>
      </c>
      <c r="W1246" s="12" t="s">
        <v>7415</v>
      </c>
      <c r="X1246" s="12" t="s">
        <v>17</v>
      </c>
      <c r="Y1246" s="12">
        <v>1181154</v>
      </c>
      <c r="Z1246" s="12" t="s">
        <v>6613</v>
      </c>
      <c r="AA1246" s="12" t="s">
        <v>6613</v>
      </c>
      <c r="AB1246" s="12" t="s">
        <v>6613</v>
      </c>
      <c r="AC1246" s="12" t="s">
        <v>6613</v>
      </c>
      <c r="AD1246" s="12" t="s">
        <v>6613</v>
      </c>
      <c r="AE1246" s="12" t="s">
        <v>6613</v>
      </c>
      <c r="AF1246" s="12" t="s">
        <v>45</v>
      </c>
    </row>
    <row r="1247" spans="1:32" x14ac:dyDescent="0.2">
      <c r="A1247" s="12" t="s">
        <v>2127</v>
      </c>
      <c r="B1247" s="12" t="s">
        <v>2128</v>
      </c>
      <c r="C1247" s="12" t="s">
        <v>17</v>
      </c>
      <c r="D1247" s="12" t="s">
        <v>17</v>
      </c>
      <c r="E1247" s="12" t="s">
        <v>7678</v>
      </c>
      <c r="F1247" s="12" t="s">
        <v>5458</v>
      </c>
      <c r="G1247" s="12" t="s">
        <v>615</v>
      </c>
      <c r="H1247" s="12" t="s">
        <v>6613</v>
      </c>
      <c r="I1247" s="12">
        <v>0</v>
      </c>
      <c r="J1247" s="12" t="s">
        <v>164</v>
      </c>
      <c r="K1247" s="12" t="s">
        <v>6646</v>
      </c>
      <c r="L1247" s="12" t="s">
        <v>2129</v>
      </c>
      <c r="M1247" s="12" t="s">
        <v>2129</v>
      </c>
      <c r="N1247" s="12" t="s">
        <v>5785</v>
      </c>
      <c r="O1247" s="12" t="s">
        <v>2130</v>
      </c>
      <c r="P1247" s="12" t="s">
        <v>166</v>
      </c>
      <c r="Q1247" s="12" t="s">
        <v>6664</v>
      </c>
      <c r="R1247" s="12" t="s">
        <v>17</v>
      </c>
      <c r="S1247" s="12" t="s">
        <v>17</v>
      </c>
      <c r="T1247" s="12" t="s">
        <v>11</v>
      </c>
      <c r="U1247" s="12" t="s">
        <v>17</v>
      </c>
      <c r="V1247" s="12" t="s">
        <v>653</v>
      </c>
      <c r="W1247" s="12" t="s">
        <v>7415</v>
      </c>
      <c r="X1247" s="12" t="s">
        <v>17</v>
      </c>
      <c r="Y1247" s="12">
        <v>1181293</v>
      </c>
      <c r="Z1247" s="12" t="s">
        <v>6613</v>
      </c>
      <c r="AA1247" s="12" t="s">
        <v>6613</v>
      </c>
      <c r="AB1247" s="12" t="s">
        <v>6613</v>
      </c>
      <c r="AC1247" s="12" t="s">
        <v>6613</v>
      </c>
      <c r="AD1247" s="12" t="s">
        <v>6613</v>
      </c>
      <c r="AE1247" s="12" t="s">
        <v>6613</v>
      </c>
      <c r="AF1247" s="12" t="s">
        <v>45</v>
      </c>
    </row>
    <row r="1248" spans="1:32" x14ac:dyDescent="0.2">
      <c r="A1248" s="12" t="s">
        <v>2167</v>
      </c>
      <c r="B1248" s="12" t="s">
        <v>2168</v>
      </c>
      <c r="C1248" s="12" t="s">
        <v>17</v>
      </c>
      <c r="D1248" s="12" t="s">
        <v>17</v>
      </c>
      <c r="E1248" s="12" t="s">
        <v>7678</v>
      </c>
      <c r="F1248" s="12" t="s">
        <v>5458</v>
      </c>
      <c r="G1248" s="12" t="s">
        <v>615</v>
      </c>
      <c r="H1248" s="12" t="s">
        <v>6613</v>
      </c>
      <c r="I1248" s="12">
        <v>0</v>
      </c>
      <c r="J1248" s="12" t="s">
        <v>164</v>
      </c>
      <c r="K1248" s="12" t="s">
        <v>6646</v>
      </c>
      <c r="L1248" s="12" t="s">
        <v>2129</v>
      </c>
      <c r="M1248" s="12" t="s">
        <v>2129</v>
      </c>
      <c r="N1248" s="12" t="s">
        <v>5785</v>
      </c>
      <c r="O1248" s="12" t="s">
        <v>2130</v>
      </c>
      <c r="P1248" s="12" t="s">
        <v>166</v>
      </c>
      <c r="Q1248" s="12" t="s">
        <v>6664</v>
      </c>
      <c r="R1248" s="12" t="s">
        <v>17</v>
      </c>
      <c r="S1248" s="12" t="s">
        <v>17</v>
      </c>
      <c r="T1248" s="12" t="s">
        <v>11</v>
      </c>
      <c r="U1248" s="12" t="s">
        <v>17</v>
      </c>
      <c r="V1248" s="12" t="s">
        <v>653</v>
      </c>
      <c r="W1248" s="12" t="s">
        <v>7415</v>
      </c>
      <c r="X1248" s="12" t="s">
        <v>17</v>
      </c>
      <c r="Y1248" s="12">
        <v>1181347</v>
      </c>
      <c r="Z1248" s="12" t="s">
        <v>6613</v>
      </c>
      <c r="AA1248" s="12" t="s">
        <v>6613</v>
      </c>
      <c r="AB1248" s="12" t="s">
        <v>6613</v>
      </c>
      <c r="AC1248" s="12" t="s">
        <v>6613</v>
      </c>
      <c r="AD1248" s="12" t="s">
        <v>6613</v>
      </c>
      <c r="AE1248" s="12" t="s">
        <v>6613</v>
      </c>
      <c r="AF1248" s="12" t="s">
        <v>45</v>
      </c>
    </row>
    <row r="1249" spans="1:32" x14ac:dyDescent="0.2">
      <c r="A1249" s="12" t="s">
        <v>2163</v>
      </c>
      <c r="B1249" s="12" t="s">
        <v>2164</v>
      </c>
      <c r="C1249" s="12" t="s">
        <v>17</v>
      </c>
      <c r="D1249" s="12" t="s">
        <v>17</v>
      </c>
      <c r="E1249" s="12" t="s">
        <v>7678</v>
      </c>
      <c r="F1249" s="12" t="s">
        <v>5458</v>
      </c>
      <c r="G1249" s="12" t="s">
        <v>615</v>
      </c>
      <c r="H1249" s="12" t="s">
        <v>6613</v>
      </c>
      <c r="I1249" s="12">
        <v>0</v>
      </c>
      <c r="J1249" s="12" t="s">
        <v>164</v>
      </c>
      <c r="K1249" s="12" t="s">
        <v>6646</v>
      </c>
      <c r="L1249" s="12" t="s">
        <v>2129</v>
      </c>
      <c r="M1249" s="12" t="s">
        <v>2129</v>
      </c>
      <c r="N1249" s="12" t="s">
        <v>5785</v>
      </c>
      <c r="O1249" s="12" t="s">
        <v>2130</v>
      </c>
      <c r="P1249" s="12" t="s">
        <v>166</v>
      </c>
      <c r="Q1249" s="12" t="s">
        <v>6664</v>
      </c>
      <c r="R1249" s="12" t="s">
        <v>17</v>
      </c>
      <c r="S1249" s="12" t="s">
        <v>17</v>
      </c>
      <c r="T1249" s="12" t="s">
        <v>11</v>
      </c>
      <c r="U1249" s="12" t="s">
        <v>17</v>
      </c>
      <c r="V1249" s="12" t="s">
        <v>802</v>
      </c>
      <c r="W1249" s="12" t="s">
        <v>7415</v>
      </c>
      <c r="X1249" s="12" t="s">
        <v>17</v>
      </c>
      <c r="Y1249" s="12">
        <v>1181413</v>
      </c>
      <c r="Z1249" s="12" t="s">
        <v>6613</v>
      </c>
      <c r="AA1249" s="12" t="s">
        <v>6613</v>
      </c>
      <c r="AB1249" s="12" t="s">
        <v>6613</v>
      </c>
      <c r="AC1249" s="12" t="s">
        <v>6613</v>
      </c>
      <c r="AD1249" s="12" t="s">
        <v>6613</v>
      </c>
      <c r="AE1249" s="12" t="s">
        <v>6613</v>
      </c>
      <c r="AF1249" s="12" t="s">
        <v>45</v>
      </c>
    </row>
    <row r="1250" spans="1:32" x14ac:dyDescent="0.2">
      <c r="A1250" s="12" t="s">
        <v>2191</v>
      </c>
      <c r="B1250" s="12" t="s">
        <v>2192</v>
      </c>
      <c r="C1250" s="12" t="s">
        <v>17</v>
      </c>
      <c r="D1250" s="12" t="s">
        <v>17</v>
      </c>
      <c r="E1250" s="12" t="s">
        <v>7678</v>
      </c>
      <c r="F1250" s="12" t="s">
        <v>5458</v>
      </c>
      <c r="G1250" s="12" t="s">
        <v>615</v>
      </c>
      <c r="H1250" s="12" t="s">
        <v>6613</v>
      </c>
      <c r="I1250" s="12">
        <v>0</v>
      </c>
      <c r="J1250" s="12" t="s">
        <v>164</v>
      </c>
      <c r="K1250" s="12" t="s">
        <v>6646</v>
      </c>
      <c r="L1250" s="12" t="s">
        <v>2129</v>
      </c>
      <c r="M1250" s="12" t="s">
        <v>2129</v>
      </c>
      <c r="N1250" s="12" t="s">
        <v>5785</v>
      </c>
      <c r="O1250" s="12" t="s">
        <v>2130</v>
      </c>
      <c r="P1250" s="12" t="s">
        <v>166</v>
      </c>
      <c r="Q1250" s="12" t="s">
        <v>6664</v>
      </c>
      <c r="R1250" s="12" t="s">
        <v>17</v>
      </c>
      <c r="S1250" s="12" t="s">
        <v>17</v>
      </c>
      <c r="T1250" s="12" t="s">
        <v>11</v>
      </c>
      <c r="U1250" s="12" t="s">
        <v>17</v>
      </c>
      <c r="V1250" s="12" t="s">
        <v>413</v>
      </c>
      <c r="W1250" s="12" t="s">
        <v>7415</v>
      </c>
      <c r="X1250" s="12" t="s">
        <v>17</v>
      </c>
      <c r="Y1250" s="12">
        <v>1181603</v>
      </c>
      <c r="Z1250" s="12" t="s">
        <v>6613</v>
      </c>
      <c r="AA1250" s="12" t="s">
        <v>6613</v>
      </c>
      <c r="AB1250" s="12" t="s">
        <v>6613</v>
      </c>
      <c r="AC1250" s="12" t="s">
        <v>6613</v>
      </c>
      <c r="AD1250" s="12" t="s">
        <v>6613</v>
      </c>
      <c r="AE1250" s="12" t="s">
        <v>6613</v>
      </c>
      <c r="AF1250" s="12" t="s">
        <v>45</v>
      </c>
    </row>
    <row r="1251" spans="1:32" x14ac:dyDescent="0.2">
      <c r="A1251" s="12" t="s">
        <v>2206</v>
      </c>
      <c r="B1251" s="12" t="s">
        <v>2207</v>
      </c>
      <c r="C1251" s="12" t="s">
        <v>17</v>
      </c>
      <c r="D1251" s="12" t="s">
        <v>17</v>
      </c>
      <c r="E1251" s="12" t="s">
        <v>7678</v>
      </c>
      <c r="F1251" s="12" t="s">
        <v>5458</v>
      </c>
      <c r="G1251" s="12" t="s">
        <v>615</v>
      </c>
      <c r="H1251" s="12" t="s">
        <v>6613</v>
      </c>
      <c r="I1251" s="12">
        <v>0</v>
      </c>
      <c r="J1251" s="12" t="s">
        <v>164</v>
      </c>
      <c r="K1251" s="12" t="s">
        <v>6646</v>
      </c>
      <c r="L1251" s="12" t="s">
        <v>2129</v>
      </c>
      <c r="M1251" s="12" t="s">
        <v>2129</v>
      </c>
      <c r="N1251" s="12" t="s">
        <v>5785</v>
      </c>
      <c r="O1251" s="12" t="s">
        <v>2130</v>
      </c>
      <c r="P1251" s="12" t="s">
        <v>166</v>
      </c>
      <c r="Q1251" s="12" t="s">
        <v>6664</v>
      </c>
      <c r="R1251" s="12" t="s">
        <v>17</v>
      </c>
      <c r="S1251" s="12" t="s">
        <v>17</v>
      </c>
      <c r="T1251" s="12" t="s">
        <v>11</v>
      </c>
      <c r="U1251" s="12" t="s">
        <v>17</v>
      </c>
      <c r="V1251" s="12" t="s">
        <v>2208</v>
      </c>
      <c r="W1251" s="12" t="s">
        <v>7415</v>
      </c>
      <c r="X1251" s="12" t="s">
        <v>17</v>
      </c>
      <c r="Y1251" s="12">
        <v>1181976</v>
      </c>
      <c r="Z1251" s="12" t="s">
        <v>6613</v>
      </c>
      <c r="AA1251" s="12" t="s">
        <v>6613</v>
      </c>
      <c r="AB1251" s="12" t="s">
        <v>6613</v>
      </c>
      <c r="AC1251" s="12" t="s">
        <v>6613</v>
      </c>
      <c r="AD1251" s="12" t="s">
        <v>6613</v>
      </c>
      <c r="AE1251" s="12" t="s">
        <v>6613</v>
      </c>
      <c r="AF1251" s="12" t="s">
        <v>45</v>
      </c>
    </row>
    <row r="1252" spans="1:32" x14ac:dyDescent="0.2">
      <c r="A1252" s="12" t="s">
        <v>2145</v>
      </c>
      <c r="B1252" s="12" t="s">
        <v>2146</v>
      </c>
      <c r="C1252" s="12" t="s">
        <v>17</v>
      </c>
      <c r="D1252" s="12" t="s">
        <v>17</v>
      </c>
      <c r="E1252" s="12" t="s">
        <v>7678</v>
      </c>
      <c r="F1252" s="12" t="s">
        <v>5458</v>
      </c>
      <c r="G1252" s="12" t="s">
        <v>615</v>
      </c>
      <c r="H1252" s="12" t="s">
        <v>6613</v>
      </c>
      <c r="I1252" s="12">
        <v>0</v>
      </c>
      <c r="J1252" s="12" t="s">
        <v>164</v>
      </c>
      <c r="K1252" s="12" t="s">
        <v>6646</v>
      </c>
      <c r="L1252" s="12" t="s">
        <v>2129</v>
      </c>
      <c r="M1252" s="12" t="s">
        <v>2129</v>
      </c>
      <c r="N1252" s="12" t="s">
        <v>5785</v>
      </c>
      <c r="O1252" s="12" t="s">
        <v>2130</v>
      </c>
      <c r="P1252" s="12" t="s">
        <v>166</v>
      </c>
      <c r="Q1252" s="12" t="s">
        <v>6664</v>
      </c>
      <c r="R1252" s="12" t="s">
        <v>17</v>
      </c>
      <c r="S1252" s="12" t="s">
        <v>17</v>
      </c>
      <c r="T1252" s="12" t="s">
        <v>11</v>
      </c>
      <c r="U1252" s="12" t="s">
        <v>17</v>
      </c>
      <c r="V1252" s="12" t="s">
        <v>1710</v>
      </c>
      <c r="W1252" s="12" t="s">
        <v>7415</v>
      </c>
      <c r="X1252" s="12" t="s">
        <v>17</v>
      </c>
      <c r="Y1252" s="12">
        <v>1182369</v>
      </c>
      <c r="Z1252" s="12" t="s">
        <v>6613</v>
      </c>
      <c r="AA1252" s="12" t="s">
        <v>6613</v>
      </c>
      <c r="AB1252" s="12" t="s">
        <v>6613</v>
      </c>
      <c r="AC1252" s="12" t="s">
        <v>6613</v>
      </c>
      <c r="AD1252" s="12" t="s">
        <v>6613</v>
      </c>
      <c r="AE1252" s="12" t="s">
        <v>6613</v>
      </c>
      <c r="AF1252" s="12" t="s">
        <v>45</v>
      </c>
    </row>
    <row r="1253" spans="1:32" x14ac:dyDescent="0.2">
      <c r="A1253" s="12" t="s">
        <v>2353</v>
      </c>
      <c r="B1253" s="12" t="s">
        <v>2354</v>
      </c>
      <c r="C1253" s="12" t="s">
        <v>17</v>
      </c>
      <c r="D1253" s="12" t="s">
        <v>17</v>
      </c>
      <c r="E1253" s="12" t="s">
        <v>7678</v>
      </c>
      <c r="F1253" s="12" t="s">
        <v>5458</v>
      </c>
      <c r="G1253" s="12" t="s">
        <v>830</v>
      </c>
      <c r="H1253" s="12" t="s">
        <v>6613</v>
      </c>
      <c r="I1253" s="12">
        <v>0</v>
      </c>
      <c r="J1253" s="12" t="s">
        <v>164</v>
      </c>
      <c r="K1253" s="12" t="s">
        <v>6646</v>
      </c>
      <c r="L1253" s="12" t="s">
        <v>2350</v>
      </c>
      <c r="M1253" s="12" t="s">
        <v>2350</v>
      </c>
      <c r="N1253" s="12" t="s">
        <v>5785</v>
      </c>
      <c r="O1253" s="12" t="s">
        <v>2351</v>
      </c>
      <c r="P1253" s="12" t="s">
        <v>166</v>
      </c>
      <c r="Q1253" s="12" t="s">
        <v>6664</v>
      </c>
      <c r="R1253" s="12" t="s">
        <v>17</v>
      </c>
      <c r="S1253" s="12" t="s">
        <v>17</v>
      </c>
      <c r="T1253" s="12" t="s">
        <v>11</v>
      </c>
      <c r="U1253" s="12" t="s">
        <v>17</v>
      </c>
      <c r="V1253" s="12" t="s">
        <v>841</v>
      </c>
      <c r="W1253" s="12" t="s">
        <v>7415</v>
      </c>
      <c r="X1253" s="12">
        <v>14.13</v>
      </c>
      <c r="Y1253" s="12">
        <v>1140888</v>
      </c>
      <c r="Z1253" s="12" t="s">
        <v>6613</v>
      </c>
      <c r="AA1253" s="12" t="s">
        <v>6613</v>
      </c>
      <c r="AB1253" s="12" t="s">
        <v>6613</v>
      </c>
      <c r="AC1253" s="12" t="s">
        <v>6613</v>
      </c>
      <c r="AD1253" s="12" t="s">
        <v>6613</v>
      </c>
      <c r="AE1253" s="12" t="s">
        <v>6613</v>
      </c>
      <c r="AF1253" s="12" t="s">
        <v>45</v>
      </c>
    </row>
    <row r="1254" spans="1:32" x14ac:dyDescent="0.2">
      <c r="A1254" s="12" t="s">
        <v>2357</v>
      </c>
      <c r="B1254" s="12" t="s">
        <v>2358</v>
      </c>
      <c r="C1254" s="12" t="s">
        <v>17</v>
      </c>
      <c r="D1254" s="12" t="s">
        <v>17</v>
      </c>
      <c r="E1254" s="12" t="s">
        <v>7678</v>
      </c>
      <c r="F1254" s="12" t="s">
        <v>5458</v>
      </c>
      <c r="G1254" s="12" t="s">
        <v>830</v>
      </c>
      <c r="H1254" s="12" t="s">
        <v>6613</v>
      </c>
      <c r="I1254" s="12">
        <v>0</v>
      </c>
      <c r="J1254" s="12" t="s">
        <v>164</v>
      </c>
      <c r="K1254" s="12" t="s">
        <v>6646</v>
      </c>
      <c r="L1254" s="12" t="s">
        <v>2350</v>
      </c>
      <c r="M1254" s="12" t="s">
        <v>2350</v>
      </c>
      <c r="N1254" s="12" t="s">
        <v>5785</v>
      </c>
      <c r="O1254" s="12" t="s">
        <v>2351</v>
      </c>
      <c r="P1254" s="12" t="s">
        <v>166</v>
      </c>
      <c r="Q1254" s="12" t="s">
        <v>6664</v>
      </c>
      <c r="R1254" s="12" t="s">
        <v>17</v>
      </c>
      <c r="S1254" s="12" t="s">
        <v>17</v>
      </c>
      <c r="T1254" s="12" t="s">
        <v>11</v>
      </c>
      <c r="U1254" s="12" t="s">
        <v>17</v>
      </c>
      <c r="V1254" s="12" t="s">
        <v>2352</v>
      </c>
      <c r="W1254" s="12" t="s">
        <v>7415</v>
      </c>
      <c r="X1254" s="12">
        <v>17.47</v>
      </c>
      <c r="Y1254" s="12">
        <v>1147537</v>
      </c>
      <c r="Z1254" s="12" t="s">
        <v>6613</v>
      </c>
      <c r="AA1254" s="12" t="s">
        <v>6613</v>
      </c>
      <c r="AB1254" s="12" t="s">
        <v>6613</v>
      </c>
      <c r="AC1254" s="12" t="s">
        <v>6613</v>
      </c>
      <c r="AD1254" s="12" t="s">
        <v>6613</v>
      </c>
      <c r="AE1254" s="12" t="s">
        <v>6613</v>
      </c>
      <c r="AF1254" s="12" t="s">
        <v>45</v>
      </c>
    </row>
    <row r="1255" spans="1:32" x14ac:dyDescent="0.2">
      <c r="A1255" s="12" t="s">
        <v>2348</v>
      </c>
      <c r="B1255" s="12" t="s">
        <v>2349</v>
      </c>
      <c r="C1255" s="12" t="s">
        <v>17</v>
      </c>
      <c r="D1255" s="12" t="s">
        <v>17</v>
      </c>
      <c r="E1255" s="12" t="s">
        <v>7678</v>
      </c>
      <c r="F1255" s="12" t="s">
        <v>5458</v>
      </c>
      <c r="G1255" s="12" t="s">
        <v>830</v>
      </c>
      <c r="H1255" s="12" t="s">
        <v>6613</v>
      </c>
      <c r="I1255" s="12">
        <v>0</v>
      </c>
      <c r="J1255" s="12" t="s">
        <v>164</v>
      </c>
      <c r="K1255" s="12" t="s">
        <v>6646</v>
      </c>
      <c r="L1255" s="12" t="s">
        <v>2350</v>
      </c>
      <c r="M1255" s="12" t="s">
        <v>2350</v>
      </c>
      <c r="N1255" s="12" t="s">
        <v>5785</v>
      </c>
      <c r="O1255" s="12" t="s">
        <v>2351</v>
      </c>
      <c r="P1255" s="12" t="s">
        <v>166</v>
      </c>
      <c r="Q1255" s="12" t="s">
        <v>6664</v>
      </c>
      <c r="R1255" s="12" t="s">
        <v>17</v>
      </c>
      <c r="S1255" s="12" t="s">
        <v>17</v>
      </c>
      <c r="T1255" s="12" t="s">
        <v>11</v>
      </c>
      <c r="U1255" s="12" t="s">
        <v>17</v>
      </c>
      <c r="V1255" s="12" t="s">
        <v>2352</v>
      </c>
      <c r="W1255" s="12" t="s">
        <v>7415</v>
      </c>
      <c r="X1255" s="12">
        <v>12.64</v>
      </c>
      <c r="Y1255" s="12">
        <v>1168195</v>
      </c>
      <c r="Z1255" s="12" t="s">
        <v>6613</v>
      </c>
      <c r="AA1255" s="12" t="s">
        <v>6613</v>
      </c>
      <c r="AB1255" s="12" t="s">
        <v>6613</v>
      </c>
      <c r="AC1255" s="12" t="s">
        <v>6613</v>
      </c>
      <c r="AD1255" s="12" t="s">
        <v>6613</v>
      </c>
      <c r="AE1255" s="12" t="s">
        <v>6613</v>
      </c>
      <c r="AF1255" s="12" t="s">
        <v>45</v>
      </c>
    </row>
    <row r="1256" spans="1:32" x14ac:dyDescent="0.2">
      <c r="A1256" s="12" t="s">
        <v>2355</v>
      </c>
      <c r="B1256" s="12" t="s">
        <v>2356</v>
      </c>
      <c r="C1256" s="12" t="s">
        <v>17</v>
      </c>
      <c r="D1256" s="12" t="s">
        <v>17</v>
      </c>
      <c r="E1256" s="12" t="s">
        <v>7678</v>
      </c>
      <c r="F1256" s="12" t="s">
        <v>5458</v>
      </c>
      <c r="G1256" s="12" t="s">
        <v>830</v>
      </c>
      <c r="H1256" s="12" t="s">
        <v>6613</v>
      </c>
      <c r="I1256" s="12">
        <v>0</v>
      </c>
      <c r="J1256" s="12" t="s">
        <v>164</v>
      </c>
      <c r="K1256" s="12" t="s">
        <v>6646</v>
      </c>
      <c r="L1256" s="12" t="s">
        <v>2350</v>
      </c>
      <c r="M1256" s="12" t="s">
        <v>2350</v>
      </c>
      <c r="N1256" s="12" t="s">
        <v>5785</v>
      </c>
      <c r="O1256" s="12" t="s">
        <v>2351</v>
      </c>
      <c r="P1256" s="12" t="s">
        <v>166</v>
      </c>
      <c r="Q1256" s="12" t="s">
        <v>6664</v>
      </c>
      <c r="R1256" s="12" t="s">
        <v>17</v>
      </c>
      <c r="S1256" s="12" t="s">
        <v>17</v>
      </c>
      <c r="T1256" s="12" t="s">
        <v>11</v>
      </c>
      <c r="U1256" s="12" t="s">
        <v>17</v>
      </c>
      <c r="V1256" s="12" t="s">
        <v>2352</v>
      </c>
      <c r="W1256" s="12" t="s">
        <v>7415</v>
      </c>
      <c r="X1256" s="12">
        <v>14.12</v>
      </c>
      <c r="Y1256" s="12">
        <v>1171066</v>
      </c>
      <c r="Z1256" s="12" t="s">
        <v>6613</v>
      </c>
      <c r="AA1256" s="12" t="s">
        <v>6613</v>
      </c>
      <c r="AB1256" s="12" t="s">
        <v>6613</v>
      </c>
      <c r="AC1256" s="12" t="s">
        <v>6613</v>
      </c>
      <c r="AD1256" s="12" t="s">
        <v>6613</v>
      </c>
      <c r="AE1256" s="12" t="s">
        <v>6613</v>
      </c>
      <c r="AF1256" s="12" t="s">
        <v>45</v>
      </c>
    </row>
    <row r="1257" spans="1:32" x14ac:dyDescent="0.2">
      <c r="A1257" s="12" t="s">
        <v>2362</v>
      </c>
      <c r="B1257" s="12" t="s">
        <v>2363</v>
      </c>
      <c r="C1257" s="12" t="s">
        <v>2363</v>
      </c>
      <c r="D1257" s="12" t="s">
        <v>163</v>
      </c>
      <c r="E1257" s="12" t="s">
        <v>7676</v>
      </c>
      <c r="F1257" s="12" t="s">
        <v>5458</v>
      </c>
      <c r="G1257" s="12" t="s">
        <v>159</v>
      </c>
      <c r="H1257" s="12" t="s">
        <v>6614</v>
      </c>
      <c r="I1257" s="12">
        <v>0</v>
      </c>
      <c r="J1257" s="12" t="s">
        <v>164</v>
      </c>
      <c r="K1257" s="12" t="s">
        <v>6646</v>
      </c>
      <c r="L1257" s="12" t="s">
        <v>2361</v>
      </c>
      <c r="M1257" s="12" t="s">
        <v>2361</v>
      </c>
      <c r="N1257" s="12" t="s">
        <v>5785</v>
      </c>
      <c r="O1257" s="12" t="s">
        <v>17</v>
      </c>
      <c r="P1257" s="12" t="s">
        <v>173</v>
      </c>
      <c r="Q1257" s="12" t="s">
        <v>6664</v>
      </c>
      <c r="R1257" s="12">
        <v>35.993660140000003</v>
      </c>
      <c r="S1257" s="12">
        <v>71.5</v>
      </c>
      <c r="T1257" s="12" t="s">
        <v>11</v>
      </c>
      <c r="U1257" s="12" t="s">
        <v>17</v>
      </c>
      <c r="V1257" s="12" t="s">
        <v>2263</v>
      </c>
      <c r="W1257" s="12" t="s">
        <v>7415</v>
      </c>
      <c r="X1257" s="12">
        <v>37.119999999999997</v>
      </c>
      <c r="Y1257" s="12">
        <v>1119450</v>
      </c>
      <c r="Z1257" s="12" t="s">
        <v>6613</v>
      </c>
      <c r="AA1257" s="12" t="s">
        <v>6613</v>
      </c>
      <c r="AB1257" s="12" t="s">
        <v>6613</v>
      </c>
      <c r="AC1257" s="12" t="s">
        <v>6613</v>
      </c>
      <c r="AD1257" s="12" t="s">
        <v>6613</v>
      </c>
      <c r="AE1257" s="12" t="s">
        <v>6613</v>
      </c>
      <c r="AF1257" s="12" t="s">
        <v>45</v>
      </c>
    </row>
    <row r="1258" spans="1:32" x14ac:dyDescent="0.2">
      <c r="A1258" s="12" t="s">
        <v>2359</v>
      </c>
      <c r="B1258" s="12" t="s">
        <v>2360</v>
      </c>
      <c r="C1258" s="12" t="s">
        <v>2360</v>
      </c>
      <c r="D1258" s="12" t="s">
        <v>163</v>
      </c>
      <c r="E1258" s="12" t="s">
        <v>7676</v>
      </c>
      <c r="F1258" s="12" t="s">
        <v>5458</v>
      </c>
      <c r="G1258" s="12" t="s">
        <v>159</v>
      </c>
      <c r="H1258" s="12" t="s">
        <v>6614</v>
      </c>
      <c r="I1258" s="12">
        <v>0</v>
      </c>
      <c r="J1258" s="12" t="s">
        <v>164</v>
      </c>
      <c r="K1258" s="12" t="s">
        <v>6646</v>
      </c>
      <c r="L1258" s="12" t="s">
        <v>2361</v>
      </c>
      <c r="M1258" s="12" t="s">
        <v>2361</v>
      </c>
      <c r="N1258" s="12" t="s">
        <v>5785</v>
      </c>
      <c r="O1258" s="12" t="s">
        <v>17</v>
      </c>
      <c r="P1258" s="12" t="s">
        <v>173</v>
      </c>
      <c r="Q1258" s="12" t="s">
        <v>6664</v>
      </c>
      <c r="R1258" s="12">
        <v>35.993660140000003</v>
      </c>
      <c r="S1258" s="12">
        <v>71.5</v>
      </c>
      <c r="T1258" s="12" t="s">
        <v>25</v>
      </c>
      <c r="U1258" s="12" t="s">
        <v>17</v>
      </c>
      <c r="V1258" s="12" t="s">
        <v>6639</v>
      </c>
      <c r="W1258" s="12" t="s">
        <v>6639</v>
      </c>
      <c r="X1258" s="12">
        <v>34.65</v>
      </c>
      <c r="Y1258" s="12">
        <v>1120171</v>
      </c>
      <c r="Z1258" s="12" t="s">
        <v>6613</v>
      </c>
      <c r="AA1258" s="12" t="s">
        <v>6613</v>
      </c>
      <c r="AB1258" s="12" t="s">
        <v>6613</v>
      </c>
      <c r="AC1258" s="12" t="s">
        <v>6613</v>
      </c>
      <c r="AD1258" s="12" t="s">
        <v>6613</v>
      </c>
      <c r="AE1258" s="12" t="s">
        <v>6613</v>
      </c>
      <c r="AF1258" s="12" t="s">
        <v>45</v>
      </c>
    </row>
    <row r="1259" spans="1:32" x14ac:dyDescent="0.2">
      <c r="A1259" s="12" t="s">
        <v>2378</v>
      </c>
      <c r="B1259" s="12" t="s">
        <v>2379</v>
      </c>
      <c r="C1259" s="12" t="s">
        <v>2379</v>
      </c>
      <c r="D1259" s="12" t="s">
        <v>163</v>
      </c>
      <c r="E1259" s="12" t="s">
        <v>7676</v>
      </c>
      <c r="F1259" s="12" t="s">
        <v>5458</v>
      </c>
      <c r="G1259" s="12" t="s">
        <v>159</v>
      </c>
      <c r="H1259" s="12" t="s">
        <v>6613</v>
      </c>
      <c r="I1259" s="12">
        <v>0</v>
      </c>
      <c r="J1259" s="12" t="s">
        <v>164</v>
      </c>
      <c r="K1259" s="12" t="s">
        <v>6646</v>
      </c>
      <c r="L1259" s="12" t="s">
        <v>2377</v>
      </c>
      <c r="M1259" s="12" t="s">
        <v>2377</v>
      </c>
      <c r="N1259" s="12" t="s">
        <v>5785</v>
      </c>
      <c r="O1259" s="12" t="s">
        <v>1168</v>
      </c>
      <c r="P1259" s="12" t="s">
        <v>166</v>
      </c>
      <c r="Q1259" s="12" t="s">
        <v>6664</v>
      </c>
      <c r="R1259" s="12">
        <v>17.72</v>
      </c>
      <c r="S1259" s="12">
        <v>83.32</v>
      </c>
      <c r="T1259" s="12" t="s">
        <v>11</v>
      </c>
      <c r="U1259" s="12" t="s">
        <v>17</v>
      </c>
      <c r="V1259" s="12" t="s">
        <v>413</v>
      </c>
      <c r="W1259" s="12" t="s">
        <v>7415</v>
      </c>
      <c r="X1259" s="12">
        <v>52.32</v>
      </c>
      <c r="Y1259" s="12">
        <v>1119737</v>
      </c>
      <c r="Z1259" s="12" t="s">
        <v>6613</v>
      </c>
      <c r="AA1259" s="12" t="s">
        <v>6613</v>
      </c>
      <c r="AB1259" s="12" t="s">
        <v>6613</v>
      </c>
      <c r="AC1259" s="12" t="s">
        <v>6613</v>
      </c>
      <c r="AD1259" s="12" t="s">
        <v>6613</v>
      </c>
      <c r="AE1259" s="12" t="s">
        <v>6613</v>
      </c>
      <c r="AF1259" s="12" t="s">
        <v>45</v>
      </c>
    </row>
    <row r="1260" spans="1:32" x14ac:dyDescent="0.2">
      <c r="A1260" s="12" t="s">
        <v>2375</v>
      </c>
      <c r="B1260" s="12" t="s">
        <v>2376</v>
      </c>
      <c r="C1260" s="12" t="s">
        <v>2376</v>
      </c>
      <c r="D1260" s="12" t="s">
        <v>163</v>
      </c>
      <c r="E1260" s="12" t="s">
        <v>7676</v>
      </c>
      <c r="F1260" s="12" t="s">
        <v>5458</v>
      </c>
      <c r="G1260" s="12" t="s">
        <v>159</v>
      </c>
      <c r="H1260" s="12" t="s">
        <v>6613</v>
      </c>
      <c r="I1260" s="12">
        <v>0</v>
      </c>
      <c r="J1260" s="12" t="s">
        <v>164</v>
      </c>
      <c r="K1260" s="12" t="s">
        <v>6646</v>
      </c>
      <c r="L1260" s="12" t="s">
        <v>2377</v>
      </c>
      <c r="M1260" s="12" t="s">
        <v>2377</v>
      </c>
      <c r="N1260" s="12" t="s">
        <v>5785</v>
      </c>
      <c r="O1260" s="12" t="s">
        <v>1168</v>
      </c>
      <c r="P1260" s="12" t="s">
        <v>166</v>
      </c>
      <c r="Q1260" s="12" t="s">
        <v>6664</v>
      </c>
      <c r="R1260" s="12">
        <v>17.72</v>
      </c>
      <c r="S1260" s="12">
        <v>83.32</v>
      </c>
      <c r="T1260" s="12" t="s">
        <v>11</v>
      </c>
      <c r="U1260" s="12" t="s">
        <v>17</v>
      </c>
      <c r="V1260" s="12" t="s">
        <v>666</v>
      </c>
      <c r="W1260" s="12" t="s">
        <v>7415</v>
      </c>
      <c r="X1260" s="12">
        <v>51.14</v>
      </c>
      <c r="Y1260" s="12">
        <v>1119827</v>
      </c>
      <c r="Z1260" s="12" t="s">
        <v>6613</v>
      </c>
      <c r="AA1260" s="12" t="s">
        <v>6613</v>
      </c>
      <c r="AB1260" s="12" t="s">
        <v>6613</v>
      </c>
      <c r="AC1260" s="12" t="s">
        <v>6613</v>
      </c>
      <c r="AD1260" s="12" t="s">
        <v>6613</v>
      </c>
      <c r="AE1260" s="12" t="s">
        <v>6613</v>
      </c>
      <c r="AF1260" s="12" t="s">
        <v>45</v>
      </c>
    </row>
    <row r="1261" spans="1:32" x14ac:dyDescent="0.2">
      <c r="A1261" s="12" t="s">
        <v>2404</v>
      </c>
      <c r="B1261" s="12" t="s">
        <v>2405</v>
      </c>
      <c r="C1261" s="12" t="s">
        <v>2405</v>
      </c>
      <c r="D1261" s="12" t="s">
        <v>163</v>
      </c>
      <c r="E1261" s="12" t="s">
        <v>7676</v>
      </c>
      <c r="F1261" s="12" t="s">
        <v>5458</v>
      </c>
      <c r="G1261" s="12" t="s">
        <v>159</v>
      </c>
      <c r="H1261" s="12" t="s">
        <v>6613</v>
      </c>
      <c r="I1261" s="12">
        <v>0</v>
      </c>
      <c r="J1261" s="12" t="s">
        <v>164</v>
      </c>
      <c r="K1261" s="12" t="s">
        <v>6646</v>
      </c>
      <c r="L1261" s="12" t="s">
        <v>2406</v>
      </c>
      <c r="M1261" s="12" t="s">
        <v>2406</v>
      </c>
      <c r="N1261" s="12" t="s">
        <v>5785</v>
      </c>
      <c r="O1261" s="12" t="s">
        <v>2407</v>
      </c>
      <c r="P1261" s="12" t="s">
        <v>166</v>
      </c>
      <c r="Q1261" s="12" t="s">
        <v>6664</v>
      </c>
      <c r="R1261" s="12">
        <v>34.433333330000004</v>
      </c>
      <c r="S1261" s="12">
        <v>75.75</v>
      </c>
      <c r="T1261" s="12" t="s">
        <v>11</v>
      </c>
      <c r="U1261" s="12" t="s">
        <v>17</v>
      </c>
      <c r="V1261" s="12" t="s">
        <v>2408</v>
      </c>
      <c r="W1261" s="12" t="s">
        <v>7415</v>
      </c>
      <c r="X1261" s="12">
        <v>36.58</v>
      </c>
      <c r="Y1261" s="12">
        <v>1117742</v>
      </c>
      <c r="Z1261" s="12" t="s">
        <v>6613</v>
      </c>
      <c r="AA1261" s="12" t="s">
        <v>6613</v>
      </c>
      <c r="AB1261" s="12" t="s">
        <v>6613</v>
      </c>
      <c r="AC1261" s="12" t="s">
        <v>6613</v>
      </c>
      <c r="AD1261" s="12" t="s">
        <v>6613</v>
      </c>
      <c r="AE1261" s="12" t="s">
        <v>6613</v>
      </c>
      <c r="AF1261" s="12" t="s">
        <v>45</v>
      </c>
    </row>
    <row r="1262" spans="1:32" x14ac:dyDescent="0.2">
      <c r="A1262" s="12" t="s">
        <v>2568</v>
      </c>
      <c r="B1262" s="12" t="s">
        <v>2569</v>
      </c>
      <c r="C1262" s="12" t="s">
        <v>2569</v>
      </c>
      <c r="D1262" s="12" t="s">
        <v>163</v>
      </c>
      <c r="E1262" s="12" t="s">
        <v>7676</v>
      </c>
      <c r="F1262" s="12" t="s">
        <v>5458</v>
      </c>
      <c r="G1262" s="12" t="s">
        <v>159</v>
      </c>
      <c r="H1262" s="12" t="s">
        <v>6613</v>
      </c>
      <c r="I1262" s="12">
        <v>0</v>
      </c>
      <c r="J1262" s="12" t="s">
        <v>164</v>
      </c>
      <c r="K1262" s="12" t="s">
        <v>6646</v>
      </c>
      <c r="L1262" s="12" t="s">
        <v>2570</v>
      </c>
      <c r="M1262" s="12" t="s">
        <v>2570</v>
      </c>
      <c r="N1262" s="12" t="s">
        <v>5785</v>
      </c>
      <c r="O1262" s="12" t="s">
        <v>2571</v>
      </c>
      <c r="P1262" s="12" t="s">
        <v>166</v>
      </c>
      <c r="Q1262" s="12" t="s">
        <v>6664</v>
      </c>
      <c r="R1262" s="12">
        <v>22.5</v>
      </c>
      <c r="S1262" s="12">
        <v>83.95</v>
      </c>
      <c r="T1262" s="12" t="s">
        <v>11</v>
      </c>
      <c r="U1262" s="12" t="s">
        <v>17</v>
      </c>
      <c r="V1262" s="12" t="s">
        <v>69</v>
      </c>
      <c r="W1262" s="12" t="s">
        <v>7415</v>
      </c>
      <c r="X1262" s="12">
        <v>43.47</v>
      </c>
      <c r="Y1262" s="12">
        <v>1117870</v>
      </c>
      <c r="Z1262" s="12" t="s">
        <v>6613</v>
      </c>
      <c r="AA1262" s="12" t="s">
        <v>6613</v>
      </c>
      <c r="AB1262" s="12" t="s">
        <v>6613</v>
      </c>
      <c r="AC1262" s="12" t="s">
        <v>6613</v>
      </c>
      <c r="AD1262" s="12" t="s">
        <v>6613</v>
      </c>
      <c r="AE1262" s="12" t="s">
        <v>6613</v>
      </c>
      <c r="AF1262" s="12" t="s">
        <v>45</v>
      </c>
    </row>
    <row r="1263" spans="1:32" x14ac:dyDescent="0.2">
      <c r="A1263" s="12" t="s">
        <v>2572</v>
      </c>
      <c r="B1263" s="12" t="s">
        <v>2573</v>
      </c>
      <c r="C1263" s="12" t="s">
        <v>2573</v>
      </c>
      <c r="D1263" s="12" t="s">
        <v>163</v>
      </c>
      <c r="E1263" s="12" t="s">
        <v>7676</v>
      </c>
      <c r="F1263" s="12" t="s">
        <v>5458</v>
      </c>
      <c r="G1263" s="12" t="s">
        <v>159</v>
      </c>
      <c r="H1263" s="12" t="s">
        <v>6614</v>
      </c>
      <c r="I1263" s="12">
        <v>0</v>
      </c>
      <c r="J1263" s="12" t="s">
        <v>164</v>
      </c>
      <c r="K1263" s="12" t="s">
        <v>6646</v>
      </c>
      <c r="L1263" s="12" t="s">
        <v>2574</v>
      </c>
      <c r="M1263" s="12" t="s">
        <v>2574</v>
      </c>
      <c r="N1263" s="12" t="s">
        <v>5785</v>
      </c>
      <c r="O1263" s="12" t="s">
        <v>17</v>
      </c>
      <c r="P1263" s="12" t="s">
        <v>166</v>
      </c>
      <c r="Q1263" s="12" t="s">
        <v>6664</v>
      </c>
      <c r="R1263" s="12">
        <v>18.329999999999998</v>
      </c>
      <c r="S1263" s="12">
        <v>82.87</v>
      </c>
      <c r="T1263" s="12" t="s">
        <v>11</v>
      </c>
      <c r="U1263" s="12" t="s">
        <v>17</v>
      </c>
      <c r="V1263" s="12" t="s">
        <v>761</v>
      </c>
      <c r="W1263" s="12" t="s">
        <v>7415</v>
      </c>
      <c r="X1263" s="12">
        <v>49.29</v>
      </c>
      <c r="Y1263" s="12">
        <v>1119918</v>
      </c>
      <c r="Z1263" s="12" t="s">
        <v>6613</v>
      </c>
      <c r="AA1263" s="12" t="s">
        <v>6613</v>
      </c>
      <c r="AB1263" s="12" t="s">
        <v>6613</v>
      </c>
      <c r="AC1263" s="12" t="s">
        <v>6613</v>
      </c>
      <c r="AD1263" s="12" t="s">
        <v>6613</v>
      </c>
      <c r="AE1263" s="12" t="s">
        <v>6613</v>
      </c>
      <c r="AF1263" s="12" t="s">
        <v>45</v>
      </c>
    </row>
    <row r="1264" spans="1:32" x14ac:dyDescent="0.2">
      <c r="A1264" s="12" t="s">
        <v>2596</v>
      </c>
      <c r="B1264" s="12" t="s">
        <v>2597</v>
      </c>
      <c r="C1264" s="12" t="s">
        <v>2597</v>
      </c>
      <c r="D1264" s="12" t="s">
        <v>163</v>
      </c>
      <c r="E1264" s="12" t="s">
        <v>7676</v>
      </c>
      <c r="F1264" s="12" t="s">
        <v>5458</v>
      </c>
      <c r="G1264" s="12" t="s">
        <v>159</v>
      </c>
      <c r="H1264" s="12" t="s">
        <v>6613</v>
      </c>
      <c r="I1264" s="12">
        <v>0</v>
      </c>
      <c r="J1264" s="12" t="s">
        <v>164</v>
      </c>
      <c r="K1264" s="12" t="s">
        <v>6646</v>
      </c>
      <c r="L1264" s="12" t="s">
        <v>2598</v>
      </c>
      <c r="M1264" s="12" t="s">
        <v>2598</v>
      </c>
      <c r="N1264" s="12" t="s">
        <v>5785</v>
      </c>
      <c r="O1264" s="12" t="s">
        <v>2599</v>
      </c>
      <c r="P1264" s="12" t="s">
        <v>166</v>
      </c>
      <c r="Q1264" s="12" t="s">
        <v>6664</v>
      </c>
      <c r="R1264" s="12">
        <v>10.78333333</v>
      </c>
      <c r="S1264" s="12">
        <v>76.650000000000006</v>
      </c>
      <c r="T1264" s="12" t="s">
        <v>11</v>
      </c>
      <c r="U1264" s="12" t="s">
        <v>17</v>
      </c>
      <c r="V1264" s="12" t="s">
        <v>666</v>
      </c>
      <c r="W1264" s="12" t="s">
        <v>7415</v>
      </c>
      <c r="X1264" s="12">
        <v>40.39</v>
      </c>
      <c r="Y1264" s="12">
        <v>1112022</v>
      </c>
      <c r="Z1264" s="12" t="s">
        <v>6613</v>
      </c>
      <c r="AA1264" s="12" t="s">
        <v>6613</v>
      </c>
      <c r="AB1264" s="12" t="s">
        <v>6613</v>
      </c>
      <c r="AC1264" s="12" t="s">
        <v>6613</v>
      </c>
      <c r="AD1264" s="12" t="s">
        <v>6613</v>
      </c>
      <c r="AE1264" s="12" t="s">
        <v>6613</v>
      </c>
      <c r="AF1264" s="12" t="s">
        <v>45</v>
      </c>
    </row>
    <row r="1265" spans="1:32" x14ac:dyDescent="0.2">
      <c r="A1265" s="12" t="s">
        <v>2600</v>
      </c>
      <c r="B1265" s="12" t="s">
        <v>2601</v>
      </c>
      <c r="C1265" s="12" t="s">
        <v>2601</v>
      </c>
      <c r="D1265" s="12" t="s">
        <v>163</v>
      </c>
      <c r="E1265" s="12" t="s">
        <v>7676</v>
      </c>
      <c r="F1265" s="12" t="s">
        <v>5458</v>
      </c>
      <c r="G1265" s="12" t="s">
        <v>159</v>
      </c>
      <c r="H1265" s="12" t="s">
        <v>6613</v>
      </c>
      <c r="I1265" s="12">
        <v>0</v>
      </c>
      <c r="J1265" s="12" t="s">
        <v>164</v>
      </c>
      <c r="K1265" s="12" t="s">
        <v>6646</v>
      </c>
      <c r="L1265" s="12" t="s">
        <v>2602</v>
      </c>
      <c r="M1265" s="12" t="s">
        <v>2602</v>
      </c>
      <c r="N1265" s="12" t="s">
        <v>5785</v>
      </c>
      <c r="O1265" s="12" t="s">
        <v>2603</v>
      </c>
      <c r="P1265" s="12" t="s">
        <v>2604</v>
      </c>
      <c r="Q1265" s="12" t="s">
        <v>6664</v>
      </c>
      <c r="R1265" s="12">
        <v>28.072452869999999</v>
      </c>
      <c r="S1265" s="12">
        <v>82.487780000000001</v>
      </c>
      <c r="T1265" s="12" t="s">
        <v>11</v>
      </c>
      <c r="U1265" s="12" t="s">
        <v>17</v>
      </c>
      <c r="V1265" s="12" t="s">
        <v>2318</v>
      </c>
      <c r="W1265" s="12" t="s">
        <v>7415</v>
      </c>
      <c r="X1265" s="12">
        <v>37.200000000000003</v>
      </c>
      <c r="Y1265" s="12">
        <v>1117950</v>
      </c>
      <c r="Z1265" s="12" t="s">
        <v>6613</v>
      </c>
      <c r="AA1265" s="12" t="s">
        <v>6613</v>
      </c>
      <c r="AB1265" s="12" t="s">
        <v>6613</v>
      </c>
      <c r="AC1265" s="12" t="s">
        <v>6613</v>
      </c>
      <c r="AD1265" s="12" t="s">
        <v>6613</v>
      </c>
      <c r="AE1265" s="12" t="s">
        <v>6613</v>
      </c>
      <c r="AF1265" s="12" t="s">
        <v>45</v>
      </c>
    </row>
    <row r="1266" spans="1:32" x14ac:dyDescent="0.2">
      <c r="A1266" s="12" t="s">
        <v>2605</v>
      </c>
      <c r="B1266" s="12" t="s">
        <v>2606</v>
      </c>
      <c r="C1266" s="12" t="s">
        <v>2606</v>
      </c>
      <c r="D1266" s="12" t="s">
        <v>163</v>
      </c>
      <c r="E1266" s="12" t="s">
        <v>7676</v>
      </c>
      <c r="F1266" s="12" t="s">
        <v>5458</v>
      </c>
      <c r="G1266" s="12" t="s">
        <v>159</v>
      </c>
      <c r="H1266" s="12" t="s">
        <v>6613</v>
      </c>
      <c r="I1266" s="12">
        <v>0</v>
      </c>
      <c r="J1266" s="12" t="s">
        <v>164</v>
      </c>
      <c r="K1266" s="12" t="s">
        <v>6646</v>
      </c>
      <c r="L1266" s="12" t="s">
        <v>2602</v>
      </c>
      <c r="M1266" s="12" t="s">
        <v>2602</v>
      </c>
      <c r="N1266" s="12" t="s">
        <v>24</v>
      </c>
      <c r="O1266" s="12" t="s">
        <v>2607</v>
      </c>
      <c r="P1266" s="12" t="s">
        <v>2604</v>
      </c>
      <c r="Q1266" s="12" t="s">
        <v>6664</v>
      </c>
      <c r="R1266" s="12">
        <v>28.072452869999999</v>
      </c>
      <c r="S1266" s="12">
        <v>84.259485999999995</v>
      </c>
      <c r="T1266" s="12" t="s">
        <v>11</v>
      </c>
      <c r="U1266" s="12" t="s">
        <v>17</v>
      </c>
      <c r="V1266" s="12" t="s">
        <v>2318</v>
      </c>
      <c r="W1266" s="12" t="s">
        <v>7415</v>
      </c>
      <c r="X1266" s="12">
        <v>39.770000000000003</v>
      </c>
      <c r="Y1266" s="12">
        <v>1118251</v>
      </c>
      <c r="Z1266" s="12" t="s">
        <v>6613</v>
      </c>
      <c r="AA1266" s="12" t="s">
        <v>6613</v>
      </c>
      <c r="AB1266" s="12" t="s">
        <v>6613</v>
      </c>
      <c r="AC1266" s="12" t="s">
        <v>6613</v>
      </c>
      <c r="AD1266" s="12" t="s">
        <v>6613</v>
      </c>
      <c r="AE1266" s="12" t="s">
        <v>6613</v>
      </c>
      <c r="AF1266" s="12" t="s">
        <v>45</v>
      </c>
    </row>
    <row r="1267" spans="1:32" x14ac:dyDescent="0.2">
      <c r="A1267" s="12" t="s">
        <v>2990</v>
      </c>
      <c r="B1267" s="12" t="s">
        <v>2991</v>
      </c>
      <c r="C1267" s="12" t="s">
        <v>2991</v>
      </c>
      <c r="D1267" s="12" t="s">
        <v>163</v>
      </c>
      <c r="E1267" s="12" t="s">
        <v>7676</v>
      </c>
      <c r="F1267" s="12" t="s">
        <v>5458</v>
      </c>
      <c r="G1267" s="12" t="s">
        <v>159</v>
      </c>
      <c r="H1267" s="12" t="s">
        <v>6613</v>
      </c>
      <c r="I1267" s="12">
        <v>0</v>
      </c>
      <c r="J1267" s="12" t="s">
        <v>164</v>
      </c>
      <c r="K1267" s="12" t="s">
        <v>6646</v>
      </c>
      <c r="L1267" s="12" t="s">
        <v>2989</v>
      </c>
      <c r="M1267" s="12" t="s">
        <v>2989</v>
      </c>
      <c r="N1267" s="12" t="s">
        <v>5785</v>
      </c>
      <c r="O1267" s="12" t="s">
        <v>1168</v>
      </c>
      <c r="P1267" s="12" t="s">
        <v>166</v>
      </c>
      <c r="Q1267" s="12" t="s">
        <v>6664</v>
      </c>
      <c r="R1267" s="12">
        <v>17.72</v>
      </c>
      <c r="S1267" s="12">
        <v>83.32</v>
      </c>
      <c r="T1267" s="12" t="s">
        <v>11</v>
      </c>
      <c r="U1267" s="12" t="s">
        <v>17</v>
      </c>
      <c r="V1267" s="12" t="s">
        <v>619</v>
      </c>
      <c r="W1267" s="12" t="s">
        <v>7415</v>
      </c>
      <c r="X1267" s="12">
        <v>48.95</v>
      </c>
      <c r="Y1267" s="12">
        <v>1119764</v>
      </c>
      <c r="Z1267" s="12" t="s">
        <v>6613</v>
      </c>
      <c r="AA1267" s="12" t="s">
        <v>6613</v>
      </c>
      <c r="AB1267" s="12" t="s">
        <v>6613</v>
      </c>
      <c r="AC1267" s="12" t="s">
        <v>6613</v>
      </c>
      <c r="AD1267" s="12" t="s">
        <v>6613</v>
      </c>
      <c r="AE1267" s="12" t="s">
        <v>6613</v>
      </c>
      <c r="AF1267" s="12" t="s">
        <v>45</v>
      </c>
    </row>
    <row r="1268" spans="1:32" x14ac:dyDescent="0.2">
      <c r="A1268" s="12" t="s">
        <v>2987</v>
      </c>
      <c r="B1268" s="12" t="s">
        <v>2988</v>
      </c>
      <c r="C1268" s="12" t="s">
        <v>2988</v>
      </c>
      <c r="D1268" s="12" t="s">
        <v>163</v>
      </c>
      <c r="E1268" s="12" t="s">
        <v>7676</v>
      </c>
      <c r="F1268" s="12" t="s">
        <v>5458</v>
      </c>
      <c r="G1268" s="12" t="s">
        <v>159</v>
      </c>
      <c r="H1268" s="12" t="s">
        <v>6613</v>
      </c>
      <c r="I1268" s="12">
        <v>0</v>
      </c>
      <c r="J1268" s="12" t="s">
        <v>164</v>
      </c>
      <c r="K1268" s="12" t="s">
        <v>6646</v>
      </c>
      <c r="L1268" s="12" t="s">
        <v>2989</v>
      </c>
      <c r="M1268" s="12" t="s">
        <v>2989</v>
      </c>
      <c r="N1268" s="12" t="s">
        <v>5785</v>
      </c>
      <c r="O1268" s="12" t="s">
        <v>1168</v>
      </c>
      <c r="P1268" s="12" t="s">
        <v>166</v>
      </c>
      <c r="Q1268" s="12" t="s">
        <v>6664</v>
      </c>
      <c r="R1268" s="12">
        <v>17.72</v>
      </c>
      <c r="S1268" s="12">
        <v>83.32</v>
      </c>
      <c r="T1268" s="12" t="s">
        <v>11</v>
      </c>
      <c r="U1268" s="12" t="s">
        <v>17</v>
      </c>
      <c r="V1268" s="12" t="s">
        <v>1710</v>
      </c>
      <c r="W1268" s="12" t="s">
        <v>7415</v>
      </c>
      <c r="X1268" s="12">
        <v>47.02</v>
      </c>
      <c r="Y1268" s="12">
        <v>1119970</v>
      </c>
      <c r="Z1268" s="12" t="s">
        <v>6613</v>
      </c>
      <c r="AA1268" s="12" t="s">
        <v>6613</v>
      </c>
      <c r="AB1268" s="12" t="s">
        <v>6613</v>
      </c>
      <c r="AC1268" s="12" t="s">
        <v>6613</v>
      </c>
      <c r="AD1268" s="12" t="s">
        <v>6613</v>
      </c>
      <c r="AE1268" s="12" t="s">
        <v>6613</v>
      </c>
      <c r="AF1268" s="12" t="s">
        <v>45</v>
      </c>
    </row>
    <row r="1269" spans="1:32" x14ac:dyDescent="0.2">
      <c r="A1269" s="12" t="s">
        <v>2995</v>
      </c>
      <c r="B1269" s="12" t="s">
        <v>2996</v>
      </c>
      <c r="C1269" s="12" t="s">
        <v>2996</v>
      </c>
      <c r="D1269" s="12" t="s">
        <v>163</v>
      </c>
      <c r="E1269" s="12" t="s">
        <v>7676</v>
      </c>
      <c r="F1269" s="12" t="s">
        <v>5458</v>
      </c>
      <c r="G1269" s="12" t="s">
        <v>159</v>
      </c>
      <c r="H1269" s="12" t="s">
        <v>6613</v>
      </c>
      <c r="I1269" s="12">
        <v>0</v>
      </c>
      <c r="J1269" s="12" t="s">
        <v>164</v>
      </c>
      <c r="K1269" s="12" t="s">
        <v>6646</v>
      </c>
      <c r="L1269" s="12" t="s">
        <v>2994</v>
      </c>
      <c r="M1269" s="12" t="s">
        <v>2994</v>
      </c>
      <c r="N1269" s="12" t="s">
        <v>5785</v>
      </c>
      <c r="O1269" s="12" t="s">
        <v>17</v>
      </c>
      <c r="P1269" s="12" t="s">
        <v>173</v>
      </c>
      <c r="Q1269" s="12" t="s">
        <v>6664</v>
      </c>
      <c r="R1269" s="12">
        <v>26</v>
      </c>
      <c r="S1269" s="12">
        <v>64</v>
      </c>
      <c r="T1269" s="12" t="s">
        <v>11</v>
      </c>
      <c r="U1269" s="12" t="s">
        <v>17</v>
      </c>
      <c r="V1269" s="12" t="s">
        <v>500</v>
      </c>
      <c r="W1269" s="12" t="s">
        <v>7415</v>
      </c>
      <c r="X1269" s="12">
        <v>42.97</v>
      </c>
      <c r="Y1269" s="12">
        <v>1119172</v>
      </c>
      <c r="Z1269" s="12" t="s">
        <v>6613</v>
      </c>
      <c r="AA1269" s="12" t="s">
        <v>6613</v>
      </c>
      <c r="AB1269" s="12" t="s">
        <v>6613</v>
      </c>
      <c r="AC1269" s="12" t="s">
        <v>6613</v>
      </c>
      <c r="AD1269" s="12" t="s">
        <v>6613</v>
      </c>
      <c r="AE1269" s="12" t="s">
        <v>6613</v>
      </c>
      <c r="AF1269" s="12" t="s">
        <v>45</v>
      </c>
    </row>
    <row r="1270" spans="1:32" x14ac:dyDescent="0.2">
      <c r="A1270" s="12" t="s">
        <v>2992</v>
      </c>
      <c r="B1270" s="12" t="s">
        <v>2993</v>
      </c>
      <c r="C1270" s="12" t="s">
        <v>2993</v>
      </c>
      <c r="D1270" s="12" t="s">
        <v>163</v>
      </c>
      <c r="E1270" s="12" t="s">
        <v>7676</v>
      </c>
      <c r="F1270" s="12" t="s">
        <v>5458</v>
      </c>
      <c r="G1270" s="12" t="s">
        <v>159</v>
      </c>
      <c r="H1270" s="12" t="s">
        <v>6613</v>
      </c>
      <c r="I1270" s="12">
        <v>0</v>
      </c>
      <c r="J1270" s="12" t="s">
        <v>164</v>
      </c>
      <c r="K1270" s="12" t="s">
        <v>6646</v>
      </c>
      <c r="L1270" s="12" t="s">
        <v>2994</v>
      </c>
      <c r="M1270" s="12" t="s">
        <v>2994</v>
      </c>
      <c r="N1270" s="12" t="s">
        <v>5785</v>
      </c>
      <c r="O1270" s="12" t="s">
        <v>17</v>
      </c>
      <c r="P1270" s="12" t="s">
        <v>173</v>
      </c>
      <c r="Q1270" s="12" t="s">
        <v>6664</v>
      </c>
      <c r="R1270" s="12">
        <v>26</v>
      </c>
      <c r="S1270" s="12">
        <v>64</v>
      </c>
      <c r="T1270" s="12" t="s">
        <v>25</v>
      </c>
      <c r="U1270" s="12" t="s">
        <v>17</v>
      </c>
      <c r="V1270" s="12" t="s">
        <v>6639</v>
      </c>
      <c r="W1270" s="12" t="s">
        <v>6639</v>
      </c>
      <c r="X1270" s="12">
        <v>41</v>
      </c>
      <c r="Y1270" s="12">
        <v>1119217</v>
      </c>
      <c r="Z1270" s="12" t="s">
        <v>6613</v>
      </c>
      <c r="AA1270" s="12" t="s">
        <v>6613</v>
      </c>
      <c r="AB1270" s="12" t="s">
        <v>6613</v>
      </c>
      <c r="AC1270" s="12" t="s">
        <v>6613</v>
      </c>
      <c r="AD1270" s="12" t="s">
        <v>6613</v>
      </c>
      <c r="AE1270" s="12" t="s">
        <v>6613</v>
      </c>
      <c r="AF1270" s="12" t="s">
        <v>45</v>
      </c>
    </row>
    <row r="1271" spans="1:32" x14ac:dyDescent="0.2">
      <c r="A1271" s="12" t="s">
        <v>2997</v>
      </c>
      <c r="B1271" s="12" t="s">
        <v>2998</v>
      </c>
      <c r="C1271" s="12" t="s">
        <v>2998</v>
      </c>
      <c r="D1271" s="12" t="s">
        <v>163</v>
      </c>
      <c r="E1271" s="12" t="s">
        <v>7676</v>
      </c>
      <c r="F1271" s="12" t="s">
        <v>5458</v>
      </c>
      <c r="G1271" s="12" t="s">
        <v>159</v>
      </c>
      <c r="H1271" s="12" t="s">
        <v>6613</v>
      </c>
      <c r="I1271" s="12">
        <v>0</v>
      </c>
      <c r="J1271" s="12" t="s">
        <v>164</v>
      </c>
      <c r="K1271" s="12" t="s">
        <v>6646</v>
      </c>
      <c r="L1271" s="12" t="s">
        <v>2999</v>
      </c>
      <c r="M1271" s="12" t="s">
        <v>2999</v>
      </c>
      <c r="N1271" s="12" t="s">
        <v>5785</v>
      </c>
      <c r="O1271" s="12" t="s">
        <v>3000</v>
      </c>
      <c r="P1271" s="12" t="s">
        <v>166</v>
      </c>
      <c r="Q1271" s="12" t="s">
        <v>6664</v>
      </c>
      <c r="R1271" s="12">
        <v>17.68333333</v>
      </c>
      <c r="S1271" s="12">
        <v>83.216666669999995</v>
      </c>
      <c r="T1271" s="12" t="s">
        <v>25</v>
      </c>
      <c r="U1271" s="12" t="s">
        <v>17</v>
      </c>
      <c r="V1271" s="12" t="s">
        <v>6639</v>
      </c>
      <c r="W1271" s="12" t="s">
        <v>6639</v>
      </c>
      <c r="X1271" s="12">
        <v>37.68</v>
      </c>
      <c r="Y1271" s="12">
        <v>1103166</v>
      </c>
      <c r="Z1271" s="12" t="s">
        <v>6613</v>
      </c>
      <c r="AA1271" s="12" t="s">
        <v>6613</v>
      </c>
      <c r="AB1271" s="12" t="s">
        <v>6613</v>
      </c>
      <c r="AC1271" s="12" t="s">
        <v>6613</v>
      </c>
      <c r="AD1271" s="12" t="s">
        <v>6613</v>
      </c>
      <c r="AE1271" s="12" t="s">
        <v>6613</v>
      </c>
      <c r="AF1271" s="12" t="s">
        <v>45</v>
      </c>
    </row>
    <row r="1272" spans="1:32" x14ac:dyDescent="0.2">
      <c r="A1272" s="12" t="s">
        <v>3001</v>
      </c>
      <c r="B1272" s="12" t="s">
        <v>3002</v>
      </c>
      <c r="C1272" s="12" t="s">
        <v>3002</v>
      </c>
      <c r="D1272" s="12" t="s">
        <v>163</v>
      </c>
      <c r="E1272" s="12" t="s">
        <v>7676</v>
      </c>
      <c r="F1272" s="12" t="s">
        <v>5458</v>
      </c>
      <c r="G1272" s="12" t="s">
        <v>159</v>
      </c>
      <c r="H1272" s="12" t="s">
        <v>6613</v>
      </c>
      <c r="I1272" s="12">
        <v>0</v>
      </c>
      <c r="J1272" s="12" t="s">
        <v>164</v>
      </c>
      <c r="K1272" s="12" t="s">
        <v>6646</v>
      </c>
      <c r="L1272" s="12" t="s">
        <v>2999</v>
      </c>
      <c r="M1272" s="12" t="s">
        <v>2999</v>
      </c>
      <c r="N1272" s="12" t="s">
        <v>5785</v>
      </c>
      <c r="O1272" s="12" t="s">
        <v>1168</v>
      </c>
      <c r="P1272" s="12" t="s">
        <v>166</v>
      </c>
      <c r="Q1272" s="12" t="s">
        <v>6664</v>
      </c>
      <c r="R1272" s="12">
        <v>17.72</v>
      </c>
      <c r="S1272" s="12">
        <v>83.32</v>
      </c>
      <c r="T1272" s="12" t="s">
        <v>11</v>
      </c>
      <c r="U1272" s="12" t="s">
        <v>17</v>
      </c>
      <c r="V1272" s="12" t="s">
        <v>653</v>
      </c>
      <c r="W1272" s="12" t="s">
        <v>7415</v>
      </c>
      <c r="X1272" s="12">
        <v>48.87</v>
      </c>
      <c r="Y1272" s="12">
        <v>1119843</v>
      </c>
      <c r="Z1272" s="12" t="s">
        <v>6613</v>
      </c>
      <c r="AA1272" s="12" t="s">
        <v>6613</v>
      </c>
      <c r="AB1272" s="12" t="s">
        <v>6613</v>
      </c>
      <c r="AC1272" s="12" t="s">
        <v>6613</v>
      </c>
      <c r="AD1272" s="12" t="s">
        <v>6613</v>
      </c>
      <c r="AE1272" s="12" t="s">
        <v>6613</v>
      </c>
      <c r="AF1272" s="12" t="s">
        <v>45</v>
      </c>
    </row>
    <row r="1273" spans="1:32" x14ac:dyDescent="0.2">
      <c r="A1273" s="12" t="s">
        <v>3003</v>
      </c>
      <c r="B1273" s="12" t="s">
        <v>3004</v>
      </c>
      <c r="C1273" s="12" t="s">
        <v>3004</v>
      </c>
      <c r="D1273" s="12" t="s">
        <v>163</v>
      </c>
      <c r="E1273" s="12" t="s">
        <v>7676</v>
      </c>
      <c r="F1273" s="12" t="s">
        <v>5458</v>
      </c>
      <c r="G1273" s="12" t="s">
        <v>159</v>
      </c>
      <c r="H1273" s="12" t="s">
        <v>6613</v>
      </c>
      <c r="I1273" s="12">
        <v>0</v>
      </c>
      <c r="J1273" s="12" t="s">
        <v>164</v>
      </c>
      <c r="K1273" s="12" t="s">
        <v>6646</v>
      </c>
      <c r="L1273" s="12" t="s">
        <v>2999</v>
      </c>
      <c r="M1273" s="12" t="s">
        <v>2999</v>
      </c>
      <c r="N1273" s="12" t="s">
        <v>5785</v>
      </c>
      <c r="O1273" s="12" t="s">
        <v>1168</v>
      </c>
      <c r="P1273" s="12" t="s">
        <v>166</v>
      </c>
      <c r="Q1273" s="12" t="s">
        <v>6664</v>
      </c>
      <c r="R1273" s="12">
        <v>17.72</v>
      </c>
      <c r="S1273" s="12">
        <v>83.32</v>
      </c>
      <c r="T1273" s="12" t="s">
        <v>11</v>
      </c>
      <c r="U1273" s="12" t="s">
        <v>17</v>
      </c>
      <c r="V1273" s="12" t="s">
        <v>3005</v>
      </c>
      <c r="W1273" s="12" t="s">
        <v>7415</v>
      </c>
      <c r="X1273" s="12">
        <v>47.5</v>
      </c>
      <c r="Y1273" s="12">
        <v>1119999</v>
      </c>
      <c r="Z1273" s="12" t="s">
        <v>6613</v>
      </c>
      <c r="AA1273" s="12" t="s">
        <v>6613</v>
      </c>
      <c r="AB1273" s="12" t="s">
        <v>6613</v>
      </c>
      <c r="AC1273" s="12" t="s">
        <v>6613</v>
      </c>
      <c r="AD1273" s="12" t="s">
        <v>6613</v>
      </c>
      <c r="AE1273" s="12" t="s">
        <v>6613</v>
      </c>
      <c r="AF1273" s="12" t="s">
        <v>45</v>
      </c>
    </row>
    <row r="1274" spans="1:32" x14ac:dyDescent="0.2">
      <c r="A1274" s="12" t="s">
        <v>3138</v>
      </c>
      <c r="B1274" s="12" t="s">
        <v>3139</v>
      </c>
      <c r="C1274" s="12" t="s">
        <v>17</v>
      </c>
      <c r="D1274" s="12" t="s">
        <v>17</v>
      </c>
      <c r="E1274" s="12" t="s">
        <v>7678</v>
      </c>
      <c r="F1274" s="12" t="s">
        <v>5458</v>
      </c>
      <c r="G1274" s="12" t="s">
        <v>830</v>
      </c>
      <c r="H1274" s="12" t="s">
        <v>6613</v>
      </c>
      <c r="I1274" s="12">
        <v>0</v>
      </c>
      <c r="J1274" s="12" t="s">
        <v>164</v>
      </c>
      <c r="K1274" s="12" t="s">
        <v>6646</v>
      </c>
      <c r="L1274" s="12" t="s">
        <v>3130</v>
      </c>
      <c r="M1274" s="12" t="s">
        <v>3130</v>
      </c>
      <c r="N1274" s="12" t="s">
        <v>5785</v>
      </c>
      <c r="O1274" s="12" t="s">
        <v>3131</v>
      </c>
      <c r="P1274" s="12" t="s">
        <v>166</v>
      </c>
      <c r="Q1274" s="12" t="s">
        <v>6664</v>
      </c>
      <c r="R1274" s="12" t="s">
        <v>17</v>
      </c>
      <c r="S1274" s="12" t="s">
        <v>17</v>
      </c>
      <c r="T1274" s="12" t="s">
        <v>11</v>
      </c>
      <c r="U1274" s="12" t="s">
        <v>17</v>
      </c>
      <c r="V1274" s="12" t="s">
        <v>841</v>
      </c>
      <c r="W1274" s="12" t="s">
        <v>7415</v>
      </c>
      <c r="X1274" s="12">
        <v>14.21</v>
      </c>
      <c r="Y1274" s="12">
        <v>1138293</v>
      </c>
      <c r="Z1274" s="12" t="s">
        <v>6613</v>
      </c>
      <c r="AA1274" s="12" t="s">
        <v>6613</v>
      </c>
      <c r="AB1274" s="12" t="s">
        <v>6613</v>
      </c>
      <c r="AC1274" s="12" t="s">
        <v>6613</v>
      </c>
      <c r="AD1274" s="12" t="s">
        <v>6613</v>
      </c>
      <c r="AE1274" s="12" t="s">
        <v>6613</v>
      </c>
      <c r="AF1274" s="12" t="s">
        <v>45</v>
      </c>
    </row>
    <row r="1275" spans="1:32" x14ac:dyDescent="0.2">
      <c r="A1275" s="12" t="s">
        <v>3132</v>
      </c>
      <c r="B1275" s="12" t="s">
        <v>3133</v>
      </c>
      <c r="C1275" s="12" t="s">
        <v>17</v>
      </c>
      <c r="D1275" s="12" t="s">
        <v>17</v>
      </c>
      <c r="E1275" s="12" t="s">
        <v>7678</v>
      </c>
      <c r="F1275" s="12" t="s">
        <v>5458</v>
      </c>
      <c r="G1275" s="12" t="s">
        <v>830</v>
      </c>
      <c r="H1275" s="12" t="s">
        <v>6613</v>
      </c>
      <c r="I1275" s="12">
        <v>0</v>
      </c>
      <c r="J1275" s="12" t="s">
        <v>164</v>
      </c>
      <c r="K1275" s="12" t="s">
        <v>6646</v>
      </c>
      <c r="L1275" s="12" t="s">
        <v>3130</v>
      </c>
      <c r="M1275" s="12" t="s">
        <v>3130</v>
      </c>
      <c r="N1275" s="12" t="s">
        <v>5785</v>
      </c>
      <c r="O1275" s="12" t="s">
        <v>3131</v>
      </c>
      <c r="P1275" s="12" t="s">
        <v>166</v>
      </c>
      <c r="Q1275" s="12" t="s">
        <v>6664</v>
      </c>
      <c r="R1275" s="12" t="s">
        <v>17</v>
      </c>
      <c r="S1275" s="12" t="s">
        <v>17</v>
      </c>
      <c r="T1275" s="12" t="s">
        <v>11</v>
      </c>
      <c r="U1275" s="12" t="s">
        <v>17</v>
      </c>
      <c r="V1275" s="12" t="s">
        <v>841</v>
      </c>
      <c r="W1275" s="12" t="s">
        <v>7415</v>
      </c>
      <c r="X1275" s="12">
        <v>12.63</v>
      </c>
      <c r="Y1275" s="12">
        <v>1138780</v>
      </c>
      <c r="Z1275" s="12" t="s">
        <v>6613</v>
      </c>
      <c r="AA1275" s="12" t="s">
        <v>6613</v>
      </c>
      <c r="AB1275" s="12" t="s">
        <v>6613</v>
      </c>
      <c r="AC1275" s="12" t="s">
        <v>6613</v>
      </c>
      <c r="AD1275" s="12" t="s">
        <v>6613</v>
      </c>
      <c r="AE1275" s="12" t="s">
        <v>6613</v>
      </c>
      <c r="AF1275" s="12" t="s">
        <v>45</v>
      </c>
    </row>
    <row r="1276" spans="1:32" x14ac:dyDescent="0.2">
      <c r="A1276" s="12" t="s">
        <v>3134</v>
      </c>
      <c r="B1276" s="12" t="s">
        <v>3135</v>
      </c>
      <c r="C1276" s="12" t="s">
        <v>17</v>
      </c>
      <c r="D1276" s="12" t="s">
        <v>17</v>
      </c>
      <c r="E1276" s="12" t="s">
        <v>7678</v>
      </c>
      <c r="F1276" s="12" t="s">
        <v>5458</v>
      </c>
      <c r="G1276" s="12" t="s">
        <v>830</v>
      </c>
      <c r="H1276" s="12" t="s">
        <v>6613</v>
      </c>
      <c r="I1276" s="12">
        <v>0</v>
      </c>
      <c r="J1276" s="12" t="s">
        <v>164</v>
      </c>
      <c r="K1276" s="12" t="s">
        <v>6646</v>
      </c>
      <c r="L1276" s="12" t="s">
        <v>3130</v>
      </c>
      <c r="M1276" s="12" t="s">
        <v>3130</v>
      </c>
      <c r="N1276" s="12" t="s">
        <v>5785</v>
      </c>
      <c r="O1276" s="12" t="s">
        <v>3131</v>
      </c>
      <c r="P1276" s="12" t="s">
        <v>166</v>
      </c>
      <c r="Q1276" s="12" t="s">
        <v>6664</v>
      </c>
      <c r="R1276" s="12" t="s">
        <v>17</v>
      </c>
      <c r="S1276" s="12" t="s">
        <v>17</v>
      </c>
      <c r="T1276" s="12" t="s">
        <v>11</v>
      </c>
      <c r="U1276" s="12" t="s">
        <v>17</v>
      </c>
      <c r="V1276" s="12" t="s">
        <v>841</v>
      </c>
      <c r="W1276" s="12" t="s">
        <v>7415</v>
      </c>
      <c r="X1276" s="12">
        <v>13.3</v>
      </c>
      <c r="Y1276" s="12">
        <v>1139881</v>
      </c>
      <c r="Z1276" s="12" t="s">
        <v>6613</v>
      </c>
      <c r="AA1276" s="12" t="s">
        <v>6613</v>
      </c>
      <c r="AB1276" s="12" t="s">
        <v>6613</v>
      </c>
      <c r="AC1276" s="12" t="s">
        <v>6613</v>
      </c>
      <c r="AD1276" s="12" t="s">
        <v>6613</v>
      </c>
      <c r="AE1276" s="12" t="s">
        <v>6613</v>
      </c>
      <c r="AF1276" s="12" t="s">
        <v>45</v>
      </c>
    </row>
    <row r="1277" spans="1:32" x14ac:dyDescent="0.2">
      <c r="A1277" s="12" t="s">
        <v>3128</v>
      </c>
      <c r="B1277" s="12" t="s">
        <v>3129</v>
      </c>
      <c r="C1277" s="12" t="s">
        <v>17</v>
      </c>
      <c r="D1277" s="12" t="s">
        <v>17</v>
      </c>
      <c r="E1277" s="12" t="s">
        <v>7678</v>
      </c>
      <c r="F1277" s="12" t="s">
        <v>5458</v>
      </c>
      <c r="G1277" s="12" t="s">
        <v>830</v>
      </c>
      <c r="H1277" s="12" t="s">
        <v>6613</v>
      </c>
      <c r="I1277" s="12">
        <v>0</v>
      </c>
      <c r="J1277" s="12" t="s">
        <v>164</v>
      </c>
      <c r="K1277" s="12" t="s">
        <v>6646</v>
      </c>
      <c r="L1277" s="12" t="s">
        <v>3130</v>
      </c>
      <c r="M1277" s="12" t="s">
        <v>3130</v>
      </c>
      <c r="N1277" s="12" t="s">
        <v>5785</v>
      </c>
      <c r="O1277" s="12" t="s">
        <v>3131</v>
      </c>
      <c r="P1277" s="12" t="s">
        <v>166</v>
      </c>
      <c r="Q1277" s="12" t="s">
        <v>6664</v>
      </c>
      <c r="R1277" s="12" t="s">
        <v>17</v>
      </c>
      <c r="S1277" s="12" t="s">
        <v>17</v>
      </c>
      <c r="T1277" s="12" t="s">
        <v>11</v>
      </c>
      <c r="U1277" s="12" t="s">
        <v>17</v>
      </c>
      <c r="V1277" s="12" t="s">
        <v>728</v>
      </c>
      <c r="W1277" s="12" t="s">
        <v>7415</v>
      </c>
      <c r="X1277" s="12">
        <v>13.41</v>
      </c>
      <c r="Y1277" s="12">
        <v>1140653</v>
      </c>
      <c r="Z1277" s="12" t="s">
        <v>6613</v>
      </c>
      <c r="AA1277" s="12" t="s">
        <v>6613</v>
      </c>
      <c r="AB1277" s="12" t="s">
        <v>6613</v>
      </c>
      <c r="AC1277" s="12" t="s">
        <v>6613</v>
      </c>
      <c r="AD1277" s="12" t="s">
        <v>6613</v>
      </c>
      <c r="AE1277" s="12" t="s">
        <v>6613</v>
      </c>
      <c r="AF1277" s="12" t="s">
        <v>45</v>
      </c>
    </row>
    <row r="1278" spans="1:32" x14ac:dyDescent="0.2">
      <c r="A1278" s="12" t="s">
        <v>3140</v>
      </c>
      <c r="B1278" s="12" t="s">
        <v>3141</v>
      </c>
      <c r="C1278" s="12" t="s">
        <v>17</v>
      </c>
      <c r="D1278" s="12" t="s">
        <v>17</v>
      </c>
      <c r="E1278" s="12" t="s">
        <v>7678</v>
      </c>
      <c r="F1278" s="12" t="s">
        <v>5458</v>
      </c>
      <c r="G1278" s="12" t="s">
        <v>830</v>
      </c>
      <c r="H1278" s="12" t="s">
        <v>6613</v>
      </c>
      <c r="I1278" s="12">
        <v>0</v>
      </c>
      <c r="J1278" s="12" t="s">
        <v>164</v>
      </c>
      <c r="K1278" s="12" t="s">
        <v>6646</v>
      </c>
      <c r="L1278" s="12" t="s">
        <v>3130</v>
      </c>
      <c r="M1278" s="12" t="s">
        <v>3130</v>
      </c>
      <c r="N1278" s="12" t="s">
        <v>5785</v>
      </c>
      <c r="O1278" s="12" t="s">
        <v>3131</v>
      </c>
      <c r="P1278" s="12" t="s">
        <v>166</v>
      </c>
      <c r="Q1278" s="12" t="s">
        <v>6664</v>
      </c>
      <c r="R1278" s="12" t="s">
        <v>17</v>
      </c>
      <c r="S1278" s="12" t="s">
        <v>17</v>
      </c>
      <c r="T1278" s="12" t="s">
        <v>11</v>
      </c>
      <c r="U1278" s="12" t="s">
        <v>17</v>
      </c>
      <c r="V1278" s="12" t="s">
        <v>2352</v>
      </c>
      <c r="W1278" s="12" t="s">
        <v>7415</v>
      </c>
      <c r="X1278" s="12">
        <v>20.12</v>
      </c>
      <c r="Y1278" s="12">
        <v>1165475</v>
      </c>
      <c r="Z1278" s="12" t="s">
        <v>6613</v>
      </c>
      <c r="AA1278" s="12" t="s">
        <v>6613</v>
      </c>
      <c r="AB1278" s="12" t="s">
        <v>6613</v>
      </c>
      <c r="AC1278" s="12" t="s">
        <v>6613</v>
      </c>
      <c r="AD1278" s="12" t="s">
        <v>6613</v>
      </c>
      <c r="AE1278" s="12" t="s">
        <v>6613</v>
      </c>
      <c r="AF1278" s="12" t="s">
        <v>45</v>
      </c>
    </row>
    <row r="1279" spans="1:32" x14ac:dyDescent="0.2">
      <c r="A1279" s="12" t="s">
        <v>3136</v>
      </c>
      <c r="B1279" s="12" t="s">
        <v>3137</v>
      </c>
      <c r="C1279" s="12" t="s">
        <v>17</v>
      </c>
      <c r="D1279" s="12" t="s">
        <v>17</v>
      </c>
      <c r="E1279" s="12" t="s">
        <v>7678</v>
      </c>
      <c r="F1279" s="12" t="s">
        <v>5458</v>
      </c>
      <c r="G1279" s="12" t="s">
        <v>830</v>
      </c>
      <c r="H1279" s="12" t="s">
        <v>6613</v>
      </c>
      <c r="I1279" s="12">
        <v>0</v>
      </c>
      <c r="J1279" s="12" t="s">
        <v>164</v>
      </c>
      <c r="K1279" s="12" t="s">
        <v>6646</v>
      </c>
      <c r="L1279" s="12" t="s">
        <v>3130</v>
      </c>
      <c r="M1279" s="12" t="s">
        <v>3130</v>
      </c>
      <c r="N1279" s="12" t="s">
        <v>5785</v>
      </c>
      <c r="O1279" s="12" t="s">
        <v>3131</v>
      </c>
      <c r="P1279" s="12" t="s">
        <v>166</v>
      </c>
      <c r="Q1279" s="12" t="s">
        <v>6664</v>
      </c>
      <c r="R1279" s="12" t="s">
        <v>17</v>
      </c>
      <c r="S1279" s="12" t="s">
        <v>17</v>
      </c>
      <c r="T1279" s="12" t="s">
        <v>11</v>
      </c>
      <c r="U1279" s="12" t="s">
        <v>17</v>
      </c>
      <c r="V1279" s="12" t="s">
        <v>2352</v>
      </c>
      <c r="W1279" s="12" t="s">
        <v>7415</v>
      </c>
      <c r="X1279" s="12">
        <v>14.61</v>
      </c>
      <c r="Y1279" s="12">
        <v>1170643</v>
      </c>
      <c r="Z1279" s="12" t="s">
        <v>6613</v>
      </c>
      <c r="AA1279" s="12" t="s">
        <v>6613</v>
      </c>
      <c r="AB1279" s="12" t="s">
        <v>6613</v>
      </c>
      <c r="AC1279" s="12" t="s">
        <v>6613</v>
      </c>
      <c r="AD1279" s="12" t="s">
        <v>6613</v>
      </c>
      <c r="AE1279" s="12" t="s">
        <v>6613</v>
      </c>
      <c r="AF1279" s="12" t="s">
        <v>45</v>
      </c>
    </row>
    <row r="1280" spans="1:32" x14ac:dyDescent="0.2">
      <c r="A1280" s="12" t="s">
        <v>3359</v>
      </c>
      <c r="B1280" s="12" t="s">
        <v>3360</v>
      </c>
      <c r="C1280" s="12" t="s">
        <v>3360</v>
      </c>
      <c r="D1280" s="12" t="s">
        <v>163</v>
      </c>
      <c r="E1280" s="12" t="s">
        <v>7676</v>
      </c>
      <c r="F1280" s="12" t="s">
        <v>5458</v>
      </c>
      <c r="G1280" s="12" t="s">
        <v>159</v>
      </c>
      <c r="H1280" s="12" t="s">
        <v>6613</v>
      </c>
      <c r="I1280" s="12">
        <v>0</v>
      </c>
      <c r="J1280" s="12" t="s">
        <v>164</v>
      </c>
      <c r="K1280" s="12" t="s">
        <v>6646</v>
      </c>
      <c r="L1280" s="12" t="s">
        <v>3358</v>
      </c>
      <c r="M1280" s="12" t="s">
        <v>3358</v>
      </c>
      <c r="N1280" s="12" t="s">
        <v>5785</v>
      </c>
      <c r="O1280" s="12" t="s">
        <v>17</v>
      </c>
      <c r="P1280" s="12" t="s">
        <v>173</v>
      </c>
      <c r="Q1280" s="12" t="s">
        <v>6664</v>
      </c>
      <c r="R1280" s="12">
        <v>33.487005619999998</v>
      </c>
      <c r="S1280" s="12">
        <v>70.5</v>
      </c>
      <c r="T1280" s="12" t="s">
        <v>25</v>
      </c>
      <c r="U1280" s="12" t="s">
        <v>17</v>
      </c>
      <c r="V1280" s="12" t="s">
        <v>6639</v>
      </c>
      <c r="W1280" s="12" t="s">
        <v>6639</v>
      </c>
      <c r="X1280" s="12">
        <v>42.16</v>
      </c>
      <c r="Y1280" s="12">
        <v>1118391</v>
      </c>
      <c r="Z1280" s="12" t="s">
        <v>6613</v>
      </c>
      <c r="AA1280" s="12" t="s">
        <v>6613</v>
      </c>
      <c r="AB1280" s="12" t="s">
        <v>6613</v>
      </c>
      <c r="AC1280" s="12" t="s">
        <v>6613</v>
      </c>
      <c r="AD1280" s="12" t="s">
        <v>6613</v>
      </c>
      <c r="AE1280" s="12" t="s">
        <v>6613</v>
      </c>
      <c r="AF1280" s="12" t="s">
        <v>45</v>
      </c>
    </row>
    <row r="1281" spans="1:32" x14ac:dyDescent="0.2">
      <c r="A1281" s="12" t="s">
        <v>3356</v>
      </c>
      <c r="B1281" s="12" t="s">
        <v>3357</v>
      </c>
      <c r="C1281" s="12" t="s">
        <v>3357</v>
      </c>
      <c r="D1281" s="12" t="s">
        <v>163</v>
      </c>
      <c r="E1281" s="12" t="s">
        <v>7676</v>
      </c>
      <c r="F1281" s="12" t="s">
        <v>5458</v>
      </c>
      <c r="G1281" s="12" t="s">
        <v>159</v>
      </c>
      <c r="H1281" s="12" t="s">
        <v>6613</v>
      </c>
      <c r="I1281" s="12">
        <v>0</v>
      </c>
      <c r="J1281" s="12" t="s">
        <v>164</v>
      </c>
      <c r="K1281" s="12" t="s">
        <v>6646</v>
      </c>
      <c r="L1281" s="12" t="s">
        <v>3358</v>
      </c>
      <c r="M1281" s="12" t="s">
        <v>3358</v>
      </c>
      <c r="N1281" s="12" t="s">
        <v>5785</v>
      </c>
      <c r="O1281" s="12" t="s">
        <v>17</v>
      </c>
      <c r="P1281" s="12" t="s">
        <v>173</v>
      </c>
      <c r="Q1281" s="12" t="s">
        <v>6664</v>
      </c>
      <c r="R1281" s="12">
        <v>33.487005619999998</v>
      </c>
      <c r="S1281" s="12">
        <v>70.5</v>
      </c>
      <c r="T1281" s="12" t="s">
        <v>11</v>
      </c>
      <c r="U1281" s="12" t="s">
        <v>17</v>
      </c>
      <c r="V1281" s="12" t="s">
        <v>708</v>
      </c>
      <c r="W1281" s="12" t="s">
        <v>7415</v>
      </c>
      <c r="X1281" s="12">
        <v>40.08</v>
      </c>
      <c r="Y1281" s="12">
        <v>1119365</v>
      </c>
      <c r="Z1281" s="12" t="s">
        <v>6613</v>
      </c>
      <c r="AA1281" s="12" t="s">
        <v>6613</v>
      </c>
      <c r="AB1281" s="12" t="s">
        <v>6613</v>
      </c>
      <c r="AC1281" s="12" t="s">
        <v>6613</v>
      </c>
      <c r="AD1281" s="12" t="s">
        <v>6613</v>
      </c>
      <c r="AE1281" s="12" t="s">
        <v>6613</v>
      </c>
      <c r="AF1281" s="12" t="s">
        <v>45</v>
      </c>
    </row>
    <row r="1282" spans="1:32" x14ac:dyDescent="0.2">
      <c r="A1282" s="12" t="s">
        <v>3491</v>
      </c>
      <c r="B1282" s="12" t="s">
        <v>3492</v>
      </c>
      <c r="C1282" s="12" t="s">
        <v>17</v>
      </c>
      <c r="D1282" s="12" t="s">
        <v>17</v>
      </c>
      <c r="E1282" s="12" t="s">
        <v>7678</v>
      </c>
      <c r="F1282" s="12" t="s">
        <v>5458</v>
      </c>
      <c r="G1282" s="12" t="s">
        <v>615</v>
      </c>
      <c r="H1282" s="12" t="s">
        <v>6613</v>
      </c>
      <c r="I1282" s="12">
        <v>0</v>
      </c>
      <c r="J1282" s="12" t="s">
        <v>164</v>
      </c>
      <c r="K1282" s="12" t="s">
        <v>6646</v>
      </c>
      <c r="L1282" s="12" t="s">
        <v>3363</v>
      </c>
      <c r="M1282" s="12" t="s">
        <v>3363</v>
      </c>
      <c r="N1282" s="12" t="s">
        <v>5785</v>
      </c>
      <c r="O1282" s="12" t="s">
        <v>17</v>
      </c>
      <c r="P1282" s="12" t="s">
        <v>173</v>
      </c>
      <c r="Q1282" s="12" t="s">
        <v>6664</v>
      </c>
      <c r="R1282" s="12" t="s">
        <v>17</v>
      </c>
      <c r="S1282" s="12" t="s">
        <v>17</v>
      </c>
      <c r="T1282" s="12" t="s">
        <v>25</v>
      </c>
      <c r="U1282" s="12" t="s">
        <v>17</v>
      </c>
      <c r="V1282" s="12" t="s">
        <v>6639</v>
      </c>
      <c r="W1282" s="12" t="s">
        <v>6639</v>
      </c>
      <c r="X1282" s="12" t="s">
        <v>17</v>
      </c>
      <c r="Y1282" s="12">
        <v>1086272</v>
      </c>
      <c r="Z1282" s="12" t="s">
        <v>6613</v>
      </c>
      <c r="AA1282" s="12" t="s">
        <v>6613</v>
      </c>
      <c r="AB1282" s="12" t="s">
        <v>6613</v>
      </c>
      <c r="AC1282" s="12" t="s">
        <v>6613</v>
      </c>
      <c r="AD1282" s="12" t="s">
        <v>6613</v>
      </c>
      <c r="AE1282" s="12" t="s">
        <v>6613</v>
      </c>
      <c r="AF1282" s="12" t="s">
        <v>45</v>
      </c>
    </row>
    <row r="1283" spans="1:32" x14ac:dyDescent="0.2">
      <c r="A1283" s="12" t="s">
        <v>3434</v>
      </c>
      <c r="B1283" s="12" t="s">
        <v>3435</v>
      </c>
      <c r="C1283" s="12" t="s">
        <v>17</v>
      </c>
      <c r="D1283" s="12" t="s">
        <v>17</v>
      </c>
      <c r="E1283" s="12" t="s">
        <v>7678</v>
      </c>
      <c r="F1283" s="12" t="s">
        <v>5458</v>
      </c>
      <c r="G1283" s="12" t="s">
        <v>615</v>
      </c>
      <c r="H1283" s="12" t="s">
        <v>6613</v>
      </c>
      <c r="I1283" s="12">
        <v>0</v>
      </c>
      <c r="J1283" s="12" t="s">
        <v>164</v>
      </c>
      <c r="K1283" s="12" t="s">
        <v>6646</v>
      </c>
      <c r="L1283" s="12" t="s">
        <v>3363</v>
      </c>
      <c r="M1283" s="12" t="s">
        <v>3363</v>
      </c>
      <c r="N1283" s="12" t="s">
        <v>5785</v>
      </c>
      <c r="O1283" s="12" t="s">
        <v>17</v>
      </c>
      <c r="P1283" s="12" t="s">
        <v>173</v>
      </c>
      <c r="Q1283" s="12" t="s">
        <v>6664</v>
      </c>
      <c r="R1283" s="12" t="s">
        <v>17</v>
      </c>
      <c r="S1283" s="12" t="s">
        <v>17</v>
      </c>
      <c r="T1283" s="12" t="s">
        <v>25</v>
      </c>
      <c r="U1283" s="12" t="s">
        <v>17</v>
      </c>
      <c r="V1283" s="12" t="s">
        <v>6639</v>
      </c>
      <c r="W1283" s="12" t="s">
        <v>6639</v>
      </c>
      <c r="X1283" s="12" t="s">
        <v>17</v>
      </c>
      <c r="Y1283" s="12">
        <v>1090770</v>
      </c>
      <c r="Z1283" s="12" t="s">
        <v>6613</v>
      </c>
      <c r="AA1283" s="12" t="s">
        <v>6613</v>
      </c>
      <c r="AB1283" s="12" t="s">
        <v>6613</v>
      </c>
      <c r="AC1283" s="12" t="s">
        <v>6613</v>
      </c>
      <c r="AD1283" s="12" t="s">
        <v>6613</v>
      </c>
      <c r="AE1283" s="12" t="s">
        <v>6613</v>
      </c>
      <c r="AF1283" s="12" t="s">
        <v>45</v>
      </c>
    </row>
    <row r="1284" spans="1:32" x14ac:dyDescent="0.2">
      <c r="A1284" s="12" t="s">
        <v>3450</v>
      </c>
      <c r="B1284" s="12" t="s">
        <v>3451</v>
      </c>
      <c r="C1284" s="12" t="s">
        <v>17</v>
      </c>
      <c r="D1284" s="12" t="s">
        <v>17</v>
      </c>
      <c r="E1284" s="12" t="s">
        <v>7678</v>
      </c>
      <c r="F1284" s="12" t="s">
        <v>5458</v>
      </c>
      <c r="G1284" s="12" t="s">
        <v>615</v>
      </c>
      <c r="H1284" s="12" t="s">
        <v>6613</v>
      </c>
      <c r="I1284" s="12">
        <v>0</v>
      </c>
      <c r="J1284" s="12" t="s">
        <v>164</v>
      </c>
      <c r="K1284" s="12" t="s">
        <v>6646</v>
      </c>
      <c r="L1284" s="12" t="s">
        <v>3363</v>
      </c>
      <c r="M1284" s="12" t="s">
        <v>3363</v>
      </c>
      <c r="N1284" s="12" t="s">
        <v>5785</v>
      </c>
      <c r="O1284" s="12" t="s">
        <v>17</v>
      </c>
      <c r="P1284" s="12" t="s">
        <v>173</v>
      </c>
      <c r="Q1284" s="12" t="s">
        <v>6664</v>
      </c>
      <c r="R1284" s="12" t="s">
        <v>17</v>
      </c>
      <c r="S1284" s="12" t="s">
        <v>17</v>
      </c>
      <c r="T1284" s="12" t="s">
        <v>25</v>
      </c>
      <c r="U1284" s="12" t="s">
        <v>17</v>
      </c>
      <c r="V1284" s="12" t="s">
        <v>6639</v>
      </c>
      <c r="W1284" s="12" t="s">
        <v>6639</v>
      </c>
      <c r="X1284" s="12" t="s">
        <v>17</v>
      </c>
      <c r="Y1284" s="12">
        <v>1099546</v>
      </c>
      <c r="Z1284" s="12" t="s">
        <v>6613</v>
      </c>
      <c r="AA1284" s="12" t="s">
        <v>6613</v>
      </c>
      <c r="AB1284" s="12" t="s">
        <v>6613</v>
      </c>
      <c r="AC1284" s="12" t="s">
        <v>6613</v>
      </c>
      <c r="AD1284" s="12" t="s">
        <v>6613</v>
      </c>
      <c r="AE1284" s="12" t="s">
        <v>6613</v>
      </c>
      <c r="AF1284" s="12" t="s">
        <v>45</v>
      </c>
    </row>
    <row r="1285" spans="1:32" x14ac:dyDescent="0.2">
      <c r="A1285" s="12" t="s">
        <v>3555</v>
      </c>
      <c r="B1285" s="12" t="s">
        <v>3556</v>
      </c>
      <c r="C1285" s="12" t="s">
        <v>17</v>
      </c>
      <c r="D1285" s="12" t="s">
        <v>17</v>
      </c>
      <c r="E1285" s="12" t="s">
        <v>7678</v>
      </c>
      <c r="F1285" s="12" t="s">
        <v>5458</v>
      </c>
      <c r="G1285" s="12" t="s">
        <v>615</v>
      </c>
      <c r="H1285" s="12" t="s">
        <v>6613</v>
      </c>
      <c r="I1285" s="12">
        <v>0</v>
      </c>
      <c r="J1285" s="12" t="s">
        <v>164</v>
      </c>
      <c r="K1285" s="12" t="s">
        <v>6646</v>
      </c>
      <c r="L1285" s="12" t="s">
        <v>3363</v>
      </c>
      <c r="M1285" s="12" t="s">
        <v>3363</v>
      </c>
      <c r="N1285" s="12" t="s">
        <v>5785</v>
      </c>
      <c r="O1285" s="12" t="s">
        <v>17</v>
      </c>
      <c r="P1285" s="12" t="s">
        <v>173</v>
      </c>
      <c r="Q1285" s="12" t="s">
        <v>6664</v>
      </c>
      <c r="R1285" s="12" t="s">
        <v>17</v>
      </c>
      <c r="S1285" s="12" t="s">
        <v>17</v>
      </c>
      <c r="T1285" s="12" t="s">
        <v>25</v>
      </c>
      <c r="U1285" s="12" t="s">
        <v>17</v>
      </c>
      <c r="V1285" s="12" t="s">
        <v>6639</v>
      </c>
      <c r="W1285" s="12" t="s">
        <v>6639</v>
      </c>
      <c r="X1285" s="12" t="s">
        <v>17</v>
      </c>
      <c r="Y1285" s="12">
        <v>1115267</v>
      </c>
      <c r="Z1285" s="12" t="s">
        <v>6613</v>
      </c>
      <c r="AA1285" s="12" t="s">
        <v>6613</v>
      </c>
      <c r="AB1285" s="12" t="s">
        <v>6613</v>
      </c>
      <c r="AC1285" s="12" t="s">
        <v>6613</v>
      </c>
      <c r="AD1285" s="12" t="s">
        <v>6613</v>
      </c>
      <c r="AE1285" s="12" t="s">
        <v>6613</v>
      </c>
      <c r="AF1285" s="12" t="s">
        <v>45</v>
      </c>
    </row>
    <row r="1286" spans="1:32" x14ac:dyDescent="0.2">
      <c r="A1286" s="12" t="s">
        <v>3548</v>
      </c>
      <c r="B1286" s="12" t="s">
        <v>3549</v>
      </c>
      <c r="C1286" s="12" t="s">
        <v>17</v>
      </c>
      <c r="D1286" s="12" t="s">
        <v>17</v>
      </c>
      <c r="E1286" s="12" t="s">
        <v>7678</v>
      </c>
      <c r="F1286" s="12" t="s">
        <v>5458</v>
      </c>
      <c r="G1286" s="12" t="s">
        <v>615</v>
      </c>
      <c r="H1286" s="12" t="s">
        <v>6613</v>
      </c>
      <c r="I1286" s="12">
        <v>0</v>
      </c>
      <c r="J1286" s="12" t="s">
        <v>164</v>
      </c>
      <c r="K1286" s="12" t="s">
        <v>6646</v>
      </c>
      <c r="L1286" s="12" t="s">
        <v>3363</v>
      </c>
      <c r="M1286" s="12" t="s">
        <v>3363</v>
      </c>
      <c r="N1286" s="12" t="s">
        <v>5785</v>
      </c>
      <c r="O1286" s="12" t="s">
        <v>17</v>
      </c>
      <c r="P1286" s="12" t="s">
        <v>173</v>
      </c>
      <c r="Q1286" s="12" t="s">
        <v>6664</v>
      </c>
      <c r="R1286" s="16" t="s">
        <v>17</v>
      </c>
      <c r="S1286" s="16" t="s">
        <v>17</v>
      </c>
      <c r="T1286" s="12" t="s">
        <v>25</v>
      </c>
      <c r="U1286" s="12" t="s">
        <v>17</v>
      </c>
      <c r="V1286" s="12" t="s">
        <v>6639</v>
      </c>
      <c r="W1286" s="12" t="s">
        <v>6639</v>
      </c>
      <c r="X1286" s="12" t="s">
        <v>17</v>
      </c>
      <c r="Y1286" s="12">
        <v>1118128</v>
      </c>
      <c r="Z1286" s="12" t="s">
        <v>6613</v>
      </c>
      <c r="AA1286" s="12" t="s">
        <v>6613</v>
      </c>
      <c r="AB1286" s="12" t="s">
        <v>6613</v>
      </c>
      <c r="AC1286" s="12" t="s">
        <v>6613</v>
      </c>
      <c r="AD1286" s="12" t="s">
        <v>6613</v>
      </c>
      <c r="AE1286" s="12" t="s">
        <v>6613</v>
      </c>
      <c r="AF1286" s="12" t="s">
        <v>45</v>
      </c>
    </row>
    <row r="1287" spans="1:32" x14ac:dyDescent="0.2">
      <c r="A1287" s="12" t="s">
        <v>3487</v>
      </c>
      <c r="B1287" s="12" t="s">
        <v>3488</v>
      </c>
      <c r="C1287" s="12" t="s">
        <v>17</v>
      </c>
      <c r="D1287" s="12" t="s">
        <v>17</v>
      </c>
      <c r="E1287" s="12" t="s">
        <v>7678</v>
      </c>
      <c r="F1287" s="12" t="s">
        <v>5458</v>
      </c>
      <c r="G1287" s="12" t="s">
        <v>615</v>
      </c>
      <c r="H1287" s="12" t="s">
        <v>6613</v>
      </c>
      <c r="I1287" s="12">
        <v>0</v>
      </c>
      <c r="J1287" s="12" t="s">
        <v>164</v>
      </c>
      <c r="K1287" s="12" t="s">
        <v>6646</v>
      </c>
      <c r="L1287" s="12" t="s">
        <v>3363</v>
      </c>
      <c r="M1287" s="12" t="s">
        <v>3363</v>
      </c>
      <c r="N1287" s="12" t="s">
        <v>5785</v>
      </c>
      <c r="O1287" s="12" t="s">
        <v>17</v>
      </c>
      <c r="P1287" s="12" t="s">
        <v>173</v>
      </c>
      <c r="Q1287" s="12" t="s">
        <v>6664</v>
      </c>
      <c r="R1287" s="12" t="s">
        <v>17</v>
      </c>
      <c r="S1287" s="12" t="s">
        <v>17</v>
      </c>
      <c r="T1287" s="12" t="s">
        <v>25</v>
      </c>
      <c r="U1287" s="12" t="s">
        <v>17</v>
      </c>
      <c r="V1287" s="12" t="s">
        <v>6639</v>
      </c>
      <c r="W1287" s="12" t="s">
        <v>6639</v>
      </c>
      <c r="X1287" s="12" t="s">
        <v>17</v>
      </c>
      <c r="Y1287" s="12">
        <v>1120246</v>
      </c>
      <c r="Z1287" s="12" t="s">
        <v>6613</v>
      </c>
      <c r="AA1287" s="12" t="s">
        <v>6613</v>
      </c>
      <c r="AB1287" s="12" t="s">
        <v>6613</v>
      </c>
      <c r="AC1287" s="12" t="s">
        <v>6613</v>
      </c>
      <c r="AD1287" s="12" t="s">
        <v>6613</v>
      </c>
      <c r="AE1287" s="12" t="s">
        <v>6613</v>
      </c>
      <c r="AF1287" s="12" t="s">
        <v>45</v>
      </c>
    </row>
    <row r="1288" spans="1:32" x14ac:dyDescent="0.2">
      <c r="A1288" s="12" t="s">
        <v>3557</v>
      </c>
      <c r="B1288" s="12" t="s">
        <v>3558</v>
      </c>
      <c r="C1288" s="12" t="s">
        <v>17</v>
      </c>
      <c r="D1288" s="12" t="s">
        <v>17</v>
      </c>
      <c r="E1288" s="12" t="s">
        <v>7678</v>
      </c>
      <c r="F1288" s="12" t="s">
        <v>5458</v>
      </c>
      <c r="G1288" s="12" t="s">
        <v>615</v>
      </c>
      <c r="H1288" s="12" t="s">
        <v>6613</v>
      </c>
      <c r="I1288" s="12">
        <v>0</v>
      </c>
      <c r="J1288" s="12" t="s">
        <v>164</v>
      </c>
      <c r="K1288" s="12" t="s">
        <v>6646</v>
      </c>
      <c r="L1288" s="12" t="s">
        <v>3363</v>
      </c>
      <c r="M1288" s="12" t="s">
        <v>3363</v>
      </c>
      <c r="N1288" s="12" t="s">
        <v>5785</v>
      </c>
      <c r="O1288" s="12" t="s">
        <v>17</v>
      </c>
      <c r="P1288" s="12" t="s">
        <v>173</v>
      </c>
      <c r="Q1288" s="12" t="s">
        <v>6664</v>
      </c>
      <c r="R1288" s="12" t="s">
        <v>17</v>
      </c>
      <c r="S1288" s="12" t="s">
        <v>17</v>
      </c>
      <c r="T1288" s="12" t="s">
        <v>25</v>
      </c>
      <c r="U1288" s="12" t="s">
        <v>17</v>
      </c>
      <c r="V1288" s="12" t="s">
        <v>6639</v>
      </c>
      <c r="W1288" s="12" t="s">
        <v>6639</v>
      </c>
      <c r="X1288" s="12" t="s">
        <v>17</v>
      </c>
      <c r="Y1288" s="12">
        <v>1120323</v>
      </c>
      <c r="Z1288" s="12" t="s">
        <v>6613</v>
      </c>
      <c r="AA1288" s="12" t="s">
        <v>6613</v>
      </c>
      <c r="AB1288" s="12" t="s">
        <v>6613</v>
      </c>
      <c r="AC1288" s="12" t="s">
        <v>6613</v>
      </c>
      <c r="AD1288" s="12" t="s">
        <v>6613</v>
      </c>
      <c r="AE1288" s="12" t="s">
        <v>6613</v>
      </c>
      <c r="AF1288" s="12" t="s">
        <v>45</v>
      </c>
    </row>
    <row r="1289" spans="1:32" x14ac:dyDescent="0.2">
      <c r="A1289" s="12" t="s">
        <v>3384</v>
      </c>
      <c r="B1289" s="12" t="s">
        <v>3385</v>
      </c>
      <c r="C1289" s="12" t="s">
        <v>17</v>
      </c>
      <c r="D1289" s="12" t="s">
        <v>17</v>
      </c>
      <c r="E1289" s="12" t="s">
        <v>7678</v>
      </c>
      <c r="F1289" s="12" t="s">
        <v>5458</v>
      </c>
      <c r="G1289" s="12" t="s">
        <v>615</v>
      </c>
      <c r="H1289" s="12" t="s">
        <v>6613</v>
      </c>
      <c r="I1289" s="12">
        <v>0</v>
      </c>
      <c r="J1289" s="12" t="s">
        <v>164</v>
      </c>
      <c r="K1289" s="12" t="s">
        <v>6646</v>
      </c>
      <c r="L1289" s="12" t="s">
        <v>3363</v>
      </c>
      <c r="M1289" s="12" t="s">
        <v>3363</v>
      </c>
      <c r="N1289" s="12" t="s">
        <v>5785</v>
      </c>
      <c r="O1289" s="12" t="s">
        <v>17</v>
      </c>
      <c r="P1289" s="12" t="s">
        <v>173</v>
      </c>
      <c r="Q1289" s="12" t="s">
        <v>6664</v>
      </c>
      <c r="R1289" s="12" t="s">
        <v>17</v>
      </c>
      <c r="S1289" s="12" t="s">
        <v>17</v>
      </c>
      <c r="T1289" s="12" t="s">
        <v>25</v>
      </c>
      <c r="U1289" s="12" t="s">
        <v>17</v>
      </c>
      <c r="V1289" s="12" t="s">
        <v>6639</v>
      </c>
      <c r="W1289" s="12" t="s">
        <v>6639</v>
      </c>
      <c r="X1289" s="12" t="s">
        <v>17</v>
      </c>
      <c r="Y1289" s="12">
        <v>1129852</v>
      </c>
      <c r="Z1289" s="12" t="s">
        <v>6613</v>
      </c>
      <c r="AA1289" s="12" t="s">
        <v>6613</v>
      </c>
      <c r="AB1289" s="12" t="s">
        <v>6613</v>
      </c>
      <c r="AC1289" s="12" t="s">
        <v>6613</v>
      </c>
      <c r="AD1289" s="12" t="s">
        <v>6613</v>
      </c>
      <c r="AE1289" s="12" t="s">
        <v>6613</v>
      </c>
      <c r="AF1289" s="12" t="s">
        <v>45</v>
      </c>
    </row>
    <row r="1290" spans="1:32" x14ac:dyDescent="0.2">
      <c r="A1290" s="12" t="s">
        <v>3464</v>
      </c>
      <c r="B1290" s="12" t="s">
        <v>3465</v>
      </c>
      <c r="C1290" s="12" t="s">
        <v>17</v>
      </c>
      <c r="D1290" s="12" t="s">
        <v>17</v>
      </c>
      <c r="E1290" s="12" t="s">
        <v>7678</v>
      </c>
      <c r="F1290" s="12" t="s">
        <v>5458</v>
      </c>
      <c r="G1290" s="12" t="s">
        <v>615</v>
      </c>
      <c r="H1290" s="12" t="s">
        <v>6613</v>
      </c>
      <c r="I1290" s="12">
        <v>0</v>
      </c>
      <c r="J1290" s="12" t="s">
        <v>164</v>
      </c>
      <c r="K1290" s="12" t="s">
        <v>6646</v>
      </c>
      <c r="L1290" s="12" t="s">
        <v>3363</v>
      </c>
      <c r="M1290" s="12" t="s">
        <v>3363</v>
      </c>
      <c r="N1290" s="12" t="s">
        <v>5785</v>
      </c>
      <c r="O1290" s="12" t="s">
        <v>17</v>
      </c>
      <c r="P1290" s="12" t="s">
        <v>173</v>
      </c>
      <c r="Q1290" s="12" t="s">
        <v>6664</v>
      </c>
      <c r="R1290" s="12" t="s">
        <v>17</v>
      </c>
      <c r="S1290" s="12" t="s">
        <v>17</v>
      </c>
      <c r="T1290" s="12" t="s">
        <v>25</v>
      </c>
      <c r="U1290" s="12" t="s">
        <v>17</v>
      </c>
      <c r="V1290" s="12" t="s">
        <v>6639</v>
      </c>
      <c r="W1290" s="12" t="s">
        <v>6639</v>
      </c>
      <c r="X1290" s="12" t="s">
        <v>17</v>
      </c>
      <c r="Y1290" s="12">
        <v>1130702</v>
      </c>
      <c r="Z1290" s="12" t="s">
        <v>6613</v>
      </c>
      <c r="AA1290" s="12" t="s">
        <v>6613</v>
      </c>
      <c r="AB1290" s="12" t="s">
        <v>6613</v>
      </c>
      <c r="AC1290" s="12" t="s">
        <v>6613</v>
      </c>
      <c r="AD1290" s="12" t="s">
        <v>6613</v>
      </c>
      <c r="AE1290" s="12" t="s">
        <v>6613</v>
      </c>
      <c r="AF1290" s="12" t="s">
        <v>45</v>
      </c>
    </row>
    <row r="1291" spans="1:32" x14ac:dyDescent="0.2">
      <c r="A1291" s="12" t="s">
        <v>3510</v>
      </c>
      <c r="B1291" s="12" t="s">
        <v>3511</v>
      </c>
      <c r="C1291" s="12" t="s">
        <v>17</v>
      </c>
      <c r="D1291" s="12" t="s">
        <v>17</v>
      </c>
      <c r="E1291" s="12" t="s">
        <v>7678</v>
      </c>
      <c r="F1291" s="12" t="s">
        <v>5458</v>
      </c>
      <c r="G1291" s="12" t="s">
        <v>615</v>
      </c>
      <c r="H1291" s="12" t="s">
        <v>6613</v>
      </c>
      <c r="I1291" s="12">
        <v>0</v>
      </c>
      <c r="J1291" s="12" t="s">
        <v>164</v>
      </c>
      <c r="K1291" s="12" t="s">
        <v>6646</v>
      </c>
      <c r="L1291" s="12" t="s">
        <v>3363</v>
      </c>
      <c r="M1291" s="12" t="s">
        <v>3363</v>
      </c>
      <c r="N1291" s="12" t="s">
        <v>5785</v>
      </c>
      <c r="O1291" s="12" t="s">
        <v>17</v>
      </c>
      <c r="P1291" s="12" t="s">
        <v>173</v>
      </c>
      <c r="Q1291" s="12" t="s">
        <v>6664</v>
      </c>
      <c r="R1291" s="12" t="s">
        <v>17</v>
      </c>
      <c r="S1291" s="12" t="s">
        <v>17</v>
      </c>
      <c r="T1291" s="12" t="s">
        <v>25</v>
      </c>
      <c r="U1291" s="12" t="s">
        <v>17</v>
      </c>
      <c r="V1291" s="12" t="s">
        <v>6639</v>
      </c>
      <c r="W1291" s="12" t="s">
        <v>6639</v>
      </c>
      <c r="X1291" s="12" t="s">
        <v>17</v>
      </c>
      <c r="Y1291" s="12">
        <v>1131883</v>
      </c>
      <c r="Z1291" s="12" t="s">
        <v>6613</v>
      </c>
      <c r="AA1291" s="12" t="s">
        <v>6613</v>
      </c>
      <c r="AB1291" s="12" t="s">
        <v>6613</v>
      </c>
      <c r="AC1291" s="12" t="s">
        <v>6613</v>
      </c>
      <c r="AD1291" s="12" t="s">
        <v>6613</v>
      </c>
      <c r="AE1291" s="12" t="s">
        <v>6613</v>
      </c>
      <c r="AF1291" s="12" t="s">
        <v>45</v>
      </c>
    </row>
    <row r="1292" spans="1:32" x14ac:dyDescent="0.2">
      <c r="A1292" s="12" t="s">
        <v>3524</v>
      </c>
      <c r="B1292" s="12" t="s">
        <v>3525</v>
      </c>
      <c r="C1292" s="12" t="s">
        <v>17</v>
      </c>
      <c r="D1292" s="12" t="s">
        <v>17</v>
      </c>
      <c r="E1292" s="12" t="s">
        <v>7678</v>
      </c>
      <c r="F1292" s="12" t="s">
        <v>5458</v>
      </c>
      <c r="G1292" s="12" t="s">
        <v>615</v>
      </c>
      <c r="H1292" s="12" t="s">
        <v>6613</v>
      </c>
      <c r="I1292" s="12">
        <v>0</v>
      </c>
      <c r="J1292" s="12" t="s">
        <v>164</v>
      </c>
      <c r="K1292" s="12" t="s">
        <v>6646</v>
      </c>
      <c r="L1292" s="12" t="s">
        <v>3363</v>
      </c>
      <c r="M1292" s="12" t="s">
        <v>3363</v>
      </c>
      <c r="N1292" s="12" t="s">
        <v>5785</v>
      </c>
      <c r="O1292" s="12" t="s">
        <v>17</v>
      </c>
      <c r="P1292" s="12" t="s">
        <v>173</v>
      </c>
      <c r="Q1292" s="12" t="s">
        <v>6664</v>
      </c>
      <c r="R1292" s="12" t="s">
        <v>17</v>
      </c>
      <c r="S1292" s="12" t="s">
        <v>17</v>
      </c>
      <c r="T1292" s="12" t="s">
        <v>11</v>
      </c>
      <c r="U1292" s="12" t="s">
        <v>17</v>
      </c>
      <c r="V1292" s="12" t="s">
        <v>755</v>
      </c>
      <c r="W1292" s="12" t="s">
        <v>7415</v>
      </c>
      <c r="X1292" s="12" t="s">
        <v>17</v>
      </c>
      <c r="Y1292" s="12">
        <v>1132218</v>
      </c>
      <c r="Z1292" s="12" t="s">
        <v>6613</v>
      </c>
      <c r="AA1292" s="12" t="s">
        <v>6613</v>
      </c>
      <c r="AB1292" s="12" t="s">
        <v>6613</v>
      </c>
      <c r="AC1292" s="12" t="s">
        <v>6613</v>
      </c>
      <c r="AD1292" s="12" t="s">
        <v>6613</v>
      </c>
      <c r="AE1292" s="12" t="s">
        <v>6613</v>
      </c>
      <c r="AF1292" s="12" t="s">
        <v>45</v>
      </c>
    </row>
    <row r="1293" spans="1:32" x14ac:dyDescent="0.2">
      <c r="A1293" s="12" t="s">
        <v>3506</v>
      </c>
      <c r="B1293" s="12" t="s">
        <v>3507</v>
      </c>
      <c r="C1293" s="12" t="s">
        <v>17</v>
      </c>
      <c r="D1293" s="12" t="s">
        <v>17</v>
      </c>
      <c r="E1293" s="12" t="s">
        <v>7678</v>
      </c>
      <c r="F1293" s="12" t="s">
        <v>5458</v>
      </c>
      <c r="G1293" s="12" t="s">
        <v>615</v>
      </c>
      <c r="H1293" s="12" t="s">
        <v>6613</v>
      </c>
      <c r="I1293" s="12">
        <v>0</v>
      </c>
      <c r="J1293" s="12" t="s">
        <v>164</v>
      </c>
      <c r="K1293" s="12" t="s">
        <v>6646</v>
      </c>
      <c r="L1293" s="12" t="s">
        <v>3363</v>
      </c>
      <c r="M1293" s="12" t="s">
        <v>3363</v>
      </c>
      <c r="N1293" s="12" t="s">
        <v>5785</v>
      </c>
      <c r="O1293" s="12" t="s">
        <v>17</v>
      </c>
      <c r="P1293" s="12" t="s">
        <v>173</v>
      </c>
      <c r="Q1293" s="12" t="s">
        <v>6664</v>
      </c>
      <c r="R1293" s="12" t="s">
        <v>17</v>
      </c>
      <c r="S1293" s="12" t="s">
        <v>17</v>
      </c>
      <c r="T1293" s="12" t="s">
        <v>25</v>
      </c>
      <c r="U1293" s="12" t="s">
        <v>17</v>
      </c>
      <c r="V1293" s="12" t="s">
        <v>6639</v>
      </c>
      <c r="W1293" s="12" t="s">
        <v>6639</v>
      </c>
      <c r="X1293" s="12" t="s">
        <v>17</v>
      </c>
      <c r="Y1293" s="12">
        <v>1138085</v>
      </c>
      <c r="Z1293" s="12" t="s">
        <v>6613</v>
      </c>
      <c r="AA1293" s="12" t="s">
        <v>6613</v>
      </c>
      <c r="AB1293" s="12" t="s">
        <v>6613</v>
      </c>
      <c r="AC1293" s="12" t="s">
        <v>6613</v>
      </c>
      <c r="AD1293" s="12" t="s">
        <v>6613</v>
      </c>
      <c r="AE1293" s="12" t="s">
        <v>6613</v>
      </c>
      <c r="AF1293" s="12" t="s">
        <v>45</v>
      </c>
    </row>
    <row r="1294" spans="1:32" x14ac:dyDescent="0.2">
      <c r="A1294" s="12" t="s">
        <v>3401</v>
      </c>
      <c r="B1294" s="12" t="s">
        <v>3402</v>
      </c>
      <c r="C1294" s="12" t="s">
        <v>17</v>
      </c>
      <c r="D1294" s="12" t="s">
        <v>17</v>
      </c>
      <c r="E1294" s="12" t="s">
        <v>7678</v>
      </c>
      <c r="F1294" s="12" t="s">
        <v>5458</v>
      </c>
      <c r="G1294" s="12" t="s">
        <v>615</v>
      </c>
      <c r="H1294" s="12" t="s">
        <v>6613</v>
      </c>
      <c r="I1294" s="12">
        <v>0</v>
      </c>
      <c r="J1294" s="12" t="s">
        <v>164</v>
      </c>
      <c r="K1294" s="12" t="s">
        <v>6646</v>
      </c>
      <c r="L1294" s="12" t="s">
        <v>3363</v>
      </c>
      <c r="M1294" s="12" t="s">
        <v>3363</v>
      </c>
      <c r="N1294" s="12" t="s">
        <v>5785</v>
      </c>
      <c r="O1294" s="12" t="s">
        <v>17</v>
      </c>
      <c r="P1294" s="12" t="s">
        <v>173</v>
      </c>
      <c r="Q1294" s="12" t="s">
        <v>6664</v>
      </c>
      <c r="R1294" s="12" t="s">
        <v>17</v>
      </c>
      <c r="S1294" s="12" t="s">
        <v>17</v>
      </c>
      <c r="T1294" s="12" t="s">
        <v>25</v>
      </c>
      <c r="U1294" s="12" t="s">
        <v>17</v>
      </c>
      <c r="V1294" s="12" t="s">
        <v>6639</v>
      </c>
      <c r="W1294" s="12" t="s">
        <v>6639</v>
      </c>
      <c r="X1294" s="12" t="s">
        <v>17</v>
      </c>
      <c r="Y1294" s="12">
        <v>1138103</v>
      </c>
      <c r="Z1294" s="12" t="s">
        <v>6613</v>
      </c>
      <c r="AA1294" s="12" t="s">
        <v>6613</v>
      </c>
      <c r="AB1294" s="12" t="s">
        <v>6613</v>
      </c>
      <c r="AC1294" s="12" t="s">
        <v>6613</v>
      </c>
      <c r="AD1294" s="12" t="s">
        <v>6613</v>
      </c>
      <c r="AE1294" s="12" t="s">
        <v>6613</v>
      </c>
      <c r="AF1294" s="12" t="s">
        <v>45</v>
      </c>
    </row>
    <row r="1295" spans="1:32" x14ac:dyDescent="0.2">
      <c r="A1295" s="12" t="s">
        <v>3500</v>
      </c>
      <c r="B1295" s="12" t="s">
        <v>3501</v>
      </c>
      <c r="C1295" s="12" t="s">
        <v>17</v>
      </c>
      <c r="D1295" s="12" t="s">
        <v>17</v>
      </c>
      <c r="E1295" s="12" t="s">
        <v>7678</v>
      </c>
      <c r="F1295" s="12" t="s">
        <v>5458</v>
      </c>
      <c r="G1295" s="12" t="s">
        <v>615</v>
      </c>
      <c r="H1295" s="12" t="s">
        <v>6613</v>
      </c>
      <c r="I1295" s="12">
        <v>0</v>
      </c>
      <c r="J1295" s="12" t="s">
        <v>164</v>
      </c>
      <c r="K1295" s="12" t="s">
        <v>6646</v>
      </c>
      <c r="L1295" s="12" t="s">
        <v>3363</v>
      </c>
      <c r="M1295" s="12" t="s">
        <v>3363</v>
      </c>
      <c r="N1295" s="12" t="s">
        <v>5785</v>
      </c>
      <c r="O1295" s="12" t="s">
        <v>17</v>
      </c>
      <c r="P1295" s="12" t="s">
        <v>173</v>
      </c>
      <c r="Q1295" s="12" t="s">
        <v>6664</v>
      </c>
      <c r="R1295" s="12" t="s">
        <v>17</v>
      </c>
      <c r="S1295" s="12" t="s">
        <v>17</v>
      </c>
      <c r="T1295" s="12" t="s">
        <v>25</v>
      </c>
      <c r="U1295" s="12" t="s">
        <v>17</v>
      </c>
      <c r="V1295" s="12" t="s">
        <v>6639</v>
      </c>
      <c r="W1295" s="12" t="s">
        <v>6639</v>
      </c>
      <c r="X1295" s="12" t="s">
        <v>17</v>
      </c>
      <c r="Y1295" s="12">
        <v>1138775</v>
      </c>
      <c r="Z1295" s="12" t="s">
        <v>6613</v>
      </c>
      <c r="AA1295" s="12" t="s">
        <v>6613</v>
      </c>
      <c r="AB1295" s="12" t="s">
        <v>6613</v>
      </c>
      <c r="AC1295" s="12" t="s">
        <v>6613</v>
      </c>
      <c r="AD1295" s="12" t="s">
        <v>6613</v>
      </c>
      <c r="AE1295" s="12" t="s">
        <v>6613</v>
      </c>
      <c r="AF1295" s="12" t="s">
        <v>45</v>
      </c>
    </row>
    <row r="1296" spans="1:32" x14ac:dyDescent="0.2">
      <c r="A1296" s="12" t="s">
        <v>3423</v>
      </c>
      <c r="B1296" s="12" t="s">
        <v>3424</v>
      </c>
      <c r="C1296" s="12" t="s">
        <v>17</v>
      </c>
      <c r="D1296" s="12" t="s">
        <v>17</v>
      </c>
      <c r="E1296" s="12" t="s">
        <v>7678</v>
      </c>
      <c r="F1296" s="12" t="s">
        <v>5458</v>
      </c>
      <c r="G1296" s="12" t="s">
        <v>615</v>
      </c>
      <c r="H1296" s="12" t="s">
        <v>6613</v>
      </c>
      <c r="I1296" s="12">
        <v>0</v>
      </c>
      <c r="J1296" s="12" t="s">
        <v>164</v>
      </c>
      <c r="K1296" s="12" t="s">
        <v>6646</v>
      </c>
      <c r="L1296" s="12" t="s">
        <v>3363</v>
      </c>
      <c r="M1296" s="12" t="s">
        <v>3363</v>
      </c>
      <c r="N1296" s="12" t="s">
        <v>5785</v>
      </c>
      <c r="O1296" s="12" t="s">
        <v>17</v>
      </c>
      <c r="P1296" s="12" t="s">
        <v>173</v>
      </c>
      <c r="Q1296" s="12" t="s">
        <v>6664</v>
      </c>
      <c r="R1296" s="12" t="s">
        <v>17</v>
      </c>
      <c r="S1296" s="12" t="s">
        <v>17</v>
      </c>
      <c r="T1296" s="12" t="s">
        <v>25</v>
      </c>
      <c r="U1296" s="12" t="s">
        <v>17</v>
      </c>
      <c r="V1296" s="12" t="s">
        <v>6639</v>
      </c>
      <c r="W1296" s="12" t="s">
        <v>6639</v>
      </c>
      <c r="X1296" s="12" t="s">
        <v>17</v>
      </c>
      <c r="Y1296" s="12">
        <v>1139404</v>
      </c>
      <c r="Z1296" s="12" t="s">
        <v>6613</v>
      </c>
      <c r="AA1296" s="12" t="s">
        <v>6613</v>
      </c>
      <c r="AB1296" s="12" t="s">
        <v>6613</v>
      </c>
      <c r="AC1296" s="12" t="s">
        <v>6613</v>
      </c>
      <c r="AD1296" s="12" t="s">
        <v>6613</v>
      </c>
      <c r="AE1296" s="12" t="s">
        <v>6613</v>
      </c>
      <c r="AF1296" s="12" t="s">
        <v>45</v>
      </c>
    </row>
    <row r="1297" spans="1:32" x14ac:dyDescent="0.2">
      <c r="A1297" s="12" t="s">
        <v>3544</v>
      </c>
      <c r="B1297" s="12" t="s">
        <v>3545</v>
      </c>
      <c r="C1297" s="12" t="s">
        <v>17</v>
      </c>
      <c r="D1297" s="12" t="s">
        <v>17</v>
      </c>
      <c r="E1297" s="12" t="s">
        <v>7678</v>
      </c>
      <c r="F1297" s="12" t="s">
        <v>5458</v>
      </c>
      <c r="G1297" s="12" t="s">
        <v>615</v>
      </c>
      <c r="H1297" s="12" t="s">
        <v>6613</v>
      </c>
      <c r="I1297" s="12">
        <v>0</v>
      </c>
      <c r="J1297" s="12" t="s">
        <v>164</v>
      </c>
      <c r="K1297" s="12" t="s">
        <v>6646</v>
      </c>
      <c r="L1297" s="12" t="s">
        <v>3363</v>
      </c>
      <c r="M1297" s="12" t="s">
        <v>3363</v>
      </c>
      <c r="N1297" s="12" t="s">
        <v>5785</v>
      </c>
      <c r="O1297" s="12" t="s">
        <v>17</v>
      </c>
      <c r="P1297" s="12" t="s">
        <v>173</v>
      </c>
      <c r="Q1297" s="12" t="s">
        <v>6664</v>
      </c>
      <c r="R1297" s="12" t="s">
        <v>17</v>
      </c>
      <c r="S1297" s="12" t="s">
        <v>17</v>
      </c>
      <c r="T1297" s="12" t="s">
        <v>25</v>
      </c>
      <c r="U1297" s="12" t="s">
        <v>17</v>
      </c>
      <c r="V1297" s="12" t="s">
        <v>6639</v>
      </c>
      <c r="W1297" s="12" t="s">
        <v>6639</v>
      </c>
      <c r="X1297" s="12" t="s">
        <v>17</v>
      </c>
      <c r="Y1297" s="12">
        <v>1144016</v>
      </c>
      <c r="Z1297" s="12" t="s">
        <v>6613</v>
      </c>
      <c r="AA1297" s="12" t="s">
        <v>6613</v>
      </c>
      <c r="AB1297" s="12" t="s">
        <v>6613</v>
      </c>
      <c r="AC1297" s="12" t="s">
        <v>6613</v>
      </c>
      <c r="AD1297" s="12" t="s">
        <v>6613</v>
      </c>
      <c r="AE1297" s="12" t="s">
        <v>6613</v>
      </c>
      <c r="AF1297" s="12" t="s">
        <v>45</v>
      </c>
    </row>
    <row r="1298" spans="1:32" x14ac:dyDescent="0.2">
      <c r="A1298" s="12" t="s">
        <v>3442</v>
      </c>
      <c r="B1298" s="12" t="s">
        <v>3443</v>
      </c>
      <c r="C1298" s="12" t="s">
        <v>17</v>
      </c>
      <c r="D1298" s="12" t="s">
        <v>17</v>
      </c>
      <c r="E1298" s="12" t="s">
        <v>7678</v>
      </c>
      <c r="F1298" s="12" t="s">
        <v>5458</v>
      </c>
      <c r="G1298" s="12" t="s">
        <v>615</v>
      </c>
      <c r="H1298" s="12" t="s">
        <v>6613</v>
      </c>
      <c r="I1298" s="12">
        <v>0</v>
      </c>
      <c r="J1298" s="12" t="s">
        <v>164</v>
      </c>
      <c r="K1298" s="12" t="s">
        <v>6646</v>
      </c>
      <c r="L1298" s="12" t="s">
        <v>3363</v>
      </c>
      <c r="M1298" s="12" t="s">
        <v>3363</v>
      </c>
      <c r="N1298" s="12" t="s">
        <v>5785</v>
      </c>
      <c r="O1298" s="12" t="s">
        <v>17</v>
      </c>
      <c r="P1298" s="12" t="s">
        <v>173</v>
      </c>
      <c r="Q1298" s="12" t="s">
        <v>6664</v>
      </c>
      <c r="R1298" s="12" t="s">
        <v>17</v>
      </c>
      <c r="S1298" s="12" t="s">
        <v>17</v>
      </c>
      <c r="T1298" s="12" t="s">
        <v>25</v>
      </c>
      <c r="U1298" s="12" t="s">
        <v>17</v>
      </c>
      <c r="V1298" s="12" t="s">
        <v>6639</v>
      </c>
      <c r="W1298" s="12" t="s">
        <v>6639</v>
      </c>
      <c r="X1298" s="12" t="s">
        <v>17</v>
      </c>
      <c r="Y1298" s="12">
        <v>1144022</v>
      </c>
      <c r="Z1298" s="12" t="s">
        <v>6613</v>
      </c>
      <c r="AA1298" s="12" t="s">
        <v>6613</v>
      </c>
      <c r="AB1298" s="12" t="s">
        <v>6613</v>
      </c>
      <c r="AC1298" s="12" t="s">
        <v>6613</v>
      </c>
      <c r="AD1298" s="12" t="s">
        <v>6613</v>
      </c>
      <c r="AE1298" s="12" t="s">
        <v>6613</v>
      </c>
      <c r="AF1298" s="12" t="s">
        <v>45</v>
      </c>
    </row>
    <row r="1299" spans="1:32" x14ac:dyDescent="0.2">
      <c r="A1299" s="12" t="s">
        <v>3406</v>
      </c>
      <c r="B1299" s="12" t="s">
        <v>3407</v>
      </c>
      <c r="C1299" s="12" t="s">
        <v>17</v>
      </c>
      <c r="D1299" s="12" t="s">
        <v>17</v>
      </c>
      <c r="E1299" s="12" t="s">
        <v>7678</v>
      </c>
      <c r="F1299" s="12" t="s">
        <v>5458</v>
      </c>
      <c r="G1299" s="12" t="s">
        <v>615</v>
      </c>
      <c r="H1299" s="12" t="s">
        <v>6613</v>
      </c>
      <c r="I1299" s="12">
        <v>0</v>
      </c>
      <c r="J1299" s="12" t="s">
        <v>164</v>
      </c>
      <c r="K1299" s="12" t="s">
        <v>6646</v>
      </c>
      <c r="L1299" s="12" t="s">
        <v>3363</v>
      </c>
      <c r="M1299" s="12" t="s">
        <v>3363</v>
      </c>
      <c r="N1299" s="12" t="s">
        <v>5785</v>
      </c>
      <c r="O1299" s="12" t="s">
        <v>17</v>
      </c>
      <c r="P1299" s="12" t="s">
        <v>173</v>
      </c>
      <c r="Q1299" s="12" t="s">
        <v>6664</v>
      </c>
      <c r="R1299" s="12" t="s">
        <v>17</v>
      </c>
      <c r="S1299" s="12" t="s">
        <v>17</v>
      </c>
      <c r="T1299" s="12" t="s">
        <v>25</v>
      </c>
      <c r="U1299" s="12" t="s">
        <v>17</v>
      </c>
      <c r="V1299" s="12" t="s">
        <v>6639</v>
      </c>
      <c r="W1299" s="12" t="s">
        <v>6639</v>
      </c>
      <c r="X1299" s="12" t="s">
        <v>17</v>
      </c>
      <c r="Y1299" s="12">
        <v>1144212</v>
      </c>
      <c r="Z1299" s="12" t="s">
        <v>6613</v>
      </c>
      <c r="AA1299" s="12" t="s">
        <v>6613</v>
      </c>
      <c r="AB1299" s="12" t="s">
        <v>6613</v>
      </c>
      <c r="AC1299" s="12" t="s">
        <v>6613</v>
      </c>
      <c r="AD1299" s="12" t="s">
        <v>6613</v>
      </c>
      <c r="AE1299" s="12" t="s">
        <v>6613</v>
      </c>
      <c r="AF1299" s="12" t="s">
        <v>45</v>
      </c>
    </row>
    <row r="1300" spans="1:32" x14ac:dyDescent="0.2">
      <c r="A1300" s="12" t="s">
        <v>3432</v>
      </c>
      <c r="B1300" s="12" t="s">
        <v>3433</v>
      </c>
      <c r="C1300" s="12" t="s">
        <v>17</v>
      </c>
      <c r="D1300" s="12" t="s">
        <v>17</v>
      </c>
      <c r="E1300" s="12" t="s">
        <v>7678</v>
      </c>
      <c r="F1300" s="12" t="s">
        <v>5458</v>
      </c>
      <c r="G1300" s="12" t="s">
        <v>615</v>
      </c>
      <c r="H1300" s="12" t="s">
        <v>6613</v>
      </c>
      <c r="I1300" s="12">
        <v>0</v>
      </c>
      <c r="J1300" s="12" t="s">
        <v>164</v>
      </c>
      <c r="K1300" s="12" t="s">
        <v>6646</v>
      </c>
      <c r="L1300" s="12" t="s">
        <v>3363</v>
      </c>
      <c r="M1300" s="12" t="s">
        <v>3363</v>
      </c>
      <c r="N1300" s="12" t="s">
        <v>5785</v>
      </c>
      <c r="O1300" s="12" t="s">
        <v>17</v>
      </c>
      <c r="P1300" s="12" t="s">
        <v>173</v>
      </c>
      <c r="Q1300" s="12" t="s">
        <v>6664</v>
      </c>
      <c r="R1300" s="12" t="s">
        <v>17</v>
      </c>
      <c r="S1300" s="12" t="s">
        <v>17</v>
      </c>
      <c r="T1300" s="12" t="s">
        <v>25</v>
      </c>
      <c r="U1300" s="12" t="s">
        <v>17</v>
      </c>
      <c r="V1300" s="12" t="s">
        <v>6639</v>
      </c>
      <c r="W1300" s="12" t="s">
        <v>6639</v>
      </c>
      <c r="X1300" s="12" t="s">
        <v>17</v>
      </c>
      <c r="Y1300" s="12">
        <v>1144442</v>
      </c>
      <c r="Z1300" s="12" t="s">
        <v>6613</v>
      </c>
      <c r="AA1300" s="12" t="s">
        <v>6613</v>
      </c>
      <c r="AB1300" s="12" t="s">
        <v>6613</v>
      </c>
      <c r="AC1300" s="12" t="s">
        <v>6613</v>
      </c>
      <c r="AD1300" s="12" t="s">
        <v>6613</v>
      </c>
      <c r="AE1300" s="12" t="s">
        <v>6613</v>
      </c>
      <c r="AF1300" s="12" t="s">
        <v>45</v>
      </c>
    </row>
    <row r="1301" spans="1:32" x14ac:dyDescent="0.2">
      <c r="A1301" s="12" t="s">
        <v>3496</v>
      </c>
      <c r="B1301" s="12" t="s">
        <v>3497</v>
      </c>
      <c r="C1301" s="12" t="s">
        <v>17</v>
      </c>
      <c r="D1301" s="12" t="s">
        <v>17</v>
      </c>
      <c r="E1301" s="12" t="s">
        <v>7678</v>
      </c>
      <c r="F1301" s="12" t="s">
        <v>5458</v>
      </c>
      <c r="G1301" s="12" t="s">
        <v>615</v>
      </c>
      <c r="H1301" s="12" t="s">
        <v>6613</v>
      </c>
      <c r="I1301" s="12">
        <v>0</v>
      </c>
      <c r="J1301" s="12" t="s">
        <v>164</v>
      </c>
      <c r="K1301" s="12" t="s">
        <v>6646</v>
      </c>
      <c r="L1301" s="12" t="s">
        <v>3363</v>
      </c>
      <c r="M1301" s="12" t="s">
        <v>3363</v>
      </c>
      <c r="N1301" s="12" t="s">
        <v>5785</v>
      </c>
      <c r="O1301" s="12" t="s">
        <v>17</v>
      </c>
      <c r="P1301" s="12" t="s">
        <v>173</v>
      </c>
      <c r="Q1301" s="12" t="s">
        <v>6664</v>
      </c>
      <c r="R1301" s="12" t="s">
        <v>17</v>
      </c>
      <c r="S1301" s="12" t="s">
        <v>17</v>
      </c>
      <c r="T1301" s="12" t="s">
        <v>25</v>
      </c>
      <c r="U1301" s="12" t="s">
        <v>17</v>
      </c>
      <c r="V1301" s="12" t="s">
        <v>6639</v>
      </c>
      <c r="W1301" s="12" t="s">
        <v>6639</v>
      </c>
      <c r="X1301" s="12" t="s">
        <v>17</v>
      </c>
      <c r="Y1301" s="12">
        <v>1145435</v>
      </c>
      <c r="Z1301" s="12" t="s">
        <v>6613</v>
      </c>
      <c r="AA1301" s="12" t="s">
        <v>6613</v>
      </c>
      <c r="AB1301" s="12" t="s">
        <v>6613</v>
      </c>
      <c r="AC1301" s="12" t="s">
        <v>6613</v>
      </c>
      <c r="AD1301" s="12" t="s">
        <v>6613</v>
      </c>
      <c r="AE1301" s="12" t="s">
        <v>6613</v>
      </c>
      <c r="AF1301" s="12" t="s">
        <v>45</v>
      </c>
    </row>
    <row r="1302" spans="1:32" x14ac:dyDescent="0.2">
      <c r="A1302" s="12" t="s">
        <v>3391</v>
      </c>
      <c r="B1302" s="12" t="s">
        <v>3392</v>
      </c>
      <c r="C1302" s="12" t="s">
        <v>17</v>
      </c>
      <c r="D1302" s="12" t="s">
        <v>17</v>
      </c>
      <c r="E1302" s="12" t="s">
        <v>7678</v>
      </c>
      <c r="F1302" s="12" t="s">
        <v>5458</v>
      </c>
      <c r="G1302" s="12" t="s">
        <v>615</v>
      </c>
      <c r="H1302" s="12" t="s">
        <v>6613</v>
      </c>
      <c r="I1302" s="12">
        <v>0</v>
      </c>
      <c r="J1302" s="12" t="s">
        <v>164</v>
      </c>
      <c r="K1302" s="12" t="s">
        <v>6646</v>
      </c>
      <c r="L1302" s="12" t="s">
        <v>3363</v>
      </c>
      <c r="M1302" s="12" t="s">
        <v>3363</v>
      </c>
      <c r="N1302" s="12" t="s">
        <v>5785</v>
      </c>
      <c r="O1302" s="12" t="s">
        <v>17</v>
      </c>
      <c r="P1302" s="12" t="s">
        <v>173</v>
      </c>
      <c r="Q1302" s="12" t="s">
        <v>6664</v>
      </c>
      <c r="R1302" s="16" t="s">
        <v>17</v>
      </c>
      <c r="S1302" s="16" t="s">
        <v>17</v>
      </c>
      <c r="T1302" s="12" t="s">
        <v>25</v>
      </c>
      <c r="U1302" s="12" t="s">
        <v>17</v>
      </c>
      <c r="V1302" s="12" t="s">
        <v>6639</v>
      </c>
      <c r="W1302" s="12" t="s">
        <v>6639</v>
      </c>
      <c r="X1302" s="12" t="s">
        <v>17</v>
      </c>
      <c r="Y1302" s="12">
        <v>1145520</v>
      </c>
      <c r="Z1302" s="12" t="s">
        <v>6613</v>
      </c>
      <c r="AA1302" s="12" t="s">
        <v>6613</v>
      </c>
      <c r="AB1302" s="12" t="s">
        <v>6613</v>
      </c>
      <c r="AC1302" s="12" t="s">
        <v>6613</v>
      </c>
      <c r="AD1302" s="12" t="s">
        <v>6613</v>
      </c>
      <c r="AE1302" s="12" t="s">
        <v>6613</v>
      </c>
      <c r="AF1302" s="12" t="s">
        <v>45</v>
      </c>
    </row>
    <row r="1303" spans="1:32" x14ac:dyDescent="0.2">
      <c r="A1303" s="12" t="s">
        <v>3540</v>
      </c>
      <c r="B1303" s="12" t="s">
        <v>3541</v>
      </c>
      <c r="C1303" s="12" t="s">
        <v>17</v>
      </c>
      <c r="D1303" s="12" t="s">
        <v>17</v>
      </c>
      <c r="E1303" s="12" t="s">
        <v>7678</v>
      </c>
      <c r="F1303" s="12" t="s">
        <v>5458</v>
      </c>
      <c r="G1303" s="12" t="s">
        <v>615</v>
      </c>
      <c r="H1303" s="12" t="s">
        <v>6613</v>
      </c>
      <c r="I1303" s="12">
        <v>0</v>
      </c>
      <c r="J1303" s="12" t="s">
        <v>164</v>
      </c>
      <c r="K1303" s="12" t="s">
        <v>6646</v>
      </c>
      <c r="L1303" s="12" t="s">
        <v>3363</v>
      </c>
      <c r="M1303" s="12" t="s">
        <v>3363</v>
      </c>
      <c r="N1303" s="12" t="s">
        <v>5785</v>
      </c>
      <c r="O1303" s="12" t="s">
        <v>17</v>
      </c>
      <c r="P1303" s="12" t="s">
        <v>173</v>
      </c>
      <c r="Q1303" s="12" t="s">
        <v>6664</v>
      </c>
      <c r="R1303" s="16" t="s">
        <v>17</v>
      </c>
      <c r="S1303" s="16" t="s">
        <v>17</v>
      </c>
      <c r="T1303" s="12" t="s">
        <v>25</v>
      </c>
      <c r="U1303" s="12" t="s">
        <v>17</v>
      </c>
      <c r="V1303" s="12" t="s">
        <v>6639</v>
      </c>
      <c r="W1303" s="12" t="s">
        <v>6639</v>
      </c>
      <c r="X1303" s="12" t="s">
        <v>17</v>
      </c>
      <c r="Y1303" s="12">
        <v>1145544</v>
      </c>
      <c r="Z1303" s="12" t="s">
        <v>6613</v>
      </c>
      <c r="AA1303" s="12" t="s">
        <v>6613</v>
      </c>
      <c r="AB1303" s="12" t="s">
        <v>6613</v>
      </c>
      <c r="AC1303" s="12" t="s">
        <v>6613</v>
      </c>
      <c r="AD1303" s="12" t="s">
        <v>6613</v>
      </c>
      <c r="AE1303" s="12" t="s">
        <v>6613</v>
      </c>
      <c r="AF1303" s="12" t="s">
        <v>45</v>
      </c>
    </row>
    <row r="1304" spans="1:32" x14ac:dyDescent="0.2">
      <c r="A1304" s="12" t="s">
        <v>3520</v>
      </c>
      <c r="B1304" s="12" t="s">
        <v>3521</v>
      </c>
      <c r="C1304" s="12" t="s">
        <v>17</v>
      </c>
      <c r="D1304" s="12" t="s">
        <v>17</v>
      </c>
      <c r="E1304" s="12" t="s">
        <v>7678</v>
      </c>
      <c r="F1304" s="12" t="s">
        <v>5458</v>
      </c>
      <c r="G1304" s="12" t="s">
        <v>615</v>
      </c>
      <c r="H1304" s="12" t="s">
        <v>6613</v>
      </c>
      <c r="I1304" s="12">
        <v>0</v>
      </c>
      <c r="J1304" s="12" t="s">
        <v>164</v>
      </c>
      <c r="K1304" s="12" t="s">
        <v>6646</v>
      </c>
      <c r="L1304" s="12" t="s">
        <v>3363</v>
      </c>
      <c r="M1304" s="12" t="s">
        <v>3363</v>
      </c>
      <c r="N1304" s="12" t="s">
        <v>5785</v>
      </c>
      <c r="O1304" s="12" t="s">
        <v>17</v>
      </c>
      <c r="P1304" s="12" t="s">
        <v>173</v>
      </c>
      <c r="Q1304" s="12" t="s">
        <v>6664</v>
      </c>
      <c r="R1304" s="12" t="s">
        <v>17</v>
      </c>
      <c r="S1304" s="12" t="s">
        <v>17</v>
      </c>
      <c r="T1304" s="12" t="s">
        <v>25</v>
      </c>
      <c r="U1304" s="12" t="s">
        <v>17</v>
      </c>
      <c r="V1304" s="12" t="s">
        <v>6639</v>
      </c>
      <c r="W1304" s="12" t="s">
        <v>6639</v>
      </c>
      <c r="X1304" s="12" t="s">
        <v>17</v>
      </c>
      <c r="Y1304" s="12">
        <v>1145922</v>
      </c>
      <c r="Z1304" s="12" t="s">
        <v>6613</v>
      </c>
      <c r="AA1304" s="12" t="s">
        <v>6613</v>
      </c>
      <c r="AB1304" s="12" t="s">
        <v>6613</v>
      </c>
      <c r="AC1304" s="12" t="s">
        <v>6613</v>
      </c>
      <c r="AD1304" s="12" t="s">
        <v>6613</v>
      </c>
      <c r="AE1304" s="12" t="s">
        <v>6613</v>
      </c>
      <c r="AF1304" s="12" t="s">
        <v>45</v>
      </c>
    </row>
    <row r="1305" spans="1:32" x14ac:dyDescent="0.2">
      <c r="A1305" s="12" t="s">
        <v>3522</v>
      </c>
      <c r="B1305" s="12" t="s">
        <v>3523</v>
      </c>
      <c r="C1305" s="12" t="s">
        <v>17</v>
      </c>
      <c r="D1305" s="12" t="s">
        <v>17</v>
      </c>
      <c r="E1305" s="12" t="s">
        <v>7678</v>
      </c>
      <c r="F1305" s="12" t="s">
        <v>5458</v>
      </c>
      <c r="G1305" s="12" t="s">
        <v>615</v>
      </c>
      <c r="H1305" s="12" t="s">
        <v>6613</v>
      </c>
      <c r="I1305" s="12">
        <v>0</v>
      </c>
      <c r="J1305" s="12" t="s">
        <v>164</v>
      </c>
      <c r="K1305" s="12" t="s">
        <v>6646</v>
      </c>
      <c r="L1305" s="12" t="s">
        <v>3363</v>
      </c>
      <c r="M1305" s="12" t="s">
        <v>3363</v>
      </c>
      <c r="N1305" s="12" t="s">
        <v>5785</v>
      </c>
      <c r="O1305" s="12" t="s">
        <v>17</v>
      </c>
      <c r="P1305" s="12" t="s">
        <v>173</v>
      </c>
      <c r="Q1305" s="12" t="s">
        <v>6664</v>
      </c>
      <c r="R1305" s="16" t="s">
        <v>17</v>
      </c>
      <c r="S1305" s="16" t="s">
        <v>17</v>
      </c>
      <c r="T1305" s="12" t="s">
        <v>25</v>
      </c>
      <c r="U1305" s="12" t="s">
        <v>17</v>
      </c>
      <c r="V1305" s="12" t="s">
        <v>6639</v>
      </c>
      <c r="W1305" s="12" t="s">
        <v>6639</v>
      </c>
      <c r="X1305" s="12" t="s">
        <v>17</v>
      </c>
      <c r="Y1305" s="12">
        <v>1145929</v>
      </c>
      <c r="Z1305" s="12" t="s">
        <v>6613</v>
      </c>
      <c r="AA1305" s="12" t="s">
        <v>6613</v>
      </c>
      <c r="AB1305" s="12" t="s">
        <v>6613</v>
      </c>
      <c r="AC1305" s="12" t="s">
        <v>6613</v>
      </c>
      <c r="AD1305" s="12" t="s">
        <v>6613</v>
      </c>
      <c r="AE1305" s="12" t="s">
        <v>6613</v>
      </c>
      <c r="AF1305" s="12" t="s">
        <v>45</v>
      </c>
    </row>
    <row r="1306" spans="1:32" x14ac:dyDescent="0.2">
      <c r="A1306" s="12" t="s">
        <v>3512</v>
      </c>
      <c r="B1306" s="12" t="s">
        <v>3513</v>
      </c>
      <c r="C1306" s="12" t="s">
        <v>17</v>
      </c>
      <c r="D1306" s="12" t="s">
        <v>17</v>
      </c>
      <c r="E1306" s="12" t="s">
        <v>7678</v>
      </c>
      <c r="F1306" s="12" t="s">
        <v>5458</v>
      </c>
      <c r="G1306" s="12" t="s">
        <v>615</v>
      </c>
      <c r="H1306" s="12" t="s">
        <v>6613</v>
      </c>
      <c r="I1306" s="12">
        <v>0</v>
      </c>
      <c r="J1306" s="12" t="s">
        <v>164</v>
      </c>
      <c r="K1306" s="12" t="s">
        <v>6646</v>
      </c>
      <c r="L1306" s="12" t="s">
        <v>3363</v>
      </c>
      <c r="M1306" s="12" t="s">
        <v>3363</v>
      </c>
      <c r="N1306" s="12" t="s">
        <v>5785</v>
      </c>
      <c r="O1306" s="12" t="s">
        <v>17</v>
      </c>
      <c r="P1306" s="12" t="s">
        <v>173</v>
      </c>
      <c r="Q1306" s="12" t="s">
        <v>6664</v>
      </c>
      <c r="R1306" s="16" t="s">
        <v>17</v>
      </c>
      <c r="S1306" s="16" t="s">
        <v>17</v>
      </c>
      <c r="T1306" s="12" t="s">
        <v>25</v>
      </c>
      <c r="U1306" s="12" t="s">
        <v>17</v>
      </c>
      <c r="V1306" s="12" t="s">
        <v>6639</v>
      </c>
      <c r="W1306" s="12" t="s">
        <v>6639</v>
      </c>
      <c r="X1306" s="12" t="s">
        <v>17</v>
      </c>
      <c r="Y1306" s="12">
        <v>1146002</v>
      </c>
      <c r="Z1306" s="12" t="s">
        <v>6613</v>
      </c>
      <c r="AA1306" s="12" t="s">
        <v>6613</v>
      </c>
      <c r="AB1306" s="12" t="s">
        <v>6613</v>
      </c>
      <c r="AC1306" s="12" t="s">
        <v>6613</v>
      </c>
      <c r="AD1306" s="12" t="s">
        <v>6613</v>
      </c>
      <c r="AE1306" s="12" t="s">
        <v>6613</v>
      </c>
      <c r="AF1306" s="12" t="s">
        <v>45</v>
      </c>
    </row>
    <row r="1307" spans="1:32" x14ac:dyDescent="0.2">
      <c r="A1307" s="12" t="s">
        <v>3458</v>
      </c>
      <c r="B1307" s="12" t="s">
        <v>3459</v>
      </c>
      <c r="C1307" s="12" t="s">
        <v>17</v>
      </c>
      <c r="D1307" s="12" t="s">
        <v>17</v>
      </c>
      <c r="E1307" s="12" t="s">
        <v>7678</v>
      </c>
      <c r="F1307" s="12" t="s">
        <v>5458</v>
      </c>
      <c r="G1307" s="12" t="s">
        <v>615</v>
      </c>
      <c r="H1307" s="12" t="s">
        <v>6613</v>
      </c>
      <c r="I1307" s="12">
        <v>0</v>
      </c>
      <c r="J1307" s="12" t="s">
        <v>164</v>
      </c>
      <c r="K1307" s="12" t="s">
        <v>6646</v>
      </c>
      <c r="L1307" s="12" t="s">
        <v>3363</v>
      </c>
      <c r="M1307" s="12" t="s">
        <v>3363</v>
      </c>
      <c r="N1307" s="12" t="s">
        <v>5785</v>
      </c>
      <c r="O1307" s="12" t="s">
        <v>17</v>
      </c>
      <c r="P1307" s="12" t="s">
        <v>173</v>
      </c>
      <c r="Q1307" s="12" t="s">
        <v>6664</v>
      </c>
      <c r="R1307" s="12" t="s">
        <v>17</v>
      </c>
      <c r="S1307" s="12" t="s">
        <v>17</v>
      </c>
      <c r="T1307" s="12" t="s">
        <v>25</v>
      </c>
      <c r="U1307" s="12" t="s">
        <v>17</v>
      </c>
      <c r="V1307" s="12" t="s">
        <v>6639</v>
      </c>
      <c r="W1307" s="12" t="s">
        <v>6639</v>
      </c>
      <c r="X1307" s="12" t="s">
        <v>17</v>
      </c>
      <c r="Y1307" s="12">
        <v>1146026</v>
      </c>
      <c r="Z1307" s="12" t="s">
        <v>6613</v>
      </c>
      <c r="AA1307" s="12" t="s">
        <v>6613</v>
      </c>
      <c r="AB1307" s="12" t="s">
        <v>6613</v>
      </c>
      <c r="AC1307" s="12" t="s">
        <v>6613</v>
      </c>
      <c r="AD1307" s="12" t="s">
        <v>6613</v>
      </c>
      <c r="AE1307" s="12" t="s">
        <v>6613</v>
      </c>
      <c r="AF1307" s="12" t="s">
        <v>45</v>
      </c>
    </row>
    <row r="1308" spans="1:32" x14ac:dyDescent="0.2">
      <c r="A1308" s="12" t="s">
        <v>3382</v>
      </c>
      <c r="B1308" s="12" t="s">
        <v>3383</v>
      </c>
      <c r="C1308" s="12" t="s">
        <v>17</v>
      </c>
      <c r="D1308" s="12" t="s">
        <v>17</v>
      </c>
      <c r="E1308" s="12" t="s">
        <v>7678</v>
      </c>
      <c r="F1308" s="12" t="s">
        <v>5458</v>
      </c>
      <c r="G1308" s="12" t="s">
        <v>615</v>
      </c>
      <c r="H1308" s="12" t="s">
        <v>6613</v>
      </c>
      <c r="I1308" s="12">
        <v>0</v>
      </c>
      <c r="J1308" s="12" t="s">
        <v>164</v>
      </c>
      <c r="K1308" s="12" t="s">
        <v>6646</v>
      </c>
      <c r="L1308" s="12" t="s">
        <v>3363</v>
      </c>
      <c r="M1308" s="12" t="s">
        <v>3363</v>
      </c>
      <c r="N1308" s="12" t="s">
        <v>5785</v>
      </c>
      <c r="O1308" s="12" t="s">
        <v>17</v>
      </c>
      <c r="P1308" s="12" t="s">
        <v>173</v>
      </c>
      <c r="Q1308" s="12" t="s">
        <v>6664</v>
      </c>
      <c r="R1308" s="12" t="s">
        <v>17</v>
      </c>
      <c r="S1308" s="12" t="s">
        <v>17</v>
      </c>
      <c r="T1308" s="12" t="s">
        <v>11</v>
      </c>
      <c r="U1308" s="12" t="s">
        <v>17</v>
      </c>
      <c r="V1308" s="12" t="s">
        <v>232</v>
      </c>
      <c r="W1308" s="12" t="s">
        <v>7415</v>
      </c>
      <c r="X1308" s="12" t="s">
        <v>17</v>
      </c>
      <c r="Y1308" s="12">
        <v>1146235</v>
      </c>
      <c r="Z1308" s="12" t="s">
        <v>6613</v>
      </c>
      <c r="AA1308" s="12" t="s">
        <v>6613</v>
      </c>
      <c r="AB1308" s="12" t="s">
        <v>6613</v>
      </c>
      <c r="AC1308" s="12" t="s">
        <v>6613</v>
      </c>
      <c r="AD1308" s="12" t="s">
        <v>6613</v>
      </c>
      <c r="AE1308" s="12" t="s">
        <v>6613</v>
      </c>
      <c r="AF1308" s="12" t="s">
        <v>45</v>
      </c>
    </row>
    <row r="1309" spans="1:32" x14ac:dyDescent="0.2">
      <c r="A1309" s="12" t="s">
        <v>3553</v>
      </c>
      <c r="B1309" s="12" t="s">
        <v>3554</v>
      </c>
      <c r="C1309" s="12" t="s">
        <v>17</v>
      </c>
      <c r="D1309" s="12" t="s">
        <v>17</v>
      </c>
      <c r="E1309" s="12" t="s">
        <v>7678</v>
      </c>
      <c r="F1309" s="12" t="s">
        <v>5458</v>
      </c>
      <c r="G1309" s="12" t="s">
        <v>615</v>
      </c>
      <c r="H1309" s="12" t="s">
        <v>6613</v>
      </c>
      <c r="I1309" s="12">
        <v>0</v>
      </c>
      <c r="J1309" s="12" t="s">
        <v>164</v>
      </c>
      <c r="K1309" s="12" t="s">
        <v>6646</v>
      </c>
      <c r="L1309" s="12" t="s">
        <v>3363</v>
      </c>
      <c r="M1309" s="12" t="s">
        <v>3363</v>
      </c>
      <c r="N1309" s="12" t="s">
        <v>5785</v>
      </c>
      <c r="O1309" s="12" t="s">
        <v>17</v>
      </c>
      <c r="P1309" s="12" t="s">
        <v>173</v>
      </c>
      <c r="Q1309" s="12" t="s">
        <v>6664</v>
      </c>
      <c r="R1309" s="12" t="s">
        <v>17</v>
      </c>
      <c r="S1309" s="12" t="s">
        <v>17</v>
      </c>
      <c r="T1309" s="12" t="s">
        <v>25</v>
      </c>
      <c r="U1309" s="12" t="s">
        <v>17</v>
      </c>
      <c r="V1309" s="12" t="s">
        <v>6639</v>
      </c>
      <c r="W1309" s="12" t="s">
        <v>6639</v>
      </c>
      <c r="X1309" s="12" t="s">
        <v>17</v>
      </c>
      <c r="Y1309" s="12">
        <v>1146486</v>
      </c>
      <c r="Z1309" s="12" t="s">
        <v>6613</v>
      </c>
      <c r="AA1309" s="12" t="s">
        <v>6613</v>
      </c>
      <c r="AB1309" s="12" t="s">
        <v>6613</v>
      </c>
      <c r="AC1309" s="12" t="s">
        <v>6613</v>
      </c>
      <c r="AD1309" s="12" t="s">
        <v>6613</v>
      </c>
      <c r="AE1309" s="12" t="s">
        <v>6613</v>
      </c>
      <c r="AF1309" s="12" t="s">
        <v>45</v>
      </c>
    </row>
    <row r="1310" spans="1:32" x14ac:dyDescent="0.2">
      <c r="A1310" s="12" t="s">
        <v>3393</v>
      </c>
      <c r="B1310" s="12" t="s">
        <v>3394</v>
      </c>
      <c r="C1310" s="12" t="s">
        <v>17</v>
      </c>
      <c r="D1310" s="12" t="s">
        <v>17</v>
      </c>
      <c r="E1310" s="12" t="s">
        <v>7678</v>
      </c>
      <c r="F1310" s="12" t="s">
        <v>5458</v>
      </c>
      <c r="G1310" s="12" t="s">
        <v>615</v>
      </c>
      <c r="H1310" s="12" t="s">
        <v>6613</v>
      </c>
      <c r="I1310" s="12">
        <v>0</v>
      </c>
      <c r="J1310" s="12" t="s">
        <v>164</v>
      </c>
      <c r="K1310" s="12" t="s">
        <v>6646</v>
      </c>
      <c r="L1310" s="12" t="s">
        <v>3363</v>
      </c>
      <c r="M1310" s="12" t="s">
        <v>3363</v>
      </c>
      <c r="N1310" s="12" t="s">
        <v>5785</v>
      </c>
      <c r="O1310" s="12" t="s">
        <v>17</v>
      </c>
      <c r="P1310" s="12" t="s">
        <v>173</v>
      </c>
      <c r="Q1310" s="12" t="s">
        <v>6664</v>
      </c>
      <c r="R1310" s="12" t="s">
        <v>17</v>
      </c>
      <c r="S1310" s="12" t="s">
        <v>17</v>
      </c>
      <c r="T1310" s="12" t="s">
        <v>11</v>
      </c>
      <c r="U1310" s="12" t="s">
        <v>17</v>
      </c>
      <c r="V1310" s="12" t="s">
        <v>653</v>
      </c>
      <c r="W1310" s="12" t="s">
        <v>7415</v>
      </c>
      <c r="X1310" s="12" t="s">
        <v>17</v>
      </c>
      <c r="Y1310" s="12">
        <v>1146654</v>
      </c>
      <c r="Z1310" s="12" t="s">
        <v>6613</v>
      </c>
      <c r="AA1310" s="12" t="s">
        <v>6613</v>
      </c>
      <c r="AB1310" s="12" t="s">
        <v>6613</v>
      </c>
      <c r="AC1310" s="12" t="s">
        <v>6613</v>
      </c>
      <c r="AD1310" s="12" t="s">
        <v>6613</v>
      </c>
      <c r="AE1310" s="12" t="s">
        <v>6613</v>
      </c>
      <c r="AF1310" s="12" t="s">
        <v>45</v>
      </c>
    </row>
    <row r="1311" spans="1:32" x14ac:dyDescent="0.2">
      <c r="A1311" s="12" t="s">
        <v>3462</v>
      </c>
      <c r="B1311" s="12" t="s">
        <v>3463</v>
      </c>
      <c r="C1311" s="12" t="s">
        <v>17</v>
      </c>
      <c r="D1311" s="12" t="s">
        <v>17</v>
      </c>
      <c r="E1311" s="12" t="s">
        <v>7678</v>
      </c>
      <c r="F1311" s="12" t="s">
        <v>5458</v>
      </c>
      <c r="G1311" s="12" t="s">
        <v>615</v>
      </c>
      <c r="H1311" s="12" t="s">
        <v>6613</v>
      </c>
      <c r="I1311" s="12">
        <v>0</v>
      </c>
      <c r="J1311" s="12" t="s">
        <v>164</v>
      </c>
      <c r="K1311" s="12" t="s">
        <v>6646</v>
      </c>
      <c r="L1311" s="12" t="s">
        <v>3363</v>
      </c>
      <c r="M1311" s="12" t="s">
        <v>3363</v>
      </c>
      <c r="N1311" s="12" t="s">
        <v>5785</v>
      </c>
      <c r="O1311" s="12" t="s">
        <v>17</v>
      </c>
      <c r="P1311" s="12" t="s">
        <v>173</v>
      </c>
      <c r="Q1311" s="12" t="s">
        <v>6664</v>
      </c>
      <c r="R1311" s="12" t="s">
        <v>17</v>
      </c>
      <c r="S1311" s="12" t="s">
        <v>17</v>
      </c>
      <c r="T1311" s="12" t="s">
        <v>25</v>
      </c>
      <c r="U1311" s="12" t="s">
        <v>17</v>
      </c>
      <c r="V1311" s="12" t="s">
        <v>6639</v>
      </c>
      <c r="W1311" s="12" t="s">
        <v>6639</v>
      </c>
      <c r="X1311" s="12" t="s">
        <v>17</v>
      </c>
      <c r="Y1311" s="12">
        <v>1146862</v>
      </c>
      <c r="Z1311" s="12" t="s">
        <v>6613</v>
      </c>
      <c r="AA1311" s="12" t="s">
        <v>6613</v>
      </c>
      <c r="AB1311" s="12" t="s">
        <v>6613</v>
      </c>
      <c r="AC1311" s="12" t="s">
        <v>6613</v>
      </c>
      <c r="AD1311" s="12" t="s">
        <v>6613</v>
      </c>
      <c r="AE1311" s="12" t="s">
        <v>6613</v>
      </c>
      <c r="AF1311" s="12" t="s">
        <v>45</v>
      </c>
    </row>
    <row r="1312" spans="1:32" x14ac:dyDescent="0.2">
      <c r="A1312" s="12" t="s">
        <v>3483</v>
      </c>
      <c r="B1312" s="12" t="s">
        <v>3484</v>
      </c>
      <c r="C1312" s="12" t="s">
        <v>17</v>
      </c>
      <c r="D1312" s="12" t="s">
        <v>17</v>
      </c>
      <c r="E1312" s="12" t="s">
        <v>7678</v>
      </c>
      <c r="F1312" s="12" t="s">
        <v>5458</v>
      </c>
      <c r="G1312" s="12" t="s">
        <v>615</v>
      </c>
      <c r="H1312" s="12" t="s">
        <v>6613</v>
      </c>
      <c r="I1312" s="12">
        <v>0</v>
      </c>
      <c r="J1312" s="12" t="s">
        <v>164</v>
      </c>
      <c r="K1312" s="12" t="s">
        <v>6646</v>
      </c>
      <c r="L1312" s="12" t="s">
        <v>3363</v>
      </c>
      <c r="M1312" s="12" t="s">
        <v>3363</v>
      </c>
      <c r="N1312" s="12" t="s">
        <v>5785</v>
      </c>
      <c r="O1312" s="12" t="s">
        <v>17</v>
      </c>
      <c r="P1312" s="12" t="s">
        <v>173</v>
      </c>
      <c r="Q1312" s="12" t="s">
        <v>6664</v>
      </c>
      <c r="R1312" s="12" t="s">
        <v>17</v>
      </c>
      <c r="S1312" s="12" t="s">
        <v>17</v>
      </c>
      <c r="T1312" s="12" t="s">
        <v>25</v>
      </c>
      <c r="U1312" s="12" t="s">
        <v>17</v>
      </c>
      <c r="V1312" s="12" t="s">
        <v>6639</v>
      </c>
      <c r="W1312" s="12" t="s">
        <v>6639</v>
      </c>
      <c r="X1312" s="12" t="s">
        <v>17</v>
      </c>
      <c r="Y1312" s="12">
        <v>1147041</v>
      </c>
      <c r="Z1312" s="12" t="s">
        <v>6613</v>
      </c>
      <c r="AA1312" s="12" t="s">
        <v>6613</v>
      </c>
      <c r="AB1312" s="12" t="s">
        <v>6613</v>
      </c>
      <c r="AC1312" s="12" t="s">
        <v>6613</v>
      </c>
      <c r="AD1312" s="12" t="s">
        <v>6613</v>
      </c>
      <c r="AE1312" s="12" t="s">
        <v>6613</v>
      </c>
      <c r="AF1312" s="12" t="s">
        <v>45</v>
      </c>
    </row>
    <row r="1313" spans="1:32" x14ac:dyDescent="0.2">
      <c r="A1313" s="12" t="s">
        <v>3397</v>
      </c>
      <c r="B1313" s="12" t="s">
        <v>3398</v>
      </c>
      <c r="C1313" s="12" t="s">
        <v>17</v>
      </c>
      <c r="D1313" s="12" t="s">
        <v>17</v>
      </c>
      <c r="E1313" s="12" t="s">
        <v>7678</v>
      </c>
      <c r="F1313" s="12" t="s">
        <v>5458</v>
      </c>
      <c r="G1313" s="12" t="s">
        <v>615</v>
      </c>
      <c r="H1313" s="12" t="s">
        <v>6613</v>
      </c>
      <c r="I1313" s="12">
        <v>0</v>
      </c>
      <c r="J1313" s="12" t="s">
        <v>164</v>
      </c>
      <c r="K1313" s="12" t="s">
        <v>6646</v>
      </c>
      <c r="L1313" s="12" t="s">
        <v>3363</v>
      </c>
      <c r="M1313" s="12" t="s">
        <v>3363</v>
      </c>
      <c r="N1313" s="12" t="s">
        <v>5785</v>
      </c>
      <c r="O1313" s="12" t="s">
        <v>17</v>
      </c>
      <c r="P1313" s="12" t="s">
        <v>173</v>
      </c>
      <c r="Q1313" s="12" t="s">
        <v>6664</v>
      </c>
      <c r="R1313" s="12" t="s">
        <v>17</v>
      </c>
      <c r="S1313" s="12" t="s">
        <v>17</v>
      </c>
      <c r="T1313" s="12" t="s">
        <v>25</v>
      </c>
      <c r="U1313" s="12" t="s">
        <v>17</v>
      </c>
      <c r="V1313" s="12" t="s">
        <v>6639</v>
      </c>
      <c r="W1313" s="12" t="s">
        <v>6639</v>
      </c>
      <c r="X1313" s="12" t="s">
        <v>17</v>
      </c>
      <c r="Y1313" s="12">
        <v>1147067</v>
      </c>
      <c r="Z1313" s="12" t="s">
        <v>6613</v>
      </c>
      <c r="AA1313" s="12" t="s">
        <v>6613</v>
      </c>
      <c r="AB1313" s="12" t="s">
        <v>6613</v>
      </c>
      <c r="AC1313" s="12" t="s">
        <v>6613</v>
      </c>
      <c r="AD1313" s="12" t="s">
        <v>6613</v>
      </c>
      <c r="AE1313" s="12" t="s">
        <v>6613</v>
      </c>
      <c r="AF1313" s="12" t="s">
        <v>45</v>
      </c>
    </row>
    <row r="1314" spans="1:32" x14ac:dyDescent="0.2">
      <c r="A1314" s="12" t="s">
        <v>3380</v>
      </c>
      <c r="B1314" s="12" t="s">
        <v>3381</v>
      </c>
      <c r="C1314" s="12" t="s">
        <v>17</v>
      </c>
      <c r="D1314" s="12" t="s">
        <v>17</v>
      </c>
      <c r="E1314" s="12" t="s">
        <v>7678</v>
      </c>
      <c r="F1314" s="12" t="s">
        <v>5458</v>
      </c>
      <c r="G1314" s="12" t="s">
        <v>615</v>
      </c>
      <c r="H1314" s="12" t="s">
        <v>6613</v>
      </c>
      <c r="I1314" s="12">
        <v>0</v>
      </c>
      <c r="J1314" s="12" t="s">
        <v>164</v>
      </c>
      <c r="K1314" s="12" t="s">
        <v>6646</v>
      </c>
      <c r="L1314" s="12" t="s">
        <v>3363</v>
      </c>
      <c r="M1314" s="12" t="s">
        <v>3363</v>
      </c>
      <c r="N1314" s="12" t="s">
        <v>5785</v>
      </c>
      <c r="O1314" s="12" t="s">
        <v>17</v>
      </c>
      <c r="P1314" s="12" t="s">
        <v>173</v>
      </c>
      <c r="Q1314" s="12" t="s">
        <v>6664</v>
      </c>
      <c r="R1314" s="12" t="s">
        <v>17</v>
      </c>
      <c r="S1314" s="12" t="s">
        <v>17</v>
      </c>
      <c r="T1314" s="12" t="s">
        <v>11</v>
      </c>
      <c r="U1314" s="12" t="s">
        <v>17</v>
      </c>
      <c r="V1314" s="12" t="s">
        <v>1710</v>
      </c>
      <c r="W1314" s="12" t="s">
        <v>7415</v>
      </c>
      <c r="X1314" s="12" t="s">
        <v>17</v>
      </c>
      <c r="Y1314" s="12">
        <v>1147192</v>
      </c>
      <c r="Z1314" s="12" t="s">
        <v>6613</v>
      </c>
      <c r="AA1314" s="12" t="s">
        <v>6613</v>
      </c>
      <c r="AB1314" s="12" t="s">
        <v>6613</v>
      </c>
      <c r="AC1314" s="12" t="s">
        <v>6613</v>
      </c>
      <c r="AD1314" s="12" t="s">
        <v>6613</v>
      </c>
      <c r="AE1314" s="12" t="s">
        <v>6613</v>
      </c>
      <c r="AF1314" s="12" t="s">
        <v>45</v>
      </c>
    </row>
    <row r="1315" spans="1:32" x14ac:dyDescent="0.2">
      <c r="A1315" s="12" t="s">
        <v>3504</v>
      </c>
      <c r="B1315" s="12" t="s">
        <v>3505</v>
      </c>
      <c r="C1315" s="12" t="s">
        <v>17</v>
      </c>
      <c r="D1315" s="12" t="s">
        <v>17</v>
      </c>
      <c r="E1315" s="12" t="s">
        <v>7678</v>
      </c>
      <c r="F1315" s="12" t="s">
        <v>5458</v>
      </c>
      <c r="G1315" s="12" t="s">
        <v>615</v>
      </c>
      <c r="H1315" s="12" t="s">
        <v>6613</v>
      </c>
      <c r="I1315" s="12">
        <v>0</v>
      </c>
      <c r="J1315" s="12" t="s">
        <v>164</v>
      </c>
      <c r="K1315" s="12" t="s">
        <v>6646</v>
      </c>
      <c r="L1315" s="12" t="s">
        <v>3363</v>
      </c>
      <c r="M1315" s="12" t="s">
        <v>3363</v>
      </c>
      <c r="N1315" s="12" t="s">
        <v>5785</v>
      </c>
      <c r="O1315" s="12" t="s">
        <v>17</v>
      </c>
      <c r="P1315" s="12" t="s">
        <v>173</v>
      </c>
      <c r="Q1315" s="12" t="s">
        <v>6664</v>
      </c>
      <c r="R1315" s="12" t="s">
        <v>17</v>
      </c>
      <c r="S1315" s="12" t="s">
        <v>17</v>
      </c>
      <c r="T1315" s="12" t="s">
        <v>25</v>
      </c>
      <c r="U1315" s="12" t="s">
        <v>17</v>
      </c>
      <c r="V1315" s="12" t="s">
        <v>6639</v>
      </c>
      <c r="W1315" s="12" t="s">
        <v>6639</v>
      </c>
      <c r="X1315" s="12" t="s">
        <v>17</v>
      </c>
      <c r="Y1315" s="12">
        <v>1147369</v>
      </c>
      <c r="Z1315" s="12" t="s">
        <v>6613</v>
      </c>
      <c r="AA1315" s="12" t="s">
        <v>6613</v>
      </c>
      <c r="AB1315" s="12" t="s">
        <v>6613</v>
      </c>
      <c r="AC1315" s="12" t="s">
        <v>6613</v>
      </c>
      <c r="AD1315" s="12" t="s">
        <v>6613</v>
      </c>
      <c r="AE1315" s="12" t="s">
        <v>6613</v>
      </c>
      <c r="AF1315" s="12" t="s">
        <v>45</v>
      </c>
    </row>
    <row r="1316" spans="1:32" x14ac:dyDescent="0.2">
      <c r="A1316" s="12" t="s">
        <v>3526</v>
      </c>
      <c r="B1316" s="12" t="s">
        <v>3527</v>
      </c>
      <c r="C1316" s="12" t="s">
        <v>17</v>
      </c>
      <c r="D1316" s="12" t="s">
        <v>17</v>
      </c>
      <c r="E1316" s="12" t="s">
        <v>7678</v>
      </c>
      <c r="F1316" s="12" t="s">
        <v>5458</v>
      </c>
      <c r="G1316" s="12" t="s">
        <v>615</v>
      </c>
      <c r="H1316" s="12" t="s">
        <v>6613</v>
      </c>
      <c r="I1316" s="12">
        <v>0</v>
      </c>
      <c r="J1316" s="12" t="s">
        <v>164</v>
      </c>
      <c r="K1316" s="12" t="s">
        <v>6646</v>
      </c>
      <c r="L1316" s="12" t="s">
        <v>3363</v>
      </c>
      <c r="M1316" s="12" t="s">
        <v>3363</v>
      </c>
      <c r="N1316" s="12" t="s">
        <v>5785</v>
      </c>
      <c r="O1316" s="12" t="s">
        <v>17</v>
      </c>
      <c r="P1316" s="12" t="s">
        <v>173</v>
      </c>
      <c r="Q1316" s="12" t="s">
        <v>6664</v>
      </c>
      <c r="R1316" s="12" t="s">
        <v>17</v>
      </c>
      <c r="S1316" s="12" t="s">
        <v>17</v>
      </c>
      <c r="T1316" s="12" t="s">
        <v>25</v>
      </c>
      <c r="U1316" s="12" t="s">
        <v>17</v>
      </c>
      <c r="V1316" s="12" t="s">
        <v>6639</v>
      </c>
      <c r="W1316" s="12" t="s">
        <v>6639</v>
      </c>
      <c r="X1316" s="12" t="s">
        <v>17</v>
      </c>
      <c r="Y1316" s="12">
        <v>1147702</v>
      </c>
      <c r="Z1316" s="12" t="s">
        <v>6613</v>
      </c>
      <c r="AA1316" s="12" t="s">
        <v>6613</v>
      </c>
      <c r="AB1316" s="12" t="s">
        <v>6613</v>
      </c>
      <c r="AC1316" s="12" t="s">
        <v>6613</v>
      </c>
      <c r="AD1316" s="12" t="s">
        <v>6613</v>
      </c>
      <c r="AE1316" s="12" t="s">
        <v>6613</v>
      </c>
      <c r="AF1316" s="12" t="s">
        <v>45</v>
      </c>
    </row>
    <row r="1317" spans="1:32" x14ac:dyDescent="0.2">
      <c r="A1317" s="12" t="s">
        <v>3428</v>
      </c>
      <c r="B1317" s="12" t="s">
        <v>3429</v>
      </c>
      <c r="C1317" s="12" t="s">
        <v>17</v>
      </c>
      <c r="D1317" s="12" t="s">
        <v>17</v>
      </c>
      <c r="E1317" s="12" t="s">
        <v>7678</v>
      </c>
      <c r="F1317" s="12" t="s">
        <v>5458</v>
      </c>
      <c r="G1317" s="12" t="s">
        <v>615</v>
      </c>
      <c r="H1317" s="12" t="s">
        <v>6613</v>
      </c>
      <c r="I1317" s="12">
        <v>0</v>
      </c>
      <c r="J1317" s="12" t="s">
        <v>164</v>
      </c>
      <c r="K1317" s="12" t="s">
        <v>6646</v>
      </c>
      <c r="L1317" s="12" t="s">
        <v>3363</v>
      </c>
      <c r="M1317" s="12" t="s">
        <v>3363</v>
      </c>
      <c r="N1317" s="12" t="s">
        <v>5785</v>
      </c>
      <c r="O1317" s="12" t="s">
        <v>17</v>
      </c>
      <c r="P1317" s="12" t="s">
        <v>173</v>
      </c>
      <c r="Q1317" s="12" t="s">
        <v>6664</v>
      </c>
      <c r="R1317" s="12" t="s">
        <v>17</v>
      </c>
      <c r="S1317" s="12" t="s">
        <v>17</v>
      </c>
      <c r="T1317" s="12" t="s">
        <v>25</v>
      </c>
      <c r="U1317" s="12" t="s">
        <v>17</v>
      </c>
      <c r="V1317" s="12" t="s">
        <v>6639</v>
      </c>
      <c r="W1317" s="12" t="s">
        <v>6639</v>
      </c>
      <c r="X1317" s="12" t="s">
        <v>17</v>
      </c>
      <c r="Y1317" s="12">
        <v>1147864</v>
      </c>
      <c r="Z1317" s="12" t="s">
        <v>6613</v>
      </c>
      <c r="AA1317" s="12" t="s">
        <v>6613</v>
      </c>
      <c r="AB1317" s="12" t="s">
        <v>6613</v>
      </c>
      <c r="AC1317" s="12" t="s">
        <v>6613</v>
      </c>
      <c r="AD1317" s="12" t="s">
        <v>6613</v>
      </c>
      <c r="AE1317" s="12" t="s">
        <v>6613</v>
      </c>
      <c r="AF1317" s="12" t="s">
        <v>45</v>
      </c>
    </row>
    <row r="1318" spans="1:32" x14ac:dyDescent="0.2">
      <c r="A1318" s="12" t="s">
        <v>3448</v>
      </c>
      <c r="B1318" s="12" t="s">
        <v>3449</v>
      </c>
      <c r="C1318" s="12" t="s">
        <v>17</v>
      </c>
      <c r="D1318" s="12" t="s">
        <v>17</v>
      </c>
      <c r="E1318" s="12" t="s">
        <v>7678</v>
      </c>
      <c r="F1318" s="12" t="s">
        <v>5458</v>
      </c>
      <c r="G1318" s="12" t="s">
        <v>615</v>
      </c>
      <c r="H1318" s="12" t="s">
        <v>6613</v>
      </c>
      <c r="I1318" s="12">
        <v>0</v>
      </c>
      <c r="J1318" s="12" t="s">
        <v>164</v>
      </c>
      <c r="K1318" s="12" t="s">
        <v>6646</v>
      </c>
      <c r="L1318" s="12" t="s">
        <v>3363</v>
      </c>
      <c r="M1318" s="12" t="s">
        <v>3363</v>
      </c>
      <c r="N1318" s="12" t="s">
        <v>5785</v>
      </c>
      <c r="O1318" s="12" t="s">
        <v>17</v>
      </c>
      <c r="P1318" s="12" t="s">
        <v>173</v>
      </c>
      <c r="Q1318" s="12" t="s">
        <v>6664</v>
      </c>
      <c r="R1318" s="12" t="s">
        <v>17</v>
      </c>
      <c r="S1318" s="12" t="s">
        <v>17</v>
      </c>
      <c r="T1318" s="12" t="s">
        <v>25</v>
      </c>
      <c r="U1318" s="12" t="s">
        <v>17</v>
      </c>
      <c r="V1318" s="12" t="s">
        <v>6639</v>
      </c>
      <c r="W1318" s="12" t="s">
        <v>6639</v>
      </c>
      <c r="X1318" s="12" t="s">
        <v>17</v>
      </c>
      <c r="Y1318" s="12">
        <v>1148010</v>
      </c>
      <c r="Z1318" s="12" t="s">
        <v>6613</v>
      </c>
      <c r="AA1318" s="12" t="s">
        <v>6613</v>
      </c>
      <c r="AB1318" s="12" t="s">
        <v>6613</v>
      </c>
      <c r="AC1318" s="12" t="s">
        <v>6613</v>
      </c>
      <c r="AD1318" s="12" t="s">
        <v>6613</v>
      </c>
      <c r="AE1318" s="12" t="s">
        <v>6613</v>
      </c>
      <c r="AF1318" s="12" t="s">
        <v>45</v>
      </c>
    </row>
    <row r="1319" spans="1:32" x14ac:dyDescent="0.2">
      <c r="A1319" s="12" t="s">
        <v>3410</v>
      </c>
      <c r="B1319" s="12" t="s">
        <v>3411</v>
      </c>
      <c r="C1319" s="12" t="s">
        <v>17</v>
      </c>
      <c r="D1319" s="12" t="s">
        <v>17</v>
      </c>
      <c r="E1319" s="12" t="s">
        <v>7678</v>
      </c>
      <c r="F1319" s="12" t="s">
        <v>5458</v>
      </c>
      <c r="G1319" s="12" t="s">
        <v>615</v>
      </c>
      <c r="H1319" s="12" t="s">
        <v>6613</v>
      </c>
      <c r="I1319" s="12">
        <v>0</v>
      </c>
      <c r="J1319" s="12" t="s">
        <v>164</v>
      </c>
      <c r="K1319" s="12" t="s">
        <v>6646</v>
      </c>
      <c r="L1319" s="12" t="s">
        <v>3363</v>
      </c>
      <c r="M1319" s="12" t="s">
        <v>3363</v>
      </c>
      <c r="N1319" s="12" t="s">
        <v>5785</v>
      </c>
      <c r="O1319" s="12" t="s">
        <v>17</v>
      </c>
      <c r="P1319" s="12" t="s">
        <v>173</v>
      </c>
      <c r="Q1319" s="12" t="s">
        <v>6664</v>
      </c>
      <c r="R1319" s="12" t="s">
        <v>17</v>
      </c>
      <c r="S1319" s="12" t="s">
        <v>17</v>
      </c>
      <c r="T1319" s="12" t="s">
        <v>25</v>
      </c>
      <c r="U1319" s="12" t="s">
        <v>17</v>
      </c>
      <c r="V1319" s="12" t="s">
        <v>6639</v>
      </c>
      <c r="W1319" s="12" t="s">
        <v>6639</v>
      </c>
      <c r="X1319" s="12" t="s">
        <v>17</v>
      </c>
      <c r="Y1319" s="12">
        <v>1148145</v>
      </c>
      <c r="Z1319" s="12" t="s">
        <v>6613</v>
      </c>
      <c r="AA1319" s="12" t="s">
        <v>6613</v>
      </c>
      <c r="AB1319" s="12" t="s">
        <v>6613</v>
      </c>
      <c r="AC1319" s="12" t="s">
        <v>6613</v>
      </c>
      <c r="AD1319" s="12" t="s">
        <v>6613</v>
      </c>
      <c r="AE1319" s="12" t="s">
        <v>6613</v>
      </c>
      <c r="AF1319" s="12" t="s">
        <v>45</v>
      </c>
    </row>
    <row r="1320" spans="1:32" x14ac:dyDescent="0.2">
      <c r="A1320" s="12" t="s">
        <v>3472</v>
      </c>
      <c r="B1320" s="12" t="s">
        <v>3473</v>
      </c>
      <c r="C1320" s="12" t="s">
        <v>17</v>
      </c>
      <c r="D1320" s="12" t="s">
        <v>17</v>
      </c>
      <c r="E1320" s="12" t="s">
        <v>7678</v>
      </c>
      <c r="F1320" s="12" t="s">
        <v>5458</v>
      </c>
      <c r="G1320" s="12" t="s">
        <v>615</v>
      </c>
      <c r="H1320" s="12" t="s">
        <v>6613</v>
      </c>
      <c r="I1320" s="12">
        <v>0</v>
      </c>
      <c r="J1320" s="12" t="s">
        <v>164</v>
      </c>
      <c r="K1320" s="12" t="s">
        <v>6646</v>
      </c>
      <c r="L1320" s="12" t="s">
        <v>3363</v>
      </c>
      <c r="M1320" s="12" t="s">
        <v>3363</v>
      </c>
      <c r="N1320" s="12" t="s">
        <v>5785</v>
      </c>
      <c r="O1320" s="12" t="s">
        <v>17</v>
      </c>
      <c r="P1320" s="12" t="s">
        <v>173</v>
      </c>
      <c r="Q1320" s="12" t="s">
        <v>6664</v>
      </c>
      <c r="R1320" s="12" t="s">
        <v>17</v>
      </c>
      <c r="S1320" s="12" t="s">
        <v>17</v>
      </c>
      <c r="T1320" s="12" t="s">
        <v>25</v>
      </c>
      <c r="U1320" s="12" t="s">
        <v>17</v>
      </c>
      <c r="V1320" s="12" t="s">
        <v>6639</v>
      </c>
      <c r="W1320" s="12" t="s">
        <v>6639</v>
      </c>
      <c r="X1320" s="12" t="s">
        <v>17</v>
      </c>
      <c r="Y1320" s="12">
        <v>1148526</v>
      </c>
      <c r="Z1320" s="12" t="s">
        <v>6613</v>
      </c>
      <c r="AA1320" s="12" t="s">
        <v>6613</v>
      </c>
      <c r="AB1320" s="12" t="s">
        <v>6613</v>
      </c>
      <c r="AC1320" s="12" t="s">
        <v>6613</v>
      </c>
      <c r="AD1320" s="12" t="s">
        <v>6613</v>
      </c>
      <c r="AE1320" s="12" t="s">
        <v>6613</v>
      </c>
      <c r="AF1320" s="12" t="s">
        <v>45</v>
      </c>
    </row>
    <row r="1321" spans="1:32" x14ac:dyDescent="0.2">
      <c r="A1321" s="12" t="s">
        <v>3376</v>
      </c>
      <c r="B1321" s="12" t="s">
        <v>3377</v>
      </c>
      <c r="C1321" s="12" t="s">
        <v>17</v>
      </c>
      <c r="D1321" s="12" t="s">
        <v>17</v>
      </c>
      <c r="E1321" s="12" t="s">
        <v>7678</v>
      </c>
      <c r="F1321" s="12" t="s">
        <v>5458</v>
      </c>
      <c r="G1321" s="12" t="s">
        <v>615</v>
      </c>
      <c r="H1321" s="12" t="s">
        <v>6613</v>
      </c>
      <c r="I1321" s="12">
        <v>0</v>
      </c>
      <c r="J1321" s="12" t="s">
        <v>164</v>
      </c>
      <c r="K1321" s="12" t="s">
        <v>6646</v>
      </c>
      <c r="L1321" s="12" t="s">
        <v>3363</v>
      </c>
      <c r="M1321" s="12" t="s">
        <v>3363</v>
      </c>
      <c r="N1321" s="12" t="s">
        <v>5785</v>
      </c>
      <c r="O1321" s="12" t="s">
        <v>17</v>
      </c>
      <c r="P1321" s="12" t="s">
        <v>173</v>
      </c>
      <c r="Q1321" s="12" t="s">
        <v>6664</v>
      </c>
      <c r="R1321" s="12" t="s">
        <v>17</v>
      </c>
      <c r="S1321" s="12" t="s">
        <v>17</v>
      </c>
      <c r="T1321" s="12" t="s">
        <v>25</v>
      </c>
      <c r="U1321" s="12" t="s">
        <v>17</v>
      </c>
      <c r="V1321" s="12" t="s">
        <v>6639</v>
      </c>
      <c r="W1321" s="12" t="s">
        <v>6639</v>
      </c>
      <c r="X1321" s="12" t="s">
        <v>17</v>
      </c>
      <c r="Y1321" s="12">
        <v>1148661</v>
      </c>
      <c r="Z1321" s="12" t="s">
        <v>6613</v>
      </c>
      <c r="AA1321" s="12" t="s">
        <v>6613</v>
      </c>
      <c r="AB1321" s="12" t="s">
        <v>6613</v>
      </c>
      <c r="AC1321" s="12" t="s">
        <v>6613</v>
      </c>
      <c r="AD1321" s="12" t="s">
        <v>6613</v>
      </c>
      <c r="AE1321" s="12" t="s">
        <v>6613</v>
      </c>
      <c r="AF1321" s="12" t="s">
        <v>45</v>
      </c>
    </row>
    <row r="1322" spans="1:32" x14ac:dyDescent="0.2">
      <c r="A1322" s="12" t="s">
        <v>3479</v>
      </c>
      <c r="B1322" s="12" t="s">
        <v>3480</v>
      </c>
      <c r="C1322" s="12" t="s">
        <v>17</v>
      </c>
      <c r="D1322" s="12" t="s">
        <v>17</v>
      </c>
      <c r="E1322" s="12" t="s">
        <v>7678</v>
      </c>
      <c r="F1322" s="12" t="s">
        <v>5458</v>
      </c>
      <c r="G1322" s="12" t="s">
        <v>615</v>
      </c>
      <c r="H1322" s="12" t="s">
        <v>6613</v>
      </c>
      <c r="I1322" s="12">
        <v>0</v>
      </c>
      <c r="J1322" s="12" t="s">
        <v>164</v>
      </c>
      <c r="K1322" s="12" t="s">
        <v>6646</v>
      </c>
      <c r="L1322" s="12" t="s">
        <v>3363</v>
      </c>
      <c r="M1322" s="12" t="s">
        <v>3363</v>
      </c>
      <c r="N1322" s="12" t="s">
        <v>5785</v>
      </c>
      <c r="O1322" s="12" t="s">
        <v>17</v>
      </c>
      <c r="P1322" s="12" t="s">
        <v>173</v>
      </c>
      <c r="Q1322" s="12" t="s">
        <v>6664</v>
      </c>
      <c r="R1322" s="12" t="s">
        <v>17</v>
      </c>
      <c r="S1322" s="12" t="s">
        <v>17</v>
      </c>
      <c r="T1322" s="12" t="s">
        <v>25</v>
      </c>
      <c r="U1322" s="12" t="s">
        <v>17</v>
      </c>
      <c r="V1322" s="12" t="s">
        <v>6639</v>
      </c>
      <c r="W1322" s="12" t="s">
        <v>6639</v>
      </c>
      <c r="X1322" s="12" t="s">
        <v>17</v>
      </c>
      <c r="Y1322" s="12">
        <v>1148670</v>
      </c>
      <c r="Z1322" s="12" t="s">
        <v>6613</v>
      </c>
      <c r="AA1322" s="12" t="s">
        <v>6613</v>
      </c>
      <c r="AB1322" s="12" t="s">
        <v>6613</v>
      </c>
      <c r="AC1322" s="12" t="s">
        <v>6613</v>
      </c>
      <c r="AD1322" s="12" t="s">
        <v>6613</v>
      </c>
      <c r="AE1322" s="12" t="s">
        <v>6613</v>
      </c>
      <c r="AF1322" s="12" t="s">
        <v>45</v>
      </c>
    </row>
    <row r="1323" spans="1:32" x14ac:dyDescent="0.2">
      <c r="A1323" s="12" t="s">
        <v>3438</v>
      </c>
      <c r="B1323" s="12" t="s">
        <v>3439</v>
      </c>
      <c r="C1323" s="12" t="s">
        <v>17</v>
      </c>
      <c r="D1323" s="12" t="s">
        <v>17</v>
      </c>
      <c r="E1323" s="12" t="s">
        <v>7678</v>
      </c>
      <c r="F1323" s="12" t="s">
        <v>5458</v>
      </c>
      <c r="G1323" s="12" t="s">
        <v>615</v>
      </c>
      <c r="H1323" s="12" t="s">
        <v>6613</v>
      </c>
      <c r="I1323" s="12">
        <v>0</v>
      </c>
      <c r="J1323" s="12" t="s">
        <v>164</v>
      </c>
      <c r="K1323" s="12" t="s">
        <v>6646</v>
      </c>
      <c r="L1323" s="12" t="s">
        <v>3363</v>
      </c>
      <c r="M1323" s="12" t="s">
        <v>3363</v>
      </c>
      <c r="N1323" s="12" t="s">
        <v>5785</v>
      </c>
      <c r="O1323" s="12" t="s">
        <v>17</v>
      </c>
      <c r="P1323" s="12" t="s">
        <v>173</v>
      </c>
      <c r="Q1323" s="12" t="s">
        <v>6664</v>
      </c>
      <c r="R1323" s="12" t="s">
        <v>17</v>
      </c>
      <c r="S1323" s="12" t="s">
        <v>17</v>
      </c>
      <c r="T1323" s="12" t="s">
        <v>25</v>
      </c>
      <c r="U1323" s="12" t="s">
        <v>17</v>
      </c>
      <c r="V1323" s="12" t="s">
        <v>6639</v>
      </c>
      <c r="W1323" s="12" t="s">
        <v>6639</v>
      </c>
      <c r="X1323" s="12" t="s">
        <v>17</v>
      </c>
      <c r="Y1323" s="12">
        <v>1148754</v>
      </c>
      <c r="Z1323" s="12" t="s">
        <v>6613</v>
      </c>
      <c r="AA1323" s="12" t="s">
        <v>6613</v>
      </c>
      <c r="AB1323" s="12" t="s">
        <v>6613</v>
      </c>
      <c r="AC1323" s="12" t="s">
        <v>6613</v>
      </c>
      <c r="AD1323" s="12" t="s">
        <v>6613</v>
      </c>
      <c r="AE1323" s="12" t="s">
        <v>6613</v>
      </c>
      <c r="AF1323" s="12" t="s">
        <v>45</v>
      </c>
    </row>
    <row r="1324" spans="1:32" x14ac:dyDescent="0.2">
      <c r="A1324" s="12" t="s">
        <v>3532</v>
      </c>
      <c r="B1324" s="12" t="s">
        <v>3533</v>
      </c>
      <c r="C1324" s="12" t="s">
        <v>17</v>
      </c>
      <c r="D1324" s="12" t="s">
        <v>17</v>
      </c>
      <c r="E1324" s="12" t="s">
        <v>7678</v>
      </c>
      <c r="F1324" s="12" t="s">
        <v>5458</v>
      </c>
      <c r="G1324" s="12" t="s">
        <v>615</v>
      </c>
      <c r="H1324" s="12" t="s">
        <v>6613</v>
      </c>
      <c r="I1324" s="12">
        <v>0</v>
      </c>
      <c r="J1324" s="12" t="s">
        <v>164</v>
      </c>
      <c r="K1324" s="12" t="s">
        <v>6646</v>
      </c>
      <c r="L1324" s="12" t="s">
        <v>3363</v>
      </c>
      <c r="M1324" s="12" t="s">
        <v>3363</v>
      </c>
      <c r="N1324" s="12" t="s">
        <v>5785</v>
      </c>
      <c r="O1324" s="12" t="s">
        <v>17</v>
      </c>
      <c r="P1324" s="12" t="s">
        <v>173</v>
      </c>
      <c r="Q1324" s="12" t="s">
        <v>6664</v>
      </c>
      <c r="R1324" s="12" t="s">
        <v>17</v>
      </c>
      <c r="S1324" s="12" t="s">
        <v>17</v>
      </c>
      <c r="T1324" s="12" t="s">
        <v>25</v>
      </c>
      <c r="U1324" s="12" t="s">
        <v>17</v>
      </c>
      <c r="V1324" s="12" t="s">
        <v>6639</v>
      </c>
      <c r="W1324" s="12" t="s">
        <v>6639</v>
      </c>
      <c r="X1324" s="12" t="s">
        <v>17</v>
      </c>
      <c r="Y1324" s="12">
        <v>1148836</v>
      </c>
      <c r="Z1324" s="12" t="s">
        <v>6613</v>
      </c>
      <c r="AA1324" s="12" t="s">
        <v>6613</v>
      </c>
      <c r="AB1324" s="12" t="s">
        <v>6613</v>
      </c>
      <c r="AC1324" s="12" t="s">
        <v>6613</v>
      </c>
      <c r="AD1324" s="12" t="s">
        <v>6613</v>
      </c>
      <c r="AE1324" s="12" t="s">
        <v>6613</v>
      </c>
      <c r="AF1324" s="12" t="s">
        <v>45</v>
      </c>
    </row>
    <row r="1325" spans="1:32" x14ac:dyDescent="0.2">
      <c r="A1325" s="12" t="s">
        <v>3546</v>
      </c>
      <c r="B1325" s="12" t="s">
        <v>3547</v>
      </c>
      <c r="C1325" s="12" t="s">
        <v>17</v>
      </c>
      <c r="D1325" s="12" t="s">
        <v>17</v>
      </c>
      <c r="E1325" s="12" t="s">
        <v>7678</v>
      </c>
      <c r="F1325" s="12" t="s">
        <v>5458</v>
      </c>
      <c r="G1325" s="12" t="s">
        <v>615</v>
      </c>
      <c r="H1325" s="12" t="s">
        <v>6613</v>
      </c>
      <c r="I1325" s="12">
        <v>0</v>
      </c>
      <c r="J1325" s="12" t="s">
        <v>164</v>
      </c>
      <c r="K1325" s="12" t="s">
        <v>6646</v>
      </c>
      <c r="L1325" s="12" t="s">
        <v>3363</v>
      </c>
      <c r="M1325" s="12" t="s">
        <v>3363</v>
      </c>
      <c r="N1325" s="12" t="s">
        <v>5785</v>
      </c>
      <c r="O1325" s="12" t="s">
        <v>17</v>
      </c>
      <c r="P1325" s="12" t="s">
        <v>173</v>
      </c>
      <c r="Q1325" s="12" t="s">
        <v>6664</v>
      </c>
      <c r="R1325" s="12" t="s">
        <v>17</v>
      </c>
      <c r="S1325" s="12" t="s">
        <v>17</v>
      </c>
      <c r="T1325" s="12" t="s">
        <v>11</v>
      </c>
      <c r="U1325" s="12" t="s">
        <v>17</v>
      </c>
      <c r="V1325" s="12" t="s">
        <v>1352</v>
      </c>
      <c r="W1325" s="12" t="s">
        <v>7415</v>
      </c>
      <c r="X1325" s="12" t="s">
        <v>17</v>
      </c>
      <c r="Y1325" s="12">
        <v>1148837</v>
      </c>
      <c r="Z1325" s="12" t="s">
        <v>6613</v>
      </c>
      <c r="AA1325" s="12" t="s">
        <v>6613</v>
      </c>
      <c r="AB1325" s="12" t="s">
        <v>6613</v>
      </c>
      <c r="AC1325" s="12" t="s">
        <v>6613</v>
      </c>
      <c r="AD1325" s="12" t="s">
        <v>6613</v>
      </c>
      <c r="AE1325" s="12" t="s">
        <v>6613</v>
      </c>
      <c r="AF1325" s="12" t="s">
        <v>45</v>
      </c>
    </row>
    <row r="1326" spans="1:32" x14ac:dyDescent="0.2">
      <c r="A1326" s="12" t="s">
        <v>3516</v>
      </c>
      <c r="B1326" s="12" t="s">
        <v>3517</v>
      </c>
      <c r="C1326" s="12" t="s">
        <v>17</v>
      </c>
      <c r="D1326" s="12" t="s">
        <v>17</v>
      </c>
      <c r="E1326" s="12" t="s">
        <v>7678</v>
      </c>
      <c r="F1326" s="12" t="s">
        <v>5458</v>
      </c>
      <c r="G1326" s="12" t="s">
        <v>615</v>
      </c>
      <c r="H1326" s="12" t="s">
        <v>6613</v>
      </c>
      <c r="I1326" s="12">
        <v>0</v>
      </c>
      <c r="J1326" s="12" t="s">
        <v>164</v>
      </c>
      <c r="K1326" s="12" t="s">
        <v>6646</v>
      </c>
      <c r="L1326" s="12" t="s">
        <v>3363</v>
      </c>
      <c r="M1326" s="12" t="s">
        <v>3363</v>
      </c>
      <c r="N1326" s="12" t="s">
        <v>5785</v>
      </c>
      <c r="O1326" s="12" t="s">
        <v>17</v>
      </c>
      <c r="P1326" s="12" t="s">
        <v>173</v>
      </c>
      <c r="Q1326" s="12" t="s">
        <v>6664</v>
      </c>
      <c r="R1326" s="16" t="s">
        <v>17</v>
      </c>
      <c r="S1326" s="16" t="s">
        <v>17</v>
      </c>
      <c r="T1326" s="12" t="s">
        <v>25</v>
      </c>
      <c r="U1326" s="12" t="s">
        <v>17</v>
      </c>
      <c r="V1326" s="12" t="s">
        <v>6639</v>
      </c>
      <c r="W1326" s="12" t="s">
        <v>6639</v>
      </c>
      <c r="X1326" s="12" t="s">
        <v>17</v>
      </c>
      <c r="Y1326" s="12">
        <v>1148848</v>
      </c>
      <c r="Z1326" s="12" t="s">
        <v>6613</v>
      </c>
      <c r="AA1326" s="12" t="s">
        <v>6613</v>
      </c>
      <c r="AB1326" s="12" t="s">
        <v>6613</v>
      </c>
      <c r="AC1326" s="12" t="s">
        <v>6613</v>
      </c>
      <c r="AD1326" s="12" t="s">
        <v>6613</v>
      </c>
      <c r="AE1326" s="12" t="s">
        <v>6613</v>
      </c>
      <c r="AF1326" s="12" t="s">
        <v>45</v>
      </c>
    </row>
    <row r="1327" spans="1:32" x14ac:dyDescent="0.2">
      <c r="A1327" s="12" t="s">
        <v>3468</v>
      </c>
      <c r="B1327" s="12" t="s">
        <v>3469</v>
      </c>
      <c r="C1327" s="12" t="s">
        <v>17</v>
      </c>
      <c r="D1327" s="12" t="s">
        <v>17</v>
      </c>
      <c r="E1327" s="12" t="s">
        <v>7678</v>
      </c>
      <c r="F1327" s="12" t="s">
        <v>5458</v>
      </c>
      <c r="G1327" s="12" t="s">
        <v>615</v>
      </c>
      <c r="H1327" s="12" t="s">
        <v>6613</v>
      </c>
      <c r="I1327" s="12">
        <v>0</v>
      </c>
      <c r="J1327" s="12" t="s">
        <v>164</v>
      </c>
      <c r="K1327" s="12" t="s">
        <v>6646</v>
      </c>
      <c r="L1327" s="12" t="s">
        <v>3363</v>
      </c>
      <c r="M1327" s="12" t="s">
        <v>3363</v>
      </c>
      <c r="N1327" s="12" t="s">
        <v>5785</v>
      </c>
      <c r="O1327" s="12" t="s">
        <v>17</v>
      </c>
      <c r="P1327" s="12" t="s">
        <v>173</v>
      </c>
      <c r="Q1327" s="12" t="s">
        <v>6664</v>
      </c>
      <c r="R1327" s="12" t="s">
        <v>17</v>
      </c>
      <c r="S1327" s="12" t="s">
        <v>17</v>
      </c>
      <c r="T1327" s="12" t="s">
        <v>25</v>
      </c>
      <c r="U1327" s="12" t="s">
        <v>17</v>
      </c>
      <c r="V1327" s="12" t="s">
        <v>6639</v>
      </c>
      <c r="W1327" s="12" t="s">
        <v>6639</v>
      </c>
      <c r="X1327" s="12" t="s">
        <v>17</v>
      </c>
      <c r="Y1327" s="12">
        <v>1148906</v>
      </c>
      <c r="Z1327" s="12" t="s">
        <v>6613</v>
      </c>
      <c r="AA1327" s="12" t="s">
        <v>6613</v>
      </c>
      <c r="AB1327" s="12" t="s">
        <v>6613</v>
      </c>
      <c r="AC1327" s="12" t="s">
        <v>6613</v>
      </c>
      <c r="AD1327" s="12" t="s">
        <v>6613</v>
      </c>
      <c r="AE1327" s="12" t="s">
        <v>6613</v>
      </c>
      <c r="AF1327" s="12" t="s">
        <v>45</v>
      </c>
    </row>
    <row r="1328" spans="1:32" x14ac:dyDescent="0.2">
      <c r="A1328" s="12" t="s">
        <v>3361</v>
      </c>
      <c r="B1328" s="12" t="s">
        <v>3362</v>
      </c>
      <c r="C1328" s="12" t="s">
        <v>17</v>
      </c>
      <c r="D1328" s="12" t="s">
        <v>17</v>
      </c>
      <c r="E1328" s="12" t="s">
        <v>7678</v>
      </c>
      <c r="F1328" s="12" t="s">
        <v>5458</v>
      </c>
      <c r="G1328" s="12" t="s">
        <v>615</v>
      </c>
      <c r="H1328" s="12" t="s">
        <v>6613</v>
      </c>
      <c r="I1328" s="12">
        <v>0</v>
      </c>
      <c r="J1328" s="12" t="s">
        <v>164</v>
      </c>
      <c r="K1328" s="12" t="s">
        <v>6646</v>
      </c>
      <c r="L1328" s="12" t="s">
        <v>3363</v>
      </c>
      <c r="M1328" s="12" t="s">
        <v>3363</v>
      </c>
      <c r="N1328" s="12" t="s">
        <v>5785</v>
      </c>
      <c r="O1328" s="12" t="s">
        <v>17</v>
      </c>
      <c r="P1328" s="12" t="s">
        <v>173</v>
      </c>
      <c r="Q1328" s="12" t="s">
        <v>6664</v>
      </c>
      <c r="R1328" s="12" t="s">
        <v>17</v>
      </c>
      <c r="S1328" s="12" t="s">
        <v>17</v>
      </c>
      <c r="T1328" s="12" t="s">
        <v>25</v>
      </c>
      <c r="U1328" s="12" t="s">
        <v>17</v>
      </c>
      <c r="V1328" s="12" t="s">
        <v>6639</v>
      </c>
      <c r="W1328" s="12" t="s">
        <v>6639</v>
      </c>
      <c r="X1328" s="12" t="s">
        <v>17</v>
      </c>
      <c r="Y1328" s="12">
        <v>1148952</v>
      </c>
      <c r="Z1328" s="12" t="s">
        <v>6613</v>
      </c>
      <c r="AA1328" s="12" t="s">
        <v>6613</v>
      </c>
      <c r="AB1328" s="12" t="s">
        <v>6613</v>
      </c>
      <c r="AC1328" s="12" t="s">
        <v>6613</v>
      </c>
      <c r="AD1328" s="12" t="s">
        <v>6613</v>
      </c>
      <c r="AE1328" s="12" t="s">
        <v>6613</v>
      </c>
      <c r="AF1328" s="12" t="s">
        <v>45</v>
      </c>
    </row>
    <row r="1329" spans="1:32" x14ac:dyDescent="0.2">
      <c r="A1329" s="12" t="s">
        <v>3378</v>
      </c>
      <c r="B1329" s="12" t="s">
        <v>3379</v>
      </c>
      <c r="C1329" s="12" t="s">
        <v>17</v>
      </c>
      <c r="D1329" s="12" t="s">
        <v>17</v>
      </c>
      <c r="E1329" s="12" t="s">
        <v>7678</v>
      </c>
      <c r="F1329" s="12" t="s">
        <v>5458</v>
      </c>
      <c r="G1329" s="12" t="s">
        <v>615</v>
      </c>
      <c r="H1329" s="12" t="s">
        <v>6613</v>
      </c>
      <c r="I1329" s="12">
        <v>0</v>
      </c>
      <c r="J1329" s="12" t="s">
        <v>164</v>
      </c>
      <c r="K1329" s="12" t="s">
        <v>6646</v>
      </c>
      <c r="L1329" s="12" t="s">
        <v>3363</v>
      </c>
      <c r="M1329" s="12" t="s">
        <v>3363</v>
      </c>
      <c r="N1329" s="12" t="s">
        <v>5785</v>
      </c>
      <c r="O1329" s="12" t="s">
        <v>17</v>
      </c>
      <c r="P1329" s="12" t="s">
        <v>173</v>
      </c>
      <c r="Q1329" s="12" t="s">
        <v>6664</v>
      </c>
      <c r="R1329" s="12" t="s">
        <v>17</v>
      </c>
      <c r="S1329" s="12" t="s">
        <v>17</v>
      </c>
      <c r="T1329" s="12" t="s">
        <v>11</v>
      </c>
      <c r="U1329" s="12" t="s">
        <v>17</v>
      </c>
      <c r="V1329" s="12" t="s">
        <v>2174</v>
      </c>
      <c r="W1329" s="12" t="s">
        <v>7415</v>
      </c>
      <c r="X1329" s="12" t="s">
        <v>17</v>
      </c>
      <c r="Y1329" s="12">
        <v>1149096</v>
      </c>
      <c r="Z1329" s="12" t="s">
        <v>6613</v>
      </c>
      <c r="AA1329" s="12" t="s">
        <v>6613</v>
      </c>
      <c r="AB1329" s="12" t="s">
        <v>6613</v>
      </c>
      <c r="AC1329" s="12" t="s">
        <v>6613</v>
      </c>
      <c r="AD1329" s="12" t="s">
        <v>6613</v>
      </c>
      <c r="AE1329" s="12" t="s">
        <v>6613</v>
      </c>
      <c r="AF1329" s="12" t="s">
        <v>45</v>
      </c>
    </row>
    <row r="1330" spans="1:32" x14ac:dyDescent="0.2">
      <c r="A1330" s="12" t="s">
        <v>3444</v>
      </c>
      <c r="B1330" s="12" t="s">
        <v>3445</v>
      </c>
      <c r="C1330" s="12" t="s">
        <v>17</v>
      </c>
      <c r="D1330" s="12" t="s">
        <v>17</v>
      </c>
      <c r="E1330" s="12" t="s">
        <v>7678</v>
      </c>
      <c r="F1330" s="12" t="s">
        <v>5458</v>
      </c>
      <c r="G1330" s="12" t="s">
        <v>615</v>
      </c>
      <c r="H1330" s="12" t="s">
        <v>6613</v>
      </c>
      <c r="I1330" s="12">
        <v>0</v>
      </c>
      <c r="J1330" s="12" t="s">
        <v>164</v>
      </c>
      <c r="K1330" s="12" t="s">
        <v>6646</v>
      </c>
      <c r="L1330" s="12" t="s">
        <v>3363</v>
      </c>
      <c r="M1330" s="12" t="s">
        <v>3363</v>
      </c>
      <c r="N1330" s="12" t="s">
        <v>5785</v>
      </c>
      <c r="O1330" s="12" t="s">
        <v>17</v>
      </c>
      <c r="P1330" s="12" t="s">
        <v>173</v>
      </c>
      <c r="Q1330" s="12" t="s">
        <v>6664</v>
      </c>
      <c r="R1330" s="12" t="s">
        <v>17</v>
      </c>
      <c r="S1330" s="12" t="s">
        <v>17</v>
      </c>
      <c r="T1330" s="12" t="s">
        <v>25</v>
      </c>
      <c r="U1330" s="12" t="s">
        <v>17</v>
      </c>
      <c r="V1330" s="12" t="s">
        <v>6639</v>
      </c>
      <c r="W1330" s="12" t="s">
        <v>6639</v>
      </c>
      <c r="X1330" s="12" t="s">
        <v>17</v>
      </c>
      <c r="Y1330" s="12">
        <v>1149265</v>
      </c>
      <c r="Z1330" s="12" t="s">
        <v>6613</v>
      </c>
      <c r="AA1330" s="12" t="s">
        <v>6613</v>
      </c>
      <c r="AB1330" s="12" t="s">
        <v>6613</v>
      </c>
      <c r="AC1330" s="12" t="s">
        <v>6613</v>
      </c>
      <c r="AD1330" s="12" t="s">
        <v>6613</v>
      </c>
      <c r="AE1330" s="12" t="s">
        <v>6613</v>
      </c>
      <c r="AF1330" s="12" t="s">
        <v>45</v>
      </c>
    </row>
    <row r="1331" spans="1:32" x14ac:dyDescent="0.2">
      <c r="A1331" s="12" t="s">
        <v>3414</v>
      </c>
      <c r="B1331" s="12" t="s">
        <v>3415</v>
      </c>
      <c r="C1331" s="12" t="s">
        <v>17</v>
      </c>
      <c r="D1331" s="12" t="s">
        <v>17</v>
      </c>
      <c r="E1331" s="12" t="s">
        <v>7678</v>
      </c>
      <c r="F1331" s="12" t="s">
        <v>5458</v>
      </c>
      <c r="G1331" s="12" t="s">
        <v>615</v>
      </c>
      <c r="H1331" s="12" t="s">
        <v>6613</v>
      </c>
      <c r="I1331" s="12">
        <v>0</v>
      </c>
      <c r="J1331" s="12" t="s">
        <v>164</v>
      </c>
      <c r="K1331" s="12" t="s">
        <v>6646</v>
      </c>
      <c r="L1331" s="12" t="s">
        <v>3363</v>
      </c>
      <c r="M1331" s="12" t="s">
        <v>3363</v>
      </c>
      <c r="N1331" s="12" t="s">
        <v>5785</v>
      </c>
      <c r="O1331" s="12" t="s">
        <v>17</v>
      </c>
      <c r="P1331" s="12" t="s">
        <v>173</v>
      </c>
      <c r="Q1331" s="12" t="s">
        <v>6664</v>
      </c>
      <c r="R1331" s="12" t="s">
        <v>17</v>
      </c>
      <c r="S1331" s="12" t="s">
        <v>17</v>
      </c>
      <c r="T1331" s="12" t="s">
        <v>25</v>
      </c>
      <c r="U1331" s="12" t="s">
        <v>17</v>
      </c>
      <c r="V1331" s="12" t="s">
        <v>6639</v>
      </c>
      <c r="W1331" s="12" t="s">
        <v>6639</v>
      </c>
      <c r="X1331" s="12" t="s">
        <v>17</v>
      </c>
      <c r="Y1331" s="12">
        <v>1149350</v>
      </c>
      <c r="Z1331" s="12" t="s">
        <v>6613</v>
      </c>
      <c r="AA1331" s="12" t="s">
        <v>6613</v>
      </c>
      <c r="AB1331" s="12" t="s">
        <v>6613</v>
      </c>
      <c r="AC1331" s="12" t="s">
        <v>6613</v>
      </c>
      <c r="AD1331" s="12" t="s">
        <v>6613</v>
      </c>
      <c r="AE1331" s="12" t="s">
        <v>6613</v>
      </c>
      <c r="AF1331" s="12" t="s">
        <v>45</v>
      </c>
    </row>
    <row r="1332" spans="1:32" x14ac:dyDescent="0.2">
      <c r="A1332" s="12" t="s">
        <v>3454</v>
      </c>
      <c r="B1332" s="12" t="s">
        <v>3455</v>
      </c>
      <c r="C1332" s="12" t="s">
        <v>17</v>
      </c>
      <c r="D1332" s="12" t="s">
        <v>17</v>
      </c>
      <c r="E1332" s="12" t="s">
        <v>7678</v>
      </c>
      <c r="F1332" s="12" t="s">
        <v>5458</v>
      </c>
      <c r="G1332" s="12" t="s">
        <v>615</v>
      </c>
      <c r="H1332" s="12" t="s">
        <v>6613</v>
      </c>
      <c r="I1332" s="12">
        <v>0</v>
      </c>
      <c r="J1332" s="12" t="s">
        <v>164</v>
      </c>
      <c r="K1332" s="12" t="s">
        <v>6646</v>
      </c>
      <c r="L1332" s="12" t="s">
        <v>3363</v>
      </c>
      <c r="M1332" s="12" t="s">
        <v>3363</v>
      </c>
      <c r="N1332" s="12" t="s">
        <v>5785</v>
      </c>
      <c r="O1332" s="12" t="s">
        <v>17</v>
      </c>
      <c r="P1332" s="12" t="s">
        <v>173</v>
      </c>
      <c r="Q1332" s="12" t="s">
        <v>6664</v>
      </c>
      <c r="R1332" s="12" t="s">
        <v>17</v>
      </c>
      <c r="S1332" s="12" t="s">
        <v>17</v>
      </c>
      <c r="T1332" s="12" t="s">
        <v>25</v>
      </c>
      <c r="U1332" s="12" t="s">
        <v>17</v>
      </c>
      <c r="V1332" s="12" t="s">
        <v>6639</v>
      </c>
      <c r="W1332" s="12" t="s">
        <v>6639</v>
      </c>
      <c r="X1332" s="12" t="s">
        <v>17</v>
      </c>
      <c r="Y1332" s="12">
        <v>1149413</v>
      </c>
      <c r="Z1332" s="12" t="s">
        <v>6613</v>
      </c>
      <c r="AA1332" s="12" t="s">
        <v>6613</v>
      </c>
      <c r="AB1332" s="12" t="s">
        <v>6613</v>
      </c>
      <c r="AC1332" s="12" t="s">
        <v>6613</v>
      </c>
      <c r="AD1332" s="12" t="s">
        <v>6613</v>
      </c>
      <c r="AE1332" s="12" t="s">
        <v>6613</v>
      </c>
      <c r="AF1332" s="12" t="s">
        <v>45</v>
      </c>
    </row>
    <row r="1333" spans="1:32" x14ac:dyDescent="0.2">
      <c r="A1333" s="12" t="s">
        <v>3366</v>
      </c>
      <c r="B1333" s="12" t="s">
        <v>3367</v>
      </c>
      <c r="C1333" s="12" t="s">
        <v>17</v>
      </c>
      <c r="D1333" s="12" t="s">
        <v>17</v>
      </c>
      <c r="E1333" s="12" t="s">
        <v>7678</v>
      </c>
      <c r="F1333" s="12" t="s">
        <v>5458</v>
      </c>
      <c r="G1333" s="12" t="s">
        <v>615</v>
      </c>
      <c r="H1333" s="12" t="s">
        <v>6613</v>
      </c>
      <c r="I1333" s="12">
        <v>0</v>
      </c>
      <c r="J1333" s="12" t="s">
        <v>164</v>
      </c>
      <c r="K1333" s="12" t="s">
        <v>6646</v>
      </c>
      <c r="L1333" s="12" t="s">
        <v>3363</v>
      </c>
      <c r="M1333" s="12" t="s">
        <v>3363</v>
      </c>
      <c r="N1333" s="12" t="s">
        <v>5785</v>
      </c>
      <c r="O1333" s="12" t="s">
        <v>17</v>
      </c>
      <c r="P1333" s="12" t="s">
        <v>173</v>
      </c>
      <c r="Q1333" s="12" t="s">
        <v>6664</v>
      </c>
      <c r="R1333" s="12" t="s">
        <v>17</v>
      </c>
      <c r="S1333" s="12" t="s">
        <v>17</v>
      </c>
      <c r="T1333" s="12" t="s">
        <v>25</v>
      </c>
      <c r="U1333" s="12" t="s">
        <v>17</v>
      </c>
      <c r="V1333" s="12" t="s">
        <v>6639</v>
      </c>
      <c r="W1333" s="12" t="s">
        <v>6639</v>
      </c>
      <c r="X1333" s="12" t="s">
        <v>17</v>
      </c>
      <c r="Y1333" s="12">
        <v>1149537</v>
      </c>
      <c r="Z1333" s="12" t="s">
        <v>6613</v>
      </c>
      <c r="AA1333" s="12" t="s">
        <v>6613</v>
      </c>
      <c r="AB1333" s="12" t="s">
        <v>6613</v>
      </c>
      <c r="AC1333" s="12" t="s">
        <v>6613</v>
      </c>
      <c r="AD1333" s="12" t="s">
        <v>6613</v>
      </c>
      <c r="AE1333" s="12" t="s">
        <v>6613</v>
      </c>
      <c r="AF1333" s="12" t="s">
        <v>45</v>
      </c>
    </row>
    <row r="1334" spans="1:32" x14ac:dyDescent="0.2">
      <c r="A1334" s="12" t="s">
        <v>3418</v>
      </c>
      <c r="B1334" s="12" t="s">
        <v>3419</v>
      </c>
      <c r="C1334" s="12" t="s">
        <v>17</v>
      </c>
      <c r="D1334" s="12" t="s">
        <v>17</v>
      </c>
      <c r="E1334" s="12" t="s">
        <v>7678</v>
      </c>
      <c r="F1334" s="12" t="s">
        <v>5458</v>
      </c>
      <c r="G1334" s="12" t="s">
        <v>615</v>
      </c>
      <c r="H1334" s="12" t="s">
        <v>6613</v>
      </c>
      <c r="I1334" s="12">
        <v>0</v>
      </c>
      <c r="J1334" s="12" t="s">
        <v>164</v>
      </c>
      <c r="K1334" s="12" t="s">
        <v>6646</v>
      </c>
      <c r="L1334" s="12" t="s">
        <v>3363</v>
      </c>
      <c r="M1334" s="12" t="s">
        <v>3363</v>
      </c>
      <c r="N1334" s="12" t="s">
        <v>5785</v>
      </c>
      <c r="O1334" s="12" t="s">
        <v>17</v>
      </c>
      <c r="P1334" s="12" t="s">
        <v>173</v>
      </c>
      <c r="Q1334" s="12" t="s">
        <v>6664</v>
      </c>
      <c r="R1334" s="12" t="s">
        <v>17</v>
      </c>
      <c r="S1334" s="12" t="s">
        <v>17</v>
      </c>
      <c r="T1334" s="12" t="s">
        <v>25</v>
      </c>
      <c r="U1334" s="12" t="s">
        <v>17</v>
      </c>
      <c r="V1334" s="12" t="s">
        <v>6639</v>
      </c>
      <c r="W1334" s="12" t="s">
        <v>6639</v>
      </c>
      <c r="X1334" s="12" t="s">
        <v>17</v>
      </c>
      <c r="Y1334" s="12">
        <v>1149584</v>
      </c>
      <c r="Z1334" s="12" t="s">
        <v>6613</v>
      </c>
      <c r="AA1334" s="12" t="s">
        <v>6613</v>
      </c>
      <c r="AB1334" s="12" t="s">
        <v>6613</v>
      </c>
      <c r="AC1334" s="12" t="s">
        <v>6613</v>
      </c>
      <c r="AD1334" s="12" t="s">
        <v>6613</v>
      </c>
      <c r="AE1334" s="12" t="s">
        <v>6613</v>
      </c>
      <c r="AF1334" s="12" t="s">
        <v>45</v>
      </c>
    </row>
    <row r="1335" spans="1:32" x14ac:dyDescent="0.2">
      <c r="A1335" s="12" t="s">
        <v>3370</v>
      </c>
      <c r="B1335" s="12" t="s">
        <v>3371</v>
      </c>
      <c r="C1335" s="12" t="s">
        <v>17</v>
      </c>
      <c r="D1335" s="12" t="s">
        <v>17</v>
      </c>
      <c r="E1335" s="12" t="s">
        <v>7678</v>
      </c>
      <c r="F1335" s="12" t="s">
        <v>5458</v>
      </c>
      <c r="G1335" s="12" t="s">
        <v>615</v>
      </c>
      <c r="H1335" s="12" t="s">
        <v>6613</v>
      </c>
      <c r="I1335" s="12">
        <v>0</v>
      </c>
      <c r="J1335" s="12" t="s">
        <v>164</v>
      </c>
      <c r="K1335" s="12" t="s">
        <v>6646</v>
      </c>
      <c r="L1335" s="12" t="s">
        <v>3363</v>
      </c>
      <c r="M1335" s="12" t="s">
        <v>3363</v>
      </c>
      <c r="N1335" s="12" t="s">
        <v>5785</v>
      </c>
      <c r="O1335" s="12" t="s">
        <v>17</v>
      </c>
      <c r="P1335" s="12" t="s">
        <v>173</v>
      </c>
      <c r="Q1335" s="12" t="s">
        <v>6664</v>
      </c>
      <c r="R1335" s="12" t="s">
        <v>17</v>
      </c>
      <c r="S1335" s="12" t="s">
        <v>17</v>
      </c>
      <c r="T1335" s="12" t="s">
        <v>25</v>
      </c>
      <c r="U1335" s="12" t="s">
        <v>17</v>
      </c>
      <c r="V1335" s="12" t="s">
        <v>6639</v>
      </c>
      <c r="W1335" s="12" t="s">
        <v>6639</v>
      </c>
      <c r="X1335" s="12" t="s">
        <v>17</v>
      </c>
      <c r="Y1335" s="12">
        <v>1149736</v>
      </c>
      <c r="Z1335" s="12" t="s">
        <v>6613</v>
      </c>
      <c r="AA1335" s="12" t="s">
        <v>6613</v>
      </c>
      <c r="AB1335" s="12" t="s">
        <v>6613</v>
      </c>
      <c r="AC1335" s="12" t="s">
        <v>6613</v>
      </c>
      <c r="AD1335" s="12" t="s">
        <v>6613</v>
      </c>
      <c r="AE1335" s="12" t="s">
        <v>6613</v>
      </c>
      <c r="AF1335" s="12" t="s">
        <v>45</v>
      </c>
    </row>
    <row r="1336" spans="1:32" x14ac:dyDescent="0.2">
      <c r="A1336" s="12" t="s">
        <v>3559</v>
      </c>
      <c r="B1336" s="12" t="s">
        <v>3560</v>
      </c>
      <c r="C1336" s="12" t="s">
        <v>17</v>
      </c>
      <c r="D1336" s="12" t="s">
        <v>17</v>
      </c>
      <c r="E1336" s="12" t="s">
        <v>7678</v>
      </c>
      <c r="F1336" s="12" t="s">
        <v>5458</v>
      </c>
      <c r="G1336" s="12" t="s">
        <v>615</v>
      </c>
      <c r="H1336" s="12" t="s">
        <v>6613</v>
      </c>
      <c r="I1336" s="12">
        <v>0</v>
      </c>
      <c r="J1336" s="12" t="s">
        <v>164</v>
      </c>
      <c r="K1336" s="12" t="s">
        <v>6646</v>
      </c>
      <c r="L1336" s="12" t="s">
        <v>3363</v>
      </c>
      <c r="M1336" s="12" t="s">
        <v>3363</v>
      </c>
      <c r="N1336" s="12" t="s">
        <v>5785</v>
      </c>
      <c r="O1336" s="12" t="s">
        <v>17</v>
      </c>
      <c r="P1336" s="12" t="s">
        <v>173</v>
      </c>
      <c r="Q1336" s="12" t="s">
        <v>6664</v>
      </c>
      <c r="R1336" s="12" t="s">
        <v>17</v>
      </c>
      <c r="S1336" s="12" t="s">
        <v>17</v>
      </c>
      <c r="T1336" s="12" t="s">
        <v>11</v>
      </c>
      <c r="U1336" s="12" t="s">
        <v>17</v>
      </c>
      <c r="V1336" s="12" t="s">
        <v>208</v>
      </c>
      <c r="W1336" s="12" t="s">
        <v>7415</v>
      </c>
      <c r="X1336" s="12" t="s">
        <v>17</v>
      </c>
      <c r="Y1336" s="12">
        <v>1150400</v>
      </c>
      <c r="Z1336" s="12" t="s">
        <v>6613</v>
      </c>
      <c r="AA1336" s="12" t="s">
        <v>6613</v>
      </c>
      <c r="AB1336" s="12" t="s">
        <v>6613</v>
      </c>
      <c r="AC1336" s="12" t="s">
        <v>6613</v>
      </c>
      <c r="AD1336" s="12" t="s">
        <v>6613</v>
      </c>
      <c r="AE1336" s="12" t="s">
        <v>6613</v>
      </c>
      <c r="AF1336" s="12" t="s">
        <v>45</v>
      </c>
    </row>
    <row r="1337" spans="1:32" x14ac:dyDescent="0.2">
      <c r="A1337" s="12" t="s">
        <v>3489</v>
      </c>
      <c r="B1337" s="12" t="s">
        <v>3490</v>
      </c>
      <c r="C1337" s="12" t="s">
        <v>17</v>
      </c>
      <c r="D1337" s="12" t="s">
        <v>17</v>
      </c>
      <c r="E1337" s="12" t="s">
        <v>7678</v>
      </c>
      <c r="F1337" s="12" t="s">
        <v>5458</v>
      </c>
      <c r="G1337" s="12" t="s">
        <v>615</v>
      </c>
      <c r="H1337" s="12" t="s">
        <v>6613</v>
      </c>
      <c r="I1337" s="12">
        <v>0</v>
      </c>
      <c r="J1337" s="12" t="s">
        <v>164</v>
      </c>
      <c r="K1337" s="12" t="s">
        <v>6646</v>
      </c>
      <c r="L1337" s="12" t="s">
        <v>3363</v>
      </c>
      <c r="M1337" s="12" t="s">
        <v>3363</v>
      </c>
      <c r="N1337" s="12" t="s">
        <v>5785</v>
      </c>
      <c r="O1337" s="12" t="s">
        <v>17</v>
      </c>
      <c r="P1337" s="12" t="s">
        <v>173</v>
      </c>
      <c r="Q1337" s="12" t="s">
        <v>6664</v>
      </c>
      <c r="R1337" s="12" t="s">
        <v>17</v>
      </c>
      <c r="S1337" s="12" t="s">
        <v>17</v>
      </c>
      <c r="T1337" s="12" t="s">
        <v>11</v>
      </c>
      <c r="U1337" s="12" t="s">
        <v>17</v>
      </c>
      <c r="V1337" s="12" t="s">
        <v>628</v>
      </c>
      <c r="W1337" s="12" t="s">
        <v>7415</v>
      </c>
      <c r="X1337" s="12" t="s">
        <v>17</v>
      </c>
      <c r="Y1337" s="12">
        <v>1153074</v>
      </c>
      <c r="Z1337" s="12" t="s">
        <v>6613</v>
      </c>
      <c r="AA1337" s="12" t="s">
        <v>6613</v>
      </c>
      <c r="AB1337" s="12" t="s">
        <v>6613</v>
      </c>
      <c r="AC1337" s="12" t="s">
        <v>6613</v>
      </c>
      <c r="AD1337" s="12" t="s">
        <v>6613</v>
      </c>
      <c r="AE1337" s="12" t="s">
        <v>6613</v>
      </c>
      <c r="AF1337" s="12" t="s">
        <v>45</v>
      </c>
    </row>
    <row r="1338" spans="1:32" x14ac:dyDescent="0.2">
      <c r="A1338" s="12" t="s">
        <v>3481</v>
      </c>
      <c r="B1338" s="12" t="s">
        <v>3482</v>
      </c>
      <c r="C1338" s="12" t="s">
        <v>17</v>
      </c>
      <c r="D1338" s="12" t="s">
        <v>17</v>
      </c>
      <c r="E1338" s="12" t="s">
        <v>7678</v>
      </c>
      <c r="F1338" s="12" t="s">
        <v>5458</v>
      </c>
      <c r="G1338" s="12" t="s">
        <v>615</v>
      </c>
      <c r="H1338" s="12" t="s">
        <v>6613</v>
      </c>
      <c r="I1338" s="12">
        <v>0</v>
      </c>
      <c r="J1338" s="12" t="s">
        <v>164</v>
      </c>
      <c r="K1338" s="12" t="s">
        <v>6646</v>
      </c>
      <c r="L1338" s="12" t="s">
        <v>3363</v>
      </c>
      <c r="M1338" s="12" t="s">
        <v>3363</v>
      </c>
      <c r="N1338" s="12" t="s">
        <v>5785</v>
      </c>
      <c r="O1338" s="12" t="s">
        <v>17</v>
      </c>
      <c r="P1338" s="12" t="s">
        <v>173</v>
      </c>
      <c r="Q1338" s="12" t="s">
        <v>6664</v>
      </c>
      <c r="R1338" s="12" t="s">
        <v>17</v>
      </c>
      <c r="S1338" s="12" t="s">
        <v>17</v>
      </c>
      <c r="T1338" s="12" t="s">
        <v>11</v>
      </c>
      <c r="U1338" s="12" t="s">
        <v>17</v>
      </c>
      <c r="V1338" s="12" t="s">
        <v>802</v>
      </c>
      <c r="W1338" s="12" t="s">
        <v>7415</v>
      </c>
      <c r="X1338" s="12" t="s">
        <v>17</v>
      </c>
      <c r="Y1338" s="12">
        <v>1158535</v>
      </c>
      <c r="Z1338" s="12" t="s">
        <v>6613</v>
      </c>
      <c r="AA1338" s="12" t="s">
        <v>6613</v>
      </c>
      <c r="AB1338" s="12" t="s">
        <v>6613</v>
      </c>
      <c r="AC1338" s="12" t="s">
        <v>6613</v>
      </c>
      <c r="AD1338" s="12" t="s">
        <v>6613</v>
      </c>
      <c r="AE1338" s="12" t="s">
        <v>6613</v>
      </c>
      <c r="AF1338" s="12" t="s">
        <v>45</v>
      </c>
    </row>
    <row r="1339" spans="1:32" x14ac:dyDescent="0.2">
      <c r="A1339" s="12" t="s">
        <v>3466</v>
      </c>
      <c r="B1339" s="12" t="s">
        <v>3467</v>
      </c>
      <c r="C1339" s="12" t="s">
        <v>17</v>
      </c>
      <c r="D1339" s="12" t="s">
        <v>17</v>
      </c>
      <c r="E1339" s="12" t="s">
        <v>7678</v>
      </c>
      <c r="F1339" s="12" t="s">
        <v>5458</v>
      </c>
      <c r="G1339" s="12" t="s">
        <v>615</v>
      </c>
      <c r="H1339" s="12" t="s">
        <v>6613</v>
      </c>
      <c r="I1339" s="12">
        <v>0</v>
      </c>
      <c r="J1339" s="12" t="s">
        <v>164</v>
      </c>
      <c r="K1339" s="12" t="s">
        <v>6646</v>
      </c>
      <c r="L1339" s="12" t="s">
        <v>3363</v>
      </c>
      <c r="M1339" s="12" t="s">
        <v>3363</v>
      </c>
      <c r="N1339" s="12" t="s">
        <v>5785</v>
      </c>
      <c r="O1339" s="12" t="s">
        <v>17</v>
      </c>
      <c r="P1339" s="12" t="s">
        <v>173</v>
      </c>
      <c r="Q1339" s="12" t="s">
        <v>6664</v>
      </c>
      <c r="R1339" s="12" t="s">
        <v>17</v>
      </c>
      <c r="S1339" s="12" t="s">
        <v>17</v>
      </c>
      <c r="T1339" s="12" t="s">
        <v>11</v>
      </c>
      <c r="U1339" s="12" t="s">
        <v>17</v>
      </c>
      <c r="V1339" s="12" t="s">
        <v>653</v>
      </c>
      <c r="W1339" s="12" t="s">
        <v>7415</v>
      </c>
      <c r="X1339" s="12" t="s">
        <v>17</v>
      </c>
      <c r="Y1339" s="12">
        <v>1159937</v>
      </c>
      <c r="Z1339" s="12" t="s">
        <v>6613</v>
      </c>
      <c r="AA1339" s="12" t="s">
        <v>6613</v>
      </c>
      <c r="AB1339" s="12" t="s">
        <v>6613</v>
      </c>
      <c r="AC1339" s="12" t="s">
        <v>6613</v>
      </c>
      <c r="AD1339" s="12" t="s">
        <v>6613</v>
      </c>
      <c r="AE1339" s="12" t="s">
        <v>6613</v>
      </c>
      <c r="AF1339" s="12" t="s">
        <v>45</v>
      </c>
    </row>
    <row r="1340" spans="1:32" x14ac:dyDescent="0.2">
      <c r="A1340" s="12" t="s">
        <v>3485</v>
      </c>
      <c r="B1340" s="12" t="s">
        <v>3486</v>
      </c>
      <c r="C1340" s="12" t="s">
        <v>17</v>
      </c>
      <c r="D1340" s="12" t="s">
        <v>17</v>
      </c>
      <c r="E1340" s="12" t="s">
        <v>7678</v>
      </c>
      <c r="F1340" s="12" t="s">
        <v>5458</v>
      </c>
      <c r="G1340" s="12" t="s">
        <v>615</v>
      </c>
      <c r="H1340" s="12" t="s">
        <v>6613</v>
      </c>
      <c r="I1340" s="12">
        <v>0</v>
      </c>
      <c r="J1340" s="12" t="s">
        <v>164</v>
      </c>
      <c r="K1340" s="12" t="s">
        <v>6646</v>
      </c>
      <c r="L1340" s="12" t="s">
        <v>3363</v>
      </c>
      <c r="M1340" s="12" t="s">
        <v>3363</v>
      </c>
      <c r="N1340" s="12" t="s">
        <v>5785</v>
      </c>
      <c r="O1340" s="12" t="s">
        <v>17</v>
      </c>
      <c r="P1340" s="12" t="s">
        <v>173</v>
      </c>
      <c r="Q1340" s="12" t="s">
        <v>6664</v>
      </c>
      <c r="R1340" s="12" t="s">
        <v>17</v>
      </c>
      <c r="S1340" s="12" t="s">
        <v>17</v>
      </c>
      <c r="T1340" s="12" t="s">
        <v>11</v>
      </c>
      <c r="U1340" s="12" t="s">
        <v>17</v>
      </c>
      <c r="V1340" s="12" t="s">
        <v>628</v>
      </c>
      <c r="W1340" s="12" t="s">
        <v>7415</v>
      </c>
      <c r="X1340" s="12" t="s">
        <v>17</v>
      </c>
      <c r="Y1340" s="12">
        <v>1160679</v>
      </c>
      <c r="Z1340" s="12" t="s">
        <v>6613</v>
      </c>
      <c r="AA1340" s="12" t="s">
        <v>6613</v>
      </c>
      <c r="AB1340" s="12" t="s">
        <v>6613</v>
      </c>
      <c r="AC1340" s="12" t="s">
        <v>6613</v>
      </c>
      <c r="AD1340" s="12" t="s">
        <v>6613</v>
      </c>
      <c r="AE1340" s="12" t="s">
        <v>6613</v>
      </c>
      <c r="AF1340" s="12" t="s">
        <v>45</v>
      </c>
    </row>
    <row r="1341" spans="1:32" x14ac:dyDescent="0.2">
      <c r="A1341" s="12" t="s">
        <v>3550</v>
      </c>
      <c r="B1341" s="12" t="s">
        <v>3551</v>
      </c>
      <c r="C1341" s="12" t="s">
        <v>17</v>
      </c>
      <c r="D1341" s="12" t="s">
        <v>17</v>
      </c>
      <c r="E1341" s="12" t="s">
        <v>7678</v>
      </c>
      <c r="F1341" s="12" t="s">
        <v>5458</v>
      </c>
      <c r="G1341" s="12" t="s">
        <v>615</v>
      </c>
      <c r="H1341" s="12" t="s">
        <v>6613</v>
      </c>
      <c r="I1341" s="12">
        <v>0</v>
      </c>
      <c r="J1341" s="12" t="s">
        <v>164</v>
      </c>
      <c r="K1341" s="12" t="s">
        <v>6646</v>
      </c>
      <c r="L1341" s="12" t="s">
        <v>3363</v>
      </c>
      <c r="M1341" s="12" t="s">
        <v>3363</v>
      </c>
      <c r="N1341" s="12" t="s">
        <v>5785</v>
      </c>
      <c r="O1341" s="12" t="s">
        <v>17</v>
      </c>
      <c r="P1341" s="12" t="s">
        <v>173</v>
      </c>
      <c r="Q1341" s="12" t="s">
        <v>6664</v>
      </c>
      <c r="R1341" s="12" t="s">
        <v>17</v>
      </c>
      <c r="S1341" s="12" t="s">
        <v>17</v>
      </c>
      <c r="T1341" s="12" t="s">
        <v>11</v>
      </c>
      <c r="U1341" s="12" t="s">
        <v>17</v>
      </c>
      <c r="V1341" s="12" t="s">
        <v>3552</v>
      </c>
      <c r="W1341" s="12" t="s">
        <v>7415</v>
      </c>
      <c r="X1341" s="12" t="s">
        <v>17</v>
      </c>
      <c r="Y1341" s="12">
        <v>1169803</v>
      </c>
      <c r="Z1341" s="12" t="s">
        <v>6613</v>
      </c>
      <c r="AA1341" s="12" t="s">
        <v>6613</v>
      </c>
      <c r="AB1341" s="12" t="s">
        <v>6613</v>
      </c>
      <c r="AC1341" s="12" t="s">
        <v>6613</v>
      </c>
      <c r="AD1341" s="12" t="s">
        <v>6613</v>
      </c>
      <c r="AE1341" s="12" t="s">
        <v>6613</v>
      </c>
      <c r="AF1341" s="12" t="s">
        <v>45</v>
      </c>
    </row>
    <row r="1342" spans="1:32" x14ac:dyDescent="0.2">
      <c r="A1342" s="12" t="s">
        <v>3420</v>
      </c>
      <c r="B1342" s="12" t="s">
        <v>3421</v>
      </c>
      <c r="C1342" s="12" t="s">
        <v>17</v>
      </c>
      <c r="D1342" s="12" t="s">
        <v>17</v>
      </c>
      <c r="E1342" s="12" t="s">
        <v>7678</v>
      </c>
      <c r="F1342" s="12" t="s">
        <v>5458</v>
      </c>
      <c r="G1342" s="12" t="s">
        <v>615</v>
      </c>
      <c r="H1342" s="12" t="s">
        <v>6613</v>
      </c>
      <c r="I1342" s="12">
        <v>0</v>
      </c>
      <c r="J1342" s="12" t="s">
        <v>164</v>
      </c>
      <c r="K1342" s="12" t="s">
        <v>6646</v>
      </c>
      <c r="L1342" s="12" t="s">
        <v>3363</v>
      </c>
      <c r="M1342" s="12" t="s">
        <v>3363</v>
      </c>
      <c r="N1342" s="12" t="s">
        <v>5785</v>
      </c>
      <c r="O1342" s="12" t="s">
        <v>17</v>
      </c>
      <c r="P1342" s="12" t="s">
        <v>173</v>
      </c>
      <c r="Q1342" s="12" t="s">
        <v>6664</v>
      </c>
      <c r="R1342" s="12" t="s">
        <v>17</v>
      </c>
      <c r="S1342" s="12" t="s">
        <v>17</v>
      </c>
      <c r="T1342" s="12" t="s">
        <v>11</v>
      </c>
      <c r="U1342" s="12" t="s">
        <v>17</v>
      </c>
      <c r="V1342" s="12" t="s">
        <v>3422</v>
      </c>
      <c r="W1342" s="12" t="s">
        <v>7415</v>
      </c>
      <c r="X1342" s="12" t="s">
        <v>17</v>
      </c>
      <c r="Y1342" s="12">
        <v>1170481</v>
      </c>
      <c r="Z1342" s="12" t="s">
        <v>6613</v>
      </c>
      <c r="AA1342" s="12" t="s">
        <v>6613</v>
      </c>
      <c r="AB1342" s="12" t="s">
        <v>6613</v>
      </c>
      <c r="AC1342" s="12" t="s">
        <v>6613</v>
      </c>
      <c r="AD1342" s="12" t="s">
        <v>6613</v>
      </c>
      <c r="AE1342" s="12" t="s">
        <v>6613</v>
      </c>
      <c r="AF1342" s="12" t="s">
        <v>45</v>
      </c>
    </row>
    <row r="1343" spans="1:32" x14ac:dyDescent="0.2">
      <c r="A1343" s="12" t="s">
        <v>3456</v>
      </c>
      <c r="B1343" s="12" t="s">
        <v>3457</v>
      </c>
      <c r="C1343" s="12" t="s">
        <v>17</v>
      </c>
      <c r="D1343" s="12" t="s">
        <v>17</v>
      </c>
      <c r="E1343" s="12" t="s">
        <v>7678</v>
      </c>
      <c r="F1343" s="12" t="s">
        <v>5458</v>
      </c>
      <c r="G1343" s="12" t="s">
        <v>615</v>
      </c>
      <c r="H1343" s="12" t="s">
        <v>6613</v>
      </c>
      <c r="I1343" s="12">
        <v>0</v>
      </c>
      <c r="J1343" s="12" t="s">
        <v>164</v>
      </c>
      <c r="K1343" s="12" t="s">
        <v>6646</v>
      </c>
      <c r="L1343" s="12" t="s">
        <v>3363</v>
      </c>
      <c r="M1343" s="12" t="s">
        <v>3363</v>
      </c>
      <c r="N1343" s="12" t="s">
        <v>5785</v>
      </c>
      <c r="O1343" s="12" t="s">
        <v>17</v>
      </c>
      <c r="P1343" s="12" t="s">
        <v>173</v>
      </c>
      <c r="Q1343" s="12" t="s">
        <v>6664</v>
      </c>
      <c r="R1343" s="12" t="s">
        <v>17</v>
      </c>
      <c r="S1343" s="12" t="s">
        <v>17</v>
      </c>
      <c r="T1343" s="12" t="s">
        <v>11</v>
      </c>
      <c r="U1343" s="12" t="s">
        <v>17</v>
      </c>
      <c r="V1343" s="12" t="s">
        <v>708</v>
      </c>
      <c r="W1343" s="12" t="s">
        <v>7415</v>
      </c>
      <c r="X1343" s="12" t="s">
        <v>17</v>
      </c>
      <c r="Y1343" s="12">
        <v>1172180</v>
      </c>
      <c r="Z1343" s="12" t="s">
        <v>6613</v>
      </c>
      <c r="AA1343" s="12" t="s">
        <v>6613</v>
      </c>
      <c r="AB1343" s="12" t="s">
        <v>6613</v>
      </c>
      <c r="AC1343" s="12" t="s">
        <v>6613</v>
      </c>
      <c r="AD1343" s="12" t="s">
        <v>6613</v>
      </c>
      <c r="AE1343" s="12" t="s">
        <v>6613</v>
      </c>
      <c r="AF1343" s="12" t="s">
        <v>45</v>
      </c>
    </row>
    <row r="1344" spans="1:32" x14ac:dyDescent="0.2">
      <c r="A1344" s="12" t="s">
        <v>3430</v>
      </c>
      <c r="B1344" s="12" t="s">
        <v>3431</v>
      </c>
      <c r="C1344" s="12" t="s">
        <v>17</v>
      </c>
      <c r="D1344" s="12" t="s">
        <v>17</v>
      </c>
      <c r="E1344" s="12" t="s">
        <v>7678</v>
      </c>
      <c r="F1344" s="12" t="s">
        <v>5458</v>
      </c>
      <c r="G1344" s="12" t="s">
        <v>615</v>
      </c>
      <c r="H1344" s="12" t="s">
        <v>6613</v>
      </c>
      <c r="I1344" s="12">
        <v>0</v>
      </c>
      <c r="J1344" s="12" t="s">
        <v>164</v>
      </c>
      <c r="K1344" s="12" t="s">
        <v>6646</v>
      </c>
      <c r="L1344" s="12" t="s">
        <v>3363</v>
      </c>
      <c r="M1344" s="12" t="s">
        <v>3363</v>
      </c>
      <c r="N1344" s="12" t="s">
        <v>5785</v>
      </c>
      <c r="O1344" s="12" t="s">
        <v>17</v>
      </c>
      <c r="P1344" s="12" t="s">
        <v>173</v>
      </c>
      <c r="Q1344" s="12" t="s">
        <v>6664</v>
      </c>
      <c r="R1344" s="12" t="s">
        <v>17</v>
      </c>
      <c r="S1344" s="12" t="s">
        <v>17</v>
      </c>
      <c r="T1344" s="12" t="s">
        <v>11</v>
      </c>
      <c r="U1344" s="12" t="s">
        <v>17</v>
      </c>
      <c r="V1344" s="12" t="s">
        <v>619</v>
      </c>
      <c r="W1344" s="12" t="s">
        <v>7415</v>
      </c>
      <c r="X1344" s="12" t="s">
        <v>17</v>
      </c>
      <c r="Y1344" s="12">
        <v>1173868</v>
      </c>
      <c r="Z1344" s="12" t="s">
        <v>6613</v>
      </c>
      <c r="AA1344" s="12" t="s">
        <v>6613</v>
      </c>
      <c r="AB1344" s="12" t="s">
        <v>6613</v>
      </c>
      <c r="AC1344" s="12" t="s">
        <v>6613</v>
      </c>
      <c r="AD1344" s="12" t="s">
        <v>6613</v>
      </c>
      <c r="AE1344" s="12" t="s">
        <v>6613</v>
      </c>
      <c r="AF1344" s="12" t="s">
        <v>45</v>
      </c>
    </row>
    <row r="1345" spans="1:32" x14ac:dyDescent="0.2">
      <c r="A1345" s="12" t="s">
        <v>3498</v>
      </c>
      <c r="B1345" s="12" t="s">
        <v>3499</v>
      </c>
      <c r="C1345" s="12" t="s">
        <v>17</v>
      </c>
      <c r="D1345" s="12" t="s">
        <v>17</v>
      </c>
      <c r="E1345" s="12" t="s">
        <v>7678</v>
      </c>
      <c r="F1345" s="12" t="s">
        <v>5458</v>
      </c>
      <c r="G1345" s="12" t="s">
        <v>615</v>
      </c>
      <c r="H1345" s="12" t="s">
        <v>6613</v>
      </c>
      <c r="I1345" s="12">
        <v>0</v>
      </c>
      <c r="J1345" s="12" t="s">
        <v>164</v>
      </c>
      <c r="K1345" s="12" t="s">
        <v>6646</v>
      </c>
      <c r="L1345" s="12" t="s">
        <v>3363</v>
      </c>
      <c r="M1345" s="12" t="s">
        <v>3363</v>
      </c>
      <c r="N1345" s="12" t="s">
        <v>5785</v>
      </c>
      <c r="O1345" s="12" t="s">
        <v>17</v>
      </c>
      <c r="P1345" s="12" t="s">
        <v>173</v>
      </c>
      <c r="Q1345" s="12" t="s">
        <v>6664</v>
      </c>
      <c r="R1345" s="16" t="s">
        <v>17</v>
      </c>
      <c r="S1345" s="16" t="s">
        <v>17</v>
      </c>
      <c r="T1345" s="12" t="s">
        <v>11</v>
      </c>
      <c r="U1345" s="12" t="s">
        <v>17</v>
      </c>
      <c r="V1345" s="12" t="s">
        <v>708</v>
      </c>
      <c r="W1345" s="12" t="s">
        <v>7415</v>
      </c>
      <c r="X1345" s="12" t="s">
        <v>17</v>
      </c>
      <c r="Y1345" s="12">
        <v>1173970</v>
      </c>
      <c r="Z1345" s="12" t="s">
        <v>6613</v>
      </c>
      <c r="AA1345" s="12" t="s">
        <v>6613</v>
      </c>
      <c r="AB1345" s="12" t="s">
        <v>6613</v>
      </c>
      <c r="AC1345" s="12" t="s">
        <v>6613</v>
      </c>
      <c r="AD1345" s="12" t="s">
        <v>6613</v>
      </c>
      <c r="AE1345" s="12" t="s">
        <v>6613</v>
      </c>
      <c r="AF1345" s="12" t="s">
        <v>45</v>
      </c>
    </row>
    <row r="1346" spans="1:32" x14ac:dyDescent="0.2">
      <c r="A1346" s="12" t="s">
        <v>3399</v>
      </c>
      <c r="B1346" s="12" t="s">
        <v>3400</v>
      </c>
      <c r="C1346" s="12" t="s">
        <v>17</v>
      </c>
      <c r="D1346" s="12" t="s">
        <v>17</v>
      </c>
      <c r="E1346" s="12" t="s">
        <v>7678</v>
      </c>
      <c r="F1346" s="12" t="s">
        <v>5458</v>
      </c>
      <c r="G1346" s="12" t="s">
        <v>615</v>
      </c>
      <c r="H1346" s="12" t="s">
        <v>6613</v>
      </c>
      <c r="I1346" s="12">
        <v>0</v>
      </c>
      <c r="J1346" s="12" t="s">
        <v>164</v>
      </c>
      <c r="K1346" s="12" t="s">
        <v>6646</v>
      </c>
      <c r="L1346" s="12" t="s">
        <v>3363</v>
      </c>
      <c r="M1346" s="12" t="s">
        <v>3363</v>
      </c>
      <c r="N1346" s="12" t="s">
        <v>5785</v>
      </c>
      <c r="O1346" s="12" t="s">
        <v>17</v>
      </c>
      <c r="P1346" s="12" t="s">
        <v>173</v>
      </c>
      <c r="Q1346" s="12" t="s">
        <v>6664</v>
      </c>
      <c r="R1346" s="12" t="s">
        <v>17</v>
      </c>
      <c r="S1346" s="12" t="s">
        <v>17</v>
      </c>
      <c r="T1346" s="12" t="s">
        <v>11</v>
      </c>
      <c r="U1346" s="12" t="s">
        <v>17</v>
      </c>
      <c r="V1346" s="12" t="s">
        <v>708</v>
      </c>
      <c r="W1346" s="12" t="s">
        <v>7415</v>
      </c>
      <c r="X1346" s="12" t="s">
        <v>17</v>
      </c>
      <c r="Y1346" s="12">
        <v>1174741</v>
      </c>
      <c r="Z1346" s="12" t="s">
        <v>6613</v>
      </c>
      <c r="AA1346" s="12" t="s">
        <v>6613</v>
      </c>
      <c r="AB1346" s="12" t="s">
        <v>6613</v>
      </c>
      <c r="AC1346" s="12" t="s">
        <v>6613</v>
      </c>
      <c r="AD1346" s="12" t="s">
        <v>6613</v>
      </c>
      <c r="AE1346" s="12" t="s">
        <v>6613</v>
      </c>
      <c r="AF1346" s="12" t="s">
        <v>45</v>
      </c>
    </row>
    <row r="1347" spans="1:32" x14ac:dyDescent="0.2">
      <c r="A1347" s="12" t="s">
        <v>3403</v>
      </c>
      <c r="B1347" s="12" t="s">
        <v>3404</v>
      </c>
      <c r="C1347" s="12" t="s">
        <v>17</v>
      </c>
      <c r="D1347" s="12" t="s">
        <v>17</v>
      </c>
      <c r="E1347" s="12" t="s">
        <v>7678</v>
      </c>
      <c r="F1347" s="12" t="s">
        <v>5458</v>
      </c>
      <c r="G1347" s="12" t="s">
        <v>615</v>
      </c>
      <c r="H1347" s="12" t="s">
        <v>6613</v>
      </c>
      <c r="I1347" s="12">
        <v>0</v>
      </c>
      <c r="J1347" s="12" t="s">
        <v>164</v>
      </c>
      <c r="K1347" s="12" t="s">
        <v>6646</v>
      </c>
      <c r="L1347" s="12" t="s">
        <v>3363</v>
      </c>
      <c r="M1347" s="12" t="s">
        <v>3363</v>
      </c>
      <c r="N1347" s="12" t="s">
        <v>5785</v>
      </c>
      <c r="O1347" s="12" t="s">
        <v>17</v>
      </c>
      <c r="P1347" s="12" t="s">
        <v>173</v>
      </c>
      <c r="Q1347" s="12" t="s">
        <v>6664</v>
      </c>
      <c r="R1347" s="12" t="s">
        <v>17</v>
      </c>
      <c r="S1347" s="12" t="s">
        <v>17</v>
      </c>
      <c r="T1347" s="12" t="s">
        <v>11</v>
      </c>
      <c r="U1347" s="12" t="s">
        <v>17</v>
      </c>
      <c r="V1347" s="12" t="s">
        <v>3405</v>
      </c>
      <c r="W1347" s="12" t="s">
        <v>7415</v>
      </c>
      <c r="X1347" s="12" t="s">
        <v>17</v>
      </c>
      <c r="Y1347" s="12">
        <v>1174748</v>
      </c>
      <c r="Z1347" s="12" t="s">
        <v>6613</v>
      </c>
      <c r="AA1347" s="12" t="s">
        <v>6613</v>
      </c>
      <c r="AB1347" s="12" t="s">
        <v>6613</v>
      </c>
      <c r="AC1347" s="12" t="s">
        <v>6613</v>
      </c>
      <c r="AD1347" s="12" t="s">
        <v>6613</v>
      </c>
      <c r="AE1347" s="12" t="s">
        <v>6613</v>
      </c>
      <c r="AF1347" s="12" t="s">
        <v>45</v>
      </c>
    </row>
    <row r="1348" spans="1:32" x14ac:dyDescent="0.2">
      <c r="A1348" s="12" t="s">
        <v>3460</v>
      </c>
      <c r="B1348" s="12" t="s">
        <v>3461</v>
      </c>
      <c r="C1348" s="12" t="s">
        <v>17</v>
      </c>
      <c r="D1348" s="12" t="s">
        <v>17</v>
      </c>
      <c r="E1348" s="12" t="s">
        <v>7678</v>
      </c>
      <c r="F1348" s="12" t="s">
        <v>5458</v>
      </c>
      <c r="G1348" s="12" t="s">
        <v>615</v>
      </c>
      <c r="H1348" s="12" t="s">
        <v>6613</v>
      </c>
      <c r="I1348" s="12">
        <v>0</v>
      </c>
      <c r="J1348" s="12" t="s">
        <v>164</v>
      </c>
      <c r="K1348" s="12" t="s">
        <v>6646</v>
      </c>
      <c r="L1348" s="12" t="s">
        <v>3363</v>
      </c>
      <c r="M1348" s="12" t="s">
        <v>3363</v>
      </c>
      <c r="N1348" s="12" t="s">
        <v>5785</v>
      </c>
      <c r="O1348" s="12" t="s">
        <v>17</v>
      </c>
      <c r="P1348" s="12" t="s">
        <v>173</v>
      </c>
      <c r="Q1348" s="12" t="s">
        <v>6664</v>
      </c>
      <c r="R1348" s="12" t="s">
        <v>17</v>
      </c>
      <c r="S1348" s="12" t="s">
        <v>17</v>
      </c>
      <c r="T1348" s="12" t="s">
        <v>11</v>
      </c>
      <c r="U1348" s="12" t="s">
        <v>17</v>
      </c>
      <c r="V1348" s="12" t="s">
        <v>232</v>
      </c>
      <c r="W1348" s="12" t="s">
        <v>7415</v>
      </c>
      <c r="X1348" s="12" t="s">
        <v>17</v>
      </c>
      <c r="Y1348" s="12">
        <v>1175011</v>
      </c>
      <c r="Z1348" s="12" t="s">
        <v>6613</v>
      </c>
      <c r="AA1348" s="12" t="s">
        <v>6613</v>
      </c>
      <c r="AB1348" s="12" t="s">
        <v>6613</v>
      </c>
      <c r="AC1348" s="12" t="s">
        <v>6613</v>
      </c>
      <c r="AD1348" s="12" t="s">
        <v>6613</v>
      </c>
      <c r="AE1348" s="12" t="s">
        <v>6613</v>
      </c>
      <c r="AF1348" s="12" t="s">
        <v>45</v>
      </c>
    </row>
    <row r="1349" spans="1:32" x14ac:dyDescent="0.2">
      <c r="A1349" s="12" t="s">
        <v>3538</v>
      </c>
      <c r="B1349" s="12" t="s">
        <v>3539</v>
      </c>
      <c r="C1349" s="12" t="s">
        <v>17</v>
      </c>
      <c r="D1349" s="12" t="s">
        <v>17</v>
      </c>
      <c r="E1349" s="12" t="s">
        <v>7678</v>
      </c>
      <c r="F1349" s="12" t="s">
        <v>5458</v>
      </c>
      <c r="G1349" s="12" t="s">
        <v>615</v>
      </c>
      <c r="H1349" s="12" t="s">
        <v>6613</v>
      </c>
      <c r="I1349" s="12">
        <v>0</v>
      </c>
      <c r="J1349" s="12" t="s">
        <v>164</v>
      </c>
      <c r="K1349" s="12" t="s">
        <v>6646</v>
      </c>
      <c r="L1349" s="12" t="s">
        <v>3363</v>
      </c>
      <c r="M1349" s="12" t="s">
        <v>3363</v>
      </c>
      <c r="N1349" s="12" t="s">
        <v>5785</v>
      </c>
      <c r="O1349" s="12" t="s">
        <v>17</v>
      </c>
      <c r="P1349" s="12" t="s">
        <v>173</v>
      </c>
      <c r="Q1349" s="12" t="s">
        <v>6664</v>
      </c>
      <c r="R1349" s="12" t="s">
        <v>17</v>
      </c>
      <c r="S1349" s="12" t="s">
        <v>17</v>
      </c>
      <c r="T1349" s="12" t="s">
        <v>11</v>
      </c>
      <c r="U1349" s="12" t="s">
        <v>17</v>
      </c>
      <c r="V1349" s="12" t="s">
        <v>708</v>
      </c>
      <c r="W1349" s="12" t="s">
        <v>7415</v>
      </c>
      <c r="X1349" s="12" t="s">
        <v>17</v>
      </c>
      <c r="Y1349" s="12">
        <v>1175113</v>
      </c>
      <c r="Z1349" s="12" t="s">
        <v>6613</v>
      </c>
      <c r="AA1349" s="12" t="s">
        <v>6613</v>
      </c>
      <c r="AB1349" s="12" t="s">
        <v>6613</v>
      </c>
      <c r="AC1349" s="12" t="s">
        <v>6613</v>
      </c>
      <c r="AD1349" s="12" t="s">
        <v>6613</v>
      </c>
      <c r="AE1349" s="12" t="s">
        <v>6613</v>
      </c>
      <c r="AF1349" s="12" t="s">
        <v>45</v>
      </c>
    </row>
    <row r="1350" spans="1:32" x14ac:dyDescent="0.2">
      <c r="A1350" s="12" t="s">
        <v>3508</v>
      </c>
      <c r="B1350" s="12" t="s">
        <v>3509</v>
      </c>
      <c r="C1350" s="12" t="s">
        <v>17</v>
      </c>
      <c r="D1350" s="12" t="s">
        <v>17</v>
      </c>
      <c r="E1350" s="12" t="s">
        <v>7678</v>
      </c>
      <c r="F1350" s="12" t="s">
        <v>5458</v>
      </c>
      <c r="G1350" s="12" t="s">
        <v>615</v>
      </c>
      <c r="H1350" s="12" t="s">
        <v>6613</v>
      </c>
      <c r="I1350" s="12">
        <v>0</v>
      </c>
      <c r="J1350" s="12" t="s">
        <v>164</v>
      </c>
      <c r="K1350" s="12" t="s">
        <v>6646</v>
      </c>
      <c r="L1350" s="12" t="s">
        <v>3363</v>
      </c>
      <c r="M1350" s="12" t="s">
        <v>3363</v>
      </c>
      <c r="N1350" s="12" t="s">
        <v>5785</v>
      </c>
      <c r="O1350" s="12" t="s">
        <v>17</v>
      </c>
      <c r="P1350" s="12" t="s">
        <v>173</v>
      </c>
      <c r="Q1350" s="12" t="s">
        <v>6664</v>
      </c>
      <c r="R1350" s="12" t="s">
        <v>17</v>
      </c>
      <c r="S1350" s="12" t="s">
        <v>17</v>
      </c>
      <c r="T1350" s="12" t="s">
        <v>11</v>
      </c>
      <c r="U1350" s="12" t="s">
        <v>17</v>
      </c>
      <c r="V1350" s="12" t="s">
        <v>708</v>
      </c>
      <c r="W1350" s="12" t="s">
        <v>7415</v>
      </c>
      <c r="X1350" s="12" t="s">
        <v>17</v>
      </c>
      <c r="Y1350" s="12">
        <v>1175400</v>
      </c>
      <c r="Z1350" s="12" t="s">
        <v>6613</v>
      </c>
      <c r="AA1350" s="12" t="s">
        <v>6613</v>
      </c>
      <c r="AB1350" s="12" t="s">
        <v>6613</v>
      </c>
      <c r="AC1350" s="12" t="s">
        <v>6613</v>
      </c>
      <c r="AD1350" s="12" t="s">
        <v>6613</v>
      </c>
      <c r="AE1350" s="12" t="s">
        <v>6613</v>
      </c>
      <c r="AF1350" s="12" t="s">
        <v>45</v>
      </c>
    </row>
    <row r="1351" spans="1:32" x14ac:dyDescent="0.2">
      <c r="A1351" s="12" t="s">
        <v>3518</v>
      </c>
      <c r="B1351" s="12" t="s">
        <v>3519</v>
      </c>
      <c r="C1351" s="12" t="s">
        <v>17</v>
      </c>
      <c r="D1351" s="12" t="s">
        <v>17</v>
      </c>
      <c r="E1351" s="12" t="s">
        <v>7678</v>
      </c>
      <c r="F1351" s="12" t="s">
        <v>5458</v>
      </c>
      <c r="G1351" s="12" t="s">
        <v>615</v>
      </c>
      <c r="H1351" s="12" t="s">
        <v>6613</v>
      </c>
      <c r="I1351" s="12">
        <v>0</v>
      </c>
      <c r="J1351" s="12" t="s">
        <v>164</v>
      </c>
      <c r="K1351" s="12" t="s">
        <v>6646</v>
      </c>
      <c r="L1351" s="12" t="s">
        <v>3363</v>
      </c>
      <c r="M1351" s="12" t="s">
        <v>3363</v>
      </c>
      <c r="N1351" s="12" t="s">
        <v>5785</v>
      </c>
      <c r="O1351" s="12" t="s">
        <v>17</v>
      </c>
      <c r="P1351" s="12" t="s">
        <v>173</v>
      </c>
      <c r="Q1351" s="12" t="s">
        <v>6664</v>
      </c>
      <c r="R1351" s="12" t="s">
        <v>17</v>
      </c>
      <c r="S1351" s="12" t="s">
        <v>17</v>
      </c>
      <c r="T1351" s="12" t="s">
        <v>11</v>
      </c>
      <c r="U1351" s="12" t="s">
        <v>17</v>
      </c>
      <c r="V1351" s="12" t="s">
        <v>739</v>
      </c>
      <c r="W1351" s="12" t="s">
        <v>7415</v>
      </c>
      <c r="X1351" s="12" t="s">
        <v>17</v>
      </c>
      <c r="Y1351" s="12">
        <v>1175741</v>
      </c>
      <c r="Z1351" s="12" t="s">
        <v>6613</v>
      </c>
      <c r="AA1351" s="12" t="s">
        <v>6613</v>
      </c>
      <c r="AB1351" s="12" t="s">
        <v>6613</v>
      </c>
      <c r="AC1351" s="12" t="s">
        <v>6613</v>
      </c>
      <c r="AD1351" s="12" t="s">
        <v>6613</v>
      </c>
      <c r="AE1351" s="12" t="s">
        <v>6613</v>
      </c>
      <c r="AF1351" s="12" t="s">
        <v>45</v>
      </c>
    </row>
    <row r="1352" spans="1:32" x14ac:dyDescent="0.2">
      <c r="A1352" s="12" t="s">
        <v>3502</v>
      </c>
      <c r="B1352" s="12" t="s">
        <v>3503</v>
      </c>
      <c r="C1352" s="12" t="s">
        <v>17</v>
      </c>
      <c r="D1352" s="12" t="s">
        <v>17</v>
      </c>
      <c r="E1352" s="12" t="s">
        <v>7678</v>
      </c>
      <c r="F1352" s="12" t="s">
        <v>5458</v>
      </c>
      <c r="G1352" s="12" t="s">
        <v>615</v>
      </c>
      <c r="H1352" s="12" t="s">
        <v>6613</v>
      </c>
      <c r="I1352" s="12">
        <v>0</v>
      </c>
      <c r="J1352" s="12" t="s">
        <v>164</v>
      </c>
      <c r="K1352" s="12" t="s">
        <v>6646</v>
      </c>
      <c r="L1352" s="12" t="s">
        <v>3363</v>
      </c>
      <c r="M1352" s="12" t="s">
        <v>3363</v>
      </c>
      <c r="N1352" s="12" t="s">
        <v>5785</v>
      </c>
      <c r="O1352" s="12" t="s">
        <v>17</v>
      </c>
      <c r="P1352" s="12" t="s">
        <v>173</v>
      </c>
      <c r="Q1352" s="12" t="s">
        <v>6664</v>
      </c>
      <c r="R1352" s="12" t="s">
        <v>17</v>
      </c>
      <c r="S1352" s="12" t="s">
        <v>17</v>
      </c>
      <c r="T1352" s="12" t="s">
        <v>11</v>
      </c>
      <c r="U1352" s="12" t="s">
        <v>17</v>
      </c>
      <c r="V1352" s="12" t="s">
        <v>500</v>
      </c>
      <c r="W1352" s="12" t="s">
        <v>7415</v>
      </c>
      <c r="X1352" s="12" t="s">
        <v>17</v>
      </c>
      <c r="Y1352" s="12">
        <v>1176316</v>
      </c>
      <c r="Z1352" s="12" t="s">
        <v>6613</v>
      </c>
      <c r="AA1352" s="12" t="s">
        <v>6613</v>
      </c>
      <c r="AB1352" s="12" t="s">
        <v>6613</v>
      </c>
      <c r="AC1352" s="12" t="s">
        <v>6613</v>
      </c>
      <c r="AD1352" s="12" t="s">
        <v>6613</v>
      </c>
      <c r="AE1352" s="12" t="s">
        <v>6613</v>
      </c>
      <c r="AF1352" s="12" t="s">
        <v>45</v>
      </c>
    </row>
    <row r="1353" spans="1:32" x14ac:dyDescent="0.2">
      <c r="A1353" s="12" t="s">
        <v>3534</v>
      </c>
      <c r="B1353" s="12" t="s">
        <v>3535</v>
      </c>
      <c r="C1353" s="12" t="s">
        <v>17</v>
      </c>
      <c r="D1353" s="12" t="s">
        <v>17</v>
      </c>
      <c r="E1353" s="12" t="s">
        <v>7678</v>
      </c>
      <c r="F1353" s="12" t="s">
        <v>5458</v>
      </c>
      <c r="G1353" s="12" t="s">
        <v>615</v>
      </c>
      <c r="H1353" s="12" t="s">
        <v>6613</v>
      </c>
      <c r="I1353" s="12">
        <v>0</v>
      </c>
      <c r="J1353" s="12" t="s">
        <v>164</v>
      </c>
      <c r="K1353" s="12" t="s">
        <v>6646</v>
      </c>
      <c r="L1353" s="12" t="s">
        <v>3363</v>
      </c>
      <c r="M1353" s="12" t="s">
        <v>3363</v>
      </c>
      <c r="N1353" s="12" t="s">
        <v>5785</v>
      </c>
      <c r="O1353" s="12" t="s">
        <v>17</v>
      </c>
      <c r="P1353" s="12" t="s">
        <v>173</v>
      </c>
      <c r="Q1353" s="12" t="s">
        <v>6664</v>
      </c>
      <c r="R1353" s="12" t="s">
        <v>17</v>
      </c>
      <c r="S1353" s="12" t="s">
        <v>17</v>
      </c>
      <c r="T1353" s="12" t="s">
        <v>11</v>
      </c>
      <c r="U1353" s="12" t="s">
        <v>17</v>
      </c>
      <c r="V1353" s="12" t="s">
        <v>628</v>
      </c>
      <c r="W1353" s="12" t="s">
        <v>7415</v>
      </c>
      <c r="X1353" s="12" t="s">
        <v>17</v>
      </c>
      <c r="Y1353" s="12">
        <v>1177573</v>
      </c>
      <c r="Z1353" s="12" t="s">
        <v>6613</v>
      </c>
      <c r="AA1353" s="12" t="s">
        <v>6613</v>
      </c>
      <c r="AB1353" s="12" t="s">
        <v>6613</v>
      </c>
      <c r="AC1353" s="12" t="s">
        <v>6613</v>
      </c>
      <c r="AD1353" s="12" t="s">
        <v>6613</v>
      </c>
      <c r="AE1353" s="12" t="s">
        <v>6613</v>
      </c>
      <c r="AF1353" s="12" t="s">
        <v>45</v>
      </c>
    </row>
    <row r="1354" spans="1:32" x14ac:dyDescent="0.2">
      <c r="A1354" s="12" t="s">
        <v>3412</v>
      </c>
      <c r="B1354" s="12" t="s">
        <v>3413</v>
      </c>
      <c r="C1354" s="12" t="s">
        <v>17</v>
      </c>
      <c r="D1354" s="12" t="s">
        <v>17</v>
      </c>
      <c r="E1354" s="12" t="s">
        <v>7678</v>
      </c>
      <c r="F1354" s="12" t="s">
        <v>5458</v>
      </c>
      <c r="G1354" s="12" t="s">
        <v>615</v>
      </c>
      <c r="H1354" s="12" t="s">
        <v>6613</v>
      </c>
      <c r="I1354" s="12">
        <v>0</v>
      </c>
      <c r="J1354" s="12" t="s">
        <v>164</v>
      </c>
      <c r="K1354" s="12" t="s">
        <v>6646</v>
      </c>
      <c r="L1354" s="12" t="s">
        <v>3363</v>
      </c>
      <c r="M1354" s="12" t="s">
        <v>3363</v>
      </c>
      <c r="N1354" s="12" t="s">
        <v>5785</v>
      </c>
      <c r="O1354" s="12" t="s">
        <v>17</v>
      </c>
      <c r="P1354" s="12" t="s">
        <v>173</v>
      </c>
      <c r="Q1354" s="12" t="s">
        <v>6664</v>
      </c>
      <c r="R1354" s="12" t="s">
        <v>17</v>
      </c>
      <c r="S1354" s="12" t="s">
        <v>17</v>
      </c>
      <c r="T1354" s="12" t="s">
        <v>11</v>
      </c>
      <c r="U1354" s="12" t="s">
        <v>17</v>
      </c>
      <c r="V1354" s="12" t="s">
        <v>1191</v>
      </c>
      <c r="W1354" s="12" t="s">
        <v>7415</v>
      </c>
      <c r="X1354" s="12" t="s">
        <v>17</v>
      </c>
      <c r="Y1354" s="12">
        <v>1178025</v>
      </c>
      <c r="Z1354" s="12" t="s">
        <v>6613</v>
      </c>
      <c r="AA1354" s="12" t="s">
        <v>6613</v>
      </c>
      <c r="AB1354" s="12" t="s">
        <v>6613</v>
      </c>
      <c r="AC1354" s="12" t="s">
        <v>6613</v>
      </c>
      <c r="AD1354" s="12" t="s">
        <v>6613</v>
      </c>
      <c r="AE1354" s="12" t="s">
        <v>6613</v>
      </c>
      <c r="AF1354" s="12" t="s">
        <v>45</v>
      </c>
    </row>
    <row r="1355" spans="1:32" x14ac:dyDescent="0.2">
      <c r="A1355" s="12" t="s">
        <v>3477</v>
      </c>
      <c r="B1355" s="12" t="s">
        <v>3478</v>
      </c>
      <c r="C1355" s="12" t="s">
        <v>17</v>
      </c>
      <c r="D1355" s="12" t="s">
        <v>17</v>
      </c>
      <c r="E1355" s="12" t="s">
        <v>7678</v>
      </c>
      <c r="F1355" s="12" t="s">
        <v>5458</v>
      </c>
      <c r="G1355" s="12" t="s">
        <v>615</v>
      </c>
      <c r="H1355" s="12" t="s">
        <v>6613</v>
      </c>
      <c r="I1355" s="12">
        <v>0</v>
      </c>
      <c r="J1355" s="12" t="s">
        <v>164</v>
      </c>
      <c r="K1355" s="12" t="s">
        <v>6646</v>
      </c>
      <c r="L1355" s="12" t="s">
        <v>3363</v>
      </c>
      <c r="M1355" s="12" t="s">
        <v>3363</v>
      </c>
      <c r="N1355" s="12" t="s">
        <v>5785</v>
      </c>
      <c r="O1355" s="12" t="s">
        <v>17</v>
      </c>
      <c r="P1355" s="12" t="s">
        <v>173</v>
      </c>
      <c r="Q1355" s="12" t="s">
        <v>6664</v>
      </c>
      <c r="R1355" s="12" t="s">
        <v>17</v>
      </c>
      <c r="S1355" s="12" t="s">
        <v>17</v>
      </c>
      <c r="T1355" s="12" t="s">
        <v>11</v>
      </c>
      <c r="U1355" s="12" t="s">
        <v>17</v>
      </c>
      <c r="V1355" s="12" t="s">
        <v>413</v>
      </c>
      <c r="W1355" s="12" t="s">
        <v>7415</v>
      </c>
      <c r="X1355" s="12" t="s">
        <v>17</v>
      </c>
      <c r="Y1355" s="12">
        <v>1178134</v>
      </c>
      <c r="Z1355" s="12" t="s">
        <v>6613</v>
      </c>
      <c r="AA1355" s="12" t="s">
        <v>6613</v>
      </c>
      <c r="AB1355" s="12" t="s">
        <v>6613</v>
      </c>
      <c r="AC1355" s="12" t="s">
        <v>6613</v>
      </c>
      <c r="AD1355" s="12" t="s">
        <v>6613</v>
      </c>
      <c r="AE1355" s="12" t="s">
        <v>6613</v>
      </c>
      <c r="AF1355" s="12" t="s">
        <v>45</v>
      </c>
    </row>
    <row r="1356" spans="1:32" x14ac:dyDescent="0.2">
      <c r="A1356" s="12" t="s">
        <v>3493</v>
      </c>
      <c r="B1356" s="12" t="s">
        <v>3494</v>
      </c>
      <c r="C1356" s="12" t="s">
        <v>17</v>
      </c>
      <c r="D1356" s="12" t="s">
        <v>17</v>
      </c>
      <c r="E1356" s="12" t="s">
        <v>7678</v>
      </c>
      <c r="F1356" s="12" t="s">
        <v>5458</v>
      </c>
      <c r="G1356" s="12" t="s">
        <v>615</v>
      </c>
      <c r="H1356" s="12" t="s">
        <v>6613</v>
      </c>
      <c r="I1356" s="12">
        <v>0</v>
      </c>
      <c r="J1356" s="12" t="s">
        <v>164</v>
      </c>
      <c r="K1356" s="12" t="s">
        <v>6646</v>
      </c>
      <c r="L1356" s="12" t="s">
        <v>3363</v>
      </c>
      <c r="M1356" s="12" t="s">
        <v>3363</v>
      </c>
      <c r="N1356" s="12" t="s">
        <v>5785</v>
      </c>
      <c r="O1356" s="12" t="s">
        <v>17</v>
      </c>
      <c r="P1356" s="12" t="s">
        <v>173</v>
      </c>
      <c r="Q1356" s="12" t="s">
        <v>6664</v>
      </c>
      <c r="R1356" s="12" t="s">
        <v>17</v>
      </c>
      <c r="S1356" s="12" t="s">
        <v>17</v>
      </c>
      <c r="T1356" s="12" t="s">
        <v>11</v>
      </c>
      <c r="U1356" s="12" t="s">
        <v>17</v>
      </c>
      <c r="V1356" s="12" t="s">
        <v>3495</v>
      </c>
      <c r="W1356" s="12" t="s">
        <v>7415</v>
      </c>
      <c r="X1356" s="12" t="s">
        <v>17</v>
      </c>
      <c r="Y1356" s="12">
        <v>1178223</v>
      </c>
      <c r="Z1356" s="12" t="s">
        <v>6613</v>
      </c>
      <c r="AA1356" s="12" t="s">
        <v>6613</v>
      </c>
      <c r="AB1356" s="12" t="s">
        <v>6613</v>
      </c>
      <c r="AC1356" s="12" t="s">
        <v>6613</v>
      </c>
      <c r="AD1356" s="12" t="s">
        <v>6613</v>
      </c>
      <c r="AE1356" s="12" t="s">
        <v>6613</v>
      </c>
      <c r="AF1356" s="12" t="s">
        <v>45</v>
      </c>
    </row>
    <row r="1357" spans="1:32" x14ac:dyDescent="0.2">
      <c r="A1357" s="12" t="s">
        <v>3389</v>
      </c>
      <c r="B1357" s="12" t="s">
        <v>3390</v>
      </c>
      <c r="C1357" s="12" t="s">
        <v>17</v>
      </c>
      <c r="D1357" s="12" t="s">
        <v>17</v>
      </c>
      <c r="E1357" s="12" t="s">
        <v>7678</v>
      </c>
      <c r="F1357" s="12" t="s">
        <v>5458</v>
      </c>
      <c r="G1357" s="12" t="s">
        <v>615</v>
      </c>
      <c r="H1357" s="12" t="s">
        <v>6613</v>
      </c>
      <c r="I1357" s="12">
        <v>0</v>
      </c>
      <c r="J1357" s="12" t="s">
        <v>164</v>
      </c>
      <c r="K1357" s="12" t="s">
        <v>6646</v>
      </c>
      <c r="L1357" s="12" t="s">
        <v>3363</v>
      </c>
      <c r="M1357" s="12" t="s">
        <v>3363</v>
      </c>
      <c r="N1357" s="12" t="s">
        <v>5785</v>
      </c>
      <c r="O1357" s="12" t="s">
        <v>17</v>
      </c>
      <c r="P1357" s="12" t="s">
        <v>173</v>
      </c>
      <c r="Q1357" s="12" t="s">
        <v>6664</v>
      </c>
      <c r="R1357" s="12" t="s">
        <v>17</v>
      </c>
      <c r="S1357" s="12" t="s">
        <v>17</v>
      </c>
      <c r="T1357" s="12" t="s">
        <v>11</v>
      </c>
      <c r="U1357" s="12" t="s">
        <v>17</v>
      </c>
      <c r="V1357" s="12" t="s">
        <v>628</v>
      </c>
      <c r="W1357" s="12" t="s">
        <v>7415</v>
      </c>
      <c r="X1357" s="12" t="s">
        <v>17</v>
      </c>
      <c r="Y1357" s="12">
        <v>1178259</v>
      </c>
      <c r="Z1357" s="12" t="s">
        <v>6613</v>
      </c>
      <c r="AA1357" s="12" t="s">
        <v>6613</v>
      </c>
      <c r="AB1357" s="12" t="s">
        <v>6613</v>
      </c>
      <c r="AC1357" s="12" t="s">
        <v>6613</v>
      </c>
      <c r="AD1357" s="12" t="s">
        <v>6613</v>
      </c>
      <c r="AE1357" s="12" t="s">
        <v>6613</v>
      </c>
      <c r="AF1357" s="12" t="s">
        <v>45</v>
      </c>
    </row>
    <row r="1358" spans="1:32" x14ac:dyDescent="0.2">
      <c r="A1358" s="12" t="s">
        <v>3542</v>
      </c>
      <c r="B1358" s="12" t="s">
        <v>3543</v>
      </c>
      <c r="C1358" s="12" t="s">
        <v>17</v>
      </c>
      <c r="D1358" s="12" t="s">
        <v>17</v>
      </c>
      <c r="E1358" s="12" t="s">
        <v>7678</v>
      </c>
      <c r="F1358" s="12" t="s">
        <v>5458</v>
      </c>
      <c r="G1358" s="12" t="s">
        <v>615</v>
      </c>
      <c r="H1358" s="12" t="s">
        <v>6613</v>
      </c>
      <c r="I1358" s="12">
        <v>0</v>
      </c>
      <c r="J1358" s="12" t="s">
        <v>164</v>
      </c>
      <c r="K1358" s="12" t="s">
        <v>6646</v>
      </c>
      <c r="L1358" s="12" t="s">
        <v>3363</v>
      </c>
      <c r="M1358" s="12" t="s">
        <v>3363</v>
      </c>
      <c r="N1358" s="12" t="s">
        <v>5785</v>
      </c>
      <c r="O1358" s="12" t="s">
        <v>17</v>
      </c>
      <c r="P1358" s="12" t="s">
        <v>173</v>
      </c>
      <c r="Q1358" s="12" t="s">
        <v>6664</v>
      </c>
      <c r="R1358" s="12" t="s">
        <v>17</v>
      </c>
      <c r="S1358" s="12" t="s">
        <v>17</v>
      </c>
      <c r="T1358" s="12" t="s">
        <v>11</v>
      </c>
      <c r="U1358" s="12" t="s">
        <v>17</v>
      </c>
      <c r="V1358" s="12" t="s">
        <v>802</v>
      </c>
      <c r="W1358" s="12" t="s">
        <v>7415</v>
      </c>
      <c r="X1358" s="12" t="s">
        <v>17</v>
      </c>
      <c r="Y1358" s="12">
        <v>1178269</v>
      </c>
      <c r="Z1358" s="12" t="s">
        <v>6613</v>
      </c>
      <c r="AA1358" s="12" t="s">
        <v>6613</v>
      </c>
      <c r="AB1358" s="12" t="s">
        <v>6613</v>
      </c>
      <c r="AC1358" s="12" t="s">
        <v>6613</v>
      </c>
      <c r="AD1358" s="12" t="s">
        <v>6613</v>
      </c>
      <c r="AE1358" s="12" t="s">
        <v>6613</v>
      </c>
      <c r="AF1358" s="12" t="s">
        <v>45</v>
      </c>
    </row>
    <row r="1359" spans="1:32" x14ac:dyDescent="0.2">
      <c r="A1359" s="12" t="s">
        <v>3530</v>
      </c>
      <c r="B1359" s="12" t="s">
        <v>3531</v>
      </c>
      <c r="C1359" s="12" t="s">
        <v>17</v>
      </c>
      <c r="D1359" s="12" t="s">
        <v>17</v>
      </c>
      <c r="E1359" s="12" t="s">
        <v>7678</v>
      </c>
      <c r="F1359" s="12" t="s">
        <v>5458</v>
      </c>
      <c r="G1359" s="12" t="s">
        <v>615</v>
      </c>
      <c r="H1359" s="12" t="s">
        <v>6613</v>
      </c>
      <c r="I1359" s="12">
        <v>0</v>
      </c>
      <c r="J1359" s="12" t="s">
        <v>164</v>
      </c>
      <c r="K1359" s="12" t="s">
        <v>6646</v>
      </c>
      <c r="L1359" s="12" t="s">
        <v>3363</v>
      </c>
      <c r="M1359" s="12" t="s">
        <v>3363</v>
      </c>
      <c r="N1359" s="12" t="s">
        <v>5785</v>
      </c>
      <c r="O1359" s="12" t="s">
        <v>17</v>
      </c>
      <c r="P1359" s="12" t="s">
        <v>173</v>
      </c>
      <c r="Q1359" s="12" t="s">
        <v>6664</v>
      </c>
      <c r="R1359" s="12" t="s">
        <v>17</v>
      </c>
      <c r="S1359" s="12" t="s">
        <v>17</v>
      </c>
      <c r="T1359" s="12" t="s">
        <v>11</v>
      </c>
      <c r="U1359" s="12" t="s">
        <v>17</v>
      </c>
      <c r="V1359" s="12" t="s">
        <v>2208</v>
      </c>
      <c r="W1359" s="12" t="s">
        <v>7415</v>
      </c>
      <c r="X1359" s="12" t="s">
        <v>17</v>
      </c>
      <c r="Y1359" s="12">
        <v>1178280</v>
      </c>
      <c r="Z1359" s="12" t="s">
        <v>6613</v>
      </c>
      <c r="AA1359" s="12" t="s">
        <v>6613</v>
      </c>
      <c r="AB1359" s="12" t="s">
        <v>6613</v>
      </c>
      <c r="AC1359" s="12" t="s">
        <v>6613</v>
      </c>
      <c r="AD1359" s="12" t="s">
        <v>6613</v>
      </c>
      <c r="AE1359" s="12" t="s">
        <v>6613</v>
      </c>
      <c r="AF1359" s="12" t="s">
        <v>45</v>
      </c>
    </row>
    <row r="1360" spans="1:32" x14ac:dyDescent="0.2">
      <c r="A1360" s="12" t="s">
        <v>3446</v>
      </c>
      <c r="B1360" s="12" t="s">
        <v>3447</v>
      </c>
      <c r="C1360" s="12" t="s">
        <v>17</v>
      </c>
      <c r="D1360" s="12" t="s">
        <v>17</v>
      </c>
      <c r="E1360" s="12" t="s">
        <v>7678</v>
      </c>
      <c r="F1360" s="12" t="s">
        <v>5458</v>
      </c>
      <c r="G1360" s="12" t="s">
        <v>615</v>
      </c>
      <c r="H1360" s="12" t="s">
        <v>6613</v>
      </c>
      <c r="I1360" s="12">
        <v>0</v>
      </c>
      <c r="J1360" s="12" t="s">
        <v>164</v>
      </c>
      <c r="K1360" s="12" t="s">
        <v>6646</v>
      </c>
      <c r="L1360" s="12" t="s">
        <v>3363</v>
      </c>
      <c r="M1360" s="12" t="s">
        <v>3363</v>
      </c>
      <c r="N1360" s="12" t="s">
        <v>5785</v>
      </c>
      <c r="O1360" s="12" t="s">
        <v>17</v>
      </c>
      <c r="P1360" s="12" t="s">
        <v>173</v>
      </c>
      <c r="Q1360" s="12" t="s">
        <v>6664</v>
      </c>
      <c r="R1360" s="12" t="s">
        <v>17</v>
      </c>
      <c r="S1360" s="12" t="s">
        <v>17</v>
      </c>
      <c r="T1360" s="12" t="s">
        <v>11</v>
      </c>
      <c r="U1360" s="12" t="s">
        <v>17</v>
      </c>
      <c r="V1360" s="12" t="s">
        <v>708</v>
      </c>
      <c r="W1360" s="12" t="s">
        <v>7415</v>
      </c>
      <c r="X1360" s="12" t="s">
        <v>17</v>
      </c>
      <c r="Y1360" s="12">
        <v>1178505</v>
      </c>
      <c r="Z1360" s="12" t="s">
        <v>6613</v>
      </c>
      <c r="AA1360" s="12" t="s">
        <v>6613</v>
      </c>
      <c r="AB1360" s="12" t="s">
        <v>6613</v>
      </c>
      <c r="AC1360" s="12" t="s">
        <v>6613</v>
      </c>
      <c r="AD1360" s="12" t="s">
        <v>6613</v>
      </c>
      <c r="AE1360" s="12" t="s">
        <v>6613</v>
      </c>
      <c r="AF1360" s="12" t="s">
        <v>45</v>
      </c>
    </row>
    <row r="1361" spans="1:32" x14ac:dyDescent="0.2">
      <c r="A1361" s="12" t="s">
        <v>3514</v>
      </c>
      <c r="B1361" s="12" t="s">
        <v>3515</v>
      </c>
      <c r="C1361" s="12" t="s">
        <v>17</v>
      </c>
      <c r="D1361" s="12" t="s">
        <v>17</v>
      </c>
      <c r="E1361" s="12" t="s">
        <v>7678</v>
      </c>
      <c r="F1361" s="12" t="s">
        <v>5458</v>
      </c>
      <c r="G1361" s="12" t="s">
        <v>615</v>
      </c>
      <c r="H1361" s="12" t="s">
        <v>6613</v>
      </c>
      <c r="I1361" s="12">
        <v>0</v>
      </c>
      <c r="J1361" s="12" t="s">
        <v>164</v>
      </c>
      <c r="K1361" s="12" t="s">
        <v>6646</v>
      </c>
      <c r="L1361" s="12" t="s">
        <v>3363</v>
      </c>
      <c r="M1361" s="12" t="s">
        <v>3363</v>
      </c>
      <c r="N1361" s="12" t="s">
        <v>5785</v>
      </c>
      <c r="O1361" s="12" t="s">
        <v>17</v>
      </c>
      <c r="P1361" s="12" t="s">
        <v>173</v>
      </c>
      <c r="Q1361" s="12" t="s">
        <v>6664</v>
      </c>
      <c r="R1361" s="12" t="s">
        <v>17</v>
      </c>
      <c r="S1361" s="12" t="s">
        <v>17</v>
      </c>
      <c r="T1361" s="12" t="s">
        <v>11</v>
      </c>
      <c r="U1361" s="12" t="s">
        <v>17</v>
      </c>
      <c r="V1361" s="12" t="s">
        <v>708</v>
      </c>
      <c r="W1361" s="12" t="s">
        <v>7415</v>
      </c>
      <c r="X1361" s="12" t="s">
        <v>17</v>
      </c>
      <c r="Y1361" s="12">
        <v>1178639</v>
      </c>
      <c r="Z1361" s="12" t="s">
        <v>6613</v>
      </c>
      <c r="AA1361" s="12" t="s">
        <v>6613</v>
      </c>
      <c r="AB1361" s="12" t="s">
        <v>6613</v>
      </c>
      <c r="AC1361" s="12" t="s">
        <v>6613</v>
      </c>
      <c r="AD1361" s="12" t="s">
        <v>6613</v>
      </c>
      <c r="AE1361" s="12" t="s">
        <v>6613</v>
      </c>
      <c r="AF1361" s="12" t="s">
        <v>45</v>
      </c>
    </row>
    <row r="1362" spans="1:32" x14ac:dyDescent="0.2">
      <c r="A1362" s="12" t="s">
        <v>3425</v>
      </c>
      <c r="B1362" s="12" t="s">
        <v>3426</v>
      </c>
      <c r="C1362" s="12" t="s">
        <v>17</v>
      </c>
      <c r="D1362" s="12" t="s">
        <v>17</v>
      </c>
      <c r="E1362" s="12" t="s">
        <v>7678</v>
      </c>
      <c r="F1362" s="12" t="s">
        <v>5458</v>
      </c>
      <c r="G1362" s="12" t="s">
        <v>615</v>
      </c>
      <c r="H1362" s="12" t="s">
        <v>6613</v>
      </c>
      <c r="I1362" s="12">
        <v>0</v>
      </c>
      <c r="J1362" s="12" t="s">
        <v>164</v>
      </c>
      <c r="K1362" s="12" t="s">
        <v>6646</v>
      </c>
      <c r="L1362" s="12" t="s">
        <v>3363</v>
      </c>
      <c r="M1362" s="12" t="s">
        <v>3363</v>
      </c>
      <c r="N1362" s="12" t="s">
        <v>5785</v>
      </c>
      <c r="O1362" s="12" t="s">
        <v>17</v>
      </c>
      <c r="P1362" s="12" t="s">
        <v>173</v>
      </c>
      <c r="Q1362" s="12" t="s">
        <v>6664</v>
      </c>
      <c r="R1362" s="12" t="s">
        <v>17</v>
      </c>
      <c r="S1362" s="12" t="s">
        <v>17</v>
      </c>
      <c r="T1362" s="12" t="s">
        <v>11</v>
      </c>
      <c r="U1362" s="12" t="s">
        <v>17</v>
      </c>
      <c r="V1362" s="12" t="s">
        <v>3427</v>
      </c>
      <c r="W1362" s="12" t="s">
        <v>7415</v>
      </c>
      <c r="X1362" s="12" t="s">
        <v>17</v>
      </c>
      <c r="Y1362" s="12">
        <v>1178991</v>
      </c>
      <c r="Z1362" s="12" t="s">
        <v>6613</v>
      </c>
      <c r="AA1362" s="12" t="s">
        <v>6613</v>
      </c>
      <c r="AB1362" s="12" t="s">
        <v>6613</v>
      </c>
      <c r="AC1362" s="12" t="s">
        <v>6613</v>
      </c>
      <c r="AD1362" s="12" t="s">
        <v>6613</v>
      </c>
      <c r="AE1362" s="12" t="s">
        <v>6613</v>
      </c>
      <c r="AF1362" s="12" t="s">
        <v>45</v>
      </c>
    </row>
    <row r="1363" spans="1:32" x14ac:dyDescent="0.2">
      <c r="A1363" s="12" t="s">
        <v>3416</v>
      </c>
      <c r="B1363" s="12" t="s">
        <v>3417</v>
      </c>
      <c r="C1363" s="12" t="s">
        <v>17</v>
      </c>
      <c r="D1363" s="12" t="s">
        <v>17</v>
      </c>
      <c r="E1363" s="12" t="s">
        <v>7678</v>
      </c>
      <c r="F1363" s="12" t="s">
        <v>5458</v>
      </c>
      <c r="G1363" s="12" t="s">
        <v>615</v>
      </c>
      <c r="H1363" s="12" t="s">
        <v>6613</v>
      </c>
      <c r="I1363" s="12">
        <v>0</v>
      </c>
      <c r="J1363" s="12" t="s">
        <v>164</v>
      </c>
      <c r="K1363" s="12" t="s">
        <v>6646</v>
      </c>
      <c r="L1363" s="12" t="s">
        <v>3363</v>
      </c>
      <c r="M1363" s="12" t="s">
        <v>3363</v>
      </c>
      <c r="N1363" s="12" t="s">
        <v>5785</v>
      </c>
      <c r="O1363" s="12" t="s">
        <v>17</v>
      </c>
      <c r="P1363" s="12" t="s">
        <v>173</v>
      </c>
      <c r="Q1363" s="12" t="s">
        <v>6664</v>
      </c>
      <c r="R1363" s="12" t="s">
        <v>17</v>
      </c>
      <c r="S1363" s="12" t="s">
        <v>17</v>
      </c>
      <c r="T1363" s="12" t="s">
        <v>11</v>
      </c>
      <c r="U1363" s="12" t="s">
        <v>17</v>
      </c>
      <c r="V1363" s="12" t="s">
        <v>802</v>
      </c>
      <c r="W1363" s="12" t="s">
        <v>7415</v>
      </c>
      <c r="X1363" s="12" t="s">
        <v>17</v>
      </c>
      <c r="Y1363" s="12">
        <v>1179005</v>
      </c>
      <c r="Z1363" s="12" t="s">
        <v>6613</v>
      </c>
      <c r="AA1363" s="12" t="s">
        <v>6613</v>
      </c>
      <c r="AB1363" s="12" t="s">
        <v>6613</v>
      </c>
      <c r="AC1363" s="12" t="s">
        <v>6613</v>
      </c>
      <c r="AD1363" s="12" t="s">
        <v>6613</v>
      </c>
      <c r="AE1363" s="12" t="s">
        <v>6613</v>
      </c>
      <c r="AF1363" s="12" t="s">
        <v>45</v>
      </c>
    </row>
    <row r="1364" spans="1:32" x14ac:dyDescent="0.2">
      <c r="A1364" s="12" t="s">
        <v>3470</v>
      </c>
      <c r="B1364" s="12" t="s">
        <v>3471</v>
      </c>
      <c r="C1364" s="12" t="s">
        <v>17</v>
      </c>
      <c r="D1364" s="12" t="s">
        <v>17</v>
      </c>
      <c r="E1364" s="12" t="s">
        <v>7678</v>
      </c>
      <c r="F1364" s="12" t="s">
        <v>5458</v>
      </c>
      <c r="G1364" s="12" t="s">
        <v>615</v>
      </c>
      <c r="H1364" s="12" t="s">
        <v>6613</v>
      </c>
      <c r="I1364" s="12">
        <v>0</v>
      </c>
      <c r="J1364" s="12" t="s">
        <v>164</v>
      </c>
      <c r="K1364" s="12" t="s">
        <v>6646</v>
      </c>
      <c r="L1364" s="12" t="s">
        <v>3363</v>
      </c>
      <c r="M1364" s="12" t="s">
        <v>3363</v>
      </c>
      <c r="N1364" s="12" t="s">
        <v>5785</v>
      </c>
      <c r="O1364" s="12" t="s">
        <v>17</v>
      </c>
      <c r="P1364" s="12" t="s">
        <v>173</v>
      </c>
      <c r="Q1364" s="12" t="s">
        <v>6664</v>
      </c>
      <c r="R1364" s="12" t="s">
        <v>17</v>
      </c>
      <c r="S1364" s="12" t="s">
        <v>17</v>
      </c>
      <c r="T1364" s="12" t="s">
        <v>11</v>
      </c>
      <c r="U1364" s="12" t="s">
        <v>17</v>
      </c>
      <c r="V1364" s="12" t="s">
        <v>789</v>
      </c>
      <c r="W1364" s="12" t="s">
        <v>7415</v>
      </c>
      <c r="X1364" s="12" t="s">
        <v>17</v>
      </c>
      <c r="Y1364" s="12">
        <v>1179402</v>
      </c>
      <c r="Z1364" s="12" t="s">
        <v>6613</v>
      </c>
      <c r="AA1364" s="12" t="s">
        <v>6613</v>
      </c>
      <c r="AB1364" s="12" t="s">
        <v>6613</v>
      </c>
      <c r="AC1364" s="12" t="s">
        <v>6613</v>
      </c>
      <c r="AD1364" s="12" t="s">
        <v>6613</v>
      </c>
      <c r="AE1364" s="12" t="s">
        <v>6613</v>
      </c>
      <c r="AF1364" s="12" t="s">
        <v>45</v>
      </c>
    </row>
    <row r="1365" spans="1:32" x14ac:dyDescent="0.2">
      <c r="A1365" s="12" t="s">
        <v>3372</v>
      </c>
      <c r="B1365" s="12" t="s">
        <v>3373</v>
      </c>
      <c r="C1365" s="12" t="s">
        <v>17</v>
      </c>
      <c r="D1365" s="12" t="s">
        <v>17</v>
      </c>
      <c r="E1365" s="12" t="s">
        <v>7678</v>
      </c>
      <c r="F1365" s="12" t="s">
        <v>5458</v>
      </c>
      <c r="G1365" s="12" t="s">
        <v>615</v>
      </c>
      <c r="H1365" s="12" t="s">
        <v>6613</v>
      </c>
      <c r="I1365" s="12">
        <v>0</v>
      </c>
      <c r="J1365" s="12" t="s">
        <v>164</v>
      </c>
      <c r="K1365" s="12" t="s">
        <v>6646</v>
      </c>
      <c r="L1365" s="12" t="s">
        <v>3363</v>
      </c>
      <c r="M1365" s="12" t="s">
        <v>3363</v>
      </c>
      <c r="N1365" s="12" t="s">
        <v>5785</v>
      </c>
      <c r="O1365" s="12" t="s">
        <v>17</v>
      </c>
      <c r="P1365" s="12" t="s">
        <v>173</v>
      </c>
      <c r="Q1365" s="12" t="s">
        <v>6664</v>
      </c>
      <c r="R1365" s="12" t="s">
        <v>17</v>
      </c>
      <c r="S1365" s="12" t="s">
        <v>17</v>
      </c>
      <c r="T1365" s="12" t="s">
        <v>11</v>
      </c>
      <c r="U1365" s="12" t="s">
        <v>17</v>
      </c>
      <c r="V1365" s="12" t="s">
        <v>628</v>
      </c>
      <c r="W1365" s="12" t="s">
        <v>7415</v>
      </c>
      <c r="X1365" s="12" t="s">
        <v>17</v>
      </c>
      <c r="Y1365" s="12">
        <v>1179537</v>
      </c>
      <c r="Z1365" s="12" t="s">
        <v>6613</v>
      </c>
      <c r="AA1365" s="12" t="s">
        <v>6613</v>
      </c>
      <c r="AB1365" s="12" t="s">
        <v>6613</v>
      </c>
      <c r="AC1365" s="12" t="s">
        <v>6613</v>
      </c>
      <c r="AD1365" s="12" t="s">
        <v>6613</v>
      </c>
      <c r="AE1365" s="12" t="s">
        <v>6613</v>
      </c>
      <c r="AF1365" s="12" t="s">
        <v>45</v>
      </c>
    </row>
    <row r="1366" spans="1:32" x14ac:dyDescent="0.2">
      <c r="A1366" s="12" t="s">
        <v>3374</v>
      </c>
      <c r="B1366" s="12" t="s">
        <v>3375</v>
      </c>
      <c r="C1366" s="12" t="s">
        <v>17</v>
      </c>
      <c r="D1366" s="12" t="s">
        <v>17</v>
      </c>
      <c r="E1366" s="12" t="s">
        <v>7678</v>
      </c>
      <c r="F1366" s="12" t="s">
        <v>5458</v>
      </c>
      <c r="G1366" s="12" t="s">
        <v>615</v>
      </c>
      <c r="H1366" s="12" t="s">
        <v>6613</v>
      </c>
      <c r="I1366" s="12">
        <v>0</v>
      </c>
      <c r="J1366" s="12" t="s">
        <v>164</v>
      </c>
      <c r="K1366" s="12" t="s">
        <v>6646</v>
      </c>
      <c r="L1366" s="12" t="s">
        <v>3363</v>
      </c>
      <c r="M1366" s="12" t="s">
        <v>3363</v>
      </c>
      <c r="N1366" s="12" t="s">
        <v>5785</v>
      </c>
      <c r="O1366" s="12" t="s">
        <v>17</v>
      </c>
      <c r="P1366" s="12" t="s">
        <v>173</v>
      </c>
      <c r="Q1366" s="12" t="s">
        <v>6664</v>
      </c>
      <c r="R1366" s="12" t="s">
        <v>17</v>
      </c>
      <c r="S1366" s="12" t="s">
        <v>17</v>
      </c>
      <c r="T1366" s="12" t="s">
        <v>11</v>
      </c>
      <c r="U1366" s="12" t="s">
        <v>17</v>
      </c>
      <c r="V1366" s="12" t="s">
        <v>802</v>
      </c>
      <c r="W1366" s="12" t="s">
        <v>7415</v>
      </c>
      <c r="X1366" s="12" t="s">
        <v>17</v>
      </c>
      <c r="Y1366" s="12">
        <v>1179599</v>
      </c>
      <c r="Z1366" s="12" t="s">
        <v>6613</v>
      </c>
      <c r="AA1366" s="12" t="s">
        <v>6613</v>
      </c>
      <c r="AB1366" s="12" t="s">
        <v>6613</v>
      </c>
      <c r="AC1366" s="12" t="s">
        <v>6613</v>
      </c>
      <c r="AD1366" s="12" t="s">
        <v>6613</v>
      </c>
      <c r="AE1366" s="12" t="s">
        <v>6613</v>
      </c>
      <c r="AF1366" s="12" t="s">
        <v>45</v>
      </c>
    </row>
    <row r="1367" spans="1:32" x14ac:dyDescent="0.2">
      <c r="A1367" s="12" t="s">
        <v>3528</v>
      </c>
      <c r="B1367" s="12" t="s">
        <v>3529</v>
      </c>
      <c r="C1367" s="12" t="s">
        <v>17</v>
      </c>
      <c r="D1367" s="12" t="s">
        <v>17</v>
      </c>
      <c r="E1367" s="12" t="s">
        <v>7678</v>
      </c>
      <c r="F1367" s="12" t="s">
        <v>5458</v>
      </c>
      <c r="G1367" s="12" t="s">
        <v>615</v>
      </c>
      <c r="H1367" s="12" t="s">
        <v>6613</v>
      </c>
      <c r="I1367" s="12">
        <v>0</v>
      </c>
      <c r="J1367" s="12" t="s">
        <v>164</v>
      </c>
      <c r="K1367" s="12" t="s">
        <v>6646</v>
      </c>
      <c r="L1367" s="12" t="s">
        <v>3363</v>
      </c>
      <c r="M1367" s="12" t="s">
        <v>3363</v>
      </c>
      <c r="N1367" s="12" t="s">
        <v>5785</v>
      </c>
      <c r="O1367" s="12" t="s">
        <v>17</v>
      </c>
      <c r="P1367" s="12" t="s">
        <v>173</v>
      </c>
      <c r="Q1367" s="12" t="s">
        <v>6664</v>
      </c>
      <c r="R1367" s="12" t="s">
        <v>17</v>
      </c>
      <c r="S1367" s="12" t="s">
        <v>17</v>
      </c>
      <c r="T1367" s="12" t="s">
        <v>11</v>
      </c>
      <c r="U1367" s="12" t="s">
        <v>17</v>
      </c>
      <c r="V1367" s="12" t="s">
        <v>708</v>
      </c>
      <c r="W1367" s="12" t="s">
        <v>7415</v>
      </c>
      <c r="X1367" s="12" t="s">
        <v>17</v>
      </c>
      <c r="Y1367" s="12">
        <v>1179852</v>
      </c>
      <c r="Z1367" s="12" t="s">
        <v>6613</v>
      </c>
      <c r="AA1367" s="12" t="s">
        <v>6613</v>
      </c>
      <c r="AB1367" s="12" t="s">
        <v>6613</v>
      </c>
      <c r="AC1367" s="12" t="s">
        <v>6613</v>
      </c>
      <c r="AD1367" s="12" t="s">
        <v>6613</v>
      </c>
      <c r="AE1367" s="12" t="s">
        <v>6613</v>
      </c>
      <c r="AF1367" s="12" t="s">
        <v>45</v>
      </c>
    </row>
    <row r="1368" spans="1:32" x14ac:dyDescent="0.2">
      <c r="A1368" s="12" t="s">
        <v>3408</v>
      </c>
      <c r="B1368" s="12" t="s">
        <v>3409</v>
      </c>
      <c r="C1368" s="12" t="s">
        <v>17</v>
      </c>
      <c r="D1368" s="12" t="s">
        <v>17</v>
      </c>
      <c r="E1368" s="12" t="s">
        <v>7678</v>
      </c>
      <c r="F1368" s="12" t="s">
        <v>5458</v>
      </c>
      <c r="G1368" s="12" t="s">
        <v>615</v>
      </c>
      <c r="H1368" s="12" t="s">
        <v>6613</v>
      </c>
      <c r="I1368" s="12">
        <v>0</v>
      </c>
      <c r="J1368" s="12" t="s">
        <v>164</v>
      </c>
      <c r="K1368" s="12" t="s">
        <v>6646</v>
      </c>
      <c r="L1368" s="12" t="s">
        <v>3363</v>
      </c>
      <c r="M1368" s="12" t="s">
        <v>3363</v>
      </c>
      <c r="N1368" s="12" t="s">
        <v>5785</v>
      </c>
      <c r="O1368" s="12" t="s">
        <v>17</v>
      </c>
      <c r="P1368" s="12" t="s">
        <v>173</v>
      </c>
      <c r="Q1368" s="12" t="s">
        <v>6664</v>
      </c>
      <c r="R1368" s="12" t="s">
        <v>17</v>
      </c>
      <c r="S1368" s="12" t="s">
        <v>17</v>
      </c>
      <c r="T1368" s="12" t="s">
        <v>11</v>
      </c>
      <c r="U1368" s="12" t="s">
        <v>17</v>
      </c>
      <c r="V1368" s="12" t="s">
        <v>413</v>
      </c>
      <c r="W1368" s="12" t="s">
        <v>7415</v>
      </c>
      <c r="X1368" s="12" t="s">
        <v>17</v>
      </c>
      <c r="Y1368" s="12">
        <v>1179952</v>
      </c>
      <c r="Z1368" s="12" t="s">
        <v>6613</v>
      </c>
      <c r="AA1368" s="12" t="s">
        <v>6613</v>
      </c>
      <c r="AB1368" s="12" t="s">
        <v>6613</v>
      </c>
      <c r="AC1368" s="12" t="s">
        <v>6613</v>
      </c>
      <c r="AD1368" s="12" t="s">
        <v>6613</v>
      </c>
      <c r="AE1368" s="12" t="s">
        <v>6613</v>
      </c>
      <c r="AF1368" s="12" t="s">
        <v>45</v>
      </c>
    </row>
    <row r="1369" spans="1:32" x14ac:dyDescent="0.2">
      <c r="A1369" s="12" t="s">
        <v>3440</v>
      </c>
      <c r="B1369" s="12" t="s">
        <v>3441</v>
      </c>
      <c r="C1369" s="12" t="s">
        <v>17</v>
      </c>
      <c r="D1369" s="12" t="s">
        <v>17</v>
      </c>
      <c r="E1369" s="12" t="s">
        <v>7678</v>
      </c>
      <c r="F1369" s="12" t="s">
        <v>5458</v>
      </c>
      <c r="G1369" s="12" t="s">
        <v>615</v>
      </c>
      <c r="H1369" s="12" t="s">
        <v>6613</v>
      </c>
      <c r="I1369" s="12">
        <v>0</v>
      </c>
      <c r="J1369" s="12" t="s">
        <v>164</v>
      </c>
      <c r="K1369" s="12" t="s">
        <v>6646</v>
      </c>
      <c r="L1369" s="12" t="s">
        <v>3363</v>
      </c>
      <c r="M1369" s="12" t="s">
        <v>3363</v>
      </c>
      <c r="N1369" s="12" t="s">
        <v>5785</v>
      </c>
      <c r="O1369" s="12" t="s">
        <v>17</v>
      </c>
      <c r="P1369" s="12" t="s">
        <v>173</v>
      </c>
      <c r="Q1369" s="12" t="s">
        <v>6664</v>
      </c>
      <c r="R1369" s="12" t="s">
        <v>17</v>
      </c>
      <c r="S1369" s="12" t="s">
        <v>17</v>
      </c>
      <c r="T1369" s="12" t="s">
        <v>11</v>
      </c>
      <c r="U1369" s="12" t="s">
        <v>17</v>
      </c>
      <c r="V1369" s="12" t="s">
        <v>739</v>
      </c>
      <c r="W1369" s="12" t="s">
        <v>7415</v>
      </c>
      <c r="X1369" s="12" t="s">
        <v>17</v>
      </c>
      <c r="Y1369" s="12">
        <v>1180004</v>
      </c>
      <c r="Z1369" s="12" t="s">
        <v>6613</v>
      </c>
      <c r="AA1369" s="12" t="s">
        <v>6613</v>
      </c>
      <c r="AB1369" s="12" t="s">
        <v>6613</v>
      </c>
      <c r="AC1369" s="12" t="s">
        <v>6613</v>
      </c>
      <c r="AD1369" s="12" t="s">
        <v>6613</v>
      </c>
      <c r="AE1369" s="12" t="s">
        <v>6613</v>
      </c>
      <c r="AF1369" s="12" t="s">
        <v>45</v>
      </c>
    </row>
    <row r="1370" spans="1:32" x14ac:dyDescent="0.2">
      <c r="A1370" s="12" t="s">
        <v>3364</v>
      </c>
      <c r="B1370" s="12" t="s">
        <v>3365</v>
      </c>
      <c r="C1370" s="12" t="s">
        <v>17</v>
      </c>
      <c r="D1370" s="12" t="s">
        <v>17</v>
      </c>
      <c r="E1370" s="12" t="s">
        <v>7678</v>
      </c>
      <c r="F1370" s="12" t="s">
        <v>5458</v>
      </c>
      <c r="G1370" s="12" t="s">
        <v>615</v>
      </c>
      <c r="H1370" s="12" t="s">
        <v>6613</v>
      </c>
      <c r="I1370" s="12">
        <v>0</v>
      </c>
      <c r="J1370" s="12" t="s">
        <v>164</v>
      </c>
      <c r="K1370" s="12" t="s">
        <v>6646</v>
      </c>
      <c r="L1370" s="12" t="s">
        <v>3363</v>
      </c>
      <c r="M1370" s="12" t="s">
        <v>3363</v>
      </c>
      <c r="N1370" s="12" t="s">
        <v>5785</v>
      </c>
      <c r="O1370" s="12" t="s">
        <v>17</v>
      </c>
      <c r="P1370" s="12" t="s">
        <v>173</v>
      </c>
      <c r="Q1370" s="12" t="s">
        <v>6664</v>
      </c>
      <c r="R1370" s="12" t="s">
        <v>17</v>
      </c>
      <c r="S1370" s="12" t="s">
        <v>17</v>
      </c>
      <c r="T1370" s="12" t="s">
        <v>11</v>
      </c>
      <c r="U1370" s="12" t="s">
        <v>17</v>
      </c>
      <c r="V1370" s="12" t="s">
        <v>708</v>
      </c>
      <c r="W1370" s="12" t="s">
        <v>7415</v>
      </c>
      <c r="X1370" s="12" t="s">
        <v>17</v>
      </c>
      <c r="Y1370" s="12">
        <v>1180104</v>
      </c>
      <c r="Z1370" s="12" t="s">
        <v>6613</v>
      </c>
      <c r="AA1370" s="12" t="s">
        <v>6613</v>
      </c>
      <c r="AB1370" s="12" t="s">
        <v>6613</v>
      </c>
      <c r="AC1370" s="12" t="s">
        <v>6613</v>
      </c>
      <c r="AD1370" s="12" t="s">
        <v>6613</v>
      </c>
      <c r="AE1370" s="12" t="s">
        <v>6613</v>
      </c>
      <c r="AF1370" s="12" t="s">
        <v>45</v>
      </c>
    </row>
    <row r="1371" spans="1:32" x14ac:dyDescent="0.2">
      <c r="A1371" s="12" t="s">
        <v>3452</v>
      </c>
      <c r="B1371" s="12" t="s">
        <v>3453</v>
      </c>
      <c r="C1371" s="12" t="s">
        <v>17</v>
      </c>
      <c r="D1371" s="12" t="s">
        <v>17</v>
      </c>
      <c r="E1371" s="12" t="s">
        <v>7678</v>
      </c>
      <c r="F1371" s="12" t="s">
        <v>5458</v>
      </c>
      <c r="G1371" s="12" t="s">
        <v>615</v>
      </c>
      <c r="H1371" s="12" t="s">
        <v>6613</v>
      </c>
      <c r="I1371" s="12">
        <v>0</v>
      </c>
      <c r="J1371" s="12" t="s">
        <v>164</v>
      </c>
      <c r="K1371" s="12" t="s">
        <v>6646</v>
      </c>
      <c r="L1371" s="12" t="s">
        <v>3363</v>
      </c>
      <c r="M1371" s="12" t="s">
        <v>3363</v>
      </c>
      <c r="N1371" s="12" t="s">
        <v>5785</v>
      </c>
      <c r="O1371" s="12" t="s">
        <v>17</v>
      </c>
      <c r="P1371" s="12" t="s">
        <v>173</v>
      </c>
      <c r="Q1371" s="12" t="s">
        <v>6664</v>
      </c>
      <c r="R1371" s="12" t="s">
        <v>17</v>
      </c>
      <c r="S1371" s="12" t="s">
        <v>17</v>
      </c>
      <c r="T1371" s="12" t="s">
        <v>11</v>
      </c>
      <c r="U1371" s="12" t="s">
        <v>17</v>
      </c>
      <c r="V1371" s="12" t="s">
        <v>628</v>
      </c>
      <c r="W1371" s="12" t="s">
        <v>7415</v>
      </c>
      <c r="X1371" s="12" t="s">
        <v>17</v>
      </c>
      <c r="Y1371" s="12">
        <v>1180363</v>
      </c>
      <c r="Z1371" s="12" t="s">
        <v>6613</v>
      </c>
      <c r="AA1371" s="12" t="s">
        <v>6613</v>
      </c>
      <c r="AB1371" s="12" t="s">
        <v>6613</v>
      </c>
      <c r="AC1371" s="12" t="s">
        <v>6613</v>
      </c>
      <c r="AD1371" s="12" t="s">
        <v>6613</v>
      </c>
      <c r="AE1371" s="12" t="s">
        <v>6613</v>
      </c>
      <c r="AF1371" s="12" t="s">
        <v>45</v>
      </c>
    </row>
    <row r="1372" spans="1:32" x14ac:dyDescent="0.2">
      <c r="A1372" s="12" t="s">
        <v>3474</v>
      </c>
      <c r="B1372" s="12" t="s">
        <v>3475</v>
      </c>
      <c r="C1372" s="12" t="s">
        <v>17</v>
      </c>
      <c r="D1372" s="12" t="s">
        <v>17</v>
      </c>
      <c r="E1372" s="12" t="s">
        <v>7678</v>
      </c>
      <c r="F1372" s="12" t="s">
        <v>5458</v>
      </c>
      <c r="G1372" s="12" t="s">
        <v>615</v>
      </c>
      <c r="H1372" s="12" t="s">
        <v>6613</v>
      </c>
      <c r="I1372" s="12">
        <v>0</v>
      </c>
      <c r="J1372" s="12" t="s">
        <v>164</v>
      </c>
      <c r="K1372" s="12" t="s">
        <v>6646</v>
      </c>
      <c r="L1372" s="12" t="s">
        <v>3363</v>
      </c>
      <c r="M1372" s="12" t="s">
        <v>3363</v>
      </c>
      <c r="N1372" s="12" t="s">
        <v>5785</v>
      </c>
      <c r="O1372" s="12" t="s">
        <v>17</v>
      </c>
      <c r="P1372" s="12" t="s">
        <v>173</v>
      </c>
      <c r="Q1372" s="12" t="s">
        <v>6664</v>
      </c>
      <c r="R1372" s="12" t="s">
        <v>17</v>
      </c>
      <c r="S1372" s="12" t="s">
        <v>17</v>
      </c>
      <c r="T1372" s="12" t="s">
        <v>11</v>
      </c>
      <c r="U1372" s="12" t="s">
        <v>17</v>
      </c>
      <c r="V1372" s="12" t="s">
        <v>3476</v>
      </c>
      <c r="W1372" s="12" t="s">
        <v>7415</v>
      </c>
      <c r="X1372" s="12" t="s">
        <v>17</v>
      </c>
      <c r="Y1372" s="12">
        <v>1180419</v>
      </c>
      <c r="Z1372" s="12" t="s">
        <v>6613</v>
      </c>
      <c r="AA1372" s="12" t="s">
        <v>6613</v>
      </c>
      <c r="AB1372" s="12" t="s">
        <v>6613</v>
      </c>
      <c r="AC1372" s="12" t="s">
        <v>6613</v>
      </c>
      <c r="AD1372" s="12" t="s">
        <v>6613</v>
      </c>
      <c r="AE1372" s="12" t="s">
        <v>6613</v>
      </c>
      <c r="AF1372" s="12" t="s">
        <v>45</v>
      </c>
    </row>
    <row r="1373" spans="1:32" x14ac:dyDescent="0.2">
      <c r="A1373" s="12" t="s">
        <v>3368</v>
      </c>
      <c r="B1373" s="12" t="s">
        <v>3369</v>
      </c>
      <c r="C1373" s="12" t="s">
        <v>17</v>
      </c>
      <c r="D1373" s="12" t="s">
        <v>17</v>
      </c>
      <c r="E1373" s="12" t="s">
        <v>7678</v>
      </c>
      <c r="F1373" s="12" t="s">
        <v>5458</v>
      </c>
      <c r="G1373" s="12" t="s">
        <v>615</v>
      </c>
      <c r="H1373" s="12" t="s">
        <v>6613</v>
      </c>
      <c r="I1373" s="12">
        <v>0</v>
      </c>
      <c r="J1373" s="12" t="s">
        <v>164</v>
      </c>
      <c r="K1373" s="12" t="s">
        <v>6646</v>
      </c>
      <c r="L1373" s="12" t="s">
        <v>3363</v>
      </c>
      <c r="M1373" s="12" t="s">
        <v>3363</v>
      </c>
      <c r="N1373" s="12" t="s">
        <v>5785</v>
      </c>
      <c r="O1373" s="12" t="s">
        <v>17</v>
      </c>
      <c r="P1373" s="12" t="s">
        <v>173</v>
      </c>
      <c r="Q1373" s="12" t="s">
        <v>6664</v>
      </c>
      <c r="R1373" s="12" t="s">
        <v>17</v>
      </c>
      <c r="S1373" s="12" t="s">
        <v>17</v>
      </c>
      <c r="T1373" s="12" t="s">
        <v>11</v>
      </c>
      <c r="U1373" s="12" t="s">
        <v>17</v>
      </c>
      <c r="V1373" s="12" t="s">
        <v>316</v>
      </c>
      <c r="W1373" s="12" t="s">
        <v>7415</v>
      </c>
      <c r="X1373" s="12" t="s">
        <v>17</v>
      </c>
      <c r="Y1373" s="12">
        <v>1180545</v>
      </c>
      <c r="Z1373" s="12" t="s">
        <v>6613</v>
      </c>
      <c r="AA1373" s="12" t="s">
        <v>6613</v>
      </c>
      <c r="AB1373" s="12" t="s">
        <v>6613</v>
      </c>
      <c r="AC1373" s="12" t="s">
        <v>6613</v>
      </c>
      <c r="AD1373" s="12" t="s">
        <v>6613</v>
      </c>
      <c r="AE1373" s="12" t="s">
        <v>6613</v>
      </c>
      <c r="AF1373" s="12" t="s">
        <v>45</v>
      </c>
    </row>
    <row r="1374" spans="1:32" x14ac:dyDescent="0.2">
      <c r="A1374" s="12" t="s">
        <v>3536</v>
      </c>
      <c r="B1374" s="12" t="s">
        <v>3537</v>
      </c>
      <c r="C1374" s="12" t="s">
        <v>17</v>
      </c>
      <c r="D1374" s="12" t="s">
        <v>17</v>
      </c>
      <c r="E1374" s="12" t="s">
        <v>7678</v>
      </c>
      <c r="F1374" s="12" t="s">
        <v>5458</v>
      </c>
      <c r="G1374" s="12" t="s">
        <v>615</v>
      </c>
      <c r="H1374" s="12" t="s">
        <v>6613</v>
      </c>
      <c r="I1374" s="12">
        <v>0</v>
      </c>
      <c r="J1374" s="12" t="s">
        <v>164</v>
      </c>
      <c r="K1374" s="12" t="s">
        <v>6646</v>
      </c>
      <c r="L1374" s="12" t="s">
        <v>3363</v>
      </c>
      <c r="M1374" s="12" t="s">
        <v>3363</v>
      </c>
      <c r="N1374" s="12" t="s">
        <v>5785</v>
      </c>
      <c r="O1374" s="12" t="s">
        <v>17</v>
      </c>
      <c r="P1374" s="12" t="s">
        <v>173</v>
      </c>
      <c r="Q1374" s="12" t="s">
        <v>6664</v>
      </c>
      <c r="R1374" s="12" t="s">
        <v>17</v>
      </c>
      <c r="S1374" s="12" t="s">
        <v>17</v>
      </c>
      <c r="T1374" s="12" t="s">
        <v>11</v>
      </c>
      <c r="U1374" s="12" t="s">
        <v>17</v>
      </c>
      <c r="V1374" s="12" t="s">
        <v>708</v>
      </c>
      <c r="W1374" s="12" t="s">
        <v>7415</v>
      </c>
      <c r="X1374" s="12" t="s">
        <v>17</v>
      </c>
      <c r="Y1374" s="12">
        <v>1180636</v>
      </c>
      <c r="Z1374" s="12" t="s">
        <v>6613</v>
      </c>
      <c r="AA1374" s="12" t="s">
        <v>6613</v>
      </c>
      <c r="AB1374" s="12" t="s">
        <v>6613</v>
      </c>
      <c r="AC1374" s="12" t="s">
        <v>6613</v>
      </c>
      <c r="AD1374" s="12" t="s">
        <v>6613</v>
      </c>
      <c r="AE1374" s="12" t="s">
        <v>6613</v>
      </c>
      <c r="AF1374" s="12" t="s">
        <v>45</v>
      </c>
    </row>
    <row r="1375" spans="1:32" x14ac:dyDescent="0.2">
      <c r="A1375" s="12" t="s">
        <v>3386</v>
      </c>
      <c r="B1375" s="12" t="s">
        <v>3387</v>
      </c>
      <c r="C1375" s="12" t="s">
        <v>17</v>
      </c>
      <c r="D1375" s="12" t="s">
        <v>17</v>
      </c>
      <c r="E1375" s="12" t="s">
        <v>7678</v>
      </c>
      <c r="F1375" s="12" t="s">
        <v>5458</v>
      </c>
      <c r="G1375" s="12" t="s">
        <v>615</v>
      </c>
      <c r="H1375" s="12" t="s">
        <v>6613</v>
      </c>
      <c r="I1375" s="12">
        <v>0</v>
      </c>
      <c r="J1375" s="12" t="s">
        <v>164</v>
      </c>
      <c r="K1375" s="12" t="s">
        <v>6646</v>
      </c>
      <c r="L1375" s="12" t="s">
        <v>3363</v>
      </c>
      <c r="M1375" s="12" t="s">
        <v>3363</v>
      </c>
      <c r="N1375" s="12" t="s">
        <v>5785</v>
      </c>
      <c r="O1375" s="12" t="s">
        <v>17</v>
      </c>
      <c r="P1375" s="12" t="s">
        <v>173</v>
      </c>
      <c r="Q1375" s="12" t="s">
        <v>6664</v>
      </c>
      <c r="R1375" s="12" t="s">
        <v>17</v>
      </c>
      <c r="S1375" s="12" t="s">
        <v>17</v>
      </c>
      <c r="T1375" s="12" t="s">
        <v>11</v>
      </c>
      <c r="U1375" s="12" t="s">
        <v>17</v>
      </c>
      <c r="V1375" s="12" t="s">
        <v>3388</v>
      </c>
      <c r="W1375" s="12" t="s">
        <v>7415</v>
      </c>
      <c r="X1375" s="12" t="s">
        <v>17</v>
      </c>
      <c r="Y1375" s="12">
        <v>1180712</v>
      </c>
      <c r="Z1375" s="12" t="s">
        <v>6613</v>
      </c>
      <c r="AA1375" s="12" t="s">
        <v>6613</v>
      </c>
      <c r="AB1375" s="12" t="s">
        <v>6613</v>
      </c>
      <c r="AC1375" s="12" t="s">
        <v>6613</v>
      </c>
      <c r="AD1375" s="12" t="s">
        <v>6613</v>
      </c>
      <c r="AE1375" s="12" t="s">
        <v>6613</v>
      </c>
      <c r="AF1375" s="12" t="s">
        <v>45</v>
      </c>
    </row>
    <row r="1376" spans="1:32" x14ac:dyDescent="0.2">
      <c r="A1376" s="12" t="s">
        <v>3436</v>
      </c>
      <c r="B1376" s="12" t="s">
        <v>3437</v>
      </c>
      <c r="C1376" s="12" t="s">
        <v>17</v>
      </c>
      <c r="D1376" s="12" t="s">
        <v>17</v>
      </c>
      <c r="E1376" s="12" t="s">
        <v>7678</v>
      </c>
      <c r="F1376" s="12" t="s">
        <v>5458</v>
      </c>
      <c r="G1376" s="12" t="s">
        <v>615</v>
      </c>
      <c r="H1376" s="12" t="s">
        <v>6613</v>
      </c>
      <c r="I1376" s="12">
        <v>0</v>
      </c>
      <c r="J1376" s="12" t="s">
        <v>164</v>
      </c>
      <c r="K1376" s="12" t="s">
        <v>6646</v>
      </c>
      <c r="L1376" s="12" t="s">
        <v>3363</v>
      </c>
      <c r="M1376" s="12" t="s">
        <v>3363</v>
      </c>
      <c r="N1376" s="12" t="s">
        <v>5785</v>
      </c>
      <c r="O1376" s="12" t="s">
        <v>17</v>
      </c>
      <c r="P1376" s="12" t="s">
        <v>173</v>
      </c>
      <c r="Q1376" s="12" t="s">
        <v>6664</v>
      </c>
      <c r="R1376" s="12" t="s">
        <v>17</v>
      </c>
      <c r="S1376" s="12" t="s">
        <v>17</v>
      </c>
      <c r="T1376" s="12" t="s">
        <v>11</v>
      </c>
      <c r="U1376" s="12" t="s">
        <v>17</v>
      </c>
      <c r="V1376" s="12" t="s">
        <v>2408</v>
      </c>
      <c r="W1376" s="12" t="s">
        <v>7415</v>
      </c>
      <c r="X1376" s="12" t="s">
        <v>17</v>
      </c>
      <c r="Y1376" s="12">
        <v>1180718</v>
      </c>
      <c r="Z1376" s="12" t="s">
        <v>6613</v>
      </c>
      <c r="AA1376" s="12" t="s">
        <v>6613</v>
      </c>
      <c r="AB1376" s="12" t="s">
        <v>6613</v>
      </c>
      <c r="AC1376" s="12" t="s">
        <v>6613</v>
      </c>
      <c r="AD1376" s="12" t="s">
        <v>6613</v>
      </c>
      <c r="AE1376" s="12" t="s">
        <v>6613</v>
      </c>
      <c r="AF1376" s="12" t="s">
        <v>45</v>
      </c>
    </row>
    <row r="1377" spans="1:32" x14ac:dyDescent="0.2">
      <c r="A1377" s="12" t="s">
        <v>3395</v>
      </c>
      <c r="B1377" s="12" t="s">
        <v>3396</v>
      </c>
      <c r="C1377" s="12" t="s">
        <v>17</v>
      </c>
      <c r="D1377" s="12" t="s">
        <v>17</v>
      </c>
      <c r="E1377" s="12" t="s">
        <v>7678</v>
      </c>
      <c r="F1377" s="12" t="s">
        <v>5458</v>
      </c>
      <c r="G1377" s="12" t="s">
        <v>615</v>
      </c>
      <c r="H1377" s="12" t="s">
        <v>6613</v>
      </c>
      <c r="I1377" s="12">
        <v>0</v>
      </c>
      <c r="J1377" s="12" t="s">
        <v>164</v>
      </c>
      <c r="K1377" s="12" t="s">
        <v>6646</v>
      </c>
      <c r="L1377" s="12" t="s">
        <v>3363</v>
      </c>
      <c r="M1377" s="12" t="s">
        <v>3363</v>
      </c>
      <c r="N1377" s="12" t="s">
        <v>5785</v>
      </c>
      <c r="O1377" s="12" t="s">
        <v>17</v>
      </c>
      <c r="P1377" s="12" t="s">
        <v>173</v>
      </c>
      <c r="Q1377" s="12" t="s">
        <v>6664</v>
      </c>
      <c r="R1377" s="12" t="s">
        <v>17</v>
      </c>
      <c r="S1377" s="12" t="s">
        <v>17</v>
      </c>
      <c r="T1377" s="12" t="s">
        <v>11</v>
      </c>
      <c r="U1377" s="12" t="s">
        <v>17</v>
      </c>
      <c r="V1377" s="12" t="s">
        <v>739</v>
      </c>
      <c r="W1377" s="12" t="s">
        <v>7415</v>
      </c>
      <c r="X1377" s="12" t="s">
        <v>17</v>
      </c>
      <c r="Y1377" s="12">
        <v>1181001</v>
      </c>
      <c r="Z1377" s="12" t="s">
        <v>6613</v>
      </c>
      <c r="AA1377" s="12" t="s">
        <v>6613</v>
      </c>
      <c r="AB1377" s="12" t="s">
        <v>6613</v>
      </c>
      <c r="AC1377" s="12" t="s">
        <v>6613</v>
      </c>
      <c r="AD1377" s="12" t="s">
        <v>6613</v>
      </c>
      <c r="AE1377" s="12" t="s">
        <v>6613</v>
      </c>
      <c r="AF1377" s="12" t="s">
        <v>45</v>
      </c>
    </row>
    <row r="1378" spans="1:32" x14ac:dyDescent="0.2">
      <c r="A1378" s="12" t="s">
        <v>3628</v>
      </c>
      <c r="B1378" s="12" t="s">
        <v>3629</v>
      </c>
      <c r="C1378" s="12" t="s">
        <v>17</v>
      </c>
      <c r="D1378" s="12" t="s">
        <v>17</v>
      </c>
      <c r="E1378" s="12" t="s">
        <v>7678</v>
      </c>
      <c r="F1378" s="12" t="s">
        <v>5458</v>
      </c>
      <c r="G1378" s="12" t="s">
        <v>830</v>
      </c>
      <c r="H1378" s="12" t="s">
        <v>6613</v>
      </c>
      <c r="I1378" s="12">
        <v>0</v>
      </c>
      <c r="J1378" s="12" t="s">
        <v>164</v>
      </c>
      <c r="K1378" s="12" t="s">
        <v>6646</v>
      </c>
      <c r="L1378" s="12" t="s">
        <v>3630</v>
      </c>
      <c r="M1378" s="12" t="s">
        <v>3630</v>
      </c>
      <c r="N1378" s="12" t="s">
        <v>5785</v>
      </c>
      <c r="O1378" s="12" t="s">
        <v>3631</v>
      </c>
      <c r="P1378" s="12" t="s">
        <v>166</v>
      </c>
      <c r="Q1378" s="12" t="s">
        <v>6664</v>
      </c>
      <c r="R1378" s="12" t="s">
        <v>17</v>
      </c>
      <c r="S1378" s="12" t="s">
        <v>17</v>
      </c>
      <c r="T1378" s="12" t="s">
        <v>11</v>
      </c>
      <c r="U1378" s="12" t="s">
        <v>17</v>
      </c>
      <c r="V1378" s="12" t="s">
        <v>904</v>
      </c>
      <c r="W1378" s="12" t="s">
        <v>7415</v>
      </c>
      <c r="X1378" s="12">
        <v>15.58</v>
      </c>
      <c r="Y1378" s="12">
        <v>1171404</v>
      </c>
      <c r="Z1378" s="12" t="s">
        <v>6613</v>
      </c>
      <c r="AA1378" s="12" t="s">
        <v>6613</v>
      </c>
      <c r="AB1378" s="12" t="s">
        <v>6613</v>
      </c>
      <c r="AC1378" s="12" t="s">
        <v>6613</v>
      </c>
      <c r="AD1378" s="12" t="s">
        <v>6613</v>
      </c>
      <c r="AE1378" s="12" t="s">
        <v>6613</v>
      </c>
      <c r="AF1378" s="12" t="s">
        <v>45</v>
      </c>
    </row>
    <row r="1379" spans="1:32" x14ac:dyDescent="0.2">
      <c r="A1379" s="12" t="s">
        <v>3637</v>
      </c>
      <c r="B1379" s="12" t="s">
        <v>3638</v>
      </c>
      <c r="C1379" s="12" t="s">
        <v>3638</v>
      </c>
      <c r="D1379" s="12" t="s">
        <v>163</v>
      </c>
      <c r="E1379" s="12" t="s">
        <v>7676</v>
      </c>
      <c r="F1379" s="12" t="s">
        <v>5458</v>
      </c>
      <c r="G1379" s="12" t="s">
        <v>159</v>
      </c>
      <c r="H1379" s="12" t="s">
        <v>6613</v>
      </c>
      <c r="I1379" s="12">
        <v>0</v>
      </c>
      <c r="J1379" s="12" t="s">
        <v>164</v>
      </c>
      <c r="K1379" s="12" t="s">
        <v>6646</v>
      </c>
      <c r="L1379" s="12" t="s">
        <v>3633</v>
      </c>
      <c r="M1379" s="12" t="s">
        <v>3633</v>
      </c>
      <c r="N1379" s="12" t="s">
        <v>5785</v>
      </c>
      <c r="O1379" s="12" t="s">
        <v>3634</v>
      </c>
      <c r="P1379" s="12" t="s">
        <v>173</v>
      </c>
      <c r="Q1379" s="12" t="s">
        <v>6664</v>
      </c>
      <c r="R1379" s="12">
        <v>31.5</v>
      </c>
      <c r="S1379" s="12">
        <v>74.3</v>
      </c>
      <c r="T1379" s="12" t="s">
        <v>25</v>
      </c>
      <c r="U1379" s="12" t="s">
        <v>17</v>
      </c>
      <c r="V1379" s="12" t="s">
        <v>6639</v>
      </c>
      <c r="W1379" s="12" t="s">
        <v>6639</v>
      </c>
      <c r="X1379" s="12">
        <v>34.69</v>
      </c>
      <c r="Y1379" s="12">
        <v>1118456</v>
      </c>
      <c r="Z1379" s="12" t="s">
        <v>6613</v>
      </c>
      <c r="AA1379" s="12" t="s">
        <v>6613</v>
      </c>
      <c r="AB1379" s="12" t="s">
        <v>6613</v>
      </c>
      <c r="AC1379" s="12" t="s">
        <v>6613</v>
      </c>
      <c r="AD1379" s="12" t="s">
        <v>6613</v>
      </c>
      <c r="AE1379" s="12" t="s">
        <v>6613</v>
      </c>
      <c r="AF1379" s="12" t="s">
        <v>45</v>
      </c>
    </row>
    <row r="1380" spans="1:32" x14ac:dyDescent="0.2">
      <c r="A1380" s="12" t="s">
        <v>3632</v>
      </c>
      <c r="B1380" s="12" t="s">
        <v>3373</v>
      </c>
      <c r="C1380" s="12" t="s">
        <v>3373</v>
      </c>
      <c r="D1380" s="12" t="s">
        <v>163</v>
      </c>
      <c r="E1380" s="12" t="s">
        <v>7676</v>
      </c>
      <c r="F1380" s="12" t="s">
        <v>5458</v>
      </c>
      <c r="G1380" s="12" t="s">
        <v>159</v>
      </c>
      <c r="H1380" s="12" t="s">
        <v>6613</v>
      </c>
      <c r="I1380" s="12">
        <v>0</v>
      </c>
      <c r="J1380" s="12" t="s">
        <v>164</v>
      </c>
      <c r="K1380" s="12" t="s">
        <v>6646</v>
      </c>
      <c r="L1380" s="12" t="s">
        <v>3633</v>
      </c>
      <c r="M1380" s="12" t="s">
        <v>3633</v>
      </c>
      <c r="N1380" s="12" t="s">
        <v>5785</v>
      </c>
      <c r="O1380" s="12" t="s">
        <v>3634</v>
      </c>
      <c r="P1380" s="12" t="s">
        <v>173</v>
      </c>
      <c r="Q1380" s="12" t="s">
        <v>6664</v>
      </c>
      <c r="R1380" s="12">
        <v>31.5</v>
      </c>
      <c r="S1380" s="12">
        <v>74.3</v>
      </c>
      <c r="T1380" s="12" t="s">
        <v>11</v>
      </c>
      <c r="U1380" s="12" t="s">
        <v>17</v>
      </c>
      <c r="V1380" s="12" t="s">
        <v>628</v>
      </c>
      <c r="W1380" s="12" t="s">
        <v>7415</v>
      </c>
      <c r="X1380" s="12">
        <v>34.65</v>
      </c>
      <c r="Y1380" s="12">
        <v>1119219</v>
      </c>
      <c r="Z1380" s="12" t="s">
        <v>6613</v>
      </c>
      <c r="AA1380" s="12" t="s">
        <v>6613</v>
      </c>
      <c r="AB1380" s="12" t="s">
        <v>6613</v>
      </c>
      <c r="AC1380" s="12" t="s">
        <v>6613</v>
      </c>
      <c r="AD1380" s="12" t="s">
        <v>6613</v>
      </c>
      <c r="AE1380" s="12" t="s">
        <v>6613</v>
      </c>
      <c r="AF1380" s="12" t="s">
        <v>45</v>
      </c>
    </row>
    <row r="1381" spans="1:32" x14ac:dyDescent="0.2">
      <c r="A1381" s="12" t="s">
        <v>3636</v>
      </c>
      <c r="B1381" s="12" t="s">
        <v>3377</v>
      </c>
      <c r="C1381" s="12" t="s">
        <v>3377</v>
      </c>
      <c r="D1381" s="12" t="s">
        <v>163</v>
      </c>
      <c r="E1381" s="12" t="s">
        <v>7676</v>
      </c>
      <c r="F1381" s="12" t="s">
        <v>5458</v>
      </c>
      <c r="G1381" s="12" t="s">
        <v>159</v>
      </c>
      <c r="H1381" s="12" t="s">
        <v>6613</v>
      </c>
      <c r="I1381" s="12">
        <v>0</v>
      </c>
      <c r="J1381" s="12" t="s">
        <v>164</v>
      </c>
      <c r="K1381" s="12" t="s">
        <v>6646</v>
      </c>
      <c r="L1381" s="12" t="s">
        <v>3633</v>
      </c>
      <c r="M1381" s="12" t="s">
        <v>3633</v>
      </c>
      <c r="N1381" s="12" t="s">
        <v>5785</v>
      </c>
      <c r="O1381" s="12" t="s">
        <v>3634</v>
      </c>
      <c r="P1381" s="12" t="s">
        <v>173</v>
      </c>
      <c r="Q1381" s="12" t="s">
        <v>6664</v>
      </c>
      <c r="R1381" s="12">
        <v>31.5</v>
      </c>
      <c r="S1381" s="12">
        <v>74.3</v>
      </c>
      <c r="T1381" s="12" t="s">
        <v>25</v>
      </c>
      <c r="U1381" s="12" t="s">
        <v>17</v>
      </c>
      <c r="V1381" s="12" t="s">
        <v>6639</v>
      </c>
      <c r="W1381" s="12" t="s">
        <v>6639</v>
      </c>
      <c r="X1381" s="12">
        <v>33.86</v>
      </c>
      <c r="Y1381" s="12">
        <v>1120491</v>
      </c>
      <c r="Z1381" s="12" t="s">
        <v>6613</v>
      </c>
      <c r="AA1381" s="12" t="s">
        <v>6613</v>
      </c>
      <c r="AB1381" s="12" t="s">
        <v>6613</v>
      </c>
      <c r="AC1381" s="12" t="s">
        <v>6613</v>
      </c>
      <c r="AD1381" s="12" t="s">
        <v>6613</v>
      </c>
      <c r="AE1381" s="12" t="s">
        <v>6613</v>
      </c>
      <c r="AF1381" s="12" t="s">
        <v>45</v>
      </c>
    </row>
    <row r="1382" spans="1:32" x14ac:dyDescent="0.2">
      <c r="A1382" s="12" t="s">
        <v>3635</v>
      </c>
      <c r="B1382" s="12" t="s">
        <v>3375</v>
      </c>
      <c r="C1382" s="12" t="s">
        <v>3375</v>
      </c>
      <c r="D1382" s="12" t="s">
        <v>163</v>
      </c>
      <c r="E1382" s="12" t="s">
        <v>7676</v>
      </c>
      <c r="F1382" s="12" t="s">
        <v>5458</v>
      </c>
      <c r="G1382" s="12" t="s">
        <v>159</v>
      </c>
      <c r="H1382" s="12" t="s">
        <v>6613</v>
      </c>
      <c r="I1382" s="12">
        <v>0</v>
      </c>
      <c r="J1382" s="12" t="s">
        <v>164</v>
      </c>
      <c r="K1382" s="12" t="s">
        <v>6646</v>
      </c>
      <c r="L1382" s="12" t="s">
        <v>3633</v>
      </c>
      <c r="M1382" s="12" t="s">
        <v>3633</v>
      </c>
      <c r="N1382" s="12" t="s">
        <v>5785</v>
      </c>
      <c r="O1382" s="12" t="s">
        <v>3634</v>
      </c>
      <c r="P1382" s="12" t="s">
        <v>173</v>
      </c>
      <c r="Q1382" s="12" t="s">
        <v>6664</v>
      </c>
      <c r="R1382" s="12">
        <v>31.5</v>
      </c>
      <c r="S1382" s="12">
        <v>74.3</v>
      </c>
      <c r="T1382" s="12" t="s">
        <v>11</v>
      </c>
      <c r="U1382" s="12" t="s">
        <v>17</v>
      </c>
      <c r="V1382" s="12" t="s">
        <v>802</v>
      </c>
      <c r="W1382" s="12" t="s">
        <v>7415</v>
      </c>
      <c r="X1382" s="12">
        <v>38.93</v>
      </c>
      <c r="Y1382" s="12">
        <v>1120608</v>
      </c>
      <c r="Z1382" s="12" t="s">
        <v>6613</v>
      </c>
      <c r="AA1382" s="12" t="s">
        <v>6613</v>
      </c>
      <c r="AB1382" s="12" t="s">
        <v>6613</v>
      </c>
      <c r="AC1382" s="12" t="s">
        <v>6613</v>
      </c>
      <c r="AD1382" s="12" t="s">
        <v>6613</v>
      </c>
      <c r="AE1382" s="12" t="s">
        <v>6613</v>
      </c>
      <c r="AF1382" s="12" t="s">
        <v>45</v>
      </c>
    </row>
    <row r="1383" spans="1:32" x14ac:dyDescent="0.2">
      <c r="A1383" s="12" t="s">
        <v>3648</v>
      </c>
      <c r="B1383" s="12" t="s">
        <v>3649</v>
      </c>
      <c r="C1383" s="12" t="s">
        <v>17</v>
      </c>
      <c r="D1383" s="12" t="s">
        <v>17</v>
      </c>
      <c r="E1383" s="12" t="s">
        <v>7678</v>
      </c>
      <c r="F1383" s="12" t="s">
        <v>5458</v>
      </c>
      <c r="G1383" s="12" t="s">
        <v>830</v>
      </c>
      <c r="H1383" s="12" t="s">
        <v>6613</v>
      </c>
      <c r="I1383" s="12">
        <v>0</v>
      </c>
      <c r="J1383" s="12" t="s">
        <v>164</v>
      </c>
      <c r="K1383" s="12" t="s">
        <v>6646</v>
      </c>
      <c r="L1383" s="12" t="s">
        <v>3641</v>
      </c>
      <c r="M1383" s="12" t="s">
        <v>3641</v>
      </c>
      <c r="N1383" s="12" t="s">
        <v>5785</v>
      </c>
      <c r="O1383" s="12" t="s">
        <v>3642</v>
      </c>
      <c r="P1383" s="12" t="s">
        <v>166</v>
      </c>
      <c r="Q1383" s="12" t="s">
        <v>6664</v>
      </c>
      <c r="R1383" s="12" t="s">
        <v>17</v>
      </c>
      <c r="S1383" s="12" t="s">
        <v>17</v>
      </c>
      <c r="T1383" s="12" t="s">
        <v>11</v>
      </c>
      <c r="U1383" s="12" t="s">
        <v>17</v>
      </c>
      <c r="V1383" s="12" t="s">
        <v>262</v>
      </c>
      <c r="W1383" s="12" t="s">
        <v>7415</v>
      </c>
      <c r="X1383" s="12">
        <v>16.82</v>
      </c>
      <c r="Y1383" s="12">
        <v>1132405</v>
      </c>
      <c r="Z1383" s="12" t="s">
        <v>6613</v>
      </c>
      <c r="AA1383" s="12" t="s">
        <v>6613</v>
      </c>
      <c r="AB1383" s="12" t="s">
        <v>6613</v>
      </c>
      <c r="AC1383" s="12" t="s">
        <v>6613</v>
      </c>
      <c r="AD1383" s="12" t="s">
        <v>6613</v>
      </c>
      <c r="AE1383" s="12" t="s">
        <v>6613</v>
      </c>
      <c r="AF1383" s="12" t="s">
        <v>45</v>
      </c>
    </row>
    <row r="1384" spans="1:32" x14ac:dyDescent="0.2">
      <c r="A1384" s="12" t="s">
        <v>3645</v>
      </c>
      <c r="B1384" s="12" t="s">
        <v>3646</v>
      </c>
      <c r="C1384" s="12" t="s">
        <v>17</v>
      </c>
      <c r="D1384" s="12" t="s">
        <v>17</v>
      </c>
      <c r="E1384" s="12" t="s">
        <v>7678</v>
      </c>
      <c r="F1384" s="12" t="s">
        <v>5458</v>
      </c>
      <c r="G1384" s="12" t="s">
        <v>830</v>
      </c>
      <c r="H1384" s="12" t="s">
        <v>6613</v>
      </c>
      <c r="I1384" s="12">
        <v>0</v>
      </c>
      <c r="J1384" s="12" t="s">
        <v>164</v>
      </c>
      <c r="K1384" s="12" t="s">
        <v>6646</v>
      </c>
      <c r="L1384" s="12" t="s">
        <v>3641</v>
      </c>
      <c r="M1384" s="12" t="s">
        <v>3641</v>
      </c>
      <c r="N1384" s="12" t="s">
        <v>5785</v>
      </c>
      <c r="O1384" s="12" t="s">
        <v>3642</v>
      </c>
      <c r="P1384" s="12" t="s">
        <v>166</v>
      </c>
      <c r="Q1384" s="12" t="s">
        <v>6664</v>
      </c>
      <c r="R1384" s="12" t="s">
        <v>17</v>
      </c>
      <c r="S1384" s="12" t="s">
        <v>17</v>
      </c>
      <c r="T1384" s="12" t="s">
        <v>11</v>
      </c>
      <c r="U1384" s="12" t="s">
        <v>17</v>
      </c>
      <c r="V1384" s="12" t="s">
        <v>3647</v>
      </c>
      <c r="W1384" s="12" t="s">
        <v>7415</v>
      </c>
      <c r="X1384" s="12">
        <v>17.47</v>
      </c>
      <c r="Y1384" s="12">
        <v>1137834</v>
      </c>
      <c r="Z1384" s="12" t="s">
        <v>6613</v>
      </c>
      <c r="AA1384" s="12" t="s">
        <v>6613</v>
      </c>
      <c r="AB1384" s="12" t="s">
        <v>6613</v>
      </c>
      <c r="AC1384" s="12" t="s">
        <v>6613</v>
      </c>
      <c r="AD1384" s="12" t="s">
        <v>6613</v>
      </c>
      <c r="AE1384" s="12" t="s">
        <v>6613</v>
      </c>
      <c r="AF1384" s="12" t="s">
        <v>45</v>
      </c>
    </row>
    <row r="1385" spans="1:32" x14ac:dyDescent="0.2">
      <c r="A1385" s="12" t="s">
        <v>3659</v>
      </c>
      <c r="B1385" s="12" t="s">
        <v>3660</v>
      </c>
      <c r="C1385" s="12" t="s">
        <v>17</v>
      </c>
      <c r="D1385" s="12" t="s">
        <v>17</v>
      </c>
      <c r="E1385" s="12" t="s">
        <v>7678</v>
      </c>
      <c r="F1385" s="12" t="s">
        <v>5458</v>
      </c>
      <c r="G1385" s="12" t="s">
        <v>830</v>
      </c>
      <c r="H1385" s="12" t="s">
        <v>6613</v>
      </c>
      <c r="I1385" s="12">
        <v>0</v>
      </c>
      <c r="J1385" s="12" t="s">
        <v>164</v>
      </c>
      <c r="K1385" s="12" t="s">
        <v>6646</v>
      </c>
      <c r="L1385" s="12" t="s">
        <v>3641</v>
      </c>
      <c r="M1385" s="12" t="s">
        <v>3641</v>
      </c>
      <c r="N1385" s="12" t="s">
        <v>5785</v>
      </c>
      <c r="O1385" s="12" t="s">
        <v>3642</v>
      </c>
      <c r="P1385" s="12" t="s">
        <v>166</v>
      </c>
      <c r="Q1385" s="12" t="s">
        <v>6664</v>
      </c>
      <c r="R1385" s="16" t="s">
        <v>17</v>
      </c>
      <c r="S1385" s="16" t="s">
        <v>17</v>
      </c>
      <c r="T1385" s="12" t="s">
        <v>11</v>
      </c>
      <c r="U1385" s="12" t="s">
        <v>17</v>
      </c>
      <c r="V1385" s="12" t="s">
        <v>3661</v>
      </c>
      <c r="W1385" s="12" t="s">
        <v>7415</v>
      </c>
      <c r="X1385" s="12">
        <v>14.92</v>
      </c>
      <c r="Y1385" s="12">
        <v>1141086</v>
      </c>
      <c r="Z1385" s="12" t="s">
        <v>6613</v>
      </c>
      <c r="AA1385" s="12" t="s">
        <v>6613</v>
      </c>
      <c r="AB1385" s="12" t="s">
        <v>6613</v>
      </c>
      <c r="AC1385" s="12" t="s">
        <v>6613</v>
      </c>
      <c r="AD1385" s="12" t="s">
        <v>6613</v>
      </c>
      <c r="AE1385" s="12" t="s">
        <v>6613</v>
      </c>
      <c r="AF1385" s="12" t="s">
        <v>45</v>
      </c>
    </row>
    <row r="1386" spans="1:32" x14ac:dyDescent="0.2">
      <c r="A1386" s="12" t="s">
        <v>3639</v>
      </c>
      <c r="B1386" s="12" t="s">
        <v>3640</v>
      </c>
      <c r="C1386" s="12" t="s">
        <v>17</v>
      </c>
      <c r="D1386" s="12" t="s">
        <v>17</v>
      </c>
      <c r="E1386" s="12" t="s">
        <v>7678</v>
      </c>
      <c r="F1386" s="12" t="s">
        <v>5458</v>
      </c>
      <c r="G1386" s="12" t="s">
        <v>830</v>
      </c>
      <c r="H1386" s="12" t="s">
        <v>6613</v>
      </c>
      <c r="I1386" s="12">
        <v>0</v>
      </c>
      <c r="J1386" s="12" t="s">
        <v>164</v>
      </c>
      <c r="K1386" s="12" t="s">
        <v>6646</v>
      </c>
      <c r="L1386" s="12" t="s">
        <v>3641</v>
      </c>
      <c r="M1386" s="12" t="s">
        <v>3641</v>
      </c>
      <c r="N1386" s="12" t="s">
        <v>5785</v>
      </c>
      <c r="O1386" s="12" t="s">
        <v>3642</v>
      </c>
      <c r="P1386" s="12" t="s">
        <v>166</v>
      </c>
      <c r="Q1386" s="12" t="s">
        <v>6664</v>
      </c>
      <c r="R1386" s="12" t="s">
        <v>17</v>
      </c>
      <c r="S1386" s="12" t="s">
        <v>17</v>
      </c>
      <c r="T1386" s="12" t="s">
        <v>11</v>
      </c>
      <c r="U1386" s="12" t="s">
        <v>17</v>
      </c>
      <c r="V1386" s="12" t="s">
        <v>253</v>
      </c>
      <c r="W1386" s="12" t="s">
        <v>7415</v>
      </c>
      <c r="X1386" s="12">
        <v>14.66</v>
      </c>
      <c r="Y1386" s="12">
        <v>1146210</v>
      </c>
      <c r="Z1386" s="12" t="s">
        <v>6613</v>
      </c>
      <c r="AA1386" s="12" t="s">
        <v>6613</v>
      </c>
      <c r="AB1386" s="12" t="s">
        <v>6613</v>
      </c>
      <c r="AC1386" s="12" t="s">
        <v>6613</v>
      </c>
      <c r="AD1386" s="12" t="s">
        <v>6613</v>
      </c>
      <c r="AE1386" s="12" t="s">
        <v>6613</v>
      </c>
      <c r="AF1386" s="12" t="s">
        <v>45</v>
      </c>
    </row>
    <row r="1387" spans="1:32" x14ac:dyDescent="0.2">
      <c r="A1387" s="12" t="s">
        <v>3654</v>
      </c>
      <c r="B1387" s="12" t="s">
        <v>3655</v>
      </c>
      <c r="C1387" s="12" t="s">
        <v>17</v>
      </c>
      <c r="D1387" s="12" t="s">
        <v>17</v>
      </c>
      <c r="E1387" s="12" t="s">
        <v>7678</v>
      </c>
      <c r="F1387" s="12" t="s">
        <v>5458</v>
      </c>
      <c r="G1387" s="12" t="s">
        <v>830</v>
      </c>
      <c r="H1387" s="12" t="s">
        <v>6613</v>
      </c>
      <c r="I1387" s="12">
        <v>0</v>
      </c>
      <c r="J1387" s="12" t="s">
        <v>164</v>
      </c>
      <c r="K1387" s="12" t="s">
        <v>6646</v>
      </c>
      <c r="L1387" s="12" t="s">
        <v>3641</v>
      </c>
      <c r="M1387" s="12" t="s">
        <v>3641</v>
      </c>
      <c r="N1387" s="12" t="s">
        <v>5785</v>
      </c>
      <c r="O1387" s="12" t="s">
        <v>3642</v>
      </c>
      <c r="P1387" s="12" t="s">
        <v>166</v>
      </c>
      <c r="Q1387" s="12" t="s">
        <v>6664</v>
      </c>
      <c r="R1387" s="12" t="s">
        <v>17</v>
      </c>
      <c r="S1387" s="12" t="s">
        <v>17</v>
      </c>
      <c r="T1387" s="12" t="s">
        <v>11</v>
      </c>
      <c r="U1387" s="12" t="s">
        <v>17</v>
      </c>
      <c r="V1387" s="12" t="s">
        <v>3656</v>
      </c>
      <c r="W1387" s="12" t="s">
        <v>7415</v>
      </c>
      <c r="X1387" s="12">
        <v>15.75</v>
      </c>
      <c r="Y1387" s="12">
        <v>1154536</v>
      </c>
      <c r="Z1387" s="12" t="s">
        <v>6613</v>
      </c>
      <c r="AA1387" s="12" t="s">
        <v>6613</v>
      </c>
      <c r="AB1387" s="12" t="s">
        <v>6613</v>
      </c>
      <c r="AC1387" s="12" t="s">
        <v>6613</v>
      </c>
      <c r="AD1387" s="12" t="s">
        <v>6613</v>
      </c>
      <c r="AE1387" s="12" t="s">
        <v>6613</v>
      </c>
      <c r="AF1387" s="12" t="s">
        <v>45</v>
      </c>
    </row>
    <row r="1388" spans="1:32" x14ac:dyDescent="0.2">
      <c r="A1388" s="12" t="s">
        <v>3650</v>
      </c>
      <c r="B1388" s="12" t="s">
        <v>3651</v>
      </c>
      <c r="C1388" s="12" t="s">
        <v>17</v>
      </c>
      <c r="D1388" s="12" t="s">
        <v>17</v>
      </c>
      <c r="E1388" s="12" t="s">
        <v>7678</v>
      </c>
      <c r="F1388" s="12" t="s">
        <v>5458</v>
      </c>
      <c r="G1388" s="12" t="s">
        <v>830</v>
      </c>
      <c r="H1388" s="12" t="s">
        <v>6613</v>
      </c>
      <c r="I1388" s="12">
        <v>0</v>
      </c>
      <c r="J1388" s="12" t="s">
        <v>164</v>
      </c>
      <c r="K1388" s="12" t="s">
        <v>6646</v>
      </c>
      <c r="L1388" s="12" t="s">
        <v>3641</v>
      </c>
      <c r="M1388" s="12" t="s">
        <v>3641</v>
      </c>
      <c r="N1388" s="12" t="s">
        <v>5785</v>
      </c>
      <c r="O1388" s="12" t="s">
        <v>3642</v>
      </c>
      <c r="P1388" s="12" t="s">
        <v>166</v>
      </c>
      <c r="Q1388" s="12" t="s">
        <v>6664</v>
      </c>
      <c r="R1388" s="12" t="s">
        <v>17</v>
      </c>
      <c r="S1388" s="12" t="s">
        <v>17</v>
      </c>
      <c r="T1388" s="12" t="s">
        <v>11</v>
      </c>
      <c r="U1388" s="12" t="s">
        <v>17</v>
      </c>
      <c r="V1388" s="12" t="s">
        <v>2263</v>
      </c>
      <c r="W1388" s="12" t="s">
        <v>7415</v>
      </c>
      <c r="X1388" s="12">
        <v>16.36</v>
      </c>
      <c r="Y1388" s="12">
        <v>1157542</v>
      </c>
      <c r="Z1388" s="12" t="s">
        <v>6613</v>
      </c>
      <c r="AA1388" s="12" t="s">
        <v>6613</v>
      </c>
      <c r="AB1388" s="12" t="s">
        <v>6613</v>
      </c>
      <c r="AC1388" s="12" t="s">
        <v>6613</v>
      </c>
      <c r="AD1388" s="12" t="s">
        <v>6613</v>
      </c>
      <c r="AE1388" s="12" t="s">
        <v>6613</v>
      </c>
      <c r="AF1388" s="12" t="s">
        <v>45</v>
      </c>
    </row>
    <row r="1389" spans="1:32" x14ac:dyDescent="0.2">
      <c r="A1389" s="12" t="s">
        <v>3652</v>
      </c>
      <c r="B1389" s="12" t="s">
        <v>3653</v>
      </c>
      <c r="C1389" s="12" t="s">
        <v>17</v>
      </c>
      <c r="D1389" s="12" t="s">
        <v>17</v>
      </c>
      <c r="E1389" s="12" t="s">
        <v>7678</v>
      </c>
      <c r="F1389" s="12" t="s">
        <v>5458</v>
      </c>
      <c r="G1389" s="12" t="s">
        <v>830</v>
      </c>
      <c r="H1389" s="12" t="s">
        <v>6613</v>
      </c>
      <c r="I1389" s="12">
        <v>0</v>
      </c>
      <c r="J1389" s="12" t="s">
        <v>164</v>
      </c>
      <c r="K1389" s="12" t="s">
        <v>6646</v>
      </c>
      <c r="L1389" s="12" t="s">
        <v>3641</v>
      </c>
      <c r="M1389" s="12" t="s">
        <v>3641</v>
      </c>
      <c r="N1389" s="12" t="s">
        <v>5785</v>
      </c>
      <c r="O1389" s="12" t="s">
        <v>3642</v>
      </c>
      <c r="P1389" s="12" t="s">
        <v>166</v>
      </c>
      <c r="Q1389" s="12" t="s">
        <v>6664</v>
      </c>
      <c r="R1389" s="12" t="s">
        <v>17</v>
      </c>
      <c r="S1389" s="12" t="s">
        <v>17</v>
      </c>
      <c r="T1389" s="12" t="s">
        <v>11</v>
      </c>
      <c r="U1389" s="12" t="s">
        <v>17</v>
      </c>
      <c r="V1389" s="12" t="s">
        <v>253</v>
      </c>
      <c r="W1389" s="12" t="s">
        <v>7415</v>
      </c>
      <c r="X1389" s="12">
        <v>17.350000000000001</v>
      </c>
      <c r="Y1389" s="12">
        <v>1161281</v>
      </c>
      <c r="Z1389" s="12" t="s">
        <v>6613</v>
      </c>
      <c r="AA1389" s="12" t="s">
        <v>6613</v>
      </c>
      <c r="AB1389" s="12" t="s">
        <v>6613</v>
      </c>
      <c r="AC1389" s="12" t="s">
        <v>6613</v>
      </c>
      <c r="AD1389" s="12" t="s">
        <v>6613</v>
      </c>
      <c r="AE1389" s="12" t="s">
        <v>6613</v>
      </c>
      <c r="AF1389" s="12" t="s">
        <v>45</v>
      </c>
    </row>
    <row r="1390" spans="1:32" x14ac:dyDescent="0.2">
      <c r="A1390" s="12" t="s">
        <v>3662</v>
      </c>
      <c r="B1390" s="12" t="s">
        <v>3663</v>
      </c>
      <c r="C1390" s="12" t="s">
        <v>17</v>
      </c>
      <c r="D1390" s="12" t="s">
        <v>17</v>
      </c>
      <c r="E1390" s="12" t="s">
        <v>7678</v>
      </c>
      <c r="F1390" s="12" t="s">
        <v>5458</v>
      </c>
      <c r="G1390" s="12" t="s">
        <v>830</v>
      </c>
      <c r="H1390" s="12" t="s">
        <v>6613</v>
      </c>
      <c r="I1390" s="12">
        <v>0</v>
      </c>
      <c r="J1390" s="12" t="s">
        <v>164</v>
      </c>
      <c r="K1390" s="12" t="s">
        <v>6646</v>
      </c>
      <c r="L1390" s="12" t="s">
        <v>3641</v>
      </c>
      <c r="M1390" s="12" t="s">
        <v>3641</v>
      </c>
      <c r="N1390" s="12" t="s">
        <v>5785</v>
      </c>
      <c r="O1390" s="12" t="s">
        <v>3642</v>
      </c>
      <c r="P1390" s="12" t="s">
        <v>166</v>
      </c>
      <c r="Q1390" s="12" t="s">
        <v>6664</v>
      </c>
      <c r="R1390" s="12" t="s">
        <v>17</v>
      </c>
      <c r="S1390" s="12" t="s">
        <v>17</v>
      </c>
      <c r="T1390" s="12" t="s">
        <v>11</v>
      </c>
      <c r="U1390" s="12" t="s">
        <v>17</v>
      </c>
      <c r="V1390" s="12" t="s">
        <v>619</v>
      </c>
      <c r="W1390" s="12" t="s">
        <v>7415</v>
      </c>
      <c r="X1390" s="12">
        <v>12.96</v>
      </c>
      <c r="Y1390" s="12">
        <v>1163807</v>
      </c>
      <c r="Z1390" s="12" t="s">
        <v>6613</v>
      </c>
      <c r="AA1390" s="12" t="s">
        <v>6613</v>
      </c>
      <c r="AB1390" s="12" t="s">
        <v>6613</v>
      </c>
      <c r="AC1390" s="12" t="s">
        <v>6613</v>
      </c>
      <c r="AD1390" s="12" t="s">
        <v>6613</v>
      </c>
      <c r="AE1390" s="12" t="s">
        <v>6613</v>
      </c>
      <c r="AF1390" s="12" t="s">
        <v>45</v>
      </c>
    </row>
    <row r="1391" spans="1:32" x14ac:dyDescent="0.2">
      <c r="A1391" s="12" t="s">
        <v>3643</v>
      </c>
      <c r="B1391" s="12" t="s">
        <v>3644</v>
      </c>
      <c r="C1391" s="12" t="s">
        <v>17</v>
      </c>
      <c r="D1391" s="12" t="s">
        <v>17</v>
      </c>
      <c r="E1391" s="12" t="s">
        <v>7678</v>
      </c>
      <c r="F1391" s="12" t="s">
        <v>5458</v>
      </c>
      <c r="G1391" s="12" t="s">
        <v>830</v>
      </c>
      <c r="H1391" s="12" t="s">
        <v>6613</v>
      </c>
      <c r="I1391" s="12">
        <v>0</v>
      </c>
      <c r="J1391" s="12" t="s">
        <v>164</v>
      </c>
      <c r="K1391" s="12" t="s">
        <v>6646</v>
      </c>
      <c r="L1391" s="12" t="s">
        <v>3641</v>
      </c>
      <c r="M1391" s="12" t="s">
        <v>3641</v>
      </c>
      <c r="N1391" s="12" t="s">
        <v>5785</v>
      </c>
      <c r="O1391" s="12" t="s">
        <v>3642</v>
      </c>
      <c r="P1391" s="12" t="s">
        <v>166</v>
      </c>
      <c r="Q1391" s="12" t="s">
        <v>6664</v>
      </c>
      <c r="R1391" s="12" t="s">
        <v>17</v>
      </c>
      <c r="S1391" s="12" t="s">
        <v>17</v>
      </c>
      <c r="T1391" s="12" t="s">
        <v>11</v>
      </c>
      <c r="U1391" s="12" t="s">
        <v>17</v>
      </c>
      <c r="V1391" s="12" t="s">
        <v>625</v>
      </c>
      <c r="W1391" s="12" t="s">
        <v>7415</v>
      </c>
      <c r="X1391" s="12">
        <v>17.18</v>
      </c>
      <c r="Y1391" s="12">
        <v>1167311</v>
      </c>
      <c r="Z1391" s="12" t="s">
        <v>6613</v>
      </c>
      <c r="AA1391" s="12" t="s">
        <v>6613</v>
      </c>
      <c r="AB1391" s="12" t="s">
        <v>6613</v>
      </c>
      <c r="AC1391" s="12" t="s">
        <v>6613</v>
      </c>
      <c r="AD1391" s="12" t="s">
        <v>6613</v>
      </c>
      <c r="AE1391" s="12" t="s">
        <v>6613</v>
      </c>
      <c r="AF1391" s="12" t="s">
        <v>45</v>
      </c>
    </row>
    <row r="1392" spans="1:32" x14ac:dyDescent="0.2">
      <c r="A1392" s="12" t="s">
        <v>3657</v>
      </c>
      <c r="B1392" s="12" t="s">
        <v>3658</v>
      </c>
      <c r="C1392" s="12" t="s">
        <v>17</v>
      </c>
      <c r="D1392" s="12" t="s">
        <v>17</v>
      </c>
      <c r="E1392" s="12" t="s">
        <v>7678</v>
      </c>
      <c r="F1392" s="12" t="s">
        <v>5458</v>
      </c>
      <c r="G1392" s="12" t="s">
        <v>830</v>
      </c>
      <c r="H1392" s="12" t="s">
        <v>6613</v>
      </c>
      <c r="I1392" s="12">
        <v>0</v>
      </c>
      <c r="J1392" s="12" t="s">
        <v>164</v>
      </c>
      <c r="K1392" s="12" t="s">
        <v>6646</v>
      </c>
      <c r="L1392" s="12" t="s">
        <v>3641</v>
      </c>
      <c r="M1392" s="12" t="s">
        <v>3641</v>
      </c>
      <c r="N1392" s="12" t="s">
        <v>5785</v>
      </c>
      <c r="O1392" s="12" t="s">
        <v>3642</v>
      </c>
      <c r="P1392" s="12" t="s">
        <v>166</v>
      </c>
      <c r="Q1392" s="12" t="s">
        <v>6664</v>
      </c>
      <c r="R1392" s="12" t="s">
        <v>17</v>
      </c>
      <c r="S1392" s="12" t="s">
        <v>17</v>
      </c>
      <c r="T1392" s="12" t="s">
        <v>11</v>
      </c>
      <c r="U1392" s="12" t="s">
        <v>17</v>
      </c>
      <c r="V1392" s="12" t="s">
        <v>755</v>
      </c>
      <c r="W1392" s="12" t="s">
        <v>7415</v>
      </c>
      <c r="X1392" s="12">
        <v>13.67</v>
      </c>
      <c r="Y1392" s="12">
        <v>1172357</v>
      </c>
      <c r="Z1392" s="12" t="s">
        <v>6613</v>
      </c>
      <c r="AA1392" s="12" t="s">
        <v>6613</v>
      </c>
      <c r="AB1392" s="12" t="s">
        <v>6613</v>
      </c>
      <c r="AC1392" s="12" t="s">
        <v>6613</v>
      </c>
      <c r="AD1392" s="12" t="s">
        <v>6613</v>
      </c>
      <c r="AE1392" s="12" t="s">
        <v>6613</v>
      </c>
      <c r="AF1392" s="12" t="s">
        <v>45</v>
      </c>
    </row>
    <row r="1393" spans="1:32" x14ac:dyDescent="0.2">
      <c r="A1393" s="12" t="s">
        <v>3700</v>
      </c>
      <c r="B1393" s="12" t="s">
        <v>3701</v>
      </c>
      <c r="C1393" s="12" t="s">
        <v>3701</v>
      </c>
      <c r="D1393" s="12" t="s">
        <v>163</v>
      </c>
      <c r="E1393" s="12" t="s">
        <v>7676</v>
      </c>
      <c r="F1393" s="12" t="s">
        <v>5458</v>
      </c>
      <c r="G1393" s="12" t="s">
        <v>159</v>
      </c>
      <c r="H1393" s="12" t="s">
        <v>6613</v>
      </c>
      <c r="I1393" s="12">
        <v>0</v>
      </c>
      <c r="J1393" s="12" t="s">
        <v>164</v>
      </c>
      <c r="K1393" s="12" t="s">
        <v>6646</v>
      </c>
      <c r="L1393" s="12" t="s">
        <v>3699</v>
      </c>
      <c r="M1393" s="12" t="s">
        <v>3699</v>
      </c>
      <c r="N1393" s="12" t="s">
        <v>5785</v>
      </c>
      <c r="O1393" s="12" t="s">
        <v>1168</v>
      </c>
      <c r="P1393" s="12" t="s">
        <v>166</v>
      </c>
      <c r="Q1393" s="12" t="s">
        <v>6664</v>
      </c>
      <c r="R1393" s="12">
        <v>17.72</v>
      </c>
      <c r="S1393" s="12">
        <v>83.32</v>
      </c>
      <c r="T1393" s="12" t="s">
        <v>11</v>
      </c>
      <c r="U1393" s="12" t="s">
        <v>17</v>
      </c>
      <c r="V1393" s="12" t="s">
        <v>789</v>
      </c>
      <c r="W1393" s="12" t="s">
        <v>7415</v>
      </c>
      <c r="X1393" s="12">
        <v>48.96</v>
      </c>
      <c r="Y1393" s="12">
        <v>1120180</v>
      </c>
      <c r="Z1393" s="12" t="s">
        <v>6613</v>
      </c>
      <c r="AA1393" s="12" t="s">
        <v>6613</v>
      </c>
      <c r="AB1393" s="12" t="s">
        <v>6613</v>
      </c>
      <c r="AC1393" s="12" t="s">
        <v>6613</v>
      </c>
      <c r="AD1393" s="12" t="s">
        <v>6613</v>
      </c>
      <c r="AE1393" s="12" t="s">
        <v>6613</v>
      </c>
      <c r="AF1393" s="12" t="s">
        <v>45</v>
      </c>
    </row>
    <row r="1394" spans="1:32" x14ac:dyDescent="0.2">
      <c r="A1394" s="12" t="s">
        <v>3697</v>
      </c>
      <c r="B1394" s="12" t="s">
        <v>3698</v>
      </c>
      <c r="C1394" s="12" t="s">
        <v>3698</v>
      </c>
      <c r="D1394" s="12" t="s">
        <v>163</v>
      </c>
      <c r="E1394" s="12" t="s">
        <v>7676</v>
      </c>
      <c r="F1394" s="12" t="s">
        <v>5458</v>
      </c>
      <c r="G1394" s="12" t="s">
        <v>159</v>
      </c>
      <c r="H1394" s="12" t="s">
        <v>6613</v>
      </c>
      <c r="I1394" s="12">
        <v>0</v>
      </c>
      <c r="J1394" s="12" t="s">
        <v>164</v>
      </c>
      <c r="K1394" s="12" t="s">
        <v>6646</v>
      </c>
      <c r="L1394" s="12" t="s">
        <v>3699</v>
      </c>
      <c r="M1394" s="12" t="s">
        <v>3699</v>
      </c>
      <c r="N1394" s="12" t="s">
        <v>5785</v>
      </c>
      <c r="O1394" s="12" t="s">
        <v>1168</v>
      </c>
      <c r="P1394" s="12" t="s">
        <v>166</v>
      </c>
      <c r="Q1394" s="12" t="s">
        <v>6664</v>
      </c>
      <c r="R1394" s="12">
        <v>17.72</v>
      </c>
      <c r="S1394" s="12">
        <v>83.32</v>
      </c>
      <c r="T1394" s="12" t="s">
        <v>11</v>
      </c>
      <c r="U1394" s="12" t="s">
        <v>17</v>
      </c>
      <c r="V1394" s="12" t="s">
        <v>708</v>
      </c>
      <c r="W1394" s="12" t="s">
        <v>7415</v>
      </c>
      <c r="X1394" s="12">
        <v>46.13</v>
      </c>
      <c r="Y1394" s="12">
        <v>1120230</v>
      </c>
      <c r="Z1394" s="12" t="s">
        <v>6613</v>
      </c>
      <c r="AA1394" s="12" t="s">
        <v>6613</v>
      </c>
      <c r="AB1394" s="12" t="s">
        <v>6613</v>
      </c>
      <c r="AC1394" s="12" t="s">
        <v>6613</v>
      </c>
      <c r="AD1394" s="12" t="s">
        <v>6613</v>
      </c>
      <c r="AE1394" s="12" t="s">
        <v>6613</v>
      </c>
      <c r="AF1394" s="12" t="s">
        <v>45</v>
      </c>
    </row>
    <row r="1395" spans="1:32" x14ac:dyDescent="0.2">
      <c r="A1395" s="12" t="s">
        <v>3714</v>
      </c>
      <c r="B1395" s="12" t="s">
        <v>3715</v>
      </c>
      <c r="C1395" s="12" t="s">
        <v>17</v>
      </c>
      <c r="D1395" s="12" t="s">
        <v>17</v>
      </c>
      <c r="E1395" s="12" t="s">
        <v>7678</v>
      </c>
      <c r="F1395" s="12" t="s">
        <v>5458</v>
      </c>
      <c r="G1395" s="12" t="s">
        <v>830</v>
      </c>
      <c r="H1395" s="12" t="s">
        <v>6613</v>
      </c>
      <c r="I1395" s="12">
        <v>0</v>
      </c>
      <c r="J1395" s="12" t="s">
        <v>164</v>
      </c>
      <c r="K1395" s="12" t="s">
        <v>6646</v>
      </c>
      <c r="L1395" s="12" t="s">
        <v>3704</v>
      </c>
      <c r="M1395" s="12" t="s">
        <v>3704</v>
      </c>
      <c r="N1395" s="12" t="s">
        <v>5785</v>
      </c>
      <c r="O1395" s="12" t="s">
        <v>3705</v>
      </c>
      <c r="P1395" s="12" t="s">
        <v>166</v>
      </c>
      <c r="Q1395" s="12" t="s">
        <v>6664</v>
      </c>
      <c r="R1395" s="12" t="s">
        <v>17</v>
      </c>
      <c r="S1395" s="12" t="s">
        <v>17</v>
      </c>
      <c r="T1395" s="12" t="s">
        <v>11</v>
      </c>
      <c r="U1395" s="12" t="s">
        <v>17</v>
      </c>
      <c r="V1395" s="12" t="s">
        <v>758</v>
      </c>
      <c r="W1395" s="12" t="s">
        <v>7415</v>
      </c>
      <c r="X1395" s="12">
        <v>16.600000000000001</v>
      </c>
      <c r="Y1395" s="12">
        <v>1128130</v>
      </c>
      <c r="Z1395" s="12" t="s">
        <v>6613</v>
      </c>
      <c r="AA1395" s="12" t="s">
        <v>6613</v>
      </c>
      <c r="AB1395" s="12" t="s">
        <v>6613</v>
      </c>
      <c r="AC1395" s="12" t="s">
        <v>6613</v>
      </c>
      <c r="AD1395" s="12" t="s">
        <v>6613</v>
      </c>
      <c r="AE1395" s="12" t="s">
        <v>6613</v>
      </c>
      <c r="AF1395" s="12" t="s">
        <v>45</v>
      </c>
    </row>
    <row r="1396" spans="1:32" x14ac:dyDescent="0.2">
      <c r="A1396" s="12" t="s">
        <v>3721</v>
      </c>
      <c r="B1396" s="12" t="s">
        <v>3722</v>
      </c>
      <c r="C1396" s="12" t="s">
        <v>17</v>
      </c>
      <c r="D1396" s="12" t="s">
        <v>17</v>
      </c>
      <c r="E1396" s="12" t="s">
        <v>7678</v>
      </c>
      <c r="F1396" s="12" t="s">
        <v>5458</v>
      </c>
      <c r="G1396" s="12" t="s">
        <v>830</v>
      </c>
      <c r="H1396" s="12" t="s">
        <v>6613</v>
      </c>
      <c r="I1396" s="12">
        <v>0</v>
      </c>
      <c r="J1396" s="12" t="s">
        <v>164</v>
      </c>
      <c r="K1396" s="12" t="s">
        <v>6646</v>
      </c>
      <c r="L1396" s="12" t="s">
        <v>3704</v>
      </c>
      <c r="M1396" s="12" t="s">
        <v>3704</v>
      </c>
      <c r="N1396" s="12" t="s">
        <v>5785</v>
      </c>
      <c r="O1396" s="12" t="s">
        <v>3705</v>
      </c>
      <c r="P1396" s="12" t="s">
        <v>166</v>
      </c>
      <c r="Q1396" s="12" t="s">
        <v>6664</v>
      </c>
      <c r="R1396" s="12" t="s">
        <v>17</v>
      </c>
      <c r="S1396" s="12" t="s">
        <v>17</v>
      </c>
      <c r="T1396" s="12" t="s">
        <v>11</v>
      </c>
      <c r="U1396" s="12" t="s">
        <v>17</v>
      </c>
      <c r="V1396" s="12" t="s">
        <v>841</v>
      </c>
      <c r="W1396" s="12" t="s">
        <v>7415</v>
      </c>
      <c r="X1396" s="12">
        <v>16.18</v>
      </c>
      <c r="Y1396" s="12">
        <v>1133664</v>
      </c>
      <c r="Z1396" s="12" t="s">
        <v>6613</v>
      </c>
      <c r="AA1396" s="12" t="s">
        <v>6613</v>
      </c>
      <c r="AB1396" s="12" t="s">
        <v>6613</v>
      </c>
      <c r="AC1396" s="12" t="s">
        <v>6613</v>
      </c>
      <c r="AD1396" s="12" t="s">
        <v>6613</v>
      </c>
      <c r="AE1396" s="12" t="s">
        <v>6613</v>
      </c>
      <c r="AF1396" s="12" t="s">
        <v>45</v>
      </c>
    </row>
    <row r="1397" spans="1:32" x14ac:dyDescent="0.2">
      <c r="A1397" s="12" t="s">
        <v>3716</v>
      </c>
      <c r="B1397" s="12" t="s">
        <v>3717</v>
      </c>
      <c r="C1397" s="12" t="s">
        <v>17</v>
      </c>
      <c r="D1397" s="12" t="s">
        <v>17</v>
      </c>
      <c r="E1397" s="12" t="s">
        <v>7678</v>
      </c>
      <c r="F1397" s="12" t="s">
        <v>5458</v>
      </c>
      <c r="G1397" s="12" t="s">
        <v>830</v>
      </c>
      <c r="H1397" s="12" t="s">
        <v>6613</v>
      </c>
      <c r="I1397" s="12">
        <v>0</v>
      </c>
      <c r="J1397" s="12" t="s">
        <v>164</v>
      </c>
      <c r="K1397" s="12" t="s">
        <v>6646</v>
      </c>
      <c r="L1397" s="12" t="s">
        <v>3704</v>
      </c>
      <c r="M1397" s="12" t="s">
        <v>3704</v>
      </c>
      <c r="N1397" s="12" t="s">
        <v>5785</v>
      </c>
      <c r="O1397" s="12" t="s">
        <v>3705</v>
      </c>
      <c r="P1397" s="12" t="s">
        <v>166</v>
      </c>
      <c r="Q1397" s="12" t="s">
        <v>6664</v>
      </c>
      <c r="R1397" s="12" t="s">
        <v>17</v>
      </c>
      <c r="S1397" s="12" t="s">
        <v>17</v>
      </c>
      <c r="T1397" s="12" t="s">
        <v>11</v>
      </c>
      <c r="U1397" s="12" t="s">
        <v>17</v>
      </c>
      <c r="V1397" s="12" t="s">
        <v>262</v>
      </c>
      <c r="W1397" s="12" t="s">
        <v>7415</v>
      </c>
      <c r="X1397" s="12">
        <v>17.34</v>
      </c>
      <c r="Y1397" s="12">
        <v>1135043</v>
      </c>
      <c r="Z1397" s="12" t="s">
        <v>6613</v>
      </c>
      <c r="AA1397" s="12" t="s">
        <v>6613</v>
      </c>
      <c r="AB1397" s="12" t="s">
        <v>6613</v>
      </c>
      <c r="AC1397" s="12" t="s">
        <v>6613</v>
      </c>
      <c r="AD1397" s="12" t="s">
        <v>6613</v>
      </c>
      <c r="AE1397" s="12" t="s">
        <v>6613</v>
      </c>
      <c r="AF1397" s="12" t="s">
        <v>45</v>
      </c>
    </row>
    <row r="1398" spans="1:32" x14ac:dyDescent="0.2">
      <c r="A1398" s="12" t="s">
        <v>3706</v>
      </c>
      <c r="B1398" s="12" t="s">
        <v>3707</v>
      </c>
      <c r="C1398" s="12" t="s">
        <v>17</v>
      </c>
      <c r="D1398" s="12" t="s">
        <v>17</v>
      </c>
      <c r="E1398" s="12" t="s">
        <v>7678</v>
      </c>
      <c r="F1398" s="12" t="s">
        <v>5458</v>
      </c>
      <c r="G1398" s="12" t="s">
        <v>830</v>
      </c>
      <c r="H1398" s="12" t="s">
        <v>6613</v>
      </c>
      <c r="I1398" s="12">
        <v>0</v>
      </c>
      <c r="J1398" s="12" t="s">
        <v>164</v>
      </c>
      <c r="K1398" s="12" t="s">
        <v>6646</v>
      </c>
      <c r="L1398" s="12" t="s">
        <v>3704</v>
      </c>
      <c r="M1398" s="12" t="s">
        <v>3704</v>
      </c>
      <c r="N1398" s="12" t="s">
        <v>5785</v>
      </c>
      <c r="O1398" s="12" t="s">
        <v>3705</v>
      </c>
      <c r="P1398" s="12" t="s">
        <v>166</v>
      </c>
      <c r="Q1398" s="12" t="s">
        <v>6664</v>
      </c>
      <c r="R1398" s="12" t="s">
        <v>17</v>
      </c>
      <c r="S1398" s="12" t="s">
        <v>17</v>
      </c>
      <c r="T1398" s="12" t="s">
        <v>11</v>
      </c>
      <c r="U1398" s="12" t="s">
        <v>17</v>
      </c>
      <c r="V1398" s="12" t="s">
        <v>841</v>
      </c>
      <c r="W1398" s="12" t="s">
        <v>7415</v>
      </c>
      <c r="X1398" s="12">
        <v>22.99</v>
      </c>
      <c r="Y1398" s="12">
        <v>1141073</v>
      </c>
      <c r="Z1398" s="12" t="s">
        <v>6613</v>
      </c>
      <c r="AA1398" s="12" t="s">
        <v>6613</v>
      </c>
      <c r="AB1398" s="12" t="s">
        <v>6613</v>
      </c>
      <c r="AC1398" s="12" t="s">
        <v>6613</v>
      </c>
      <c r="AD1398" s="12" t="s">
        <v>6613</v>
      </c>
      <c r="AE1398" s="12" t="s">
        <v>6613</v>
      </c>
      <c r="AF1398" s="12" t="s">
        <v>45</v>
      </c>
    </row>
    <row r="1399" spans="1:32" x14ac:dyDescent="0.2">
      <c r="A1399" s="12" t="s">
        <v>3723</v>
      </c>
      <c r="B1399" s="12" t="s">
        <v>3724</v>
      </c>
      <c r="C1399" s="12" t="s">
        <v>17</v>
      </c>
      <c r="D1399" s="12" t="s">
        <v>17</v>
      </c>
      <c r="E1399" s="12" t="s">
        <v>7678</v>
      </c>
      <c r="F1399" s="12" t="s">
        <v>5458</v>
      </c>
      <c r="G1399" s="12" t="s">
        <v>830</v>
      </c>
      <c r="H1399" s="12" t="s">
        <v>6613</v>
      </c>
      <c r="I1399" s="12">
        <v>0</v>
      </c>
      <c r="J1399" s="12" t="s">
        <v>164</v>
      </c>
      <c r="K1399" s="12" t="s">
        <v>6646</v>
      </c>
      <c r="L1399" s="12" t="s">
        <v>3704</v>
      </c>
      <c r="M1399" s="12" t="s">
        <v>3704</v>
      </c>
      <c r="N1399" s="12" t="s">
        <v>5785</v>
      </c>
      <c r="O1399" s="12" t="s">
        <v>3705</v>
      </c>
      <c r="P1399" s="12" t="s">
        <v>166</v>
      </c>
      <c r="Q1399" s="12" t="s">
        <v>6664</v>
      </c>
      <c r="R1399" s="12" t="s">
        <v>17</v>
      </c>
      <c r="S1399" s="12" t="s">
        <v>17</v>
      </c>
      <c r="T1399" s="12" t="s">
        <v>11</v>
      </c>
      <c r="U1399" s="12" t="s">
        <v>17</v>
      </c>
      <c r="V1399" s="12" t="s">
        <v>3725</v>
      </c>
      <c r="W1399" s="12" t="s">
        <v>7415</v>
      </c>
      <c r="X1399" s="12">
        <v>15.39</v>
      </c>
      <c r="Y1399" s="12">
        <v>1157814</v>
      </c>
      <c r="Z1399" s="12" t="s">
        <v>6613</v>
      </c>
      <c r="AA1399" s="12" t="s">
        <v>6613</v>
      </c>
      <c r="AB1399" s="12" t="s">
        <v>6613</v>
      </c>
      <c r="AC1399" s="12" t="s">
        <v>6613</v>
      </c>
      <c r="AD1399" s="12" t="s">
        <v>6613</v>
      </c>
      <c r="AE1399" s="12" t="s">
        <v>6613</v>
      </c>
      <c r="AF1399" s="12" t="s">
        <v>45</v>
      </c>
    </row>
    <row r="1400" spans="1:32" x14ac:dyDescent="0.2">
      <c r="A1400" s="12" t="s">
        <v>3718</v>
      </c>
      <c r="B1400" s="12" t="s">
        <v>3719</v>
      </c>
      <c r="C1400" s="12" t="s">
        <v>17</v>
      </c>
      <c r="D1400" s="12" t="s">
        <v>17</v>
      </c>
      <c r="E1400" s="12" t="s">
        <v>7678</v>
      </c>
      <c r="F1400" s="12" t="s">
        <v>5458</v>
      </c>
      <c r="G1400" s="12" t="s">
        <v>830</v>
      </c>
      <c r="H1400" s="12" t="s">
        <v>6613</v>
      </c>
      <c r="I1400" s="12">
        <v>0</v>
      </c>
      <c r="J1400" s="12" t="s">
        <v>164</v>
      </c>
      <c r="K1400" s="12" t="s">
        <v>6646</v>
      </c>
      <c r="L1400" s="12" t="s">
        <v>3704</v>
      </c>
      <c r="M1400" s="12" t="s">
        <v>3704</v>
      </c>
      <c r="N1400" s="12" t="s">
        <v>5785</v>
      </c>
      <c r="O1400" s="12" t="s">
        <v>3705</v>
      </c>
      <c r="P1400" s="12" t="s">
        <v>166</v>
      </c>
      <c r="Q1400" s="12" t="s">
        <v>6664</v>
      </c>
      <c r="R1400" s="12" t="s">
        <v>17</v>
      </c>
      <c r="S1400" s="12" t="s">
        <v>17</v>
      </c>
      <c r="T1400" s="12" t="s">
        <v>11</v>
      </c>
      <c r="U1400" s="12" t="s">
        <v>17</v>
      </c>
      <c r="V1400" s="12" t="s">
        <v>3720</v>
      </c>
      <c r="W1400" s="12" t="s">
        <v>7415</v>
      </c>
      <c r="X1400" s="12">
        <v>14.99</v>
      </c>
      <c r="Y1400" s="12">
        <v>1157876</v>
      </c>
      <c r="Z1400" s="12" t="s">
        <v>6613</v>
      </c>
      <c r="AA1400" s="12" t="s">
        <v>6613</v>
      </c>
      <c r="AB1400" s="12" t="s">
        <v>6613</v>
      </c>
      <c r="AC1400" s="12" t="s">
        <v>6613</v>
      </c>
      <c r="AD1400" s="12" t="s">
        <v>6613</v>
      </c>
      <c r="AE1400" s="12" t="s">
        <v>6613</v>
      </c>
      <c r="AF1400" s="12" t="s">
        <v>45</v>
      </c>
    </row>
    <row r="1401" spans="1:32" x14ac:dyDescent="0.2">
      <c r="A1401" s="12" t="s">
        <v>3712</v>
      </c>
      <c r="B1401" s="12" t="s">
        <v>3713</v>
      </c>
      <c r="C1401" s="12" t="s">
        <v>17</v>
      </c>
      <c r="D1401" s="12" t="s">
        <v>17</v>
      </c>
      <c r="E1401" s="12" t="s">
        <v>7678</v>
      </c>
      <c r="F1401" s="12" t="s">
        <v>5458</v>
      </c>
      <c r="G1401" s="12" t="s">
        <v>830</v>
      </c>
      <c r="H1401" s="12" t="s">
        <v>6613</v>
      </c>
      <c r="I1401" s="12">
        <v>0</v>
      </c>
      <c r="J1401" s="12" t="s">
        <v>164</v>
      </c>
      <c r="K1401" s="12" t="s">
        <v>6646</v>
      </c>
      <c r="L1401" s="12" t="s">
        <v>3704</v>
      </c>
      <c r="M1401" s="12" t="s">
        <v>3704</v>
      </c>
      <c r="N1401" s="12" t="s">
        <v>5785</v>
      </c>
      <c r="O1401" s="12" t="s">
        <v>3705</v>
      </c>
      <c r="P1401" s="12" t="s">
        <v>166</v>
      </c>
      <c r="Q1401" s="12" t="s">
        <v>6664</v>
      </c>
      <c r="R1401" s="12" t="s">
        <v>17</v>
      </c>
      <c r="S1401" s="12" t="s">
        <v>17</v>
      </c>
      <c r="T1401" s="12" t="s">
        <v>11</v>
      </c>
      <c r="U1401" s="12" t="s">
        <v>17</v>
      </c>
      <c r="V1401" s="12" t="s">
        <v>253</v>
      </c>
      <c r="W1401" s="12" t="s">
        <v>7415</v>
      </c>
      <c r="X1401" s="12">
        <v>19.350000000000001</v>
      </c>
      <c r="Y1401" s="12">
        <v>1162033</v>
      </c>
      <c r="Z1401" s="12" t="s">
        <v>6613</v>
      </c>
      <c r="AA1401" s="12" t="s">
        <v>6613</v>
      </c>
      <c r="AB1401" s="12" t="s">
        <v>6613</v>
      </c>
      <c r="AC1401" s="12" t="s">
        <v>6613</v>
      </c>
      <c r="AD1401" s="12" t="s">
        <v>6613</v>
      </c>
      <c r="AE1401" s="12" t="s">
        <v>6613</v>
      </c>
      <c r="AF1401" s="12" t="s">
        <v>45</v>
      </c>
    </row>
    <row r="1402" spans="1:32" x14ac:dyDescent="0.2">
      <c r="A1402" s="12" t="s">
        <v>3708</v>
      </c>
      <c r="B1402" s="12" t="s">
        <v>3709</v>
      </c>
      <c r="C1402" s="12" t="s">
        <v>17</v>
      </c>
      <c r="D1402" s="12" t="s">
        <v>17</v>
      </c>
      <c r="E1402" s="12" t="s">
        <v>7678</v>
      </c>
      <c r="F1402" s="12" t="s">
        <v>5458</v>
      </c>
      <c r="G1402" s="12" t="s">
        <v>830</v>
      </c>
      <c r="H1402" s="12" t="s">
        <v>6613</v>
      </c>
      <c r="I1402" s="12">
        <v>0</v>
      </c>
      <c r="J1402" s="12" t="s">
        <v>164</v>
      </c>
      <c r="K1402" s="12" t="s">
        <v>6646</v>
      </c>
      <c r="L1402" s="12" t="s">
        <v>3704</v>
      </c>
      <c r="M1402" s="12" t="s">
        <v>3704</v>
      </c>
      <c r="N1402" s="12" t="s">
        <v>5785</v>
      </c>
      <c r="O1402" s="12" t="s">
        <v>3705</v>
      </c>
      <c r="P1402" s="12" t="s">
        <v>166</v>
      </c>
      <c r="Q1402" s="12" t="s">
        <v>6664</v>
      </c>
      <c r="R1402" s="12" t="s">
        <v>17</v>
      </c>
      <c r="S1402" s="12" t="s">
        <v>17</v>
      </c>
      <c r="T1402" s="12" t="s">
        <v>11</v>
      </c>
      <c r="U1402" s="12" t="s">
        <v>17</v>
      </c>
      <c r="V1402" s="12" t="s">
        <v>701</v>
      </c>
      <c r="W1402" s="12" t="s">
        <v>7415</v>
      </c>
      <c r="X1402" s="12">
        <v>19.79</v>
      </c>
      <c r="Y1402" s="12">
        <v>1166459</v>
      </c>
      <c r="Z1402" s="12" t="s">
        <v>6613</v>
      </c>
      <c r="AA1402" s="12" t="s">
        <v>6613</v>
      </c>
      <c r="AB1402" s="12" t="s">
        <v>6613</v>
      </c>
      <c r="AC1402" s="12" t="s">
        <v>6613</v>
      </c>
      <c r="AD1402" s="12" t="s">
        <v>6613</v>
      </c>
      <c r="AE1402" s="12" t="s">
        <v>6613</v>
      </c>
      <c r="AF1402" s="12" t="s">
        <v>45</v>
      </c>
    </row>
    <row r="1403" spans="1:32" x14ac:dyDescent="0.2">
      <c r="A1403" s="12" t="s">
        <v>3710</v>
      </c>
      <c r="B1403" s="12" t="s">
        <v>3711</v>
      </c>
      <c r="C1403" s="12" t="s">
        <v>17</v>
      </c>
      <c r="D1403" s="12" t="s">
        <v>17</v>
      </c>
      <c r="E1403" s="12" t="s">
        <v>7678</v>
      </c>
      <c r="F1403" s="12" t="s">
        <v>5458</v>
      </c>
      <c r="G1403" s="12" t="s">
        <v>830</v>
      </c>
      <c r="H1403" s="12" t="s">
        <v>6613</v>
      </c>
      <c r="I1403" s="12">
        <v>0</v>
      </c>
      <c r="J1403" s="12" t="s">
        <v>164</v>
      </c>
      <c r="K1403" s="12" t="s">
        <v>6646</v>
      </c>
      <c r="L1403" s="12" t="s">
        <v>3704</v>
      </c>
      <c r="M1403" s="12" t="s">
        <v>3704</v>
      </c>
      <c r="N1403" s="12" t="s">
        <v>5785</v>
      </c>
      <c r="O1403" s="12" t="s">
        <v>3705</v>
      </c>
      <c r="P1403" s="12" t="s">
        <v>166</v>
      </c>
      <c r="Q1403" s="12" t="s">
        <v>6664</v>
      </c>
      <c r="R1403" s="12" t="s">
        <v>17</v>
      </c>
      <c r="S1403" s="12" t="s">
        <v>17</v>
      </c>
      <c r="T1403" s="12" t="s">
        <v>11</v>
      </c>
      <c r="U1403" s="12" t="s">
        <v>17</v>
      </c>
      <c r="V1403" s="12" t="s">
        <v>701</v>
      </c>
      <c r="W1403" s="12" t="s">
        <v>7415</v>
      </c>
      <c r="X1403" s="12">
        <v>22.94</v>
      </c>
      <c r="Y1403" s="12">
        <v>1168447</v>
      </c>
      <c r="Z1403" s="12" t="s">
        <v>6613</v>
      </c>
      <c r="AA1403" s="12" t="s">
        <v>6613</v>
      </c>
      <c r="AB1403" s="12" t="s">
        <v>6613</v>
      </c>
      <c r="AC1403" s="12" t="s">
        <v>6613</v>
      </c>
      <c r="AD1403" s="12" t="s">
        <v>6613</v>
      </c>
      <c r="AE1403" s="12" t="s">
        <v>6613</v>
      </c>
      <c r="AF1403" s="12" t="s">
        <v>45</v>
      </c>
    </row>
    <row r="1404" spans="1:32" x14ac:dyDescent="0.2">
      <c r="A1404" s="12" t="s">
        <v>3702</v>
      </c>
      <c r="B1404" s="12" t="s">
        <v>3703</v>
      </c>
      <c r="C1404" s="12" t="s">
        <v>17</v>
      </c>
      <c r="D1404" s="12" t="s">
        <v>17</v>
      </c>
      <c r="E1404" s="12" t="s">
        <v>7678</v>
      </c>
      <c r="F1404" s="12" t="s">
        <v>5458</v>
      </c>
      <c r="G1404" s="12" t="s">
        <v>830</v>
      </c>
      <c r="H1404" s="12" t="s">
        <v>6613</v>
      </c>
      <c r="I1404" s="12">
        <v>0</v>
      </c>
      <c r="J1404" s="12" t="s">
        <v>164</v>
      </c>
      <c r="K1404" s="12" t="s">
        <v>6646</v>
      </c>
      <c r="L1404" s="12" t="s">
        <v>3704</v>
      </c>
      <c r="M1404" s="12" t="s">
        <v>3704</v>
      </c>
      <c r="N1404" s="12" t="s">
        <v>5785</v>
      </c>
      <c r="O1404" s="12" t="s">
        <v>3705</v>
      </c>
      <c r="P1404" s="12" t="s">
        <v>166</v>
      </c>
      <c r="Q1404" s="12" t="s">
        <v>6664</v>
      </c>
      <c r="R1404" s="12" t="s">
        <v>17</v>
      </c>
      <c r="S1404" s="12" t="s">
        <v>17</v>
      </c>
      <c r="T1404" s="12" t="s">
        <v>11</v>
      </c>
      <c r="U1404" s="12" t="s">
        <v>17</v>
      </c>
      <c r="V1404" s="12" t="s">
        <v>761</v>
      </c>
      <c r="W1404" s="12" t="s">
        <v>7415</v>
      </c>
      <c r="X1404" s="12">
        <v>20.85</v>
      </c>
      <c r="Y1404" s="12">
        <v>1169085</v>
      </c>
      <c r="Z1404" s="12" t="s">
        <v>6613</v>
      </c>
      <c r="AA1404" s="12" t="s">
        <v>6613</v>
      </c>
      <c r="AB1404" s="12" t="s">
        <v>6613</v>
      </c>
      <c r="AC1404" s="12" t="s">
        <v>6613</v>
      </c>
      <c r="AD1404" s="12" t="s">
        <v>6613</v>
      </c>
      <c r="AE1404" s="12" t="s">
        <v>6613</v>
      </c>
      <c r="AF1404" s="12" t="s">
        <v>45</v>
      </c>
    </row>
    <row r="1405" spans="1:32" x14ac:dyDescent="0.2">
      <c r="A1405" s="12" t="s">
        <v>3908</v>
      </c>
      <c r="B1405" s="12" t="s">
        <v>3909</v>
      </c>
      <c r="C1405" s="12" t="s">
        <v>3909</v>
      </c>
      <c r="D1405" s="12" t="s">
        <v>163</v>
      </c>
      <c r="E1405" s="12" t="s">
        <v>7676</v>
      </c>
      <c r="F1405" s="12" t="s">
        <v>5458</v>
      </c>
      <c r="G1405" s="12" t="s">
        <v>159</v>
      </c>
      <c r="H1405" s="12" t="s">
        <v>6613</v>
      </c>
      <c r="I1405" s="12">
        <v>0</v>
      </c>
      <c r="J1405" s="12" t="s">
        <v>164</v>
      </c>
      <c r="K1405" s="12" t="s">
        <v>6646</v>
      </c>
      <c r="L1405" s="12" t="s">
        <v>3907</v>
      </c>
      <c r="M1405" s="12" t="s">
        <v>3907</v>
      </c>
      <c r="N1405" s="12" t="s">
        <v>5785</v>
      </c>
      <c r="O1405" s="12" t="s">
        <v>17</v>
      </c>
      <c r="P1405" s="12" t="s">
        <v>173</v>
      </c>
      <c r="Q1405" s="12" t="s">
        <v>6664</v>
      </c>
      <c r="R1405" s="12">
        <v>25.490635510000001</v>
      </c>
      <c r="S1405" s="12">
        <v>69</v>
      </c>
      <c r="T1405" s="12" t="s">
        <v>11</v>
      </c>
      <c r="U1405" s="12" t="s">
        <v>17</v>
      </c>
      <c r="V1405" s="12" t="s">
        <v>708</v>
      </c>
      <c r="W1405" s="12" t="s">
        <v>7415</v>
      </c>
      <c r="X1405" s="12">
        <v>39.869999999999997</v>
      </c>
      <c r="Y1405" s="12">
        <v>1117391</v>
      </c>
      <c r="Z1405" s="12" t="s">
        <v>6613</v>
      </c>
      <c r="AA1405" s="12" t="s">
        <v>6613</v>
      </c>
      <c r="AB1405" s="12" t="s">
        <v>6613</v>
      </c>
      <c r="AC1405" s="12" t="s">
        <v>6613</v>
      </c>
      <c r="AD1405" s="12" t="s">
        <v>6613</v>
      </c>
      <c r="AE1405" s="12" t="s">
        <v>6613</v>
      </c>
      <c r="AF1405" s="12" t="s">
        <v>45</v>
      </c>
    </row>
    <row r="1406" spans="1:32" x14ac:dyDescent="0.2">
      <c r="A1406" s="12" t="s">
        <v>3905</v>
      </c>
      <c r="B1406" s="12" t="s">
        <v>3906</v>
      </c>
      <c r="C1406" s="12" t="s">
        <v>3906</v>
      </c>
      <c r="D1406" s="12" t="s">
        <v>163</v>
      </c>
      <c r="E1406" s="12" t="s">
        <v>7676</v>
      </c>
      <c r="F1406" s="12" t="s">
        <v>5458</v>
      </c>
      <c r="G1406" s="12" t="s">
        <v>159</v>
      </c>
      <c r="H1406" s="12" t="s">
        <v>6613</v>
      </c>
      <c r="I1406" s="12">
        <v>0</v>
      </c>
      <c r="J1406" s="12" t="s">
        <v>164</v>
      </c>
      <c r="K1406" s="12" t="s">
        <v>6646</v>
      </c>
      <c r="L1406" s="12" t="s">
        <v>3907</v>
      </c>
      <c r="M1406" s="12" t="s">
        <v>3907</v>
      </c>
      <c r="N1406" s="12" t="s">
        <v>5785</v>
      </c>
      <c r="O1406" s="12" t="s">
        <v>17</v>
      </c>
      <c r="P1406" s="12" t="s">
        <v>173</v>
      </c>
      <c r="Q1406" s="12" t="s">
        <v>6664</v>
      </c>
      <c r="R1406" s="12">
        <v>25.490635510000001</v>
      </c>
      <c r="S1406" s="12">
        <v>69</v>
      </c>
      <c r="T1406" s="12" t="s">
        <v>25</v>
      </c>
      <c r="U1406" s="12" t="s">
        <v>17</v>
      </c>
      <c r="V1406" s="12" t="s">
        <v>6639</v>
      </c>
      <c r="W1406" s="12" t="s">
        <v>6639</v>
      </c>
      <c r="X1406" s="12">
        <v>38.9</v>
      </c>
      <c r="Y1406" s="12">
        <v>1119324</v>
      </c>
      <c r="Z1406" s="12" t="s">
        <v>6613</v>
      </c>
      <c r="AA1406" s="12" t="s">
        <v>6613</v>
      </c>
      <c r="AB1406" s="12" t="s">
        <v>6613</v>
      </c>
      <c r="AC1406" s="12" t="s">
        <v>6613</v>
      </c>
      <c r="AD1406" s="12" t="s">
        <v>6613</v>
      </c>
      <c r="AE1406" s="12" t="s">
        <v>6613</v>
      </c>
      <c r="AF1406" s="12" t="s">
        <v>45</v>
      </c>
    </row>
    <row r="1407" spans="1:32" x14ac:dyDescent="0.2">
      <c r="A1407" s="12" t="s">
        <v>4436</v>
      </c>
      <c r="B1407" s="12" t="s">
        <v>4437</v>
      </c>
      <c r="C1407" s="12" t="s">
        <v>17</v>
      </c>
      <c r="D1407" s="12" t="s">
        <v>17</v>
      </c>
      <c r="E1407" s="12" t="s">
        <v>7678</v>
      </c>
      <c r="F1407" s="12" t="s">
        <v>5458</v>
      </c>
      <c r="G1407" s="12" t="s">
        <v>615</v>
      </c>
      <c r="H1407" s="12" t="s">
        <v>6613</v>
      </c>
      <c r="I1407" s="12">
        <v>0</v>
      </c>
      <c r="J1407" s="12" t="s">
        <v>164</v>
      </c>
      <c r="K1407" s="12" t="s">
        <v>6646</v>
      </c>
      <c r="L1407" s="12" t="s">
        <v>4271</v>
      </c>
      <c r="M1407" s="12" t="s">
        <v>4271</v>
      </c>
      <c r="N1407" s="12" t="s">
        <v>5785</v>
      </c>
      <c r="O1407" s="12" t="s">
        <v>4272</v>
      </c>
      <c r="P1407" s="12" t="s">
        <v>4273</v>
      </c>
      <c r="Q1407" s="12" t="s">
        <v>6664</v>
      </c>
      <c r="R1407" s="12" t="s">
        <v>17</v>
      </c>
      <c r="S1407" s="12" t="s">
        <v>17</v>
      </c>
      <c r="T1407" s="12" t="s">
        <v>25</v>
      </c>
      <c r="U1407" s="12" t="s">
        <v>17</v>
      </c>
      <c r="V1407" s="12" t="s">
        <v>6639</v>
      </c>
      <c r="W1407" s="12" t="s">
        <v>6639</v>
      </c>
      <c r="X1407" s="12" t="s">
        <v>17</v>
      </c>
      <c r="Y1407" s="12">
        <v>1108592</v>
      </c>
      <c r="Z1407" s="12" t="s">
        <v>6613</v>
      </c>
      <c r="AA1407" s="12" t="s">
        <v>6613</v>
      </c>
      <c r="AB1407" s="12" t="s">
        <v>6613</v>
      </c>
      <c r="AC1407" s="12" t="s">
        <v>6613</v>
      </c>
      <c r="AD1407" s="12" t="s">
        <v>6613</v>
      </c>
      <c r="AE1407" s="12" t="s">
        <v>6613</v>
      </c>
      <c r="AF1407" s="12" t="s">
        <v>45</v>
      </c>
    </row>
    <row r="1408" spans="1:32" x14ac:dyDescent="0.2">
      <c r="A1408" s="12" t="s">
        <v>4463</v>
      </c>
      <c r="B1408" s="12" t="s">
        <v>4464</v>
      </c>
      <c r="C1408" s="12" t="s">
        <v>17</v>
      </c>
      <c r="D1408" s="12" t="s">
        <v>17</v>
      </c>
      <c r="E1408" s="12" t="s">
        <v>7678</v>
      </c>
      <c r="F1408" s="12" t="s">
        <v>5458</v>
      </c>
      <c r="G1408" s="12" t="s">
        <v>615</v>
      </c>
      <c r="H1408" s="12" t="s">
        <v>6613</v>
      </c>
      <c r="I1408" s="12">
        <v>0</v>
      </c>
      <c r="J1408" s="12" t="s">
        <v>164</v>
      </c>
      <c r="K1408" s="12" t="s">
        <v>6646</v>
      </c>
      <c r="L1408" s="12" t="s">
        <v>4271</v>
      </c>
      <c r="M1408" s="12" t="s">
        <v>4271</v>
      </c>
      <c r="N1408" s="12" t="s">
        <v>5785</v>
      </c>
      <c r="O1408" s="12" t="s">
        <v>4272</v>
      </c>
      <c r="P1408" s="12" t="s">
        <v>4273</v>
      </c>
      <c r="Q1408" s="12" t="s">
        <v>6664</v>
      </c>
      <c r="R1408" s="12" t="s">
        <v>17</v>
      </c>
      <c r="S1408" s="12" t="s">
        <v>17</v>
      </c>
      <c r="T1408" s="12" t="s">
        <v>25</v>
      </c>
      <c r="U1408" s="12" t="s">
        <v>17</v>
      </c>
      <c r="V1408" s="12" t="s">
        <v>6639</v>
      </c>
      <c r="W1408" s="12" t="s">
        <v>6639</v>
      </c>
      <c r="X1408" s="12" t="s">
        <v>17</v>
      </c>
      <c r="Y1408" s="12">
        <v>1120733</v>
      </c>
      <c r="Z1408" s="12" t="s">
        <v>6613</v>
      </c>
      <c r="AA1408" s="12" t="s">
        <v>6613</v>
      </c>
      <c r="AB1408" s="12" t="s">
        <v>6613</v>
      </c>
      <c r="AC1408" s="12" t="s">
        <v>6613</v>
      </c>
      <c r="AD1408" s="12" t="s">
        <v>6613</v>
      </c>
      <c r="AE1408" s="12" t="s">
        <v>6613</v>
      </c>
      <c r="AF1408" s="12" t="s">
        <v>45</v>
      </c>
    </row>
    <row r="1409" spans="1:32" x14ac:dyDescent="0.2">
      <c r="A1409" s="12" t="s">
        <v>4453</v>
      </c>
      <c r="B1409" s="12" t="s">
        <v>4454</v>
      </c>
      <c r="C1409" s="12" t="s">
        <v>17</v>
      </c>
      <c r="D1409" s="12" t="s">
        <v>17</v>
      </c>
      <c r="E1409" s="12" t="s">
        <v>7678</v>
      </c>
      <c r="F1409" s="12" t="s">
        <v>5458</v>
      </c>
      <c r="G1409" s="12" t="s">
        <v>615</v>
      </c>
      <c r="H1409" s="12" t="s">
        <v>6613</v>
      </c>
      <c r="I1409" s="12">
        <v>0</v>
      </c>
      <c r="J1409" s="12" t="s">
        <v>164</v>
      </c>
      <c r="K1409" s="12" t="s">
        <v>6646</v>
      </c>
      <c r="L1409" s="12" t="s">
        <v>4271</v>
      </c>
      <c r="M1409" s="12" t="s">
        <v>4271</v>
      </c>
      <c r="N1409" s="12" t="s">
        <v>5785</v>
      </c>
      <c r="O1409" s="12" t="s">
        <v>4272</v>
      </c>
      <c r="P1409" s="12" t="s">
        <v>4273</v>
      </c>
      <c r="Q1409" s="12" t="s">
        <v>6664</v>
      </c>
      <c r="R1409" s="12" t="s">
        <v>17</v>
      </c>
      <c r="S1409" s="12" t="s">
        <v>17</v>
      </c>
      <c r="T1409" s="12" t="s">
        <v>25</v>
      </c>
      <c r="U1409" s="12" t="s">
        <v>17</v>
      </c>
      <c r="V1409" s="12" t="s">
        <v>6639</v>
      </c>
      <c r="W1409" s="12" t="s">
        <v>6639</v>
      </c>
      <c r="X1409" s="12" t="s">
        <v>17</v>
      </c>
      <c r="Y1409" s="12">
        <v>1122819</v>
      </c>
      <c r="Z1409" s="12" t="s">
        <v>6613</v>
      </c>
      <c r="AA1409" s="12" t="s">
        <v>6613</v>
      </c>
      <c r="AB1409" s="12" t="s">
        <v>6613</v>
      </c>
      <c r="AC1409" s="12" t="s">
        <v>6613</v>
      </c>
      <c r="AD1409" s="12" t="s">
        <v>6613</v>
      </c>
      <c r="AE1409" s="12" t="s">
        <v>6613</v>
      </c>
      <c r="AF1409" s="12" t="s">
        <v>45</v>
      </c>
    </row>
    <row r="1410" spans="1:32" x14ac:dyDescent="0.2">
      <c r="A1410" s="12" t="s">
        <v>4459</v>
      </c>
      <c r="B1410" s="12" t="s">
        <v>4460</v>
      </c>
      <c r="C1410" s="12" t="s">
        <v>17</v>
      </c>
      <c r="D1410" s="12" t="s">
        <v>17</v>
      </c>
      <c r="E1410" s="12" t="s">
        <v>7678</v>
      </c>
      <c r="F1410" s="12" t="s">
        <v>5458</v>
      </c>
      <c r="G1410" s="12" t="s">
        <v>615</v>
      </c>
      <c r="H1410" s="12" t="s">
        <v>6613</v>
      </c>
      <c r="I1410" s="12">
        <v>0</v>
      </c>
      <c r="J1410" s="12" t="s">
        <v>164</v>
      </c>
      <c r="K1410" s="12" t="s">
        <v>6646</v>
      </c>
      <c r="L1410" s="12" t="s">
        <v>4271</v>
      </c>
      <c r="M1410" s="12" t="s">
        <v>4271</v>
      </c>
      <c r="N1410" s="12" t="s">
        <v>5785</v>
      </c>
      <c r="O1410" s="12" t="s">
        <v>4272</v>
      </c>
      <c r="P1410" s="12" t="s">
        <v>4273</v>
      </c>
      <c r="Q1410" s="12" t="s">
        <v>6664</v>
      </c>
      <c r="R1410" s="12" t="s">
        <v>17</v>
      </c>
      <c r="S1410" s="12" t="s">
        <v>17</v>
      </c>
      <c r="T1410" s="12" t="s">
        <v>25</v>
      </c>
      <c r="U1410" s="12" t="s">
        <v>17</v>
      </c>
      <c r="V1410" s="12" t="s">
        <v>6639</v>
      </c>
      <c r="W1410" s="12" t="s">
        <v>6639</v>
      </c>
      <c r="X1410" s="12" t="s">
        <v>17</v>
      </c>
      <c r="Y1410" s="12">
        <v>1123097</v>
      </c>
      <c r="Z1410" s="12" t="s">
        <v>6613</v>
      </c>
      <c r="AA1410" s="12" t="s">
        <v>6613</v>
      </c>
      <c r="AB1410" s="12" t="s">
        <v>6613</v>
      </c>
      <c r="AC1410" s="12" t="s">
        <v>6613</v>
      </c>
      <c r="AD1410" s="12" t="s">
        <v>6613</v>
      </c>
      <c r="AE1410" s="12" t="s">
        <v>6613</v>
      </c>
      <c r="AF1410" s="12" t="s">
        <v>45</v>
      </c>
    </row>
    <row r="1411" spans="1:32" x14ac:dyDescent="0.2">
      <c r="A1411" s="12" t="s">
        <v>4469</v>
      </c>
      <c r="B1411" s="12" t="s">
        <v>4470</v>
      </c>
      <c r="C1411" s="12" t="s">
        <v>17</v>
      </c>
      <c r="D1411" s="12" t="s">
        <v>17</v>
      </c>
      <c r="E1411" s="12" t="s">
        <v>7678</v>
      </c>
      <c r="F1411" s="12" t="s">
        <v>5458</v>
      </c>
      <c r="G1411" s="12" t="s">
        <v>615</v>
      </c>
      <c r="H1411" s="12" t="s">
        <v>6613</v>
      </c>
      <c r="I1411" s="12">
        <v>0</v>
      </c>
      <c r="J1411" s="12" t="s">
        <v>164</v>
      </c>
      <c r="K1411" s="12" t="s">
        <v>6646</v>
      </c>
      <c r="L1411" s="12" t="s">
        <v>4271</v>
      </c>
      <c r="M1411" s="12" t="s">
        <v>4271</v>
      </c>
      <c r="N1411" s="12" t="s">
        <v>5785</v>
      </c>
      <c r="O1411" s="12" t="s">
        <v>4272</v>
      </c>
      <c r="P1411" s="12" t="s">
        <v>4273</v>
      </c>
      <c r="Q1411" s="12" t="s">
        <v>6664</v>
      </c>
      <c r="R1411" s="16" t="s">
        <v>17</v>
      </c>
      <c r="S1411" s="16" t="s">
        <v>17</v>
      </c>
      <c r="T1411" s="12" t="s">
        <v>25</v>
      </c>
      <c r="U1411" s="12" t="s">
        <v>17</v>
      </c>
      <c r="V1411" s="12" t="s">
        <v>6639</v>
      </c>
      <c r="W1411" s="12" t="s">
        <v>6639</v>
      </c>
      <c r="X1411" s="12" t="s">
        <v>17</v>
      </c>
      <c r="Y1411" s="12">
        <v>1124812</v>
      </c>
      <c r="Z1411" s="12" t="s">
        <v>6613</v>
      </c>
      <c r="AA1411" s="12" t="s">
        <v>6613</v>
      </c>
      <c r="AB1411" s="12" t="s">
        <v>6613</v>
      </c>
      <c r="AC1411" s="12" t="s">
        <v>6613</v>
      </c>
      <c r="AD1411" s="12" t="s">
        <v>6613</v>
      </c>
      <c r="AE1411" s="12" t="s">
        <v>6613</v>
      </c>
      <c r="AF1411" s="12" t="s">
        <v>45</v>
      </c>
    </row>
    <row r="1412" spans="1:32" x14ac:dyDescent="0.2">
      <c r="A1412" s="12" t="s">
        <v>4430</v>
      </c>
      <c r="B1412" s="12" t="s">
        <v>4431</v>
      </c>
      <c r="C1412" s="12" t="s">
        <v>17</v>
      </c>
      <c r="D1412" s="12" t="s">
        <v>17</v>
      </c>
      <c r="E1412" s="12" t="s">
        <v>7678</v>
      </c>
      <c r="F1412" s="12" t="s">
        <v>5458</v>
      </c>
      <c r="G1412" s="12" t="s">
        <v>615</v>
      </c>
      <c r="H1412" s="12" t="s">
        <v>6613</v>
      </c>
      <c r="I1412" s="12">
        <v>0</v>
      </c>
      <c r="J1412" s="12" t="s">
        <v>164</v>
      </c>
      <c r="K1412" s="12" t="s">
        <v>6646</v>
      </c>
      <c r="L1412" s="12" t="s">
        <v>4271</v>
      </c>
      <c r="M1412" s="12" t="s">
        <v>4271</v>
      </c>
      <c r="N1412" s="12" t="s">
        <v>5785</v>
      </c>
      <c r="O1412" s="12" t="s">
        <v>4272</v>
      </c>
      <c r="P1412" s="12" t="s">
        <v>4273</v>
      </c>
      <c r="Q1412" s="12" t="s">
        <v>6664</v>
      </c>
      <c r="R1412" s="12" t="s">
        <v>17</v>
      </c>
      <c r="S1412" s="12" t="s">
        <v>17</v>
      </c>
      <c r="T1412" s="12" t="s">
        <v>25</v>
      </c>
      <c r="U1412" s="12" t="s">
        <v>17</v>
      </c>
      <c r="V1412" s="12" t="s">
        <v>6639</v>
      </c>
      <c r="W1412" s="12" t="s">
        <v>6639</v>
      </c>
      <c r="X1412" s="12" t="s">
        <v>17</v>
      </c>
      <c r="Y1412" s="12">
        <v>1130342</v>
      </c>
      <c r="Z1412" s="12" t="s">
        <v>6613</v>
      </c>
      <c r="AA1412" s="12" t="s">
        <v>6613</v>
      </c>
      <c r="AB1412" s="12" t="s">
        <v>6613</v>
      </c>
      <c r="AC1412" s="12" t="s">
        <v>6613</v>
      </c>
      <c r="AD1412" s="12" t="s">
        <v>6613</v>
      </c>
      <c r="AE1412" s="12" t="s">
        <v>6613</v>
      </c>
      <c r="AF1412" s="12" t="s">
        <v>45</v>
      </c>
    </row>
    <row r="1413" spans="1:32" x14ac:dyDescent="0.2">
      <c r="A1413" s="12" t="s">
        <v>4302</v>
      </c>
      <c r="B1413" s="12" t="s">
        <v>4303</v>
      </c>
      <c r="C1413" s="12" t="s">
        <v>17</v>
      </c>
      <c r="D1413" s="12" t="s">
        <v>17</v>
      </c>
      <c r="E1413" s="12" t="s">
        <v>7678</v>
      </c>
      <c r="F1413" s="12" t="s">
        <v>5458</v>
      </c>
      <c r="G1413" s="12" t="s">
        <v>615</v>
      </c>
      <c r="H1413" s="12" t="s">
        <v>6613</v>
      </c>
      <c r="I1413" s="12">
        <v>0</v>
      </c>
      <c r="J1413" s="12" t="s">
        <v>164</v>
      </c>
      <c r="K1413" s="12" t="s">
        <v>6646</v>
      </c>
      <c r="L1413" s="12" t="s">
        <v>4271</v>
      </c>
      <c r="M1413" s="12" t="s">
        <v>4271</v>
      </c>
      <c r="N1413" s="12" t="s">
        <v>5785</v>
      </c>
      <c r="O1413" s="12" t="s">
        <v>4272</v>
      </c>
      <c r="P1413" s="12" t="s">
        <v>4273</v>
      </c>
      <c r="Q1413" s="12" t="s">
        <v>6664</v>
      </c>
      <c r="R1413" s="12" t="s">
        <v>17</v>
      </c>
      <c r="S1413" s="12" t="s">
        <v>17</v>
      </c>
      <c r="T1413" s="12" t="s">
        <v>25</v>
      </c>
      <c r="U1413" s="12" t="s">
        <v>17</v>
      </c>
      <c r="V1413" s="12" t="s">
        <v>6639</v>
      </c>
      <c r="W1413" s="12" t="s">
        <v>6639</v>
      </c>
      <c r="X1413" s="12" t="s">
        <v>17</v>
      </c>
      <c r="Y1413" s="12">
        <v>1132226</v>
      </c>
      <c r="Z1413" s="12" t="s">
        <v>6613</v>
      </c>
      <c r="AA1413" s="12" t="s">
        <v>6613</v>
      </c>
      <c r="AB1413" s="12" t="s">
        <v>6613</v>
      </c>
      <c r="AC1413" s="12" t="s">
        <v>6613</v>
      </c>
      <c r="AD1413" s="12" t="s">
        <v>6613</v>
      </c>
      <c r="AE1413" s="12" t="s">
        <v>6613</v>
      </c>
      <c r="AF1413" s="12" t="s">
        <v>45</v>
      </c>
    </row>
    <row r="1414" spans="1:32" x14ac:dyDescent="0.2">
      <c r="A1414" s="12" t="s">
        <v>4414</v>
      </c>
      <c r="B1414" s="12" t="s">
        <v>4415</v>
      </c>
      <c r="C1414" s="12" t="s">
        <v>17</v>
      </c>
      <c r="D1414" s="12" t="s">
        <v>17</v>
      </c>
      <c r="E1414" s="12" t="s">
        <v>7678</v>
      </c>
      <c r="F1414" s="12" t="s">
        <v>5458</v>
      </c>
      <c r="G1414" s="12" t="s">
        <v>615</v>
      </c>
      <c r="H1414" s="12" t="s">
        <v>6613</v>
      </c>
      <c r="I1414" s="12">
        <v>0</v>
      </c>
      <c r="J1414" s="12" t="s">
        <v>164</v>
      </c>
      <c r="K1414" s="12" t="s">
        <v>6646</v>
      </c>
      <c r="L1414" s="12" t="s">
        <v>4271</v>
      </c>
      <c r="M1414" s="12" t="s">
        <v>4271</v>
      </c>
      <c r="N1414" s="12" t="s">
        <v>5785</v>
      </c>
      <c r="O1414" s="12" t="s">
        <v>4272</v>
      </c>
      <c r="P1414" s="12" t="s">
        <v>4273</v>
      </c>
      <c r="Q1414" s="12" t="s">
        <v>6664</v>
      </c>
      <c r="R1414" s="12" t="s">
        <v>17</v>
      </c>
      <c r="S1414" s="12" t="s">
        <v>17</v>
      </c>
      <c r="T1414" s="12" t="s">
        <v>25</v>
      </c>
      <c r="U1414" s="12" t="s">
        <v>17</v>
      </c>
      <c r="V1414" s="12" t="s">
        <v>6639</v>
      </c>
      <c r="W1414" s="12" t="s">
        <v>6639</v>
      </c>
      <c r="X1414" s="12" t="s">
        <v>17</v>
      </c>
      <c r="Y1414" s="12">
        <v>1132878</v>
      </c>
      <c r="Z1414" s="12" t="s">
        <v>6613</v>
      </c>
      <c r="AA1414" s="12" t="s">
        <v>6613</v>
      </c>
      <c r="AB1414" s="12" t="s">
        <v>6613</v>
      </c>
      <c r="AC1414" s="12" t="s">
        <v>6613</v>
      </c>
      <c r="AD1414" s="12" t="s">
        <v>6613</v>
      </c>
      <c r="AE1414" s="12" t="s">
        <v>6613</v>
      </c>
      <c r="AF1414" s="12" t="s">
        <v>45</v>
      </c>
    </row>
    <row r="1415" spans="1:32" x14ac:dyDescent="0.2">
      <c r="A1415" s="12" t="s">
        <v>4400</v>
      </c>
      <c r="B1415" s="12" t="s">
        <v>4401</v>
      </c>
      <c r="C1415" s="12" t="s">
        <v>17</v>
      </c>
      <c r="D1415" s="12" t="s">
        <v>17</v>
      </c>
      <c r="E1415" s="12" t="s">
        <v>7678</v>
      </c>
      <c r="F1415" s="12" t="s">
        <v>5458</v>
      </c>
      <c r="G1415" s="12" t="s">
        <v>615</v>
      </c>
      <c r="H1415" s="12" t="s">
        <v>6613</v>
      </c>
      <c r="I1415" s="12">
        <v>0</v>
      </c>
      <c r="J1415" s="12" t="s">
        <v>164</v>
      </c>
      <c r="K1415" s="12" t="s">
        <v>6646</v>
      </c>
      <c r="L1415" s="12" t="s">
        <v>4271</v>
      </c>
      <c r="M1415" s="12" t="s">
        <v>4271</v>
      </c>
      <c r="N1415" s="12" t="s">
        <v>5785</v>
      </c>
      <c r="O1415" s="12" t="s">
        <v>4272</v>
      </c>
      <c r="P1415" s="12" t="s">
        <v>4273</v>
      </c>
      <c r="Q1415" s="12" t="s">
        <v>6664</v>
      </c>
      <c r="R1415" s="12" t="s">
        <v>17</v>
      </c>
      <c r="S1415" s="12" t="s">
        <v>17</v>
      </c>
      <c r="T1415" s="12" t="s">
        <v>25</v>
      </c>
      <c r="U1415" s="12" t="s">
        <v>17</v>
      </c>
      <c r="V1415" s="12" t="s">
        <v>6639</v>
      </c>
      <c r="W1415" s="12" t="s">
        <v>6639</v>
      </c>
      <c r="X1415" s="12" t="s">
        <v>17</v>
      </c>
      <c r="Y1415" s="12">
        <v>1133203</v>
      </c>
      <c r="Z1415" s="12" t="s">
        <v>6613</v>
      </c>
      <c r="AA1415" s="12" t="s">
        <v>6613</v>
      </c>
      <c r="AB1415" s="12" t="s">
        <v>6613</v>
      </c>
      <c r="AC1415" s="12" t="s">
        <v>6613</v>
      </c>
      <c r="AD1415" s="12" t="s">
        <v>6613</v>
      </c>
      <c r="AE1415" s="12" t="s">
        <v>6613</v>
      </c>
      <c r="AF1415" s="12" t="s">
        <v>45</v>
      </c>
    </row>
    <row r="1416" spans="1:32" x14ac:dyDescent="0.2">
      <c r="A1416" s="12" t="s">
        <v>4318</v>
      </c>
      <c r="B1416" s="12" t="s">
        <v>4319</v>
      </c>
      <c r="C1416" s="12" t="s">
        <v>17</v>
      </c>
      <c r="D1416" s="12" t="s">
        <v>17</v>
      </c>
      <c r="E1416" s="12" t="s">
        <v>7678</v>
      </c>
      <c r="F1416" s="12" t="s">
        <v>5458</v>
      </c>
      <c r="G1416" s="12" t="s">
        <v>615</v>
      </c>
      <c r="H1416" s="12" t="s">
        <v>6613</v>
      </c>
      <c r="I1416" s="12">
        <v>0</v>
      </c>
      <c r="J1416" s="12" t="s">
        <v>164</v>
      </c>
      <c r="K1416" s="12" t="s">
        <v>6646</v>
      </c>
      <c r="L1416" s="12" t="s">
        <v>4271</v>
      </c>
      <c r="M1416" s="12" t="s">
        <v>4271</v>
      </c>
      <c r="N1416" s="12" t="s">
        <v>5785</v>
      </c>
      <c r="O1416" s="12" t="s">
        <v>4272</v>
      </c>
      <c r="P1416" s="12" t="s">
        <v>4273</v>
      </c>
      <c r="Q1416" s="12" t="s">
        <v>6664</v>
      </c>
      <c r="R1416" s="12" t="s">
        <v>17</v>
      </c>
      <c r="S1416" s="12" t="s">
        <v>17</v>
      </c>
      <c r="T1416" s="12" t="s">
        <v>25</v>
      </c>
      <c r="U1416" s="12" t="s">
        <v>17</v>
      </c>
      <c r="V1416" s="12" t="s">
        <v>6639</v>
      </c>
      <c r="W1416" s="12" t="s">
        <v>6639</v>
      </c>
      <c r="X1416" s="12" t="s">
        <v>17</v>
      </c>
      <c r="Y1416" s="12">
        <v>1133777</v>
      </c>
      <c r="Z1416" s="12" t="s">
        <v>6613</v>
      </c>
      <c r="AA1416" s="12" t="s">
        <v>6613</v>
      </c>
      <c r="AB1416" s="12" t="s">
        <v>6613</v>
      </c>
      <c r="AC1416" s="12" t="s">
        <v>6613</v>
      </c>
      <c r="AD1416" s="12" t="s">
        <v>6613</v>
      </c>
      <c r="AE1416" s="12" t="s">
        <v>6613</v>
      </c>
      <c r="AF1416" s="12" t="s">
        <v>45</v>
      </c>
    </row>
    <row r="1417" spans="1:32" x14ac:dyDescent="0.2">
      <c r="A1417" s="12" t="s">
        <v>4278</v>
      </c>
      <c r="B1417" s="12" t="s">
        <v>4279</v>
      </c>
      <c r="C1417" s="12" t="s">
        <v>17</v>
      </c>
      <c r="D1417" s="12" t="s">
        <v>17</v>
      </c>
      <c r="E1417" s="12" t="s">
        <v>7678</v>
      </c>
      <c r="F1417" s="12" t="s">
        <v>5458</v>
      </c>
      <c r="G1417" s="12" t="s">
        <v>615</v>
      </c>
      <c r="H1417" s="12" t="s">
        <v>6613</v>
      </c>
      <c r="I1417" s="12">
        <v>0</v>
      </c>
      <c r="J1417" s="12" t="s">
        <v>164</v>
      </c>
      <c r="K1417" s="12" t="s">
        <v>6646</v>
      </c>
      <c r="L1417" s="12" t="s">
        <v>4271</v>
      </c>
      <c r="M1417" s="12" t="s">
        <v>4271</v>
      </c>
      <c r="N1417" s="12" t="s">
        <v>5785</v>
      </c>
      <c r="O1417" s="12" t="s">
        <v>4272</v>
      </c>
      <c r="P1417" s="12" t="s">
        <v>4273</v>
      </c>
      <c r="Q1417" s="12" t="s">
        <v>6664</v>
      </c>
      <c r="R1417" s="12" t="s">
        <v>17</v>
      </c>
      <c r="S1417" s="12" t="s">
        <v>17</v>
      </c>
      <c r="T1417" s="12" t="s">
        <v>25</v>
      </c>
      <c r="U1417" s="12" t="s">
        <v>17</v>
      </c>
      <c r="V1417" s="12" t="s">
        <v>6639</v>
      </c>
      <c r="W1417" s="12" t="s">
        <v>6639</v>
      </c>
      <c r="X1417" s="12" t="s">
        <v>17</v>
      </c>
      <c r="Y1417" s="12">
        <v>1134824</v>
      </c>
      <c r="Z1417" s="12" t="s">
        <v>6613</v>
      </c>
      <c r="AA1417" s="12" t="s">
        <v>6613</v>
      </c>
      <c r="AB1417" s="12" t="s">
        <v>6613</v>
      </c>
      <c r="AC1417" s="12" t="s">
        <v>6613</v>
      </c>
      <c r="AD1417" s="12" t="s">
        <v>6613</v>
      </c>
      <c r="AE1417" s="12" t="s">
        <v>6613</v>
      </c>
      <c r="AF1417" s="12" t="s">
        <v>45</v>
      </c>
    </row>
    <row r="1418" spans="1:32" x14ac:dyDescent="0.2">
      <c r="A1418" s="12" t="s">
        <v>4457</v>
      </c>
      <c r="B1418" s="12" t="s">
        <v>4458</v>
      </c>
      <c r="C1418" s="12" t="s">
        <v>17</v>
      </c>
      <c r="D1418" s="12" t="s">
        <v>17</v>
      </c>
      <c r="E1418" s="12" t="s">
        <v>7678</v>
      </c>
      <c r="F1418" s="12" t="s">
        <v>5458</v>
      </c>
      <c r="G1418" s="12" t="s">
        <v>615</v>
      </c>
      <c r="H1418" s="12" t="s">
        <v>6613</v>
      </c>
      <c r="I1418" s="12">
        <v>0</v>
      </c>
      <c r="J1418" s="12" t="s">
        <v>164</v>
      </c>
      <c r="K1418" s="12" t="s">
        <v>6646</v>
      </c>
      <c r="L1418" s="12" t="s">
        <v>4271</v>
      </c>
      <c r="M1418" s="12" t="s">
        <v>4271</v>
      </c>
      <c r="N1418" s="12" t="s">
        <v>5785</v>
      </c>
      <c r="O1418" s="12" t="s">
        <v>4272</v>
      </c>
      <c r="P1418" s="12" t="s">
        <v>4273</v>
      </c>
      <c r="Q1418" s="12" t="s">
        <v>6664</v>
      </c>
      <c r="R1418" s="12" t="s">
        <v>17</v>
      </c>
      <c r="S1418" s="12" t="s">
        <v>17</v>
      </c>
      <c r="T1418" s="12" t="s">
        <v>25</v>
      </c>
      <c r="U1418" s="12" t="s">
        <v>17</v>
      </c>
      <c r="V1418" s="12" t="s">
        <v>6639</v>
      </c>
      <c r="W1418" s="12" t="s">
        <v>6639</v>
      </c>
      <c r="X1418" s="12" t="s">
        <v>17</v>
      </c>
      <c r="Y1418" s="12">
        <v>1135414</v>
      </c>
      <c r="Z1418" s="12" t="s">
        <v>6613</v>
      </c>
      <c r="AA1418" s="12" t="s">
        <v>6613</v>
      </c>
      <c r="AB1418" s="12" t="s">
        <v>6613</v>
      </c>
      <c r="AC1418" s="12" t="s">
        <v>6613</v>
      </c>
      <c r="AD1418" s="12" t="s">
        <v>6613</v>
      </c>
      <c r="AE1418" s="12" t="s">
        <v>6613</v>
      </c>
      <c r="AF1418" s="12" t="s">
        <v>45</v>
      </c>
    </row>
    <row r="1419" spans="1:32" x14ac:dyDescent="0.2">
      <c r="A1419" s="12" t="s">
        <v>4398</v>
      </c>
      <c r="B1419" s="12" t="s">
        <v>4399</v>
      </c>
      <c r="C1419" s="12" t="s">
        <v>17</v>
      </c>
      <c r="D1419" s="12" t="s">
        <v>17</v>
      </c>
      <c r="E1419" s="12" t="s">
        <v>7678</v>
      </c>
      <c r="F1419" s="12" t="s">
        <v>5458</v>
      </c>
      <c r="G1419" s="12" t="s">
        <v>615</v>
      </c>
      <c r="H1419" s="12" t="s">
        <v>6613</v>
      </c>
      <c r="I1419" s="12">
        <v>0</v>
      </c>
      <c r="J1419" s="12" t="s">
        <v>164</v>
      </c>
      <c r="K1419" s="12" t="s">
        <v>6646</v>
      </c>
      <c r="L1419" s="12" t="s">
        <v>4271</v>
      </c>
      <c r="M1419" s="12" t="s">
        <v>4271</v>
      </c>
      <c r="N1419" s="12" t="s">
        <v>5785</v>
      </c>
      <c r="O1419" s="12" t="s">
        <v>4272</v>
      </c>
      <c r="P1419" s="12" t="s">
        <v>4273</v>
      </c>
      <c r="Q1419" s="12" t="s">
        <v>6664</v>
      </c>
      <c r="R1419" s="12" t="s">
        <v>17</v>
      </c>
      <c r="S1419" s="12" t="s">
        <v>17</v>
      </c>
      <c r="T1419" s="12" t="s">
        <v>25</v>
      </c>
      <c r="U1419" s="12" t="s">
        <v>17</v>
      </c>
      <c r="V1419" s="12" t="s">
        <v>6639</v>
      </c>
      <c r="W1419" s="12" t="s">
        <v>6639</v>
      </c>
      <c r="X1419" s="12" t="s">
        <v>17</v>
      </c>
      <c r="Y1419" s="12">
        <v>1136513</v>
      </c>
      <c r="Z1419" s="12" t="s">
        <v>6613</v>
      </c>
      <c r="AA1419" s="12" t="s">
        <v>6613</v>
      </c>
      <c r="AB1419" s="12" t="s">
        <v>6613</v>
      </c>
      <c r="AC1419" s="12" t="s">
        <v>6613</v>
      </c>
      <c r="AD1419" s="12" t="s">
        <v>6613</v>
      </c>
      <c r="AE1419" s="12" t="s">
        <v>6613</v>
      </c>
      <c r="AF1419" s="12" t="s">
        <v>45</v>
      </c>
    </row>
    <row r="1420" spans="1:32" x14ac:dyDescent="0.2">
      <c r="A1420" s="12" t="s">
        <v>4418</v>
      </c>
      <c r="B1420" s="12" t="s">
        <v>4419</v>
      </c>
      <c r="C1420" s="12" t="s">
        <v>17</v>
      </c>
      <c r="D1420" s="12" t="s">
        <v>17</v>
      </c>
      <c r="E1420" s="12" t="s">
        <v>7678</v>
      </c>
      <c r="F1420" s="12" t="s">
        <v>5458</v>
      </c>
      <c r="G1420" s="12" t="s">
        <v>615</v>
      </c>
      <c r="H1420" s="12" t="s">
        <v>6613</v>
      </c>
      <c r="I1420" s="12">
        <v>0</v>
      </c>
      <c r="J1420" s="12" t="s">
        <v>164</v>
      </c>
      <c r="K1420" s="12" t="s">
        <v>6646</v>
      </c>
      <c r="L1420" s="12" t="s">
        <v>4271</v>
      </c>
      <c r="M1420" s="12" t="s">
        <v>4271</v>
      </c>
      <c r="N1420" s="12" t="s">
        <v>5785</v>
      </c>
      <c r="O1420" s="12" t="s">
        <v>4272</v>
      </c>
      <c r="P1420" s="12" t="s">
        <v>4273</v>
      </c>
      <c r="Q1420" s="12" t="s">
        <v>6664</v>
      </c>
      <c r="R1420" s="12" t="s">
        <v>17</v>
      </c>
      <c r="S1420" s="12" t="s">
        <v>17</v>
      </c>
      <c r="T1420" s="12" t="s">
        <v>25</v>
      </c>
      <c r="U1420" s="12" t="s">
        <v>17</v>
      </c>
      <c r="V1420" s="12" t="s">
        <v>6639</v>
      </c>
      <c r="W1420" s="12" t="s">
        <v>6639</v>
      </c>
      <c r="X1420" s="12" t="s">
        <v>17</v>
      </c>
      <c r="Y1420" s="12">
        <v>1137527</v>
      </c>
      <c r="Z1420" s="12" t="s">
        <v>6613</v>
      </c>
      <c r="AA1420" s="12" t="s">
        <v>6613</v>
      </c>
      <c r="AB1420" s="12" t="s">
        <v>6613</v>
      </c>
      <c r="AC1420" s="12" t="s">
        <v>6613</v>
      </c>
      <c r="AD1420" s="12" t="s">
        <v>6613</v>
      </c>
      <c r="AE1420" s="12" t="s">
        <v>6613</v>
      </c>
      <c r="AF1420" s="12" t="s">
        <v>45</v>
      </c>
    </row>
    <row r="1421" spans="1:32" x14ac:dyDescent="0.2">
      <c r="A1421" s="12" t="s">
        <v>4465</v>
      </c>
      <c r="B1421" s="12" t="s">
        <v>4466</v>
      </c>
      <c r="C1421" s="12" t="s">
        <v>17</v>
      </c>
      <c r="D1421" s="12" t="s">
        <v>17</v>
      </c>
      <c r="E1421" s="12" t="s">
        <v>7678</v>
      </c>
      <c r="F1421" s="12" t="s">
        <v>5458</v>
      </c>
      <c r="G1421" s="12" t="s">
        <v>615</v>
      </c>
      <c r="H1421" s="12" t="s">
        <v>6613</v>
      </c>
      <c r="I1421" s="12">
        <v>0</v>
      </c>
      <c r="J1421" s="12" t="s">
        <v>164</v>
      </c>
      <c r="K1421" s="12" t="s">
        <v>6646</v>
      </c>
      <c r="L1421" s="12" t="s">
        <v>4271</v>
      </c>
      <c r="M1421" s="12" t="s">
        <v>4271</v>
      </c>
      <c r="N1421" s="12" t="s">
        <v>5785</v>
      </c>
      <c r="O1421" s="12" t="s">
        <v>4272</v>
      </c>
      <c r="P1421" s="12" t="s">
        <v>4273</v>
      </c>
      <c r="Q1421" s="12" t="s">
        <v>6664</v>
      </c>
      <c r="R1421" s="12" t="s">
        <v>17</v>
      </c>
      <c r="S1421" s="12" t="s">
        <v>17</v>
      </c>
      <c r="T1421" s="12" t="s">
        <v>25</v>
      </c>
      <c r="U1421" s="12" t="s">
        <v>17</v>
      </c>
      <c r="V1421" s="12" t="s">
        <v>6639</v>
      </c>
      <c r="W1421" s="12" t="s">
        <v>6639</v>
      </c>
      <c r="X1421" s="12" t="s">
        <v>17</v>
      </c>
      <c r="Y1421" s="12">
        <v>1137629</v>
      </c>
      <c r="Z1421" s="12" t="s">
        <v>6613</v>
      </c>
      <c r="AA1421" s="12" t="s">
        <v>6613</v>
      </c>
      <c r="AB1421" s="12" t="s">
        <v>6613</v>
      </c>
      <c r="AC1421" s="12" t="s">
        <v>6613</v>
      </c>
      <c r="AD1421" s="12" t="s">
        <v>6613</v>
      </c>
      <c r="AE1421" s="12" t="s">
        <v>6613</v>
      </c>
      <c r="AF1421" s="12" t="s">
        <v>45</v>
      </c>
    </row>
    <row r="1422" spans="1:32" x14ac:dyDescent="0.2">
      <c r="A1422" s="12" t="s">
        <v>4404</v>
      </c>
      <c r="B1422" s="12" t="s">
        <v>4405</v>
      </c>
      <c r="C1422" s="12" t="s">
        <v>17</v>
      </c>
      <c r="D1422" s="12" t="s">
        <v>17</v>
      </c>
      <c r="E1422" s="12" t="s">
        <v>7678</v>
      </c>
      <c r="F1422" s="12" t="s">
        <v>5458</v>
      </c>
      <c r="G1422" s="12" t="s">
        <v>615</v>
      </c>
      <c r="H1422" s="12" t="s">
        <v>6613</v>
      </c>
      <c r="I1422" s="12">
        <v>0</v>
      </c>
      <c r="J1422" s="12" t="s">
        <v>164</v>
      </c>
      <c r="K1422" s="12" t="s">
        <v>6646</v>
      </c>
      <c r="L1422" s="12" t="s">
        <v>4271</v>
      </c>
      <c r="M1422" s="12" t="s">
        <v>4271</v>
      </c>
      <c r="N1422" s="12" t="s">
        <v>5785</v>
      </c>
      <c r="O1422" s="12" t="s">
        <v>4272</v>
      </c>
      <c r="P1422" s="12" t="s">
        <v>4273</v>
      </c>
      <c r="Q1422" s="12" t="s">
        <v>6664</v>
      </c>
      <c r="R1422" s="12" t="s">
        <v>17</v>
      </c>
      <c r="S1422" s="12" t="s">
        <v>17</v>
      </c>
      <c r="T1422" s="12" t="s">
        <v>25</v>
      </c>
      <c r="U1422" s="12" t="s">
        <v>17</v>
      </c>
      <c r="V1422" s="12" t="s">
        <v>6639</v>
      </c>
      <c r="W1422" s="12" t="s">
        <v>6639</v>
      </c>
      <c r="X1422" s="12" t="s">
        <v>17</v>
      </c>
      <c r="Y1422" s="12">
        <v>1137684</v>
      </c>
      <c r="Z1422" s="12" t="s">
        <v>6613</v>
      </c>
      <c r="AA1422" s="12" t="s">
        <v>6613</v>
      </c>
      <c r="AB1422" s="12" t="s">
        <v>6613</v>
      </c>
      <c r="AC1422" s="12" t="s">
        <v>6613</v>
      </c>
      <c r="AD1422" s="12" t="s">
        <v>6613</v>
      </c>
      <c r="AE1422" s="12" t="s">
        <v>6613</v>
      </c>
      <c r="AF1422" s="12" t="s">
        <v>45</v>
      </c>
    </row>
    <row r="1423" spans="1:32" x14ac:dyDescent="0.2">
      <c r="A1423" s="12" t="s">
        <v>4444</v>
      </c>
      <c r="B1423" s="12" t="s">
        <v>4445</v>
      </c>
      <c r="C1423" s="12" t="s">
        <v>17</v>
      </c>
      <c r="D1423" s="12" t="s">
        <v>17</v>
      </c>
      <c r="E1423" s="12" t="s">
        <v>7678</v>
      </c>
      <c r="F1423" s="12" t="s">
        <v>5458</v>
      </c>
      <c r="G1423" s="12" t="s">
        <v>615</v>
      </c>
      <c r="H1423" s="12" t="s">
        <v>6613</v>
      </c>
      <c r="I1423" s="12">
        <v>0</v>
      </c>
      <c r="J1423" s="12" t="s">
        <v>164</v>
      </c>
      <c r="K1423" s="12" t="s">
        <v>6646</v>
      </c>
      <c r="L1423" s="12" t="s">
        <v>4271</v>
      </c>
      <c r="M1423" s="12" t="s">
        <v>4271</v>
      </c>
      <c r="N1423" s="12" t="s">
        <v>5785</v>
      </c>
      <c r="O1423" s="12" t="s">
        <v>4272</v>
      </c>
      <c r="P1423" s="12" t="s">
        <v>4273</v>
      </c>
      <c r="Q1423" s="12" t="s">
        <v>6664</v>
      </c>
      <c r="R1423" s="12" t="s">
        <v>17</v>
      </c>
      <c r="S1423" s="12" t="s">
        <v>17</v>
      </c>
      <c r="T1423" s="12" t="s">
        <v>11</v>
      </c>
      <c r="U1423" s="12" t="s">
        <v>17</v>
      </c>
      <c r="V1423" s="12" t="s">
        <v>619</v>
      </c>
      <c r="W1423" s="12" t="s">
        <v>7415</v>
      </c>
      <c r="X1423" s="12" t="s">
        <v>17</v>
      </c>
      <c r="Y1423" s="12">
        <v>1138089</v>
      </c>
      <c r="Z1423" s="12" t="s">
        <v>6613</v>
      </c>
      <c r="AA1423" s="12" t="s">
        <v>6613</v>
      </c>
      <c r="AB1423" s="12" t="s">
        <v>6613</v>
      </c>
      <c r="AC1423" s="12" t="s">
        <v>6613</v>
      </c>
      <c r="AD1423" s="12" t="s">
        <v>6613</v>
      </c>
      <c r="AE1423" s="12" t="s">
        <v>6613</v>
      </c>
      <c r="AF1423" s="12" t="s">
        <v>45</v>
      </c>
    </row>
    <row r="1424" spans="1:32" x14ac:dyDescent="0.2">
      <c r="A1424" s="12" t="s">
        <v>4322</v>
      </c>
      <c r="B1424" s="12" t="s">
        <v>4323</v>
      </c>
      <c r="C1424" s="12" t="s">
        <v>17</v>
      </c>
      <c r="D1424" s="12" t="s">
        <v>17</v>
      </c>
      <c r="E1424" s="12" t="s">
        <v>7678</v>
      </c>
      <c r="F1424" s="12" t="s">
        <v>5458</v>
      </c>
      <c r="G1424" s="12" t="s">
        <v>615</v>
      </c>
      <c r="H1424" s="12" t="s">
        <v>6613</v>
      </c>
      <c r="I1424" s="12">
        <v>0</v>
      </c>
      <c r="J1424" s="12" t="s">
        <v>164</v>
      </c>
      <c r="K1424" s="12" t="s">
        <v>6646</v>
      </c>
      <c r="L1424" s="12" t="s">
        <v>4271</v>
      </c>
      <c r="M1424" s="12" t="s">
        <v>4271</v>
      </c>
      <c r="N1424" s="12" t="s">
        <v>5785</v>
      </c>
      <c r="O1424" s="12" t="s">
        <v>4272</v>
      </c>
      <c r="P1424" s="12" t="s">
        <v>4273</v>
      </c>
      <c r="Q1424" s="12" t="s">
        <v>6664</v>
      </c>
      <c r="R1424" s="12" t="s">
        <v>17</v>
      </c>
      <c r="S1424" s="12" t="s">
        <v>17</v>
      </c>
      <c r="T1424" s="12" t="s">
        <v>25</v>
      </c>
      <c r="U1424" s="12" t="s">
        <v>17</v>
      </c>
      <c r="V1424" s="12" t="s">
        <v>6639</v>
      </c>
      <c r="W1424" s="12" t="s">
        <v>6639</v>
      </c>
      <c r="X1424" s="12" t="s">
        <v>17</v>
      </c>
      <c r="Y1424" s="12">
        <v>1139482</v>
      </c>
      <c r="Z1424" s="12" t="s">
        <v>6613</v>
      </c>
      <c r="AA1424" s="12" t="s">
        <v>6613</v>
      </c>
      <c r="AB1424" s="12" t="s">
        <v>6613</v>
      </c>
      <c r="AC1424" s="12" t="s">
        <v>6613</v>
      </c>
      <c r="AD1424" s="12" t="s">
        <v>6613</v>
      </c>
      <c r="AE1424" s="12" t="s">
        <v>6613</v>
      </c>
      <c r="AF1424" s="12" t="s">
        <v>45</v>
      </c>
    </row>
    <row r="1425" spans="1:32" x14ac:dyDescent="0.2">
      <c r="A1425" s="12" t="s">
        <v>4324</v>
      </c>
      <c r="B1425" s="12" t="s">
        <v>4325</v>
      </c>
      <c r="C1425" s="12" t="s">
        <v>17</v>
      </c>
      <c r="D1425" s="12" t="s">
        <v>17</v>
      </c>
      <c r="E1425" s="12" t="s">
        <v>7678</v>
      </c>
      <c r="F1425" s="12" t="s">
        <v>5458</v>
      </c>
      <c r="G1425" s="12" t="s">
        <v>615</v>
      </c>
      <c r="H1425" s="12" t="s">
        <v>6613</v>
      </c>
      <c r="I1425" s="12">
        <v>0</v>
      </c>
      <c r="J1425" s="12" t="s">
        <v>164</v>
      </c>
      <c r="K1425" s="12" t="s">
        <v>6646</v>
      </c>
      <c r="L1425" s="12" t="s">
        <v>4271</v>
      </c>
      <c r="M1425" s="12" t="s">
        <v>4271</v>
      </c>
      <c r="N1425" s="12" t="s">
        <v>5785</v>
      </c>
      <c r="O1425" s="12" t="s">
        <v>4272</v>
      </c>
      <c r="P1425" s="12" t="s">
        <v>4273</v>
      </c>
      <c r="Q1425" s="12" t="s">
        <v>6664</v>
      </c>
      <c r="R1425" s="12" t="s">
        <v>17</v>
      </c>
      <c r="S1425" s="12" t="s">
        <v>17</v>
      </c>
      <c r="T1425" s="12" t="s">
        <v>25</v>
      </c>
      <c r="U1425" s="12" t="s">
        <v>17</v>
      </c>
      <c r="V1425" s="12" t="s">
        <v>6639</v>
      </c>
      <c r="W1425" s="12" t="s">
        <v>6639</v>
      </c>
      <c r="X1425" s="12" t="s">
        <v>17</v>
      </c>
      <c r="Y1425" s="12">
        <v>1139870</v>
      </c>
      <c r="Z1425" s="12" t="s">
        <v>6613</v>
      </c>
      <c r="AA1425" s="12" t="s">
        <v>6613</v>
      </c>
      <c r="AB1425" s="12" t="s">
        <v>6613</v>
      </c>
      <c r="AC1425" s="12" t="s">
        <v>6613</v>
      </c>
      <c r="AD1425" s="12" t="s">
        <v>6613</v>
      </c>
      <c r="AE1425" s="12" t="s">
        <v>6613</v>
      </c>
      <c r="AF1425" s="12" t="s">
        <v>45</v>
      </c>
    </row>
    <row r="1426" spans="1:32" x14ac:dyDescent="0.2">
      <c r="A1426" s="12" t="s">
        <v>4467</v>
      </c>
      <c r="B1426" s="12" t="s">
        <v>4468</v>
      </c>
      <c r="C1426" s="12" t="s">
        <v>17</v>
      </c>
      <c r="D1426" s="12" t="s">
        <v>17</v>
      </c>
      <c r="E1426" s="12" t="s">
        <v>7678</v>
      </c>
      <c r="F1426" s="12" t="s">
        <v>5458</v>
      </c>
      <c r="G1426" s="12" t="s">
        <v>615</v>
      </c>
      <c r="H1426" s="12" t="s">
        <v>6613</v>
      </c>
      <c r="I1426" s="12">
        <v>0</v>
      </c>
      <c r="J1426" s="12" t="s">
        <v>164</v>
      </c>
      <c r="K1426" s="12" t="s">
        <v>6646</v>
      </c>
      <c r="L1426" s="12" t="s">
        <v>4271</v>
      </c>
      <c r="M1426" s="12" t="s">
        <v>4271</v>
      </c>
      <c r="N1426" s="12" t="s">
        <v>5785</v>
      </c>
      <c r="O1426" s="12" t="s">
        <v>4272</v>
      </c>
      <c r="P1426" s="12" t="s">
        <v>4273</v>
      </c>
      <c r="Q1426" s="12" t="s">
        <v>6664</v>
      </c>
      <c r="R1426" s="12" t="s">
        <v>17</v>
      </c>
      <c r="S1426" s="12" t="s">
        <v>17</v>
      </c>
      <c r="T1426" s="12" t="s">
        <v>25</v>
      </c>
      <c r="U1426" s="12" t="s">
        <v>17</v>
      </c>
      <c r="V1426" s="12" t="s">
        <v>6639</v>
      </c>
      <c r="W1426" s="12" t="s">
        <v>6639</v>
      </c>
      <c r="X1426" s="12" t="s">
        <v>17</v>
      </c>
      <c r="Y1426" s="12">
        <v>1140482</v>
      </c>
      <c r="Z1426" s="12" t="s">
        <v>6613</v>
      </c>
      <c r="AA1426" s="12" t="s">
        <v>6613</v>
      </c>
      <c r="AB1426" s="12" t="s">
        <v>6613</v>
      </c>
      <c r="AC1426" s="12" t="s">
        <v>6613</v>
      </c>
      <c r="AD1426" s="12" t="s">
        <v>6613</v>
      </c>
      <c r="AE1426" s="12" t="s">
        <v>6613</v>
      </c>
      <c r="AF1426" s="12" t="s">
        <v>45</v>
      </c>
    </row>
    <row r="1427" spans="1:32" x14ac:dyDescent="0.2">
      <c r="A1427" s="12" t="s">
        <v>4304</v>
      </c>
      <c r="B1427" s="12" t="s">
        <v>4305</v>
      </c>
      <c r="C1427" s="12" t="s">
        <v>17</v>
      </c>
      <c r="D1427" s="12" t="s">
        <v>17</v>
      </c>
      <c r="E1427" s="12" t="s">
        <v>7678</v>
      </c>
      <c r="F1427" s="12" t="s">
        <v>5458</v>
      </c>
      <c r="G1427" s="12" t="s">
        <v>615</v>
      </c>
      <c r="H1427" s="12" t="s">
        <v>6613</v>
      </c>
      <c r="I1427" s="12">
        <v>0</v>
      </c>
      <c r="J1427" s="12" t="s">
        <v>164</v>
      </c>
      <c r="K1427" s="12" t="s">
        <v>6646</v>
      </c>
      <c r="L1427" s="12" t="s">
        <v>4271</v>
      </c>
      <c r="M1427" s="12" t="s">
        <v>4271</v>
      </c>
      <c r="N1427" s="12" t="s">
        <v>5785</v>
      </c>
      <c r="O1427" s="12" t="s">
        <v>4272</v>
      </c>
      <c r="P1427" s="12" t="s">
        <v>4273</v>
      </c>
      <c r="Q1427" s="12" t="s">
        <v>6664</v>
      </c>
      <c r="R1427" s="12" t="s">
        <v>17</v>
      </c>
      <c r="S1427" s="12" t="s">
        <v>17</v>
      </c>
      <c r="T1427" s="12" t="s">
        <v>11</v>
      </c>
      <c r="U1427" s="12" t="s">
        <v>17</v>
      </c>
      <c r="V1427" s="12" t="s">
        <v>802</v>
      </c>
      <c r="W1427" s="12" t="s">
        <v>7415</v>
      </c>
      <c r="X1427" s="12" t="s">
        <v>17</v>
      </c>
      <c r="Y1427" s="12">
        <v>1140484</v>
      </c>
      <c r="Z1427" s="12" t="s">
        <v>6613</v>
      </c>
      <c r="AA1427" s="12" t="s">
        <v>6613</v>
      </c>
      <c r="AB1427" s="12" t="s">
        <v>6613</v>
      </c>
      <c r="AC1427" s="12" t="s">
        <v>6613</v>
      </c>
      <c r="AD1427" s="12" t="s">
        <v>6613</v>
      </c>
      <c r="AE1427" s="12" t="s">
        <v>6613</v>
      </c>
      <c r="AF1427" s="12" t="s">
        <v>45</v>
      </c>
    </row>
    <row r="1428" spans="1:32" x14ac:dyDescent="0.2">
      <c r="A1428" s="12" t="s">
        <v>4473</v>
      </c>
      <c r="B1428" s="12" t="s">
        <v>4474</v>
      </c>
      <c r="C1428" s="12" t="s">
        <v>17</v>
      </c>
      <c r="D1428" s="12" t="s">
        <v>17</v>
      </c>
      <c r="E1428" s="12" t="s">
        <v>7678</v>
      </c>
      <c r="F1428" s="12" t="s">
        <v>5458</v>
      </c>
      <c r="G1428" s="12" t="s">
        <v>615</v>
      </c>
      <c r="H1428" s="12" t="s">
        <v>6613</v>
      </c>
      <c r="I1428" s="12">
        <v>0</v>
      </c>
      <c r="J1428" s="12" t="s">
        <v>164</v>
      </c>
      <c r="K1428" s="12" t="s">
        <v>6646</v>
      </c>
      <c r="L1428" s="12" t="s">
        <v>4271</v>
      </c>
      <c r="M1428" s="12" t="s">
        <v>4271</v>
      </c>
      <c r="N1428" s="12" t="s">
        <v>5785</v>
      </c>
      <c r="O1428" s="12" t="s">
        <v>4272</v>
      </c>
      <c r="P1428" s="12" t="s">
        <v>4273</v>
      </c>
      <c r="Q1428" s="12" t="s">
        <v>6664</v>
      </c>
      <c r="R1428" s="12" t="s">
        <v>17</v>
      </c>
      <c r="S1428" s="12" t="s">
        <v>17</v>
      </c>
      <c r="T1428" s="12" t="s">
        <v>25</v>
      </c>
      <c r="U1428" s="12" t="s">
        <v>17</v>
      </c>
      <c r="V1428" s="12" t="s">
        <v>6639</v>
      </c>
      <c r="W1428" s="12" t="s">
        <v>6639</v>
      </c>
      <c r="X1428" s="12" t="s">
        <v>17</v>
      </c>
      <c r="Y1428" s="12">
        <v>1141603</v>
      </c>
      <c r="Z1428" s="12" t="s">
        <v>6613</v>
      </c>
      <c r="AA1428" s="12" t="s">
        <v>6613</v>
      </c>
      <c r="AB1428" s="12" t="s">
        <v>6613</v>
      </c>
      <c r="AC1428" s="12" t="s">
        <v>6613</v>
      </c>
      <c r="AD1428" s="12" t="s">
        <v>6613</v>
      </c>
      <c r="AE1428" s="12" t="s">
        <v>6613</v>
      </c>
      <c r="AF1428" s="12" t="s">
        <v>45</v>
      </c>
    </row>
    <row r="1429" spans="1:32" x14ac:dyDescent="0.2">
      <c r="A1429" s="12" t="s">
        <v>4442</v>
      </c>
      <c r="B1429" s="12" t="s">
        <v>4443</v>
      </c>
      <c r="C1429" s="12" t="s">
        <v>17</v>
      </c>
      <c r="D1429" s="12" t="s">
        <v>17</v>
      </c>
      <c r="E1429" s="12" t="s">
        <v>7678</v>
      </c>
      <c r="F1429" s="12" t="s">
        <v>5458</v>
      </c>
      <c r="G1429" s="12" t="s">
        <v>615</v>
      </c>
      <c r="H1429" s="12" t="s">
        <v>6613</v>
      </c>
      <c r="I1429" s="12">
        <v>0</v>
      </c>
      <c r="J1429" s="12" t="s">
        <v>164</v>
      </c>
      <c r="K1429" s="12" t="s">
        <v>6646</v>
      </c>
      <c r="L1429" s="12" t="s">
        <v>4271</v>
      </c>
      <c r="M1429" s="12" t="s">
        <v>4271</v>
      </c>
      <c r="N1429" s="12" t="s">
        <v>5785</v>
      </c>
      <c r="O1429" s="12" t="s">
        <v>4272</v>
      </c>
      <c r="P1429" s="12" t="s">
        <v>4273</v>
      </c>
      <c r="Q1429" s="12" t="s">
        <v>6664</v>
      </c>
      <c r="R1429" s="12" t="s">
        <v>17</v>
      </c>
      <c r="S1429" s="12" t="s">
        <v>17</v>
      </c>
      <c r="T1429" s="12" t="s">
        <v>25</v>
      </c>
      <c r="U1429" s="12" t="s">
        <v>17</v>
      </c>
      <c r="V1429" s="12" t="s">
        <v>6639</v>
      </c>
      <c r="W1429" s="12" t="s">
        <v>6639</v>
      </c>
      <c r="X1429" s="12" t="s">
        <v>17</v>
      </c>
      <c r="Y1429" s="12">
        <v>1141743</v>
      </c>
      <c r="Z1429" s="12" t="s">
        <v>6613</v>
      </c>
      <c r="AA1429" s="12" t="s">
        <v>6613</v>
      </c>
      <c r="AB1429" s="12" t="s">
        <v>6613</v>
      </c>
      <c r="AC1429" s="12" t="s">
        <v>6613</v>
      </c>
      <c r="AD1429" s="12" t="s">
        <v>6613</v>
      </c>
      <c r="AE1429" s="12" t="s">
        <v>6613</v>
      </c>
      <c r="AF1429" s="12" t="s">
        <v>45</v>
      </c>
    </row>
    <row r="1430" spans="1:32" x14ac:dyDescent="0.2">
      <c r="A1430" s="12" t="s">
        <v>4343</v>
      </c>
      <c r="B1430" s="12" t="s">
        <v>4344</v>
      </c>
      <c r="C1430" s="12" t="s">
        <v>17</v>
      </c>
      <c r="D1430" s="12" t="s">
        <v>17</v>
      </c>
      <c r="E1430" s="12" t="s">
        <v>7678</v>
      </c>
      <c r="F1430" s="12" t="s">
        <v>5458</v>
      </c>
      <c r="G1430" s="12" t="s">
        <v>615</v>
      </c>
      <c r="H1430" s="12" t="s">
        <v>6613</v>
      </c>
      <c r="I1430" s="12">
        <v>0</v>
      </c>
      <c r="J1430" s="12" t="s">
        <v>164</v>
      </c>
      <c r="K1430" s="12" t="s">
        <v>6646</v>
      </c>
      <c r="L1430" s="12" t="s">
        <v>4271</v>
      </c>
      <c r="M1430" s="12" t="s">
        <v>4271</v>
      </c>
      <c r="N1430" s="12" t="s">
        <v>5785</v>
      </c>
      <c r="O1430" s="12" t="s">
        <v>4272</v>
      </c>
      <c r="P1430" s="12" t="s">
        <v>4273</v>
      </c>
      <c r="Q1430" s="12" t="s">
        <v>6664</v>
      </c>
      <c r="R1430" s="12" t="s">
        <v>17</v>
      </c>
      <c r="S1430" s="12" t="s">
        <v>17</v>
      </c>
      <c r="T1430" s="12" t="s">
        <v>25</v>
      </c>
      <c r="U1430" s="12" t="s">
        <v>17</v>
      </c>
      <c r="V1430" s="12" t="s">
        <v>6639</v>
      </c>
      <c r="W1430" s="12" t="s">
        <v>6639</v>
      </c>
      <c r="X1430" s="12" t="s">
        <v>17</v>
      </c>
      <c r="Y1430" s="12">
        <v>1141811</v>
      </c>
      <c r="Z1430" s="12" t="s">
        <v>6613</v>
      </c>
      <c r="AA1430" s="12" t="s">
        <v>6613</v>
      </c>
      <c r="AB1430" s="12" t="s">
        <v>6613</v>
      </c>
      <c r="AC1430" s="12" t="s">
        <v>6613</v>
      </c>
      <c r="AD1430" s="12" t="s">
        <v>6613</v>
      </c>
      <c r="AE1430" s="12" t="s">
        <v>6613</v>
      </c>
      <c r="AF1430" s="12" t="s">
        <v>45</v>
      </c>
    </row>
    <row r="1431" spans="1:32" x14ac:dyDescent="0.2">
      <c r="A1431" s="12" t="s">
        <v>4422</v>
      </c>
      <c r="B1431" s="12" t="s">
        <v>4423</v>
      </c>
      <c r="C1431" s="12" t="s">
        <v>17</v>
      </c>
      <c r="D1431" s="12" t="s">
        <v>17</v>
      </c>
      <c r="E1431" s="12" t="s">
        <v>7678</v>
      </c>
      <c r="F1431" s="12" t="s">
        <v>5458</v>
      </c>
      <c r="G1431" s="12" t="s">
        <v>615</v>
      </c>
      <c r="H1431" s="12" t="s">
        <v>6613</v>
      </c>
      <c r="I1431" s="12">
        <v>0</v>
      </c>
      <c r="J1431" s="12" t="s">
        <v>164</v>
      </c>
      <c r="K1431" s="12" t="s">
        <v>6646</v>
      </c>
      <c r="L1431" s="12" t="s">
        <v>4271</v>
      </c>
      <c r="M1431" s="12" t="s">
        <v>4271</v>
      </c>
      <c r="N1431" s="12" t="s">
        <v>5785</v>
      </c>
      <c r="O1431" s="12" t="s">
        <v>4272</v>
      </c>
      <c r="P1431" s="12" t="s">
        <v>4273</v>
      </c>
      <c r="Q1431" s="12" t="s">
        <v>6664</v>
      </c>
      <c r="R1431" s="12" t="s">
        <v>17</v>
      </c>
      <c r="S1431" s="12" t="s">
        <v>17</v>
      </c>
      <c r="T1431" s="12" t="s">
        <v>25</v>
      </c>
      <c r="U1431" s="12" t="s">
        <v>17</v>
      </c>
      <c r="V1431" s="12" t="s">
        <v>6639</v>
      </c>
      <c r="W1431" s="12" t="s">
        <v>6639</v>
      </c>
      <c r="X1431" s="12" t="s">
        <v>17</v>
      </c>
      <c r="Y1431" s="12">
        <v>1142090</v>
      </c>
      <c r="Z1431" s="12" t="s">
        <v>6613</v>
      </c>
      <c r="AA1431" s="12" t="s">
        <v>6613</v>
      </c>
      <c r="AB1431" s="12" t="s">
        <v>6613</v>
      </c>
      <c r="AC1431" s="12" t="s">
        <v>6613</v>
      </c>
      <c r="AD1431" s="12" t="s">
        <v>6613</v>
      </c>
      <c r="AE1431" s="12" t="s">
        <v>6613</v>
      </c>
      <c r="AF1431" s="12" t="s">
        <v>45</v>
      </c>
    </row>
    <row r="1432" spans="1:32" x14ac:dyDescent="0.2">
      <c r="A1432" s="12" t="s">
        <v>4438</v>
      </c>
      <c r="B1432" s="12" t="s">
        <v>4439</v>
      </c>
      <c r="C1432" s="12" t="s">
        <v>17</v>
      </c>
      <c r="D1432" s="12" t="s">
        <v>17</v>
      </c>
      <c r="E1432" s="12" t="s">
        <v>7678</v>
      </c>
      <c r="F1432" s="12" t="s">
        <v>5458</v>
      </c>
      <c r="G1432" s="12" t="s">
        <v>615</v>
      </c>
      <c r="H1432" s="12" t="s">
        <v>6613</v>
      </c>
      <c r="I1432" s="12">
        <v>0</v>
      </c>
      <c r="J1432" s="12" t="s">
        <v>164</v>
      </c>
      <c r="K1432" s="12" t="s">
        <v>6646</v>
      </c>
      <c r="L1432" s="12" t="s">
        <v>4271</v>
      </c>
      <c r="M1432" s="12" t="s">
        <v>4271</v>
      </c>
      <c r="N1432" s="12" t="s">
        <v>5785</v>
      </c>
      <c r="O1432" s="12" t="s">
        <v>4272</v>
      </c>
      <c r="P1432" s="12" t="s">
        <v>4273</v>
      </c>
      <c r="Q1432" s="12" t="s">
        <v>6664</v>
      </c>
      <c r="R1432" s="12" t="s">
        <v>17</v>
      </c>
      <c r="S1432" s="12" t="s">
        <v>17</v>
      </c>
      <c r="T1432" s="12" t="s">
        <v>11</v>
      </c>
      <c r="U1432" s="12" t="s">
        <v>17</v>
      </c>
      <c r="V1432" s="12" t="s">
        <v>413</v>
      </c>
      <c r="W1432" s="12" t="s">
        <v>7415</v>
      </c>
      <c r="X1432" s="12" t="s">
        <v>17</v>
      </c>
      <c r="Y1432" s="12">
        <v>1144208</v>
      </c>
      <c r="Z1432" s="12" t="s">
        <v>6613</v>
      </c>
      <c r="AA1432" s="12" t="s">
        <v>6613</v>
      </c>
      <c r="AB1432" s="12" t="s">
        <v>6613</v>
      </c>
      <c r="AC1432" s="12" t="s">
        <v>6613</v>
      </c>
      <c r="AD1432" s="12" t="s">
        <v>6613</v>
      </c>
      <c r="AE1432" s="12" t="s">
        <v>6613</v>
      </c>
      <c r="AF1432" s="12" t="s">
        <v>45</v>
      </c>
    </row>
    <row r="1433" spans="1:32" x14ac:dyDescent="0.2">
      <c r="A1433" s="12" t="s">
        <v>4416</v>
      </c>
      <c r="B1433" s="12" t="s">
        <v>4417</v>
      </c>
      <c r="C1433" s="12" t="s">
        <v>17</v>
      </c>
      <c r="D1433" s="12" t="s">
        <v>17</v>
      </c>
      <c r="E1433" s="12" t="s">
        <v>7678</v>
      </c>
      <c r="F1433" s="12" t="s">
        <v>5458</v>
      </c>
      <c r="G1433" s="12" t="s">
        <v>615</v>
      </c>
      <c r="H1433" s="12" t="s">
        <v>6613</v>
      </c>
      <c r="I1433" s="12">
        <v>0</v>
      </c>
      <c r="J1433" s="12" t="s">
        <v>164</v>
      </c>
      <c r="K1433" s="12" t="s">
        <v>6646</v>
      </c>
      <c r="L1433" s="12" t="s">
        <v>4271</v>
      </c>
      <c r="M1433" s="12" t="s">
        <v>4271</v>
      </c>
      <c r="N1433" s="12" t="s">
        <v>5785</v>
      </c>
      <c r="O1433" s="12" t="s">
        <v>4272</v>
      </c>
      <c r="P1433" s="12" t="s">
        <v>4273</v>
      </c>
      <c r="Q1433" s="12" t="s">
        <v>6664</v>
      </c>
      <c r="R1433" s="12" t="s">
        <v>17</v>
      </c>
      <c r="S1433" s="12" t="s">
        <v>17</v>
      </c>
      <c r="T1433" s="12" t="s">
        <v>25</v>
      </c>
      <c r="U1433" s="12" t="s">
        <v>17</v>
      </c>
      <c r="V1433" s="12" t="s">
        <v>6639</v>
      </c>
      <c r="W1433" s="12" t="s">
        <v>6639</v>
      </c>
      <c r="X1433" s="12" t="s">
        <v>17</v>
      </c>
      <c r="Y1433" s="12">
        <v>1144275</v>
      </c>
      <c r="Z1433" s="12" t="s">
        <v>6613</v>
      </c>
      <c r="AA1433" s="12" t="s">
        <v>6613</v>
      </c>
      <c r="AB1433" s="12" t="s">
        <v>6613</v>
      </c>
      <c r="AC1433" s="12" t="s">
        <v>6613</v>
      </c>
      <c r="AD1433" s="12" t="s">
        <v>6613</v>
      </c>
      <c r="AE1433" s="12" t="s">
        <v>6613</v>
      </c>
      <c r="AF1433" s="12" t="s">
        <v>45</v>
      </c>
    </row>
    <row r="1434" spans="1:32" x14ac:dyDescent="0.2">
      <c r="A1434" s="12" t="s">
        <v>4357</v>
      </c>
      <c r="B1434" s="12" t="s">
        <v>4358</v>
      </c>
      <c r="C1434" s="12" t="s">
        <v>17</v>
      </c>
      <c r="D1434" s="12" t="s">
        <v>17</v>
      </c>
      <c r="E1434" s="12" t="s">
        <v>7678</v>
      </c>
      <c r="F1434" s="12" t="s">
        <v>5458</v>
      </c>
      <c r="G1434" s="12" t="s">
        <v>615</v>
      </c>
      <c r="H1434" s="12" t="s">
        <v>6613</v>
      </c>
      <c r="I1434" s="12">
        <v>0</v>
      </c>
      <c r="J1434" s="12" t="s">
        <v>164</v>
      </c>
      <c r="K1434" s="12" t="s">
        <v>6646</v>
      </c>
      <c r="L1434" s="12" t="s">
        <v>4271</v>
      </c>
      <c r="M1434" s="12" t="s">
        <v>4271</v>
      </c>
      <c r="N1434" s="12" t="s">
        <v>5785</v>
      </c>
      <c r="O1434" s="12" t="s">
        <v>4272</v>
      </c>
      <c r="P1434" s="12" t="s">
        <v>4273</v>
      </c>
      <c r="Q1434" s="12" t="s">
        <v>6664</v>
      </c>
      <c r="R1434" s="16" t="s">
        <v>17</v>
      </c>
      <c r="S1434" s="16" t="s">
        <v>17</v>
      </c>
      <c r="T1434" s="12" t="s">
        <v>25</v>
      </c>
      <c r="U1434" s="12" t="s">
        <v>17</v>
      </c>
      <c r="V1434" s="12" t="s">
        <v>6639</v>
      </c>
      <c r="W1434" s="12" t="s">
        <v>6639</v>
      </c>
      <c r="X1434" s="12" t="s">
        <v>17</v>
      </c>
      <c r="Y1434" s="12">
        <v>1144891</v>
      </c>
      <c r="Z1434" s="12" t="s">
        <v>6613</v>
      </c>
      <c r="AA1434" s="12" t="s">
        <v>6613</v>
      </c>
      <c r="AB1434" s="12" t="s">
        <v>6613</v>
      </c>
      <c r="AC1434" s="12" t="s">
        <v>6613</v>
      </c>
      <c r="AD1434" s="12" t="s">
        <v>6613</v>
      </c>
      <c r="AE1434" s="12" t="s">
        <v>6613</v>
      </c>
      <c r="AF1434" s="12" t="s">
        <v>45</v>
      </c>
    </row>
    <row r="1435" spans="1:32" x14ac:dyDescent="0.2">
      <c r="A1435" s="12" t="s">
        <v>4355</v>
      </c>
      <c r="B1435" s="12" t="s">
        <v>4356</v>
      </c>
      <c r="C1435" s="12" t="s">
        <v>17</v>
      </c>
      <c r="D1435" s="12" t="s">
        <v>17</v>
      </c>
      <c r="E1435" s="12" t="s">
        <v>7678</v>
      </c>
      <c r="F1435" s="12" t="s">
        <v>5458</v>
      </c>
      <c r="G1435" s="12" t="s">
        <v>615</v>
      </c>
      <c r="H1435" s="12" t="s">
        <v>6613</v>
      </c>
      <c r="I1435" s="12">
        <v>0</v>
      </c>
      <c r="J1435" s="12" t="s">
        <v>164</v>
      </c>
      <c r="K1435" s="12" t="s">
        <v>6646</v>
      </c>
      <c r="L1435" s="12" t="s">
        <v>4271</v>
      </c>
      <c r="M1435" s="12" t="s">
        <v>4271</v>
      </c>
      <c r="N1435" s="12" t="s">
        <v>5785</v>
      </c>
      <c r="O1435" s="12" t="s">
        <v>4272</v>
      </c>
      <c r="P1435" s="12" t="s">
        <v>4273</v>
      </c>
      <c r="Q1435" s="12" t="s">
        <v>6664</v>
      </c>
      <c r="R1435" s="12" t="s">
        <v>17</v>
      </c>
      <c r="S1435" s="12" t="s">
        <v>17</v>
      </c>
      <c r="T1435" s="12" t="s">
        <v>25</v>
      </c>
      <c r="U1435" s="12" t="s">
        <v>17</v>
      </c>
      <c r="V1435" s="12" t="s">
        <v>6639</v>
      </c>
      <c r="W1435" s="12" t="s">
        <v>6639</v>
      </c>
      <c r="X1435" s="12" t="s">
        <v>17</v>
      </c>
      <c r="Y1435" s="12">
        <v>1145046</v>
      </c>
      <c r="Z1435" s="12" t="s">
        <v>6613</v>
      </c>
      <c r="AA1435" s="12" t="s">
        <v>6613</v>
      </c>
      <c r="AB1435" s="12" t="s">
        <v>6613</v>
      </c>
      <c r="AC1435" s="12" t="s">
        <v>6613</v>
      </c>
      <c r="AD1435" s="12" t="s">
        <v>6613</v>
      </c>
      <c r="AE1435" s="12" t="s">
        <v>6613</v>
      </c>
      <c r="AF1435" s="12" t="s">
        <v>45</v>
      </c>
    </row>
    <row r="1436" spans="1:32" x14ac:dyDescent="0.2">
      <c r="A1436" s="12" t="s">
        <v>4432</v>
      </c>
      <c r="B1436" s="12" t="s">
        <v>4433</v>
      </c>
      <c r="C1436" s="12" t="s">
        <v>17</v>
      </c>
      <c r="D1436" s="12" t="s">
        <v>17</v>
      </c>
      <c r="E1436" s="12" t="s">
        <v>7678</v>
      </c>
      <c r="F1436" s="12" t="s">
        <v>5458</v>
      </c>
      <c r="G1436" s="12" t="s">
        <v>615</v>
      </c>
      <c r="H1436" s="12" t="s">
        <v>6613</v>
      </c>
      <c r="I1436" s="12">
        <v>0</v>
      </c>
      <c r="J1436" s="12" t="s">
        <v>164</v>
      </c>
      <c r="K1436" s="12" t="s">
        <v>6646</v>
      </c>
      <c r="L1436" s="12" t="s">
        <v>4271</v>
      </c>
      <c r="M1436" s="12" t="s">
        <v>4271</v>
      </c>
      <c r="N1436" s="12" t="s">
        <v>5785</v>
      </c>
      <c r="O1436" s="12" t="s">
        <v>4272</v>
      </c>
      <c r="P1436" s="12" t="s">
        <v>4273</v>
      </c>
      <c r="Q1436" s="12" t="s">
        <v>6664</v>
      </c>
      <c r="R1436" s="12" t="s">
        <v>17</v>
      </c>
      <c r="S1436" s="12" t="s">
        <v>17</v>
      </c>
      <c r="T1436" s="12" t="s">
        <v>11</v>
      </c>
      <c r="U1436" s="12" t="s">
        <v>17</v>
      </c>
      <c r="V1436" s="12" t="s">
        <v>666</v>
      </c>
      <c r="W1436" s="12" t="s">
        <v>7415</v>
      </c>
      <c r="X1436" s="12" t="s">
        <v>17</v>
      </c>
      <c r="Y1436" s="12">
        <v>1146345</v>
      </c>
      <c r="Z1436" s="12" t="s">
        <v>6613</v>
      </c>
      <c r="AA1436" s="12" t="s">
        <v>6613</v>
      </c>
      <c r="AB1436" s="12" t="s">
        <v>6613</v>
      </c>
      <c r="AC1436" s="12" t="s">
        <v>6613</v>
      </c>
      <c r="AD1436" s="12" t="s">
        <v>6613</v>
      </c>
      <c r="AE1436" s="12" t="s">
        <v>6613</v>
      </c>
      <c r="AF1436" s="12" t="s">
        <v>45</v>
      </c>
    </row>
    <row r="1437" spans="1:32" x14ac:dyDescent="0.2">
      <c r="A1437" s="12" t="s">
        <v>4390</v>
      </c>
      <c r="B1437" s="12" t="s">
        <v>4391</v>
      </c>
      <c r="C1437" s="12" t="s">
        <v>17</v>
      </c>
      <c r="D1437" s="12" t="s">
        <v>17</v>
      </c>
      <c r="E1437" s="12" t="s">
        <v>7678</v>
      </c>
      <c r="F1437" s="12" t="s">
        <v>5458</v>
      </c>
      <c r="G1437" s="12" t="s">
        <v>615</v>
      </c>
      <c r="H1437" s="12" t="s">
        <v>6613</v>
      </c>
      <c r="I1437" s="12">
        <v>0</v>
      </c>
      <c r="J1437" s="12" t="s">
        <v>164</v>
      </c>
      <c r="K1437" s="12" t="s">
        <v>6646</v>
      </c>
      <c r="L1437" s="12" t="s">
        <v>4271</v>
      </c>
      <c r="M1437" s="12" t="s">
        <v>4271</v>
      </c>
      <c r="N1437" s="12" t="s">
        <v>5785</v>
      </c>
      <c r="O1437" s="12" t="s">
        <v>4272</v>
      </c>
      <c r="P1437" s="12" t="s">
        <v>4273</v>
      </c>
      <c r="Q1437" s="12" t="s">
        <v>6664</v>
      </c>
      <c r="R1437" s="12" t="s">
        <v>17</v>
      </c>
      <c r="S1437" s="12" t="s">
        <v>17</v>
      </c>
      <c r="T1437" s="12" t="s">
        <v>25</v>
      </c>
      <c r="U1437" s="12" t="s">
        <v>17</v>
      </c>
      <c r="V1437" s="12" t="s">
        <v>6639</v>
      </c>
      <c r="W1437" s="12" t="s">
        <v>6639</v>
      </c>
      <c r="X1437" s="12" t="s">
        <v>17</v>
      </c>
      <c r="Y1437" s="12">
        <v>1146459</v>
      </c>
      <c r="Z1437" s="12" t="s">
        <v>6613</v>
      </c>
      <c r="AA1437" s="12" t="s">
        <v>6613</v>
      </c>
      <c r="AB1437" s="12" t="s">
        <v>6613</v>
      </c>
      <c r="AC1437" s="12" t="s">
        <v>6613</v>
      </c>
      <c r="AD1437" s="12" t="s">
        <v>6613</v>
      </c>
      <c r="AE1437" s="12" t="s">
        <v>6613</v>
      </c>
      <c r="AF1437" s="12" t="s">
        <v>45</v>
      </c>
    </row>
    <row r="1438" spans="1:32" x14ac:dyDescent="0.2">
      <c r="A1438" s="12" t="s">
        <v>4300</v>
      </c>
      <c r="B1438" s="12" t="s">
        <v>4301</v>
      </c>
      <c r="C1438" s="12" t="s">
        <v>17</v>
      </c>
      <c r="D1438" s="12" t="s">
        <v>17</v>
      </c>
      <c r="E1438" s="12" t="s">
        <v>7678</v>
      </c>
      <c r="F1438" s="12" t="s">
        <v>5458</v>
      </c>
      <c r="G1438" s="12" t="s">
        <v>615</v>
      </c>
      <c r="H1438" s="12" t="s">
        <v>6613</v>
      </c>
      <c r="I1438" s="12">
        <v>0</v>
      </c>
      <c r="J1438" s="12" t="s">
        <v>164</v>
      </c>
      <c r="K1438" s="12" t="s">
        <v>6646</v>
      </c>
      <c r="L1438" s="12" t="s">
        <v>4271</v>
      </c>
      <c r="M1438" s="12" t="s">
        <v>4271</v>
      </c>
      <c r="N1438" s="12" t="s">
        <v>5785</v>
      </c>
      <c r="O1438" s="12" t="s">
        <v>4272</v>
      </c>
      <c r="P1438" s="12" t="s">
        <v>4273</v>
      </c>
      <c r="Q1438" s="12" t="s">
        <v>6664</v>
      </c>
      <c r="R1438" s="12" t="s">
        <v>17</v>
      </c>
      <c r="S1438" s="12" t="s">
        <v>17</v>
      </c>
      <c r="T1438" s="12" t="s">
        <v>25</v>
      </c>
      <c r="U1438" s="12" t="s">
        <v>17</v>
      </c>
      <c r="V1438" s="12" t="s">
        <v>6639</v>
      </c>
      <c r="W1438" s="12" t="s">
        <v>6639</v>
      </c>
      <c r="X1438" s="12" t="s">
        <v>17</v>
      </c>
      <c r="Y1438" s="12">
        <v>1146696</v>
      </c>
      <c r="Z1438" s="12" t="s">
        <v>6613</v>
      </c>
      <c r="AA1438" s="12" t="s">
        <v>6613</v>
      </c>
      <c r="AB1438" s="12" t="s">
        <v>6613</v>
      </c>
      <c r="AC1438" s="12" t="s">
        <v>6613</v>
      </c>
      <c r="AD1438" s="12" t="s">
        <v>6613</v>
      </c>
      <c r="AE1438" s="12" t="s">
        <v>6613</v>
      </c>
      <c r="AF1438" s="12" t="s">
        <v>45</v>
      </c>
    </row>
    <row r="1439" spans="1:32" x14ac:dyDescent="0.2">
      <c r="A1439" s="12" t="s">
        <v>4426</v>
      </c>
      <c r="B1439" s="12" t="s">
        <v>4427</v>
      </c>
      <c r="C1439" s="12" t="s">
        <v>17</v>
      </c>
      <c r="D1439" s="12" t="s">
        <v>17</v>
      </c>
      <c r="E1439" s="12" t="s">
        <v>7678</v>
      </c>
      <c r="F1439" s="12" t="s">
        <v>5458</v>
      </c>
      <c r="G1439" s="12" t="s">
        <v>615</v>
      </c>
      <c r="H1439" s="12" t="s">
        <v>6613</v>
      </c>
      <c r="I1439" s="12">
        <v>0</v>
      </c>
      <c r="J1439" s="12" t="s">
        <v>164</v>
      </c>
      <c r="K1439" s="12" t="s">
        <v>6646</v>
      </c>
      <c r="L1439" s="12" t="s">
        <v>4271</v>
      </c>
      <c r="M1439" s="12" t="s">
        <v>4271</v>
      </c>
      <c r="N1439" s="12" t="s">
        <v>5785</v>
      </c>
      <c r="O1439" s="12" t="s">
        <v>4272</v>
      </c>
      <c r="P1439" s="12" t="s">
        <v>4273</v>
      </c>
      <c r="Q1439" s="12" t="s">
        <v>6664</v>
      </c>
      <c r="R1439" s="12" t="s">
        <v>17</v>
      </c>
      <c r="S1439" s="12" t="s">
        <v>17</v>
      </c>
      <c r="T1439" s="12" t="s">
        <v>25</v>
      </c>
      <c r="U1439" s="12" t="s">
        <v>17</v>
      </c>
      <c r="V1439" s="12" t="s">
        <v>6639</v>
      </c>
      <c r="W1439" s="12" t="s">
        <v>6639</v>
      </c>
      <c r="X1439" s="12" t="s">
        <v>17</v>
      </c>
      <c r="Y1439" s="12">
        <v>1147004</v>
      </c>
      <c r="Z1439" s="12" t="s">
        <v>6613</v>
      </c>
      <c r="AA1439" s="12" t="s">
        <v>6613</v>
      </c>
      <c r="AB1439" s="12" t="s">
        <v>6613</v>
      </c>
      <c r="AC1439" s="12" t="s">
        <v>6613</v>
      </c>
      <c r="AD1439" s="12" t="s">
        <v>6613</v>
      </c>
      <c r="AE1439" s="12" t="s">
        <v>6613</v>
      </c>
      <c r="AF1439" s="12" t="s">
        <v>45</v>
      </c>
    </row>
    <row r="1440" spans="1:32" x14ac:dyDescent="0.2">
      <c r="A1440" s="12" t="s">
        <v>4382</v>
      </c>
      <c r="B1440" s="12" t="s">
        <v>4383</v>
      </c>
      <c r="C1440" s="12" t="s">
        <v>17</v>
      </c>
      <c r="D1440" s="12" t="s">
        <v>17</v>
      </c>
      <c r="E1440" s="12" t="s">
        <v>7678</v>
      </c>
      <c r="F1440" s="12" t="s">
        <v>5458</v>
      </c>
      <c r="G1440" s="12" t="s">
        <v>615</v>
      </c>
      <c r="H1440" s="12" t="s">
        <v>6613</v>
      </c>
      <c r="I1440" s="12">
        <v>0</v>
      </c>
      <c r="J1440" s="12" t="s">
        <v>164</v>
      </c>
      <c r="K1440" s="12" t="s">
        <v>6646</v>
      </c>
      <c r="L1440" s="12" t="s">
        <v>4271</v>
      </c>
      <c r="M1440" s="12" t="s">
        <v>4271</v>
      </c>
      <c r="N1440" s="12" t="s">
        <v>5785</v>
      </c>
      <c r="O1440" s="12" t="s">
        <v>4272</v>
      </c>
      <c r="P1440" s="12" t="s">
        <v>4273</v>
      </c>
      <c r="Q1440" s="12" t="s">
        <v>6664</v>
      </c>
      <c r="R1440" s="12" t="s">
        <v>17</v>
      </c>
      <c r="S1440" s="12" t="s">
        <v>17</v>
      </c>
      <c r="T1440" s="12" t="s">
        <v>25</v>
      </c>
      <c r="U1440" s="12" t="s">
        <v>17</v>
      </c>
      <c r="V1440" s="12" t="s">
        <v>6639</v>
      </c>
      <c r="W1440" s="12" t="s">
        <v>6639</v>
      </c>
      <c r="X1440" s="12" t="s">
        <v>17</v>
      </c>
      <c r="Y1440" s="12">
        <v>1147296</v>
      </c>
      <c r="Z1440" s="12" t="s">
        <v>6613</v>
      </c>
      <c r="AA1440" s="12" t="s">
        <v>6613</v>
      </c>
      <c r="AB1440" s="12" t="s">
        <v>6613</v>
      </c>
      <c r="AC1440" s="12" t="s">
        <v>6613</v>
      </c>
      <c r="AD1440" s="12" t="s">
        <v>6613</v>
      </c>
      <c r="AE1440" s="12" t="s">
        <v>6613</v>
      </c>
      <c r="AF1440" s="12" t="s">
        <v>45</v>
      </c>
    </row>
    <row r="1441" spans="1:32" x14ac:dyDescent="0.2">
      <c r="A1441" s="12" t="s">
        <v>4394</v>
      </c>
      <c r="B1441" s="12" t="s">
        <v>4395</v>
      </c>
      <c r="C1441" s="12" t="s">
        <v>17</v>
      </c>
      <c r="D1441" s="12" t="s">
        <v>17</v>
      </c>
      <c r="E1441" s="12" t="s">
        <v>7678</v>
      </c>
      <c r="F1441" s="12" t="s">
        <v>5458</v>
      </c>
      <c r="G1441" s="12" t="s">
        <v>615</v>
      </c>
      <c r="H1441" s="12" t="s">
        <v>6613</v>
      </c>
      <c r="I1441" s="12">
        <v>0</v>
      </c>
      <c r="J1441" s="12" t="s">
        <v>164</v>
      </c>
      <c r="K1441" s="12" t="s">
        <v>6646</v>
      </c>
      <c r="L1441" s="12" t="s">
        <v>4271</v>
      </c>
      <c r="M1441" s="12" t="s">
        <v>4271</v>
      </c>
      <c r="N1441" s="12" t="s">
        <v>5785</v>
      </c>
      <c r="O1441" s="12" t="s">
        <v>4272</v>
      </c>
      <c r="P1441" s="12" t="s">
        <v>4273</v>
      </c>
      <c r="Q1441" s="12" t="s">
        <v>6664</v>
      </c>
      <c r="R1441" s="12" t="s">
        <v>17</v>
      </c>
      <c r="S1441" s="12" t="s">
        <v>17</v>
      </c>
      <c r="T1441" s="12" t="s">
        <v>25</v>
      </c>
      <c r="U1441" s="12" t="s">
        <v>17</v>
      </c>
      <c r="V1441" s="12" t="s">
        <v>6639</v>
      </c>
      <c r="W1441" s="12" t="s">
        <v>6639</v>
      </c>
      <c r="X1441" s="12" t="s">
        <v>17</v>
      </c>
      <c r="Y1441" s="12">
        <v>1147761</v>
      </c>
      <c r="Z1441" s="12" t="s">
        <v>6613</v>
      </c>
      <c r="AA1441" s="12" t="s">
        <v>6613</v>
      </c>
      <c r="AB1441" s="12" t="s">
        <v>6613</v>
      </c>
      <c r="AC1441" s="12" t="s">
        <v>6613</v>
      </c>
      <c r="AD1441" s="12" t="s">
        <v>6613</v>
      </c>
      <c r="AE1441" s="12" t="s">
        <v>6613</v>
      </c>
      <c r="AF1441" s="12" t="s">
        <v>45</v>
      </c>
    </row>
    <row r="1442" spans="1:32" x14ac:dyDescent="0.2">
      <c r="A1442" s="12" t="s">
        <v>4479</v>
      </c>
      <c r="B1442" s="12" t="s">
        <v>4480</v>
      </c>
      <c r="C1442" s="12" t="s">
        <v>17</v>
      </c>
      <c r="D1442" s="12" t="s">
        <v>17</v>
      </c>
      <c r="E1442" s="12" t="s">
        <v>7678</v>
      </c>
      <c r="F1442" s="12" t="s">
        <v>5458</v>
      </c>
      <c r="G1442" s="12" t="s">
        <v>615</v>
      </c>
      <c r="H1442" s="12" t="s">
        <v>6613</v>
      </c>
      <c r="I1442" s="12">
        <v>0</v>
      </c>
      <c r="J1442" s="12" t="s">
        <v>164</v>
      </c>
      <c r="K1442" s="12" t="s">
        <v>6646</v>
      </c>
      <c r="L1442" s="12" t="s">
        <v>4271</v>
      </c>
      <c r="M1442" s="12" t="s">
        <v>4271</v>
      </c>
      <c r="N1442" s="12" t="s">
        <v>5785</v>
      </c>
      <c r="O1442" s="12" t="s">
        <v>4272</v>
      </c>
      <c r="P1442" s="12" t="s">
        <v>4273</v>
      </c>
      <c r="Q1442" s="12" t="s">
        <v>6664</v>
      </c>
      <c r="R1442" s="12" t="s">
        <v>17</v>
      </c>
      <c r="S1442" s="12" t="s">
        <v>17</v>
      </c>
      <c r="T1442" s="12" t="s">
        <v>25</v>
      </c>
      <c r="U1442" s="12" t="s">
        <v>17</v>
      </c>
      <c r="V1442" s="12" t="s">
        <v>6639</v>
      </c>
      <c r="W1442" s="12" t="s">
        <v>6639</v>
      </c>
      <c r="X1442" s="12" t="s">
        <v>17</v>
      </c>
      <c r="Y1442" s="12">
        <v>1148158</v>
      </c>
      <c r="Z1442" s="12" t="s">
        <v>6613</v>
      </c>
      <c r="AA1442" s="12" t="s">
        <v>6613</v>
      </c>
      <c r="AB1442" s="12" t="s">
        <v>6613</v>
      </c>
      <c r="AC1442" s="12" t="s">
        <v>6613</v>
      </c>
      <c r="AD1442" s="12" t="s">
        <v>6613</v>
      </c>
      <c r="AE1442" s="12" t="s">
        <v>6613</v>
      </c>
      <c r="AF1442" s="12" t="s">
        <v>45</v>
      </c>
    </row>
    <row r="1443" spans="1:32" x14ac:dyDescent="0.2">
      <c r="A1443" s="12" t="s">
        <v>4386</v>
      </c>
      <c r="B1443" s="12" t="s">
        <v>4387</v>
      </c>
      <c r="C1443" s="12" t="s">
        <v>17</v>
      </c>
      <c r="D1443" s="12" t="s">
        <v>17</v>
      </c>
      <c r="E1443" s="12" t="s">
        <v>7678</v>
      </c>
      <c r="F1443" s="12" t="s">
        <v>5458</v>
      </c>
      <c r="G1443" s="12" t="s">
        <v>615</v>
      </c>
      <c r="H1443" s="12" t="s">
        <v>6613</v>
      </c>
      <c r="I1443" s="12">
        <v>0</v>
      </c>
      <c r="J1443" s="12" t="s">
        <v>164</v>
      </c>
      <c r="K1443" s="12" t="s">
        <v>6646</v>
      </c>
      <c r="L1443" s="12" t="s">
        <v>4271</v>
      </c>
      <c r="M1443" s="12" t="s">
        <v>4271</v>
      </c>
      <c r="N1443" s="12" t="s">
        <v>5785</v>
      </c>
      <c r="O1443" s="12" t="s">
        <v>4272</v>
      </c>
      <c r="P1443" s="12" t="s">
        <v>4273</v>
      </c>
      <c r="Q1443" s="12" t="s">
        <v>6664</v>
      </c>
      <c r="R1443" s="12" t="s">
        <v>17</v>
      </c>
      <c r="S1443" s="12" t="s">
        <v>17</v>
      </c>
      <c r="T1443" s="12" t="s">
        <v>25</v>
      </c>
      <c r="U1443" s="12" t="s">
        <v>17</v>
      </c>
      <c r="V1443" s="12" t="s">
        <v>6639</v>
      </c>
      <c r="W1443" s="12" t="s">
        <v>6639</v>
      </c>
      <c r="X1443" s="12" t="s">
        <v>17</v>
      </c>
      <c r="Y1443" s="12">
        <v>1148834</v>
      </c>
      <c r="Z1443" s="12" t="s">
        <v>6613</v>
      </c>
      <c r="AA1443" s="12" t="s">
        <v>6613</v>
      </c>
      <c r="AB1443" s="12" t="s">
        <v>6613</v>
      </c>
      <c r="AC1443" s="12" t="s">
        <v>6613</v>
      </c>
      <c r="AD1443" s="12" t="s">
        <v>6613</v>
      </c>
      <c r="AE1443" s="12" t="s">
        <v>6613</v>
      </c>
      <c r="AF1443" s="12" t="s">
        <v>45</v>
      </c>
    </row>
    <row r="1444" spans="1:32" x14ac:dyDescent="0.2">
      <c r="A1444" s="12" t="s">
        <v>4434</v>
      </c>
      <c r="B1444" s="12" t="s">
        <v>4435</v>
      </c>
      <c r="C1444" s="12" t="s">
        <v>17</v>
      </c>
      <c r="D1444" s="12" t="s">
        <v>17</v>
      </c>
      <c r="E1444" s="12" t="s">
        <v>7678</v>
      </c>
      <c r="F1444" s="12" t="s">
        <v>5458</v>
      </c>
      <c r="G1444" s="12" t="s">
        <v>615</v>
      </c>
      <c r="H1444" s="12" t="s">
        <v>6613</v>
      </c>
      <c r="I1444" s="12">
        <v>0</v>
      </c>
      <c r="J1444" s="12" t="s">
        <v>164</v>
      </c>
      <c r="K1444" s="12" t="s">
        <v>6646</v>
      </c>
      <c r="L1444" s="12" t="s">
        <v>4271</v>
      </c>
      <c r="M1444" s="12" t="s">
        <v>4271</v>
      </c>
      <c r="N1444" s="12" t="s">
        <v>5785</v>
      </c>
      <c r="O1444" s="12" t="s">
        <v>4272</v>
      </c>
      <c r="P1444" s="12" t="s">
        <v>4273</v>
      </c>
      <c r="Q1444" s="12" t="s">
        <v>6664</v>
      </c>
      <c r="R1444" s="12" t="s">
        <v>17</v>
      </c>
      <c r="S1444" s="12" t="s">
        <v>17</v>
      </c>
      <c r="T1444" s="12" t="s">
        <v>25</v>
      </c>
      <c r="U1444" s="12" t="s">
        <v>17</v>
      </c>
      <c r="V1444" s="12" t="s">
        <v>6639</v>
      </c>
      <c r="W1444" s="12" t="s">
        <v>6639</v>
      </c>
      <c r="X1444" s="12" t="s">
        <v>17</v>
      </c>
      <c r="Y1444" s="12">
        <v>1148946</v>
      </c>
      <c r="Z1444" s="12" t="s">
        <v>6613</v>
      </c>
      <c r="AA1444" s="12" t="s">
        <v>6613</v>
      </c>
      <c r="AB1444" s="12" t="s">
        <v>6613</v>
      </c>
      <c r="AC1444" s="12" t="s">
        <v>6613</v>
      </c>
      <c r="AD1444" s="12" t="s">
        <v>6613</v>
      </c>
      <c r="AE1444" s="12" t="s">
        <v>6613</v>
      </c>
      <c r="AF1444" s="12" t="s">
        <v>45</v>
      </c>
    </row>
    <row r="1445" spans="1:32" x14ac:dyDescent="0.2">
      <c r="A1445" s="12" t="s">
        <v>4384</v>
      </c>
      <c r="B1445" s="12" t="s">
        <v>4385</v>
      </c>
      <c r="C1445" s="12" t="s">
        <v>17</v>
      </c>
      <c r="D1445" s="12" t="s">
        <v>17</v>
      </c>
      <c r="E1445" s="12" t="s">
        <v>7678</v>
      </c>
      <c r="F1445" s="12" t="s">
        <v>5458</v>
      </c>
      <c r="G1445" s="12" t="s">
        <v>615</v>
      </c>
      <c r="H1445" s="12" t="s">
        <v>6613</v>
      </c>
      <c r="I1445" s="12">
        <v>0</v>
      </c>
      <c r="J1445" s="12" t="s">
        <v>164</v>
      </c>
      <c r="K1445" s="12" t="s">
        <v>6646</v>
      </c>
      <c r="L1445" s="12" t="s">
        <v>4271</v>
      </c>
      <c r="M1445" s="12" t="s">
        <v>4271</v>
      </c>
      <c r="N1445" s="12" t="s">
        <v>5785</v>
      </c>
      <c r="O1445" s="12" t="s">
        <v>4272</v>
      </c>
      <c r="P1445" s="12" t="s">
        <v>4273</v>
      </c>
      <c r="Q1445" s="12" t="s">
        <v>6664</v>
      </c>
      <c r="R1445" s="12" t="s">
        <v>17</v>
      </c>
      <c r="S1445" s="12" t="s">
        <v>17</v>
      </c>
      <c r="T1445" s="12" t="s">
        <v>25</v>
      </c>
      <c r="U1445" s="12" t="s">
        <v>17</v>
      </c>
      <c r="V1445" s="12" t="s">
        <v>6639</v>
      </c>
      <c r="W1445" s="12" t="s">
        <v>6639</v>
      </c>
      <c r="X1445" s="12" t="s">
        <v>17</v>
      </c>
      <c r="Y1445" s="12">
        <v>1149013</v>
      </c>
      <c r="Z1445" s="12" t="s">
        <v>6613</v>
      </c>
      <c r="AA1445" s="12" t="s">
        <v>6613</v>
      </c>
      <c r="AB1445" s="12" t="s">
        <v>6613</v>
      </c>
      <c r="AC1445" s="12" t="s">
        <v>6613</v>
      </c>
      <c r="AD1445" s="12" t="s">
        <v>6613</v>
      </c>
      <c r="AE1445" s="12" t="s">
        <v>6613</v>
      </c>
      <c r="AF1445" s="12" t="s">
        <v>45</v>
      </c>
    </row>
    <row r="1446" spans="1:32" x14ac:dyDescent="0.2">
      <c r="A1446" s="12" t="s">
        <v>4284</v>
      </c>
      <c r="B1446" s="12" t="s">
        <v>4285</v>
      </c>
      <c r="C1446" s="12" t="s">
        <v>17</v>
      </c>
      <c r="D1446" s="12" t="s">
        <v>17</v>
      </c>
      <c r="E1446" s="12" t="s">
        <v>7678</v>
      </c>
      <c r="F1446" s="12" t="s">
        <v>5458</v>
      </c>
      <c r="G1446" s="12" t="s">
        <v>615</v>
      </c>
      <c r="H1446" s="12" t="s">
        <v>6613</v>
      </c>
      <c r="I1446" s="12">
        <v>0</v>
      </c>
      <c r="J1446" s="12" t="s">
        <v>164</v>
      </c>
      <c r="K1446" s="12" t="s">
        <v>6646</v>
      </c>
      <c r="L1446" s="12" t="s">
        <v>4271</v>
      </c>
      <c r="M1446" s="12" t="s">
        <v>4271</v>
      </c>
      <c r="N1446" s="12" t="s">
        <v>5785</v>
      </c>
      <c r="O1446" s="12" t="s">
        <v>4272</v>
      </c>
      <c r="P1446" s="12" t="s">
        <v>4273</v>
      </c>
      <c r="Q1446" s="12" t="s">
        <v>6664</v>
      </c>
      <c r="R1446" s="12" t="s">
        <v>17</v>
      </c>
      <c r="S1446" s="12" t="s">
        <v>17</v>
      </c>
      <c r="T1446" s="12" t="s">
        <v>25</v>
      </c>
      <c r="U1446" s="12" t="s">
        <v>17</v>
      </c>
      <c r="V1446" s="12" t="s">
        <v>6639</v>
      </c>
      <c r="W1446" s="12" t="s">
        <v>6639</v>
      </c>
      <c r="X1446" s="12" t="s">
        <v>17</v>
      </c>
      <c r="Y1446" s="12">
        <v>1149502</v>
      </c>
      <c r="Z1446" s="12" t="s">
        <v>6613</v>
      </c>
      <c r="AA1446" s="12" t="s">
        <v>6613</v>
      </c>
      <c r="AB1446" s="12" t="s">
        <v>6613</v>
      </c>
      <c r="AC1446" s="12" t="s">
        <v>6613</v>
      </c>
      <c r="AD1446" s="12" t="s">
        <v>6613</v>
      </c>
      <c r="AE1446" s="12" t="s">
        <v>6613</v>
      </c>
      <c r="AF1446" s="12" t="s">
        <v>45</v>
      </c>
    </row>
    <row r="1447" spans="1:32" x14ac:dyDescent="0.2">
      <c r="A1447" s="12" t="s">
        <v>4406</v>
      </c>
      <c r="B1447" s="12" t="s">
        <v>4407</v>
      </c>
      <c r="C1447" s="12" t="s">
        <v>17</v>
      </c>
      <c r="D1447" s="12" t="s">
        <v>17</v>
      </c>
      <c r="E1447" s="12" t="s">
        <v>7678</v>
      </c>
      <c r="F1447" s="12" t="s">
        <v>5458</v>
      </c>
      <c r="G1447" s="12" t="s">
        <v>615</v>
      </c>
      <c r="H1447" s="12" t="s">
        <v>6613</v>
      </c>
      <c r="I1447" s="12">
        <v>0</v>
      </c>
      <c r="J1447" s="12" t="s">
        <v>164</v>
      </c>
      <c r="K1447" s="12" t="s">
        <v>6646</v>
      </c>
      <c r="L1447" s="12" t="s">
        <v>4271</v>
      </c>
      <c r="M1447" s="12" t="s">
        <v>4271</v>
      </c>
      <c r="N1447" s="12" t="s">
        <v>5785</v>
      </c>
      <c r="O1447" s="12" t="s">
        <v>4272</v>
      </c>
      <c r="P1447" s="12" t="s">
        <v>4273</v>
      </c>
      <c r="Q1447" s="12" t="s">
        <v>6664</v>
      </c>
      <c r="R1447" s="12" t="s">
        <v>17</v>
      </c>
      <c r="S1447" s="12" t="s">
        <v>17</v>
      </c>
      <c r="T1447" s="12" t="s">
        <v>25</v>
      </c>
      <c r="U1447" s="12" t="s">
        <v>17</v>
      </c>
      <c r="V1447" s="12" t="s">
        <v>6639</v>
      </c>
      <c r="W1447" s="12" t="s">
        <v>6639</v>
      </c>
      <c r="X1447" s="12" t="s">
        <v>17</v>
      </c>
      <c r="Y1447" s="12">
        <v>1149770</v>
      </c>
      <c r="Z1447" s="12" t="s">
        <v>6613</v>
      </c>
      <c r="AA1447" s="12" t="s">
        <v>6613</v>
      </c>
      <c r="AB1447" s="12" t="s">
        <v>6613</v>
      </c>
      <c r="AC1447" s="12" t="s">
        <v>6613</v>
      </c>
      <c r="AD1447" s="12" t="s">
        <v>6613</v>
      </c>
      <c r="AE1447" s="12" t="s">
        <v>6613</v>
      </c>
      <c r="AF1447" s="12" t="s">
        <v>45</v>
      </c>
    </row>
    <row r="1448" spans="1:32" x14ac:dyDescent="0.2">
      <c r="A1448" s="12" t="s">
        <v>4420</v>
      </c>
      <c r="B1448" s="12" t="s">
        <v>4421</v>
      </c>
      <c r="C1448" s="12" t="s">
        <v>17</v>
      </c>
      <c r="D1448" s="12" t="s">
        <v>17</v>
      </c>
      <c r="E1448" s="12" t="s">
        <v>7678</v>
      </c>
      <c r="F1448" s="12" t="s">
        <v>5458</v>
      </c>
      <c r="G1448" s="12" t="s">
        <v>615</v>
      </c>
      <c r="H1448" s="12" t="s">
        <v>6613</v>
      </c>
      <c r="I1448" s="12">
        <v>0</v>
      </c>
      <c r="J1448" s="12" t="s">
        <v>164</v>
      </c>
      <c r="K1448" s="12" t="s">
        <v>6646</v>
      </c>
      <c r="L1448" s="12" t="s">
        <v>4271</v>
      </c>
      <c r="M1448" s="12" t="s">
        <v>4271</v>
      </c>
      <c r="N1448" s="12" t="s">
        <v>5785</v>
      </c>
      <c r="O1448" s="12" t="s">
        <v>4272</v>
      </c>
      <c r="P1448" s="12" t="s">
        <v>4273</v>
      </c>
      <c r="Q1448" s="12" t="s">
        <v>6664</v>
      </c>
      <c r="R1448" s="12" t="s">
        <v>17</v>
      </c>
      <c r="S1448" s="12" t="s">
        <v>17</v>
      </c>
      <c r="T1448" s="12" t="s">
        <v>25</v>
      </c>
      <c r="U1448" s="12" t="s">
        <v>17</v>
      </c>
      <c r="V1448" s="12" t="s">
        <v>6639</v>
      </c>
      <c r="W1448" s="12" t="s">
        <v>6639</v>
      </c>
      <c r="X1448" s="12" t="s">
        <v>17</v>
      </c>
      <c r="Y1448" s="12">
        <v>1149778</v>
      </c>
      <c r="Z1448" s="12" t="s">
        <v>6613</v>
      </c>
      <c r="AA1448" s="12" t="s">
        <v>6613</v>
      </c>
      <c r="AB1448" s="12" t="s">
        <v>6613</v>
      </c>
      <c r="AC1448" s="12" t="s">
        <v>6613</v>
      </c>
      <c r="AD1448" s="12" t="s">
        <v>6613</v>
      </c>
      <c r="AE1448" s="12" t="s">
        <v>6613</v>
      </c>
      <c r="AF1448" s="12" t="s">
        <v>45</v>
      </c>
    </row>
    <row r="1449" spans="1:32" x14ac:dyDescent="0.2">
      <c r="A1449" s="12" t="s">
        <v>4306</v>
      </c>
      <c r="B1449" s="12" t="s">
        <v>4307</v>
      </c>
      <c r="C1449" s="12" t="s">
        <v>17</v>
      </c>
      <c r="D1449" s="12" t="s">
        <v>17</v>
      </c>
      <c r="E1449" s="12" t="s">
        <v>7678</v>
      </c>
      <c r="F1449" s="12" t="s">
        <v>5458</v>
      </c>
      <c r="G1449" s="12" t="s">
        <v>615</v>
      </c>
      <c r="H1449" s="12" t="s">
        <v>6613</v>
      </c>
      <c r="I1449" s="12">
        <v>0</v>
      </c>
      <c r="J1449" s="12" t="s">
        <v>164</v>
      </c>
      <c r="K1449" s="12" t="s">
        <v>6646</v>
      </c>
      <c r="L1449" s="12" t="s">
        <v>4271</v>
      </c>
      <c r="M1449" s="12" t="s">
        <v>4271</v>
      </c>
      <c r="N1449" s="12" t="s">
        <v>5785</v>
      </c>
      <c r="O1449" s="12" t="s">
        <v>4272</v>
      </c>
      <c r="P1449" s="12" t="s">
        <v>4273</v>
      </c>
      <c r="Q1449" s="12" t="s">
        <v>6664</v>
      </c>
      <c r="R1449" s="12" t="s">
        <v>17</v>
      </c>
      <c r="S1449" s="12" t="s">
        <v>17</v>
      </c>
      <c r="T1449" s="12" t="s">
        <v>25</v>
      </c>
      <c r="U1449" s="12" t="s">
        <v>17</v>
      </c>
      <c r="V1449" s="12" t="s">
        <v>6639</v>
      </c>
      <c r="W1449" s="12" t="s">
        <v>6639</v>
      </c>
      <c r="X1449" s="12" t="s">
        <v>17</v>
      </c>
      <c r="Y1449" s="12">
        <v>1149842</v>
      </c>
      <c r="Z1449" s="12" t="s">
        <v>6613</v>
      </c>
      <c r="AA1449" s="12" t="s">
        <v>6613</v>
      </c>
      <c r="AB1449" s="12" t="s">
        <v>6613</v>
      </c>
      <c r="AC1449" s="12" t="s">
        <v>6613</v>
      </c>
      <c r="AD1449" s="12" t="s">
        <v>6613</v>
      </c>
      <c r="AE1449" s="12" t="s">
        <v>6613</v>
      </c>
      <c r="AF1449" s="12" t="s">
        <v>45</v>
      </c>
    </row>
    <row r="1450" spans="1:32" x14ac:dyDescent="0.2">
      <c r="A1450" s="12" t="s">
        <v>4371</v>
      </c>
      <c r="B1450" s="12" t="s">
        <v>4372</v>
      </c>
      <c r="C1450" s="12" t="s">
        <v>17</v>
      </c>
      <c r="D1450" s="12" t="s">
        <v>17</v>
      </c>
      <c r="E1450" s="12" t="s">
        <v>7678</v>
      </c>
      <c r="F1450" s="12" t="s">
        <v>5458</v>
      </c>
      <c r="G1450" s="12" t="s">
        <v>615</v>
      </c>
      <c r="H1450" s="12" t="s">
        <v>6613</v>
      </c>
      <c r="I1450" s="12">
        <v>0</v>
      </c>
      <c r="J1450" s="12" t="s">
        <v>164</v>
      </c>
      <c r="K1450" s="12" t="s">
        <v>6646</v>
      </c>
      <c r="L1450" s="12" t="s">
        <v>4271</v>
      </c>
      <c r="M1450" s="12" t="s">
        <v>4271</v>
      </c>
      <c r="N1450" s="12" t="s">
        <v>5785</v>
      </c>
      <c r="O1450" s="12" t="s">
        <v>4272</v>
      </c>
      <c r="P1450" s="12" t="s">
        <v>4273</v>
      </c>
      <c r="Q1450" s="12" t="s">
        <v>6664</v>
      </c>
      <c r="R1450" s="12" t="s">
        <v>17</v>
      </c>
      <c r="S1450" s="12" t="s">
        <v>17</v>
      </c>
      <c r="T1450" s="12" t="s">
        <v>25</v>
      </c>
      <c r="U1450" s="12" t="s">
        <v>17</v>
      </c>
      <c r="V1450" s="12" t="s">
        <v>6639</v>
      </c>
      <c r="W1450" s="12" t="s">
        <v>6639</v>
      </c>
      <c r="X1450" s="12" t="s">
        <v>17</v>
      </c>
      <c r="Y1450" s="12">
        <v>1149914</v>
      </c>
      <c r="Z1450" s="12" t="s">
        <v>6613</v>
      </c>
      <c r="AA1450" s="12" t="s">
        <v>6613</v>
      </c>
      <c r="AB1450" s="12" t="s">
        <v>6613</v>
      </c>
      <c r="AC1450" s="12" t="s">
        <v>6613</v>
      </c>
      <c r="AD1450" s="12" t="s">
        <v>6613</v>
      </c>
      <c r="AE1450" s="12" t="s">
        <v>6613</v>
      </c>
      <c r="AF1450" s="12" t="s">
        <v>45</v>
      </c>
    </row>
    <row r="1451" spans="1:32" x14ac:dyDescent="0.2">
      <c r="A1451" s="12" t="s">
        <v>4351</v>
      </c>
      <c r="B1451" s="12" t="s">
        <v>4352</v>
      </c>
      <c r="C1451" s="12" t="s">
        <v>17</v>
      </c>
      <c r="D1451" s="12" t="s">
        <v>17</v>
      </c>
      <c r="E1451" s="12" t="s">
        <v>7678</v>
      </c>
      <c r="F1451" s="12" t="s">
        <v>5458</v>
      </c>
      <c r="G1451" s="12" t="s">
        <v>615</v>
      </c>
      <c r="H1451" s="12" t="s">
        <v>6613</v>
      </c>
      <c r="I1451" s="12">
        <v>0</v>
      </c>
      <c r="J1451" s="12" t="s">
        <v>164</v>
      </c>
      <c r="K1451" s="12" t="s">
        <v>6646</v>
      </c>
      <c r="L1451" s="12" t="s">
        <v>4271</v>
      </c>
      <c r="M1451" s="12" t="s">
        <v>4271</v>
      </c>
      <c r="N1451" s="12" t="s">
        <v>5785</v>
      </c>
      <c r="O1451" s="12" t="s">
        <v>4272</v>
      </c>
      <c r="P1451" s="12" t="s">
        <v>4273</v>
      </c>
      <c r="Q1451" s="12" t="s">
        <v>6664</v>
      </c>
      <c r="R1451" s="16" t="s">
        <v>17</v>
      </c>
      <c r="S1451" s="16" t="s">
        <v>17</v>
      </c>
      <c r="T1451" s="12" t="s">
        <v>25</v>
      </c>
      <c r="U1451" s="12" t="s">
        <v>17</v>
      </c>
      <c r="V1451" s="12" t="s">
        <v>6639</v>
      </c>
      <c r="W1451" s="12" t="s">
        <v>6639</v>
      </c>
      <c r="X1451" s="12" t="s">
        <v>17</v>
      </c>
      <c r="Y1451" s="12">
        <v>1149939</v>
      </c>
      <c r="Z1451" s="12" t="s">
        <v>6613</v>
      </c>
      <c r="AA1451" s="12" t="s">
        <v>6613</v>
      </c>
      <c r="AB1451" s="12" t="s">
        <v>6613</v>
      </c>
      <c r="AC1451" s="12" t="s">
        <v>6613</v>
      </c>
      <c r="AD1451" s="12" t="s">
        <v>6613</v>
      </c>
      <c r="AE1451" s="12" t="s">
        <v>6613</v>
      </c>
      <c r="AF1451" s="12" t="s">
        <v>45</v>
      </c>
    </row>
    <row r="1452" spans="1:32" x14ac:dyDescent="0.2">
      <c r="A1452" s="12" t="s">
        <v>4274</v>
      </c>
      <c r="B1452" s="12" t="s">
        <v>4275</v>
      </c>
      <c r="C1452" s="12" t="s">
        <v>17</v>
      </c>
      <c r="D1452" s="12" t="s">
        <v>17</v>
      </c>
      <c r="E1452" s="12" t="s">
        <v>7678</v>
      </c>
      <c r="F1452" s="12" t="s">
        <v>5458</v>
      </c>
      <c r="G1452" s="12" t="s">
        <v>615</v>
      </c>
      <c r="H1452" s="12" t="s">
        <v>6613</v>
      </c>
      <c r="I1452" s="12">
        <v>0</v>
      </c>
      <c r="J1452" s="12" t="s">
        <v>164</v>
      </c>
      <c r="K1452" s="12" t="s">
        <v>6646</v>
      </c>
      <c r="L1452" s="12" t="s">
        <v>4271</v>
      </c>
      <c r="M1452" s="12" t="s">
        <v>4271</v>
      </c>
      <c r="N1452" s="12" t="s">
        <v>5785</v>
      </c>
      <c r="O1452" s="12" t="s">
        <v>4272</v>
      </c>
      <c r="P1452" s="12" t="s">
        <v>4273</v>
      </c>
      <c r="Q1452" s="12" t="s">
        <v>6664</v>
      </c>
      <c r="R1452" s="16" t="s">
        <v>17</v>
      </c>
      <c r="S1452" s="16" t="s">
        <v>17</v>
      </c>
      <c r="T1452" s="12" t="s">
        <v>25</v>
      </c>
      <c r="U1452" s="12" t="s">
        <v>17</v>
      </c>
      <c r="V1452" s="12" t="s">
        <v>6639</v>
      </c>
      <c r="W1452" s="12" t="s">
        <v>6639</v>
      </c>
      <c r="X1452" s="12" t="s">
        <v>17</v>
      </c>
      <c r="Y1452" s="12">
        <v>1149968</v>
      </c>
      <c r="Z1452" s="12" t="s">
        <v>6613</v>
      </c>
      <c r="AA1452" s="12" t="s">
        <v>6613</v>
      </c>
      <c r="AB1452" s="12" t="s">
        <v>6613</v>
      </c>
      <c r="AC1452" s="12" t="s">
        <v>6613</v>
      </c>
      <c r="AD1452" s="12" t="s">
        <v>6613</v>
      </c>
      <c r="AE1452" s="12" t="s">
        <v>6613</v>
      </c>
      <c r="AF1452" s="12" t="s">
        <v>45</v>
      </c>
    </row>
    <row r="1453" spans="1:32" x14ac:dyDescent="0.2">
      <c r="A1453" s="12" t="s">
        <v>4361</v>
      </c>
      <c r="B1453" s="12" t="s">
        <v>4362</v>
      </c>
      <c r="C1453" s="12" t="s">
        <v>17</v>
      </c>
      <c r="D1453" s="12" t="s">
        <v>17</v>
      </c>
      <c r="E1453" s="12" t="s">
        <v>7678</v>
      </c>
      <c r="F1453" s="12" t="s">
        <v>5458</v>
      </c>
      <c r="G1453" s="12" t="s">
        <v>615</v>
      </c>
      <c r="H1453" s="12" t="s">
        <v>6613</v>
      </c>
      <c r="I1453" s="12">
        <v>0</v>
      </c>
      <c r="J1453" s="12" t="s">
        <v>164</v>
      </c>
      <c r="K1453" s="12" t="s">
        <v>6646</v>
      </c>
      <c r="L1453" s="12" t="s">
        <v>4271</v>
      </c>
      <c r="M1453" s="12" t="s">
        <v>4271</v>
      </c>
      <c r="N1453" s="12" t="s">
        <v>5785</v>
      </c>
      <c r="O1453" s="12" t="s">
        <v>4272</v>
      </c>
      <c r="P1453" s="12" t="s">
        <v>4273</v>
      </c>
      <c r="Q1453" s="12" t="s">
        <v>6664</v>
      </c>
      <c r="R1453" s="16" t="s">
        <v>17</v>
      </c>
      <c r="S1453" s="16" t="s">
        <v>17</v>
      </c>
      <c r="T1453" s="12" t="s">
        <v>25</v>
      </c>
      <c r="U1453" s="12" t="s">
        <v>17</v>
      </c>
      <c r="V1453" s="12" t="s">
        <v>6639</v>
      </c>
      <c r="W1453" s="12" t="s">
        <v>6639</v>
      </c>
      <c r="X1453" s="12" t="s">
        <v>17</v>
      </c>
      <c r="Y1453" s="12">
        <v>1150079</v>
      </c>
      <c r="Z1453" s="12" t="s">
        <v>6613</v>
      </c>
      <c r="AA1453" s="12" t="s">
        <v>6613</v>
      </c>
      <c r="AB1453" s="12" t="s">
        <v>6613</v>
      </c>
      <c r="AC1453" s="12" t="s">
        <v>6613</v>
      </c>
      <c r="AD1453" s="12" t="s">
        <v>6613</v>
      </c>
      <c r="AE1453" s="12" t="s">
        <v>6613</v>
      </c>
      <c r="AF1453" s="12" t="s">
        <v>45</v>
      </c>
    </row>
    <row r="1454" spans="1:32" x14ac:dyDescent="0.2">
      <c r="A1454" s="12" t="s">
        <v>4353</v>
      </c>
      <c r="B1454" s="12" t="s">
        <v>4354</v>
      </c>
      <c r="C1454" s="12" t="s">
        <v>17</v>
      </c>
      <c r="D1454" s="12" t="s">
        <v>17</v>
      </c>
      <c r="E1454" s="12" t="s">
        <v>7678</v>
      </c>
      <c r="F1454" s="12" t="s">
        <v>5458</v>
      </c>
      <c r="G1454" s="12" t="s">
        <v>615</v>
      </c>
      <c r="H1454" s="12" t="s">
        <v>6613</v>
      </c>
      <c r="I1454" s="12">
        <v>0</v>
      </c>
      <c r="J1454" s="12" t="s">
        <v>164</v>
      </c>
      <c r="K1454" s="12" t="s">
        <v>6646</v>
      </c>
      <c r="L1454" s="12" t="s">
        <v>4271</v>
      </c>
      <c r="M1454" s="12" t="s">
        <v>4271</v>
      </c>
      <c r="N1454" s="12" t="s">
        <v>5785</v>
      </c>
      <c r="O1454" s="12" t="s">
        <v>4272</v>
      </c>
      <c r="P1454" s="12" t="s">
        <v>4273</v>
      </c>
      <c r="Q1454" s="12" t="s">
        <v>6664</v>
      </c>
      <c r="R1454" s="12" t="s">
        <v>17</v>
      </c>
      <c r="S1454" s="12" t="s">
        <v>17</v>
      </c>
      <c r="T1454" s="12" t="s">
        <v>25</v>
      </c>
      <c r="U1454" s="12" t="s">
        <v>17</v>
      </c>
      <c r="V1454" s="12" t="s">
        <v>6639</v>
      </c>
      <c r="W1454" s="12" t="s">
        <v>6639</v>
      </c>
      <c r="X1454" s="12" t="s">
        <v>17</v>
      </c>
      <c r="Y1454" s="12">
        <v>1150087</v>
      </c>
      <c r="Z1454" s="12" t="s">
        <v>6613</v>
      </c>
      <c r="AA1454" s="12" t="s">
        <v>6613</v>
      </c>
      <c r="AB1454" s="12" t="s">
        <v>6613</v>
      </c>
      <c r="AC1454" s="12" t="s">
        <v>6613</v>
      </c>
      <c r="AD1454" s="12" t="s">
        <v>6613</v>
      </c>
      <c r="AE1454" s="12" t="s">
        <v>6613</v>
      </c>
      <c r="AF1454" s="12" t="s">
        <v>45</v>
      </c>
    </row>
    <row r="1455" spans="1:32" x14ac:dyDescent="0.2">
      <c r="A1455" s="12" t="s">
        <v>4331</v>
      </c>
      <c r="B1455" s="12" t="s">
        <v>4332</v>
      </c>
      <c r="C1455" s="12" t="s">
        <v>17</v>
      </c>
      <c r="D1455" s="12" t="s">
        <v>17</v>
      </c>
      <c r="E1455" s="12" t="s">
        <v>7678</v>
      </c>
      <c r="F1455" s="12" t="s">
        <v>5458</v>
      </c>
      <c r="G1455" s="12" t="s">
        <v>615</v>
      </c>
      <c r="H1455" s="12" t="s">
        <v>6613</v>
      </c>
      <c r="I1455" s="12">
        <v>0</v>
      </c>
      <c r="J1455" s="12" t="s">
        <v>164</v>
      </c>
      <c r="K1455" s="12" t="s">
        <v>6646</v>
      </c>
      <c r="L1455" s="12" t="s">
        <v>4271</v>
      </c>
      <c r="M1455" s="12" t="s">
        <v>4271</v>
      </c>
      <c r="N1455" s="12" t="s">
        <v>5785</v>
      </c>
      <c r="O1455" s="12" t="s">
        <v>4272</v>
      </c>
      <c r="P1455" s="12" t="s">
        <v>4273</v>
      </c>
      <c r="Q1455" s="12" t="s">
        <v>6664</v>
      </c>
      <c r="R1455" s="12" t="s">
        <v>17</v>
      </c>
      <c r="S1455" s="12" t="s">
        <v>17</v>
      </c>
      <c r="T1455" s="12" t="s">
        <v>25</v>
      </c>
      <c r="U1455" s="12" t="s">
        <v>17</v>
      </c>
      <c r="V1455" s="12" t="s">
        <v>6639</v>
      </c>
      <c r="W1455" s="12" t="s">
        <v>6639</v>
      </c>
      <c r="X1455" s="12" t="s">
        <v>17</v>
      </c>
      <c r="Y1455" s="12">
        <v>1150292</v>
      </c>
      <c r="Z1455" s="12" t="s">
        <v>6613</v>
      </c>
      <c r="AA1455" s="12" t="s">
        <v>6613</v>
      </c>
      <c r="AB1455" s="12" t="s">
        <v>6613</v>
      </c>
      <c r="AC1455" s="12" t="s">
        <v>6613</v>
      </c>
      <c r="AD1455" s="12" t="s">
        <v>6613</v>
      </c>
      <c r="AE1455" s="12" t="s">
        <v>6613</v>
      </c>
      <c r="AF1455" s="12" t="s">
        <v>45</v>
      </c>
    </row>
    <row r="1456" spans="1:32" x14ac:dyDescent="0.2">
      <c r="A1456" s="12" t="s">
        <v>4292</v>
      </c>
      <c r="B1456" s="12" t="s">
        <v>4293</v>
      </c>
      <c r="C1456" s="12" t="s">
        <v>17</v>
      </c>
      <c r="D1456" s="12" t="s">
        <v>17</v>
      </c>
      <c r="E1456" s="12" t="s">
        <v>7678</v>
      </c>
      <c r="F1456" s="12" t="s">
        <v>5458</v>
      </c>
      <c r="G1456" s="12" t="s">
        <v>615</v>
      </c>
      <c r="H1456" s="12" t="s">
        <v>6613</v>
      </c>
      <c r="I1456" s="12">
        <v>0</v>
      </c>
      <c r="J1456" s="12" t="s">
        <v>164</v>
      </c>
      <c r="K1456" s="12" t="s">
        <v>6646</v>
      </c>
      <c r="L1456" s="12" t="s">
        <v>4271</v>
      </c>
      <c r="M1456" s="12" t="s">
        <v>4271</v>
      </c>
      <c r="N1456" s="12" t="s">
        <v>5785</v>
      </c>
      <c r="O1456" s="12" t="s">
        <v>4272</v>
      </c>
      <c r="P1456" s="12" t="s">
        <v>4273</v>
      </c>
      <c r="Q1456" s="12" t="s">
        <v>6664</v>
      </c>
      <c r="R1456" s="12" t="s">
        <v>17</v>
      </c>
      <c r="S1456" s="12" t="s">
        <v>17</v>
      </c>
      <c r="T1456" s="12" t="s">
        <v>25</v>
      </c>
      <c r="U1456" s="12" t="s">
        <v>17</v>
      </c>
      <c r="V1456" s="12" t="s">
        <v>6639</v>
      </c>
      <c r="W1456" s="12" t="s">
        <v>6639</v>
      </c>
      <c r="X1456" s="12" t="s">
        <v>17</v>
      </c>
      <c r="Y1456" s="12">
        <v>1150349</v>
      </c>
      <c r="Z1456" s="12" t="s">
        <v>6613</v>
      </c>
      <c r="AA1456" s="12" t="s">
        <v>6613</v>
      </c>
      <c r="AB1456" s="12" t="s">
        <v>6613</v>
      </c>
      <c r="AC1456" s="12" t="s">
        <v>6613</v>
      </c>
      <c r="AD1456" s="12" t="s">
        <v>6613</v>
      </c>
      <c r="AE1456" s="12" t="s">
        <v>6613</v>
      </c>
      <c r="AF1456" s="12" t="s">
        <v>45</v>
      </c>
    </row>
    <row r="1457" spans="1:32" x14ac:dyDescent="0.2">
      <c r="A1457" s="12" t="s">
        <v>4269</v>
      </c>
      <c r="B1457" s="12" t="s">
        <v>4270</v>
      </c>
      <c r="C1457" s="12" t="s">
        <v>17</v>
      </c>
      <c r="D1457" s="12" t="s">
        <v>17</v>
      </c>
      <c r="E1457" s="12" t="s">
        <v>7678</v>
      </c>
      <c r="F1457" s="12" t="s">
        <v>5458</v>
      </c>
      <c r="G1457" s="12" t="s">
        <v>615</v>
      </c>
      <c r="H1457" s="12" t="s">
        <v>6613</v>
      </c>
      <c r="I1457" s="12">
        <v>0</v>
      </c>
      <c r="J1457" s="12" t="s">
        <v>164</v>
      </c>
      <c r="K1457" s="12" t="s">
        <v>6646</v>
      </c>
      <c r="L1457" s="12" t="s">
        <v>4271</v>
      </c>
      <c r="M1457" s="12" t="s">
        <v>4271</v>
      </c>
      <c r="N1457" s="12" t="s">
        <v>5785</v>
      </c>
      <c r="O1457" s="12" t="s">
        <v>4272</v>
      </c>
      <c r="P1457" s="12" t="s">
        <v>4273</v>
      </c>
      <c r="Q1457" s="12" t="s">
        <v>6664</v>
      </c>
      <c r="R1457" s="12" t="s">
        <v>17</v>
      </c>
      <c r="S1457" s="12" t="s">
        <v>17</v>
      </c>
      <c r="T1457" s="12" t="s">
        <v>25</v>
      </c>
      <c r="U1457" s="12" t="s">
        <v>17</v>
      </c>
      <c r="V1457" s="12" t="s">
        <v>6639</v>
      </c>
      <c r="W1457" s="12" t="s">
        <v>6639</v>
      </c>
      <c r="X1457" s="12" t="s">
        <v>17</v>
      </c>
      <c r="Y1457" s="12">
        <v>1150427</v>
      </c>
      <c r="Z1457" s="12" t="s">
        <v>6613</v>
      </c>
      <c r="AA1457" s="12" t="s">
        <v>6613</v>
      </c>
      <c r="AB1457" s="12" t="s">
        <v>6613</v>
      </c>
      <c r="AC1457" s="12" t="s">
        <v>6613</v>
      </c>
      <c r="AD1457" s="12" t="s">
        <v>6613</v>
      </c>
      <c r="AE1457" s="12" t="s">
        <v>6613</v>
      </c>
      <c r="AF1457" s="12" t="s">
        <v>45</v>
      </c>
    </row>
    <row r="1458" spans="1:32" x14ac:dyDescent="0.2">
      <c r="A1458" s="12" t="s">
        <v>4347</v>
      </c>
      <c r="B1458" s="12" t="s">
        <v>4348</v>
      </c>
      <c r="C1458" s="12" t="s">
        <v>17</v>
      </c>
      <c r="D1458" s="12" t="s">
        <v>17</v>
      </c>
      <c r="E1458" s="12" t="s">
        <v>7678</v>
      </c>
      <c r="F1458" s="12" t="s">
        <v>5458</v>
      </c>
      <c r="G1458" s="12" t="s">
        <v>615</v>
      </c>
      <c r="H1458" s="12" t="s">
        <v>6613</v>
      </c>
      <c r="I1458" s="12">
        <v>0</v>
      </c>
      <c r="J1458" s="12" t="s">
        <v>164</v>
      </c>
      <c r="K1458" s="12" t="s">
        <v>6646</v>
      </c>
      <c r="L1458" s="12" t="s">
        <v>4271</v>
      </c>
      <c r="M1458" s="12" t="s">
        <v>4271</v>
      </c>
      <c r="N1458" s="12" t="s">
        <v>5785</v>
      </c>
      <c r="O1458" s="12" t="s">
        <v>4272</v>
      </c>
      <c r="P1458" s="12" t="s">
        <v>4273</v>
      </c>
      <c r="Q1458" s="12" t="s">
        <v>6664</v>
      </c>
      <c r="R1458" s="12" t="s">
        <v>17</v>
      </c>
      <c r="S1458" s="12" t="s">
        <v>17</v>
      </c>
      <c r="T1458" s="12" t="s">
        <v>25</v>
      </c>
      <c r="U1458" s="12" t="s">
        <v>17</v>
      </c>
      <c r="V1458" s="12" t="s">
        <v>6639</v>
      </c>
      <c r="W1458" s="12" t="s">
        <v>6639</v>
      </c>
      <c r="X1458" s="12" t="s">
        <v>17</v>
      </c>
      <c r="Y1458" s="12">
        <v>1150531</v>
      </c>
      <c r="Z1458" s="12" t="s">
        <v>6613</v>
      </c>
      <c r="AA1458" s="12" t="s">
        <v>6613</v>
      </c>
      <c r="AB1458" s="12" t="s">
        <v>6613</v>
      </c>
      <c r="AC1458" s="12" t="s">
        <v>6613</v>
      </c>
      <c r="AD1458" s="12" t="s">
        <v>6613</v>
      </c>
      <c r="AE1458" s="12" t="s">
        <v>6613</v>
      </c>
      <c r="AF1458" s="12" t="s">
        <v>45</v>
      </c>
    </row>
    <row r="1459" spans="1:32" x14ac:dyDescent="0.2">
      <c r="A1459" s="12" t="s">
        <v>4365</v>
      </c>
      <c r="B1459" s="12" t="s">
        <v>4366</v>
      </c>
      <c r="C1459" s="12" t="s">
        <v>17</v>
      </c>
      <c r="D1459" s="12" t="s">
        <v>17</v>
      </c>
      <c r="E1459" s="12" t="s">
        <v>7678</v>
      </c>
      <c r="F1459" s="12" t="s">
        <v>5458</v>
      </c>
      <c r="G1459" s="12" t="s">
        <v>615</v>
      </c>
      <c r="H1459" s="12" t="s">
        <v>6613</v>
      </c>
      <c r="I1459" s="12">
        <v>0</v>
      </c>
      <c r="J1459" s="12" t="s">
        <v>164</v>
      </c>
      <c r="K1459" s="12" t="s">
        <v>6646</v>
      </c>
      <c r="L1459" s="12" t="s">
        <v>4271</v>
      </c>
      <c r="M1459" s="12" t="s">
        <v>4271</v>
      </c>
      <c r="N1459" s="12" t="s">
        <v>5785</v>
      </c>
      <c r="O1459" s="12" t="s">
        <v>4272</v>
      </c>
      <c r="P1459" s="12" t="s">
        <v>4273</v>
      </c>
      <c r="Q1459" s="12" t="s">
        <v>6664</v>
      </c>
      <c r="R1459" s="16" t="s">
        <v>17</v>
      </c>
      <c r="S1459" s="16" t="s">
        <v>17</v>
      </c>
      <c r="T1459" s="12" t="s">
        <v>11</v>
      </c>
      <c r="U1459" s="12" t="s">
        <v>17</v>
      </c>
      <c r="V1459" s="12" t="s">
        <v>4367</v>
      </c>
      <c r="W1459" s="12" t="s">
        <v>7415</v>
      </c>
      <c r="X1459" s="12" t="s">
        <v>17</v>
      </c>
      <c r="Y1459" s="12">
        <v>1155609</v>
      </c>
      <c r="Z1459" s="12" t="s">
        <v>6613</v>
      </c>
      <c r="AA1459" s="12" t="s">
        <v>6613</v>
      </c>
      <c r="AB1459" s="12" t="s">
        <v>6613</v>
      </c>
      <c r="AC1459" s="12" t="s">
        <v>6613</v>
      </c>
      <c r="AD1459" s="12" t="s">
        <v>6613</v>
      </c>
      <c r="AE1459" s="12" t="s">
        <v>6613</v>
      </c>
      <c r="AF1459" s="12" t="s">
        <v>45</v>
      </c>
    </row>
    <row r="1460" spans="1:32" x14ac:dyDescent="0.2">
      <c r="A1460" s="12" t="s">
        <v>4373</v>
      </c>
      <c r="B1460" s="12" t="s">
        <v>4374</v>
      </c>
      <c r="C1460" s="12" t="s">
        <v>17</v>
      </c>
      <c r="D1460" s="12" t="s">
        <v>17</v>
      </c>
      <c r="E1460" s="12" t="s">
        <v>7678</v>
      </c>
      <c r="F1460" s="12" t="s">
        <v>5458</v>
      </c>
      <c r="G1460" s="12" t="s">
        <v>615</v>
      </c>
      <c r="H1460" s="12" t="s">
        <v>6613</v>
      </c>
      <c r="I1460" s="12">
        <v>0</v>
      </c>
      <c r="J1460" s="12" t="s">
        <v>164</v>
      </c>
      <c r="K1460" s="12" t="s">
        <v>6646</v>
      </c>
      <c r="L1460" s="12" t="s">
        <v>4271</v>
      </c>
      <c r="M1460" s="12" t="s">
        <v>4271</v>
      </c>
      <c r="N1460" s="12" t="s">
        <v>5785</v>
      </c>
      <c r="O1460" s="12" t="s">
        <v>4272</v>
      </c>
      <c r="P1460" s="12" t="s">
        <v>4273</v>
      </c>
      <c r="Q1460" s="12" t="s">
        <v>6664</v>
      </c>
      <c r="R1460" s="12" t="s">
        <v>17</v>
      </c>
      <c r="S1460" s="12" t="s">
        <v>17</v>
      </c>
      <c r="T1460" s="12" t="s">
        <v>11</v>
      </c>
      <c r="U1460" s="12" t="s">
        <v>17</v>
      </c>
      <c r="V1460" s="12" t="s">
        <v>3656</v>
      </c>
      <c r="W1460" s="12" t="s">
        <v>7415</v>
      </c>
      <c r="X1460" s="12" t="s">
        <v>17</v>
      </c>
      <c r="Y1460" s="12">
        <v>1158545</v>
      </c>
      <c r="Z1460" s="12" t="s">
        <v>6613</v>
      </c>
      <c r="AA1460" s="12" t="s">
        <v>6613</v>
      </c>
      <c r="AB1460" s="12" t="s">
        <v>6613</v>
      </c>
      <c r="AC1460" s="12" t="s">
        <v>6613</v>
      </c>
      <c r="AD1460" s="12" t="s">
        <v>6613</v>
      </c>
      <c r="AE1460" s="12" t="s">
        <v>6613</v>
      </c>
      <c r="AF1460" s="12" t="s">
        <v>45</v>
      </c>
    </row>
    <row r="1461" spans="1:32" x14ac:dyDescent="0.2">
      <c r="A1461" s="12" t="s">
        <v>4440</v>
      </c>
      <c r="B1461" s="12" t="s">
        <v>4441</v>
      </c>
      <c r="C1461" s="12" t="s">
        <v>17</v>
      </c>
      <c r="D1461" s="12" t="s">
        <v>17</v>
      </c>
      <c r="E1461" s="12" t="s">
        <v>7678</v>
      </c>
      <c r="F1461" s="12" t="s">
        <v>5458</v>
      </c>
      <c r="G1461" s="12" t="s">
        <v>615</v>
      </c>
      <c r="H1461" s="12" t="s">
        <v>6613</v>
      </c>
      <c r="I1461" s="12">
        <v>0</v>
      </c>
      <c r="J1461" s="12" t="s">
        <v>164</v>
      </c>
      <c r="K1461" s="12" t="s">
        <v>6646</v>
      </c>
      <c r="L1461" s="12" t="s">
        <v>4271</v>
      </c>
      <c r="M1461" s="12" t="s">
        <v>4271</v>
      </c>
      <c r="N1461" s="12" t="s">
        <v>5785</v>
      </c>
      <c r="O1461" s="12" t="s">
        <v>4272</v>
      </c>
      <c r="P1461" s="12" t="s">
        <v>4273</v>
      </c>
      <c r="Q1461" s="12" t="s">
        <v>6664</v>
      </c>
      <c r="R1461" s="12" t="s">
        <v>17</v>
      </c>
      <c r="S1461" s="12" t="s">
        <v>17</v>
      </c>
      <c r="T1461" s="12" t="s">
        <v>11</v>
      </c>
      <c r="U1461" s="12" t="s">
        <v>17</v>
      </c>
      <c r="V1461" s="12" t="s">
        <v>643</v>
      </c>
      <c r="W1461" s="12" t="s">
        <v>7415</v>
      </c>
      <c r="X1461" s="12" t="s">
        <v>17</v>
      </c>
      <c r="Y1461" s="12">
        <v>1159690</v>
      </c>
      <c r="Z1461" s="12" t="s">
        <v>6613</v>
      </c>
      <c r="AA1461" s="12" t="s">
        <v>6613</v>
      </c>
      <c r="AB1461" s="12" t="s">
        <v>6613</v>
      </c>
      <c r="AC1461" s="12" t="s">
        <v>6613</v>
      </c>
      <c r="AD1461" s="12" t="s">
        <v>6613</v>
      </c>
      <c r="AE1461" s="12" t="s">
        <v>6613</v>
      </c>
      <c r="AF1461" s="12" t="s">
        <v>45</v>
      </c>
    </row>
    <row r="1462" spans="1:32" x14ac:dyDescent="0.2">
      <c r="A1462" s="12" t="s">
        <v>4455</v>
      </c>
      <c r="B1462" s="12" t="s">
        <v>4456</v>
      </c>
      <c r="C1462" s="12" t="s">
        <v>17</v>
      </c>
      <c r="D1462" s="12" t="s">
        <v>17</v>
      </c>
      <c r="E1462" s="12" t="s">
        <v>7678</v>
      </c>
      <c r="F1462" s="12" t="s">
        <v>5458</v>
      </c>
      <c r="G1462" s="12" t="s">
        <v>615</v>
      </c>
      <c r="H1462" s="12" t="s">
        <v>6613</v>
      </c>
      <c r="I1462" s="12">
        <v>0</v>
      </c>
      <c r="J1462" s="12" t="s">
        <v>164</v>
      </c>
      <c r="K1462" s="12" t="s">
        <v>6646</v>
      </c>
      <c r="L1462" s="12" t="s">
        <v>4271</v>
      </c>
      <c r="M1462" s="12" t="s">
        <v>4271</v>
      </c>
      <c r="N1462" s="12" t="s">
        <v>5785</v>
      </c>
      <c r="O1462" s="12" t="s">
        <v>4272</v>
      </c>
      <c r="P1462" s="12" t="s">
        <v>4273</v>
      </c>
      <c r="Q1462" s="12" t="s">
        <v>6664</v>
      </c>
      <c r="R1462" s="16" t="s">
        <v>17</v>
      </c>
      <c r="S1462" s="16" t="s">
        <v>17</v>
      </c>
      <c r="T1462" s="12" t="s">
        <v>11</v>
      </c>
      <c r="U1462" s="12" t="s">
        <v>17</v>
      </c>
      <c r="V1462" s="12" t="s">
        <v>2199</v>
      </c>
      <c r="W1462" s="12" t="s">
        <v>7415</v>
      </c>
      <c r="X1462" s="12" t="s">
        <v>17</v>
      </c>
      <c r="Y1462" s="12">
        <v>1160696</v>
      </c>
      <c r="Z1462" s="12" t="s">
        <v>6613</v>
      </c>
      <c r="AA1462" s="12" t="s">
        <v>6613</v>
      </c>
      <c r="AB1462" s="12" t="s">
        <v>6613</v>
      </c>
      <c r="AC1462" s="12" t="s">
        <v>6613</v>
      </c>
      <c r="AD1462" s="12" t="s">
        <v>6613</v>
      </c>
      <c r="AE1462" s="12" t="s">
        <v>6613</v>
      </c>
      <c r="AF1462" s="12" t="s">
        <v>45</v>
      </c>
    </row>
    <row r="1463" spans="1:32" x14ac:dyDescent="0.2">
      <c r="A1463" s="12" t="s">
        <v>4461</v>
      </c>
      <c r="B1463" s="12" t="s">
        <v>4462</v>
      </c>
      <c r="C1463" s="12" t="s">
        <v>17</v>
      </c>
      <c r="D1463" s="12" t="s">
        <v>17</v>
      </c>
      <c r="E1463" s="12" t="s">
        <v>7678</v>
      </c>
      <c r="F1463" s="12" t="s">
        <v>5458</v>
      </c>
      <c r="G1463" s="12" t="s">
        <v>615</v>
      </c>
      <c r="H1463" s="12" t="s">
        <v>6613</v>
      </c>
      <c r="I1463" s="12">
        <v>0</v>
      </c>
      <c r="J1463" s="12" t="s">
        <v>164</v>
      </c>
      <c r="K1463" s="12" t="s">
        <v>6646</v>
      </c>
      <c r="L1463" s="12" t="s">
        <v>4271</v>
      </c>
      <c r="M1463" s="12" t="s">
        <v>4271</v>
      </c>
      <c r="N1463" s="12" t="s">
        <v>5785</v>
      </c>
      <c r="O1463" s="12" t="s">
        <v>4272</v>
      </c>
      <c r="P1463" s="12" t="s">
        <v>4273</v>
      </c>
      <c r="Q1463" s="12" t="s">
        <v>6664</v>
      </c>
      <c r="R1463" s="12" t="s">
        <v>17</v>
      </c>
      <c r="S1463" s="12" t="s">
        <v>17</v>
      </c>
      <c r="T1463" s="12" t="s">
        <v>11</v>
      </c>
      <c r="U1463" s="12" t="s">
        <v>17</v>
      </c>
      <c r="V1463" s="12" t="s">
        <v>631</v>
      </c>
      <c r="W1463" s="12" t="s">
        <v>7415</v>
      </c>
      <c r="X1463" s="12" t="s">
        <v>17</v>
      </c>
      <c r="Y1463" s="12">
        <v>1161918</v>
      </c>
      <c r="Z1463" s="12" t="s">
        <v>6613</v>
      </c>
      <c r="AA1463" s="12" t="s">
        <v>6613</v>
      </c>
      <c r="AB1463" s="12" t="s">
        <v>6613</v>
      </c>
      <c r="AC1463" s="12" t="s">
        <v>6613</v>
      </c>
      <c r="AD1463" s="12" t="s">
        <v>6613</v>
      </c>
      <c r="AE1463" s="12" t="s">
        <v>6613</v>
      </c>
      <c r="AF1463" s="12" t="s">
        <v>45</v>
      </c>
    </row>
    <row r="1464" spans="1:32" x14ac:dyDescent="0.2">
      <c r="A1464" s="12" t="s">
        <v>4375</v>
      </c>
      <c r="B1464" s="12" t="s">
        <v>4376</v>
      </c>
      <c r="C1464" s="12" t="s">
        <v>17</v>
      </c>
      <c r="D1464" s="12" t="s">
        <v>17</v>
      </c>
      <c r="E1464" s="12" t="s">
        <v>7678</v>
      </c>
      <c r="F1464" s="12" t="s">
        <v>5458</v>
      </c>
      <c r="G1464" s="12" t="s">
        <v>615</v>
      </c>
      <c r="H1464" s="12" t="s">
        <v>6613</v>
      </c>
      <c r="I1464" s="12">
        <v>0</v>
      </c>
      <c r="J1464" s="12" t="s">
        <v>164</v>
      </c>
      <c r="K1464" s="12" t="s">
        <v>6646</v>
      </c>
      <c r="L1464" s="12" t="s">
        <v>4271</v>
      </c>
      <c r="M1464" s="12" t="s">
        <v>4271</v>
      </c>
      <c r="N1464" s="12" t="s">
        <v>5785</v>
      </c>
      <c r="O1464" s="12" t="s">
        <v>4272</v>
      </c>
      <c r="P1464" s="12" t="s">
        <v>4273</v>
      </c>
      <c r="Q1464" s="12" t="s">
        <v>6664</v>
      </c>
      <c r="R1464" s="12" t="s">
        <v>17</v>
      </c>
      <c r="S1464" s="12" t="s">
        <v>17</v>
      </c>
      <c r="T1464" s="12" t="s">
        <v>11</v>
      </c>
      <c r="U1464" s="12" t="s">
        <v>17</v>
      </c>
      <c r="V1464" s="12" t="s">
        <v>4377</v>
      </c>
      <c r="W1464" s="12" t="s">
        <v>7415</v>
      </c>
      <c r="X1464" s="12" t="s">
        <v>17</v>
      </c>
      <c r="Y1464" s="12">
        <v>1163061</v>
      </c>
      <c r="Z1464" s="12" t="s">
        <v>6613</v>
      </c>
      <c r="AA1464" s="12" t="s">
        <v>6613</v>
      </c>
      <c r="AB1464" s="12" t="s">
        <v>6613</v>
      </c>
      <c r="AC1464" s="12" t="s">
        <v>6613</v>
      </c>
      <c r="AD1464" s="12" t="s">
        <v>6613</v>
      </c>
      <c r="AE1464" s="12" t="s">
        <v>6613</v>
      </c>
      <c r="AF1464" s="12" t="s">
        <v>45</v>
      </c>
    </row>
    <row r="1465" spans="1:32" x14ac:dyDescent="0.2">
      <c r="A1465" s="12" t="s">
        <v>4428</v>
      </c>
      <c r="B1465" s="12" t="s">
        <v>4429</v>
      </c>
      <c r="C1465" s="12" t="s">
        <v>17</v>
      </c>
      <c r="D1465" s="12" t="s">
        <v>17</v>
      </c>
      <c r="E1465" s="12" t="s">
        <v>7678</v>
      </c>
      <c r="F1465" s="12" t="s">
        <v>5458</v>
      </c>
      <c r="G1465" s="12" t="s">
        <v>615</v>
      </c>
      <c r="H1465" s="12" t="s">
        <v>6613</v>
      </c>
      <c r="I1465" s="12">
        <v>0</v>
      </c>
      <c r="J1465" s="12" t="s">
        <v>164</v>
      </c>
      <c r="K1465" s="12" t="s">
        <v>6646</v>
      </c>
      <c r="L1465" s="12" t="s">
        <v>4271</v>
      </c>
      <c r="M1465" s="12" t="s">
        <v>4271</v>
      </c>
      <c r="N1465" s="12" t="s">
        <v>5785</v>
      </c>
      <c r="O1465" s="12" t="s">
        <v>4272</v>
      </c>
      <c r="P1465" s="12" t="s">
        <v>4273</v>
      </c>
      <c r="Q1465" s="12" t="s">
        <v>6664</v>
      </c>
      <c r="R1465" s="12" t="s">
        <v>17</v>
      </c>
      <c r="S1465" s="12" t="s">
        <v>17</v>
      </c>
      <c r="T1465" s="12" t="s">
        <v>11</v>
      </c>
      <c r="U1465" s="12" t="s">
        <v>17</v>
      </c>
      <c r="V1465" s="12" t="s">
        <v>413</v>
      </c>
      <c r="W1465" s="12" t="s">
        <v>7415</v>
      </c>
      <c r="X1465" s="12" t="s">
        <v>17</v>
      </c>
      <c r="Y1465" s="12">
        <v>1163991</v>
      </c>
      <c r="Z1465" s="12" t="s">
        <v>6613</v>
      </c>
      <c r="AA1465" s="12" t="s">
        <v>6613</v>
      </c>
      <c r="AB1465" s="12" t="s">
        <v>6613</v>
      </c>
      <c r="AC1465" s="12" t="s">
        <v>6613</v>
      </c>
      <c r="AD1465" s="12" t="s">
        <v>6613</v>
      </c>
      <c r="AE1465" s="12" t="s">
        <v>6613</v>
      </c>
      <c r="AF1465" s="12" t="s">
        <v>45</v>
      </c>
    </row>
    <row r="1466" spans="1:32" x14ac:dyDescent="0.2">
      <c r="A1466" s="12" t="s">
        <v>4280</v>
      </c>
      <c r="B1466" s="12" t="s">
        <v>4281</v>
      </c>
      <c r="C1466" s="12" t="s">
        <v>17</v>
      </c>
      <c r="D1466" s="12" t="s">
        <v>17</v>
      </c>
      <c r="E1466" s="12" t="s">
        <v>7678</v>
      </c>
      <c r="F1466" s="12" t="s">
        <v>5458</v>
      </c>
      <c r="G1466" s="12" t="s">
        <v>615</v>
      </c>
      <c r="H1466" s="12" t="s">
        <v>6613</v>
      </c>
      <c r="I1466" s="12">
        <v>0</v>
      </c>
      <c r="J1466" s="12" t="s">
        <v>164</v>
      </c>
      <c r="K1466" s="12" t="s">
        <v>6646</v>
      </c>
      <c r="L1466" s="12" t="s">
        <v>4271</v>
      </c>
      <c r="M1466" s="12" t="s">
        <v>4271</v>
      </c>
      <c r="N1466" s="12" t="s">
        <v>5785</v>
      </c>
      <c r="O1466" s="12" t="s">
        <v>4272</v>
      </c>
      <c r="P1466" s="12" t="s">
        <v>4273</v>
      </c>
      <c r="Q1466" s="12" t="s">
        <v>6664</v>
      </c>
      <c r="R1466" s="12" t="s">
        <v>17</v>
      </c>
      <c r="S1466" s="12" t="s">
        <v>17</v>
      </c>
      <c r="T1466" s="12" t="s">
        <v>11</v>
      </c>
      <c r="U1466" s="12" t="s">
        <v>17</v>
      </c>
      <c r="V1466" s="12" t="s">
        <v>666</v>
      </c>
      <c r="W1466" s="12" t="s">
        <v>7415</v>
      </c>
      <c r="X1466" s="12" t="s">
        <v>17</v>
      </c>
      <c r="Y1466" s="12">
        <v>1166307</v>
      </c>
      <c r="Z1466" s="12" t="s">
        <v>6613</v>
      </c>
      <c r="AA1466" s="12" t="s">
        <v>6613</v>
      </c>
      <c r="AB1466" s="12" t="s">
        <v>6613</v>
      </c>
      <c r="AC1466" s="12" t="s">
        <v>6613</v>
      </c>
      <c r="AD1466" s="12" t="s">
        <v>6613</v>
      </c>
      <c r="AE1466" s="12" t="s">
        <v>6613</v>
      </c>
      <c r="AF1466" s="12" t="s">
        <v>45</v>
      </c>
    </row>
    <row r="1467" spans="1:32" x14ac:dyDescent="0.2">
      <c r="A1467" s="12" t="s">
        <v>4326</v>
      </c>
      <c r="B1467" s="12" t="s">
        <v>4327</v>
      </c>
      <c r="C1467" s="12" t="s">
        <v>17</v>
      </c>
      <c r="D1467" s="12" t="s">
        <v>17</v>
      </c>
      <c r="E1467" s="12" t="s">
        <v>7678</v>
      </c>
      <c r="F1467" s="12" t="s">
        <v>5458</v>
      </c>
      <c r="G1467" s="12" t="s">
        <v>615</v>
      </c>
      <c r="H1467" s="12" t="s">
        <v>6613</v>
      </c>
      <c r="I1467" s="12">
        <v>0</v>
      </c>
      <c r="J1467" s="12" t="s">
        <v>164</v>
      </c>
      <c r="K1467" s="12" t="s">
        <v>6646</v>
      </c>
      <c r="L1467" s="12" t="s">
        <v>4271</v>
      </c>
      <c r="M1467" s="12" t="s">
        <v>4271</v>
      </c>
      <c r="N1467" s="12" t="s">
        <v>5785</v>
      </c>
      <c r="O1467" s="12" t="s">
        <v>4272</v>
      </c>
      <c r="P1467" s="12" t="s">
        <v>4273</v>
      </c>
      <c r="Q1467" s="12" t="s">
        <v>6664</v>
      </c>
      <c r="R1467" s="12" t="s">
        <v>17</v>
      </c>
      <c r="S1467" s="12" t="s">
        <v>17</v>
      </c>
      <c r="T1467" s="12" t="s">
        <v>11</v>
      </c>
      <c r="U1467" s="12" t="s">
        <v>17</v>
      </c>
      <c r="V1467" s="12" t="s">
        <v>4328</v>
      </c>
      <c r="W1467" s="12" t="s">
        <v>7415</v>
      </c>
      <c r="X1467" s="12" t="s">
        <v>17</v>
      </c>
      <c r="Y1467" s="12">
        <v>1167027</v>
      </c>
      <c r="Z1467" s="12" t="s">
        <v>6613</v>
      </c>
      <c r="AA1467" s="12" t="s">
        <v>6613</v>
      </c>
      <c r="AB1467" s="12" t="s">
        <v>6613</v>
      </c>
      <c r="AC1467" s="12" t="s">
        <v>6613</v>
      </c>
      <c r="AD1467" s="12" t="s">
        <v>6613</v>
      </c>
      <c r="AE1467" s="12" t="s">
        <v>6613</v>
      </c>
      <c r="AF1467" s="12" t="s">
        <v>45</v>
      </c>
    </row>
    <row r="1468" spans="1:32" x14ac:dyDescent="0.2">
      <c r="A1468" s="12" t="s">
        <v>4296</v>
      </c>
      <c r="B1468" s="12" t="s">
        <v>4297</v>
      </c>
      <c r="C1468" s="12" t="s">
        <v>17</v>
      </c>
      <c r="D1468" s="12" t="s">
        <v>17</v>
      </c>
      <c r="E1468" s="12" t="s">
        <v>7678</v>
      </c>
      <c r="F1468" s="12" t="s">
        <v>5458</v>
      </c>
      <c r="G1468" s="12" t="s">
        <v>615</v>
      </c>
      <c r="H1468" s="12" t="s">
        <v>6613</v>
      </c>
      <c r="I1468" s="12">
        <v>0</v>
      </c>
      <c r="J1468" s="12" t="s">
        <v>164</v>
      </c>
      <c r="K1468" s="12" t="s">
        <v>6646</v>
      </c>
      <c r="L1468" s="12" t="s">
        <v>4271</v>
      </c>
      <c r="M1468" s="12" t="s">
        <v>4271</v>
      </c>
      <c r="N1468" s="12" t="s">
        <v>5785</v>
      </c>
      <c r="O1468" s="12" t="s">
        <v>4272</v>
      </c>
      <c r="P1468" s="12" t="s">
        <v>4273</v>
      </c>
      <c r="Q1468" s="12" t="s">
        <v>6664</v>
      </c>
      <c r="R1468" s="12" t="s">
        <v>17</v>
      </c>
      <c r="S1468" s="12" t="s">
        <v>17</v>
      </c>
      <c r="T1468" s="12" t="s">
        <v>11</v>
      </c>
      <c r="U1468" s="12" t="s">
        <v>17</v>
      </c>
      <c r="V1468" s="12" t="s">
        <v>413</v>
      </c>
      <c r="W1468" s="12" t="s">
        <v>7415</v>
      </c>
      <c r="X1468" s="12" t="s">
        <v>17</v>
      </c>
      <c r="Y1468" s="12">
        <v>1167557</v>
      </c>
      <c r="Z1468" s="12" t="s">
        <v>6613</v>
      </c>
      <c r="AA1468" s="12" t="s">
        <v>6613</v>
      </c>
      <c r="AB1468" s="12" t="s">
        <v>6613</v>
      </c>
      <c r="AC1468" s="12" t="s">
        <v>6613</v>
      </c>
      <c r="AD1468" s="12" t="s">
        <v>6613</v>
      </c>
      <c r="AE1468" s="12" t="s">
        <v>6613</v>
      </c>
      <c r="AF1468" s="12" t="s">
        <v>45</v>
      </c>
    </row>
    <row r="1469" spans="1:32" x14ac:dyDescent="0.2">
      <c r="A1469" s="12" t="s">
        <v>4380</v>
      </c>
      <c r="B1469" s="12" t="s">
        <v>4381</v>
      </c>
      <c r="C1469" s="12" t="s">
        <v>17</v>
      </c>
      <c r="D1469" s="12" t="s">
        <v>17</v>
      </c>
      <c r="E1469" s="12" t="s">
        <v>7678</v>
      </c>
      <c r="F1469" s="12" t="s">
        <v>5458</v>
      </c>
      <c r="G1469" s="12" t="s">
        <v>615</v>
      </c>
      <c r="H1469" s="12" t="s">
        <v>6613</v>
      </c>
      <c r="I1469" s="12">
        <v>0</v>
      </c>
      <c r="J1469" s="12" t="s">
        <v>164</v>
      </c>
      <c r="K1469" s="12" t="s">
        <v>6646</v>
      </c>
      <c r="L1469" s="12" t="s">
        <v>4271</v>
      </c>
      <c r="M1469" s="12" t="s">
        <v>4271</v>
      </c>
      <c r="N1469" s="12" t="s">
        <v>5785</v>
      </c>
      <c r="O1469" s="12" t="s">
        <v>4272</v>
      </c>
      <c r="P1469" s="12" t="s">
        <v>4273</v>
      </c>
      <c r="Q1469" s="12" t="s">
        <v>6664</v>
      </c>
      <c r="R1469" s="12" t="s">
        <v>17</v>
      </c>
      <c r="S1469" s="12" t="s">
        <v>17</v>
      </c>
      <c r="T1469" s="12" t="s">
        <v>11</v>
      </c>
      <c r="U1469" s="12" t="s">
        <v>17</v>
      </c>
      <c r="V1469" s="12" t="s">
        <v>2149</v>
      </c>
      <c r="W1469" s="12" t="s">
        <v>7415</v>
      </c>
      <c r="X1469" s="12" t="s">
        <v>17</v>
      </c>
      <c r="Y1469" s="12">
        <v>1168136</v>
      </c>
      <c r="Z1469" s="12" t="s">
        <v>6613</v>
      </c>
      <c r="AA1469" s="12" t="s">
        <v>6613</v>
      </c>
      <c r="AB1469" s="12" t="s">
        <v>6613</v>
      </c>
      <c r="AC1469" s="12" t="s">
        <v>6613</v>
      </c>
      <c r="AD1469" s="12" t="s">
        <v>6613</v>
      </c>
      <c r="AE1469" s="12" t="s">
        <v>6613</v>
      </c>
      <c r="AF1469" s="12" t="s">
        <v>45</v>
      </c>
    </row>
    <row r="1470" spans="1:32" x14ac:dyDescent="0.2">
      <c r="A1470" s="12" t="s">
        <v>4446</v>
      </c>
      <c r="B1470" s="12" t="s">
        <v>4447</v>
      </c>
      <c r="C1470" s="12" t="s">
        <v>17</v>
      </c>
      <c r="D1470" s="12" t="s">
        <v>17</v>
      </c>
      <c r="E1470" s="12" t="s">
        <v>7678</v>
      </c>
      <c r="F1470" s="12" t="s">
        <v>5458</v>
      </c>
      <c r="G1470" s="12" t="s">
        <v>615</v>
      </c>
      <c r="H1470" s="12" t="s">
        <v>6613</v>
      </c>
      <c r="I1470" s="12">
        <v>0</v>
      </c>
      <c r="J1470" s="12" t="s">
        <v>164</v>
      </c>
      <c r="K1470" s="12" t="s">
        <v>6646</v>
      </c>
      <c r="L1470" s="12" t="s">
        <v>4271</v>
      </c>
      <c r="M1470" s="12" t="s">
        <v>4271</v>
      </c>
      <c r="N1470" s="12" t="s">
        <v>5785</v>
      </c>
      <c r="O1470" s="12" t="s">
        <v>4272</v>
      </c>
      <c r="P1470" s="12" t="s">
        <v>4273</v>
      </c>
      <c r="Q1470" s="12" t="s">
        <v>6664</v>
      </c>
      <c r="R1470" s="12" t="s">
        <v>17</v>
      </c>
      <c r="S1470" s="12" t="s">
        <v>17</v>
      </c>
      <c r="T1470" s="12" t="s">
        <v>11</v>
      </c>
      <c r="U1470" s="12" t="s">
        <v>17</v>
      </c>
      <c r="V1470" s="12" t="s">
        <v>755</v>
      </c>
      <c r="W1470" s="12" t="s">
        <v>7415</v>
      </c>
      <c r="X1470" s="12" t="s">
        <v>17</v>
      </c>
      <c r="Y1470" s="12">
        <v>1168293</v>
      </c>
      <c r="Z1470" s="12" t="s">
        <v>6613</v>
      </c>
      <c r="AA1470" s="12" t="s">
        <v>6613</v>
      </c>
      <c r="AB1470" s="12" t="s">
        <v>6613</v>
      </c>
      <c r="AC1470" s="12" t="s">
        <v>6613</v>
      </c>
      <c r="AD1470" s="12" t="s">
        <v>6613</v>
      </c>
      <c r="AE1470" s="12" t="s">
        <v>6613</v>
      </c>
      <c r="AF1470" s="12" t="s">
        <v>45</v>
      </c>
    </row>
    <row r="1471" spans="1:32" x14ac:dyDescent="0.2">
      <c r="A1471" s="12" t="s">
        <v>4337</v>
      </c>
      <c r="B1471" s="12" t="s">
        <v>4338</v>
      </c>
      <c r="C1471" s="12" t="s">
        <v>17</v>
      </c>
      <c r="D1471" s="12" t="s">
        <v>17</v>
      </c>
      <c r="E1471" s="12" t="s">
        <v>7678</v>
      </c>
      <c r="F1471" s="12" t="s">
        <v>5458</v>
      </c>
      <c r="G1471" s="12" t="s">
        <v>615</v>
      </c>
      <c r="H1471" s="12" t="s">
        <v>6613</v>
      </c>
      <c r="I1471" s="12">
        <v>0</v>
      </c>
      <c r="J1471" s="12" t="s">
        <v>164</v>
      </c>
      <c r="K1471" s="12" t="s">
        <v>6646</v>
      </c>
      <c r="L1471" s="12" t="s">
        <v>4271</v>
      </c>
      <c r="M1471" s="12" t="s">
        <v>4271</v>
      </c>
      <c r="N1471" s="12" t="s">
        <v>5785</v>
      </c>
      <c r="O1471" s="12" t="s">
        <v>4272</v>
      </c>
      <c r="P1471" s="12" t="s">
        <v>4273</v>
      </c>
      <c r="Q1471" s="12" t="s">
        <v>6664</v>
      </c>
      <c r="R1471" s="12" t="s">
        <v>17</v>
      </c>
      <c r="S1471" s="12" t="s">
        <v>17</v>
      </c>
      <c r="T1471" s="12" t="s">
        <v>11</v>
      </c>
      <c r="U1471" s="12" t="s">
        <v>17</v>
      </c>
      <c r="V1471" s="12" t="s">
        <v>666</v>
      </c>
      <c r="W1471" s="12" t="s">
        <v>7415</v>
      </c>
      <c r="X1471" s="12" t="s">
        <v>17</v>
      </c>
      <c r="Y1471" s="12">
        <v>1168300</v>
      </c>
      <c r="Z1471" s="12" t="s">
        <v>6613</v>
      </c>
      <c r="AA1471" s="12" t="s">
        <v>6613</v>
      </c>
      <c r="AB1471" s="12" t="s">
        <v>6613</v>
      </c>
      <c r="AC1471" s="12" t="s">
        <v>6613</v>
      </c>
      <c r="AD1471" s="12" t="s">
        <v>6613</v>
      </c>
      <c r="AE1471" s="12" t="s">
        <v>6613</v>
      </c>
      <c r="AF1471" s="12" t="s">
        <v>45</v>
      </c>
    </row>
    <row r="1472" spans="1:32" x14ac:dyDescent="0.2">
      <c r="A1472" s="12" t="s">
        <v>4475</v>
      </c>
      <c r="B1472" s="12" t="s">
        <v>4476</v>
      </c>
      <c r="C1472" s="12" t="s">
        <v>17</v>
      </c>
      <c r="D1472" s="12" t="s">
        <v>17</v>
      </c>
      <c r="E1472" s="12" t="s">
        <v>7678</v>
      </c>
      <c r="F1472" s="12" t="s">
        <v>5458</v>
      </c>
      <c r="G1472" s="12" t="s">
        <v>615</v>
      </c>
      <c r="H1472" s="12" t="s">
        <v>6613</v>
      </c>
      <c r="I1472" s="12">
        <v>0</v>
      </c>
      <c r="J1472" s="12" t="s">
        <v>164</v>
      </c>
      <c r="K1472" s="12" t="s">
        <v>6646</v>
      </c>
      <c r="L1472" s="12" t="s">
        <v>4271</v>
      </c>
      <c r="M1472" s="12" t="s">
        <v>4271</v>
      </c>
      <c r="N1472" s="12" t="s">
        <v>5785</v>
      </c>
      <c r="O1472" s="12" t="s">
        <v>4272</v>
      </c>
      <c r="P1472" s="12" t="s">
        <v>4273</v>
      </c>
      <c r="Q1472" s="12" t="s">
        <v>6664</v>
      </c>
      <c r="R1472" s="12" t="s">
        <v>17</v>
      </c>
      <c r="S1472" s="12" t="s">
        <v>17</v>
      </c>
      <c r="T1472" s="12" t="s">
        <v>11</v>
      </c>
      <c r="U1472" s="12" t="s">
        <v>17</v>
      </c>
      <c r="V1472" s="12" t="s">
        <v>628</v>
      </c>
      <c r="W1472" s="12" t="s">
        <v>7415</v>
      </c>
      <c r="X1472" s="12" t="s">
        <v>17</v>
      </c>
      <c r="Y1472" s="12">
        <v>1168577</v>
      </c>
      <c r="Z1472" s="12" t="s">
        <v>6613</v>
      </c>
      <c r="AA1472" s="12" t="s">
        <v>6613</v>
      </c>
      <c r="AB1472" s="12" t="s">
        <v>6613</v>
      </c>
      <c r="AC1472" s="12" t="s">
        <v>6613</v>
      </c>
      <c r="AD1472" s="12" t="s">
        <v>6613</v>
      </c>
      <c r="AE1472" s="12" t="s">
        <v>6613</v>
      </c>
      <c r="AF1472" s="12" t="s">
        <v>45</v>
      </c>
    </row>
    <row r="1473" spans="1:32" x14ac:dyDescent="0.2">
      <c r="A1473" s="12" t="s">
        <v>4310</v>
      </c>
      <c r="B1473" s="12" t="s">
        <v>4311</v>
      </c>
      <c r="C1473" s="12" t="s">
        <v>17</v>
      </c>
      <c r="D1473" s="12" t="s">
        <v>17</v>
      </c>
      <c r="E1473" s="12" t="s">
        <v>7678</v>
      </c>
      <c r="F1473" s="12" t="s">
        <v>5458</v>
      </c>
      <c r="G1473" s="12" t="s">
        <v>615</v>
      </c>
      <c r="H1473" s="12" t="s">
        <v>6613</v>
      </c>
      <c r="I1473" s="12">
        <v>0</v>
      </c>
      <c r="J1473" s="12" t="s">
        <v>164</v>
      </c>
      <c r="K1473" s="12" t="s">
        <v>6646</v>
      </c>
      <c r="L1473" s="12" t="s">
        <v>4271</v>
      </c>
      <c r="M1473" s="12" t="s">
        <v>4271</v>
      </c>
      <c r="N1473" s="12" t="s">
        <v>5785</v>
      </c>
      <c r="O1473" s="12" t="s">
        <v>4272</v>
      </c>
      <c r="P1473" s="12" t="s">
        <v>4273</v>
      </c>
      <c r="Q1473" s="12" t="s">
        <v>6664</v>
      </c>
      <c r="R1473" s="12" t="s">
        <v>17</v>
      </c>
      <c r="S1473" s="12" t="s">
        <v>17</v>
      </c>
      <c r="T1473" s="12" t="s">
        <v>11</v>
      </c>
      <c r="U1473" s="12" t="s">
        <v>17</v>
      </c>
      <c r="V1473" s="12" t="s">
        <v>708</v>
      </c>
      <c r="W1473" s="12" t="s">
        <v>7415</v>
      </c>
      <c r="X1473" s="12" t="s">
        <v>17</v>
      </c>
      <c r="Y1473" s="12">
        <v>1168815</v>
      </c>
      <c r="Z1473" s="12" t="s">
        <v>6613</v>
      </c>
      <c r="AA1473" s="12" t="s">
        <v>6613</v>
      </c>
      <c r="AB1473" s="12" t="s">
        <v>6613</v>
      </c>
      <c r="AC1473" s="12" t="s">
        <v>6613</v>
      </c>
      <c r="AD1473" s="12" t="s">
        <v>6613</v>
      </c>
      <c r="AE1473" s="12" t="s">
        <v>6613</v>
      </c>
      <c r="AF1473" s="12" t="s">
        <v>45</v>
      </c>
    </row>
    <row r="1474" spans="1:32" x14ac:dyDescent="0.2">
      <c r="A1474" s="12" t="s">
        <v>4368</v>
      </c>
      <c r="B1474" s="12" t="s">
        <v>4369</v>
      </c>
      <c r="C1474" s="12" t="s">
        <v>17</v>
      </c>
      <c r="D1474" s="12" t="s">
        <v>17</v>
      </c>
      <c r="E1474" s="12" t="s">
        <v>7678</v>
      </c>
      <c r="F1474" s="12" t="s">
        <v>5458</v>
      </c>
      <c r="G1474" s="12" t="s">
        <v>615</v>
      </c>
      <c r="H1474" s="12" t="s">
        <v>6613</v>
      </c>
      <c r="I1474" s="12">
        <v>0</v>
      </c>
      <c r="J1474" s="12" t="s">
        <v>164</v>
      </c>
      <c r="K1474" s="12" t="s">
        <v>6646</v>
      </c>
      <c r="L1474" s="12" t="s">
        <v>4271</v>
      </c>
      <c r="M1474" s="12" t="s">
        <v>4271</v>
      </c>
      <c r="N1474" s="12" t="s">
        <v>5785</v>
      </c>
      <c r="O1474" s="12" t="s">
        <v>4272</v>
      </c>
      <c r="P1474" s="12" t="s">
        <v>4273</v>
      </c>
      <c r="Q1474" s="12" t="s">
        <v>6664</v>
      </c>
      <c r="R1474" s="12" t="s">
        <v>17</v>
      </c>
      <c r="S1474" s="12" t="s">
        <v>17</v>
      </c>
      <c r="T1474" s="12" t="s">
        <v>11</v>
      </c>
      <c r="U1474" s="12" t="s">
        <v>17</v>
      </c>
      <c r="V1474" s="12" t="s">
        <v>4370</v>
      </c>
      <c r="W1474" s="12" t="s">
        <v>7415</v>
      </c>
      <c r="X1474" s="12" t="s">
        <v>17</v>
      </c>
      <c r="Y1474" s="12">
        <v>1169150</v>
      </c>
      <c r="Z1474" s="12" t="s">
        <v>6613</v>
      </c>
      <c r="AA1474" s="12" t="s">
        <v>6613</v>
      </c>
      <c r="AB1474" s="12" t="s">
        <v>6613</v>
      </c>
      <c r="AC1474" s="12" t="s">
        <v>6613</v>
      </c>
      <c r="AD1474" s="12" t="s">
        <v>6613</v>
      </c>
      <c r="AE1474" s="12" t="s">
        <v>6613</v>
      </c>
      <c r="AF1474" s="12" t="s">
        <v>45</v>
      </c>
    </row>
    <row r="1475" spans="1:32" x14ac:dyDescent="0.2">
      <c r="A1475" s="12" t="s">
        <v>4312</v>
      </c>
      <c r="B1475" s="12" t="s">
        <v>4313</v>
      </c>
      <c r="C1475" s="12" t="s">
        <v>17</v>
      </c>
      <c r="D1475" s="12" t="s">
        <v>17</v>
      </c>
      <c r="E1475" s="12" t="s">
        <v>7678</v>
      </c>
      <c r="F1475" s="12" t="s">
        <v>5458</v>
      </c>
      <c r="G1475" s="12" t="s">
        <v>615</v>
      </c>
      <c r="H1475" s="12" t="s">
        <v>6613</v>
      </c>
      <c r="I1475" s="12">
        <v>0</v>
      </c>
      <c r="J1475" s="12" t="s">
        <v>164</v>
      </c>
      <c r="K1475" s="12" t="s">
        <v>6646</v>
      </c>
      <c r="L1475" s="12" t="s">
        <v>4271</v>
      </c>
      <c r="M1475" s="12" t="s">
        <v>4271</v>
      </c>
      <c r="N1475" s="12" t="s">
        <v>5785</v>
      </c>
      <c r="O1475" s="12" t="s">
        <v>4272</v>
      </c>
      <c r="P1475" s="12" t="s">
        <v>4273</v>
      </c>
      <c r="Q1475" s="12" t="s">
        <v>6664</v>
      </c>
      <c r="R1475" s="12" t="s">
        <v>17</v>
      </c>
      <c r="S1475" s="12" t="s">
        <v>17</v>
      </c>
      <c r="T1475" s="12" t="s">
        <v>11</v>
      </c>
      <c r="U1475" s="12" t="s">
        <v>17</v>
      </c>
      <c r="V1475" s="12" t="s">
        <v>601</v>
      </c>
      <c r="W1475" s="12" t="s">
        <v>7415</v>
      </c>
      <c r="X1475" s="12" t="s">
        <v>17</v>
      </c>
      <c r="Y1475" s="12">
        <v>1169180</v>
      </c>
      <c r="Z1475" s="12" t="s">
        <v>6613</v>
      </c>
      <c r="AA1475" s="12" t="s">
        <v>6613</v>
      </c>
      <c r="AB1475" s="12" t="s">
        <v>6613</v>
      </c>
      <c r="AC1475" s="12" t="s">
        <v>6613</v>
      </c>
      <c r="AD1475" s="12" t="s">
        <v>6613</v>
      </c>
      <c r="AE1475" s="12" t="s">
        <v>6613</v>
      </c>
      <c r="AF1475" s="12" t="s">
        <v>45</v>
      </c>
    </row>
    <row r="1476" spans="1:32" x14ac:dyDescent="0.2">
      <c r="A1476" s="12" t="s">
        <v>4320</v>
      </c>
      <c r="B1476" s="12" t="s">
        <v>4321</v>
      </c>
      <c r="C1476" s="12" t="s">
        <v>17</v>
      </c>
      <c r="D1476" s="12" t="s">
        <v>17</v>
      </c>
      <c r="E1476" s="12" t="s">
        <v>7678</v>
      </c>
      <c r="F1476" s="12" t="s">
        <v>5458</v>
      </c>
      <c r="G1476" s="12" t="s">
        <v>615</v>
      </c>
      <c r="H1476" s="12" t="s">
        <v>6613</v>
      </c>
      <c r="I1476" s="12">
        <v>0</v>
      </c>
      <c r="J1476" s="12" t="s">
        <v>164</v>
      </c>
      <c r="K1476" s="12" t="s">
        <v>6646</v>
      </c>
      <c r="L1476" s="12" t="s">
        <v>4271</v>
      </c>
      <c r="M1476" s="12" t="s">
        <v>4271</v>
      </c>
      <c r="N1476" s="12" t="s">
        <v>5785</v>
      </c>
      <c r="O1476" s="12" t="s">
        <v>4272</v>
      </c>
      <c r="P1476" s="12" t="s">
        <v>4273</v>
      </c>
      <c r="Q1476" s="12" t="s">
        <v>6664</v>
      </c>
      <c r="R1476" s="12" t="s">
        <v>17</v>
      </c>
      <c r="S1476" s="12" t="s">
        <v>17</v>
      </c>
      <c r="T1476" s="12" t="s">
        <v>11</v>
      </c>
      <c r="U1476" s="12" t="s">
        <v>17</v>
      </c>
      <c r="V1476" s="12" t="s">
        <v>653</v>
      </c>
      <c r="W1476" s="12" t="s">
        <v>7415</v>
      </c>
      <c r="X1476" s="12" t="s">
        <v>17</v>
      </c>
      <c r="Y1476" s="12">
        <v>1171169</v>
      </c>
      <c r="Z1476" s="12" t="s">
        <v>6613</v>
      </c>
      <c r="AA1476" s="12" t="s">
        <v>6613</v>
      </c>
      <c r="AB1476" s="12" t="s">
        <v>6613</v>
      </c>
      <c r="AC1476" s="12" t="s">
        <v>6613</v>
      </c>
      <c r="AD1476" s="12" t="s">
        <v>6613</v>
      </c>
      <c r="AE1476" s="12" t="s">
        <v>6613</v>
      </c>
      <c r="AF1476" s="12" t="s">
        <v>45</v>
      </c>
    </row>
    <row r="1477" spans="1:32" x14ac:dyDescent="0.2">
      <c r="A1477" s="12" t="s">
        <v>4282</v>
      </c>
      <c r="B1477" s="12" t="s">
        <v>4283</v>
      </c>
      <c r="C1477" s="12" t="s">
        <v>17</v>
      </c>
      <c r="D1477" s="12" t="s">
        <v>17</v>
      </c>
      <c r="E1477" s="12" t="s">
        <v>7678</v>
      </c>
      <c r="F1477" s="12" t="s">
        <v>5458</v>
      </c>
      <c r="G1477" s="12" t="s">
        <v>615</v>
      </c>
      <c r="H1477" s="12" t="s">
        <v>6613</v>
      </c>
      <c r="I1477" s="12">
        <v>0</v>
      </c>
      <c r="J1477" s="12" t="s">
        <v>164</v>
      </c>
      <c r="K1477" s="12" t="s">
        <v>6646</v>
      </c>
      <c r="L1477" s="12" t="s">
        <v>4271</v>
      </c>
      <c r="M1477" s="12" t="s">
        <v>4271</v>
      </c>
      <c r="N1477" s="12" t="s">
        <v>5785</v>
      </c>
      <c r="O1477" s="12" t="s">
        <v>4272</v>
      </c>
      <c r="P1477" s="12" t="s">
        <v>4273</v>
      </c>
      <c r="Q1477" s="12" t="s">
        <v>6664</v>
      </c>
      <c r="R1477" s="12" t="s">
        <v>17</v>
      </c>
      <c r="S1477" s="12" t="s">
        <v>17</v>
      </c>
      <c r="T1477" s="12" t="s">
        <v>11</v>
      </c>
      <c r="U1477" s="12" t="s">
        <v>17</v>
      </c>
      <c r="V1477" s="12" t="s">
        <v>601</v>
      </c>
      <c r="W1477" s="12" t="s">
        <v>7415</v>
      </c>
      <c r="X1477" s="12" t="s">
        <v>17</v>
      </c>
      <c r="Y1477" s="12">
        <v>1171420</v>
      </c>
      <c r="Z1477" s="12" t="s">
        <v>6613</v>
      </c>
      <c r="AA1477" s="12" t="s">
        <v>6613</v>
      </c>
      <c r="AB1477" s="12" t="s">
        <v>6613</v>
      </c>
      <c r="AC1477" s="12" t="s">
        <v>6613</v>
      </c>
      <c r="AD1477" s="12" t="s">
        <v>6613</v>
      </c>
      <c r="AE1477" s="12" t="s">
        <v>6613</v>
      </c>
      <c r="AF1477" s="12" t="s">
        <v>45</v>
      </c>
    </row>
    <row r="1478" spans="1:32" x14ac:dyDescent="0.2">
      <c r="A1478" s="12" t="s">
        <v>4316</v>
      </c>
      <c r="B1478" s="12" t="s">
        <v>4317</v>
      </c>
      <c r="C1478" s="12" t="s">
        <v>17</v>
      </c>
      <c r="D1478" s="12" t="s">
        <v>17</v>
      </c>
      <c r="E1478" s="12" t="s">
        <v>7678</v>
      </c>
      <c r="F1478" s="12" t="s">
        <v>5458</v>
      </c>
      <c r="G1478" s="12" t="s">
        <v>615</v>
      </c>
      <c r="H1478" s="12" t="s">
        <v>6613</v>
      </c>
      <c r="I1478" s="12">
        <v>0</v>
      </c>
      <c r="J1478" s="12" t="s">
        <v>164</v>
      </c>
      <c r="K1478" s="12" t="s">
        <v>6646</v>
      </c>
      <c r="L1478" s="12" t="s">
        <v>4271</v>
      </c>
      <c r="M1478" s="12" t="s">
        <v>4271</v>
      </c>
      <c r="N1478" s="12" t="s">
        <v>5785</v>
      </c>
      <c r="O1478" s="12" t="s">
        <v>4272</v>
      </c>
      <c r="P1478" s="12" t="s">
        <v>4273</v>
      </c>
      <c r="Q1478" s="12" t="s">
        <v>6664</v>
      </c>
      <c r="R1478" s="12" t="s">
        <v>17</v>
      </c>
      <c r="S1478" s="12" t="s">
        <v>17</v>
      </c>
      <c r="T1478" s="12" t="s">
        <v>11</v>
      </c>
      <c r="U1478" s="12" t="s">
        <v>17</v>
      </c>
      <c r="V1478" s="12" t="s">
        <v>3005</v>
      </c>
      <c r="W1478" s="12" t="s">
        <v>7415</v>
      </c>
      <c r="X1478" s="12" t="s">
        <v>17</v>
      </c>
      <c r="Y1478" s="12">
        <v>1171664</v>
      </c>
      <c r="Z1478" s="12" t="s">
        <v>6613</v>
      </c>
      <c r="AA1478" s="12" t="s">
        <v>6613</v>
      </c>
      <c r="AB1478" s="12" t="s">
        <v>6613</v>
      </c>
      <c r="AC1478" s="12" t="s">
        <v>6613</v>
      </c>
      <c r="AD1478" s="12" t="s">
        <v>6613</v>
      </c>
      <c r="AE1478" s="12" t="s">
        <v>6613</v>
      </c>
      <c r="AF1478" s="12" t="s">
        <v>45</v>
      </c>
    </row>
    <row r="1479" spans="1:32" x14ac:dyDescent="0.2">
      <c r="A1479" s="12" t="s">
        <v>4314</v>
      </c>
      <c r="B1479" s="12" t="s">
        <v>4315</v>
      </c>
      <c r="C1479" s="12" t="s">
        <v>17</v>
      </c>
      <c r="D1479" s="12" t="s">
        <v>17</v>
      </c>
      <c r="E1479" s="12" t="s">
        <v>7678</v>
      </c>
      <c r="F1479" s="12" t="s">
        <v>5458</v>
      </c>
      <c r="G1479" s="12" t="s">
        <v>615</v>
      </c>
      <c r="H1479" s="12" t="s">
        <v>6613</v>
      </c>
      <c r="I1479" s="12">
        <v>0</v>
      </c>
      <c r="J1479" s="12" t="s">
        <v>164</v>
      </c>
      <c r="K1479" s="12" t="s">
        <v>6646</v>
      </c>
      <c r="L1479" s="12" t="s">
        <v>4271</v>
      </c>
      <c r="M1479" s="12" t="s">
        <v>4271</v>
      </c>
      <c r="N1479" s="12" t="s">
        <v>5785</v>
      </c>
      <c r="O1479" s="12" t="s">
        <v>4272</v>
      </c>
      <c r="P1479" s="12" t="s">
        <v>4273</v>
      </c>
      <c r="Q1479" s="12" t="s">
        <v>6664</v>
      </c>
      <c r="R1479" s="12" t="s">
        <v>17</v>
      </c>
      <c r="S1479" s="12" t="s">
        <v>17</v>
      </c>
      <c r="T1479" s="12" t="s">
        <v>11</v>
      </c>
      <c r="U1479" s="12" t="s">
        <v>17</v>
      </c>
      <c r="V1479" s="12" t="s">
        <v>619</v>
      </c>
      <c r="W1479" s="12" t="s">
        <v>7415</v>
      </c>
      <c r="X1479" s="12" t="s">
        <v>17</v>
      </c>
      <c r="Y1479" s="12">
        <v>1171665</v>
      </c>
      <c r="Z1479" s="12" t="s">
        <v>6613</v>
      </c>
      <c r="AA1479" s="12" t="s">
        <v>6613</v>
      </c>
      <c r="AB1479" s="12" t="s">
        <v>6613</v>
      </c>
      <c r="AC1479" s="12" t="s">
        <v>6613</v>
      </c>
      <c r="AD1479" s="12" t="s">
        <v>6613</v>
      </c>
      <c r="AE1479" s="12" t="s">
        <v>6613</v>
      </c>
      <c r="AF1479" s="12" t="s">
        <v>45</v>
      </c>
    </row>
    <row r="1480" spans="1:32" x14ac:dyDescent="0.2">
      <c r="A1480" s="12" t="s">
        <v>4335</v>
      </c>
      <c r="B1480" s="12" t="s">
        <v>4336</v>
      </c>
      <c r="C1480" s="12" t="s">
        <v>17</v>
      </c>
      <c r="D1480" s="12" t="s">
        <v>17</v>
      </c>
      <c r="E1480" s="12" t="s">
        <v>7678</v>
      </c>
      <c r="F1480" s="12" t="s">
        <v>5458</v>
      </c>
      <c r="G1480" s="12" t="s">
        <v>615</v>
      </c>
      <c r="H1480" s="12" t="s">
        <v>6613</v>
      </c>
      <c r="I1480" s="12">
        <v>0</v>
      </c>
      <c r="J1480" s="12" t="s">
        <v>164</v>
      </c>
      <c r="K1480" s="12" t="s">
        <v>6646</v>
      </c>
      <c r="L1480" s="12" t="s">
        <v>4271</v>
      </c>
      <c r="M1480" s="12" t="s">
        <v>4271</v>
      </c>
      <c r="N1480" s="12" t="s">
        <v>5785</v>
      </c>
      <c r="O1480" s="12" t="s">
        <v>4272</v>
      </c>
      <c r="P1480" s="12" t="s">
        <v>4273</v>
      </c>
      <c r="Q1480" s="12" t="s">
        <v>6664</v>
      </c>
      <c r="R1480" s="12" t="s">
        <v>17</v>
      </c>
      <c r="S1480" s="12" t="s">
        <v>17</v>
      </c>
      <c r="T1480" s="12" t="s">
        <v>11</v>
      </c>
      <c r="U1480" s="12" t="s">
        <v>17</v>
      </c>
      <c r="V1480" s="12" t="s">
        <v>253</v>
      </c>
      <c r="W1480" s="12" t="s">
        <v>7415</v>
      </c>
      <c r="X1480" s="12" t="s">
        <v>17</v>
      </c>
      <c r="Y1480" s="12">
        <v>1172239</v>
      </c>
      <c r="Z1480" s="12" t="s">
        <v>6613</v>
      </c>
      <c r="AA1480" s="12" t="s">
        <v>6613</v>
      </c>
      <c r="AB1480" s="12" t="s">
        <v>6613</v>
      </c>
      <c r="AC1480" s="12" t="s">
        <v>6613</v>
      </c>
      <c r="AD1480" s="12" t="s">
        <v>6613</v>
      </c>
      <c r="AE1480" s="12" t="s">
        <v>6613</v>
      </c>
      <c r="AF1480" s="12" t="s">
        <v>45</v>
      </c>
    </row>
    <row r="1481" spans="1:32" x14ac:dyDescent="0.2">
      <c r="A1481" s="12" t="s">
        <v>4378</v>
      </c>
      <c r="B1481" s="12" t="s">
        <v>4379</v>
      </c>
      <c r="C1481" s="12" t="s">
        <v>17</v>
      </c>
      <c r="D1481" s="12" t="s">
        <v>17</v>
      </c>
      <c r="E1481" s="12" t="s">
        <v>7678</v>
      </c>
      <c r="F1481" s="12" t="s">
        <v>5458</v>
      </c>
      <c r="G1481" s="12" t="s">
        <v>615</v>
      </c>
      <c r="H1481" s="12" t="s">
        <v>6613</v>
      </c>
      <c r="I1481" s="12">
        <v>0</v>
      </c>
      <c r="J1481" s="12" t="s">
        <v>164</v>
      </c>
      <c r="K1481" s="12" t="s">
        <v>6646</v>
      </c>
      <c r="L1481" s="12" t="s">
        <v>4271</v>
      </c>
      <c r="M1481" s="12" t="s">
        <v>4271</v>
      </c>
      <c r="N1481" s="12" t="s">
        <v>5785</v>
      </c>
      <c r="O1481" s="12" t="s">
        <v>4272</v>
      </c>
      <c r="P1481" s="12" t="s">
        <v>4273</v>
      </c>
      <c r="Q1481" s="12" t="s">
        <v>6664</v>
      </c>
      <c r="R1481" s="12" t="s">
        <v>17</v>
      </c>
      <c r="S1481" s="12" t="s">
        <v>17</v>
      </c>
      <c r="T1481" s="12" t="s">
        <v>11</v>
      </c>
      <c r="U1481" s="12" t="s">
        <v>17</v>
      </c>
      <c r="V1481" s="12" t="s">
        <v>3405</v>
      </c>
      <c r="W1481" s="12" t="s">
        <v>7415</v>
      </c>
      <c r="X1481" s="12" t="s">
        <v>17</v>
      </c>
      <c r="Y1481" s="12">
        <v>1173240</v>
      </c>
      <c r="Z1481" s="12" t="s">
        <v>6613</v>
      </c>
      <c r="AA1481" s="12" t="s">
        <v>6613</v>
      </c>
      <c r="AB1481" s="12" t="s">
        <v>6613</v>
      </c>
      <c r="AC1481" s="12" t="s">
        <v>6613</v>
      </c>
      <c r="AD1481" s="12" t="s">
        <v>6613</v>
      </c>
      <c r="AE1481" s="12" t="s">
        <v>6613</v>
      </c>
      <c r="AF1481" s="12" t="s">
        <v>45</v>
      </c>
    </row>
    <row r="1482" spans="1:32" x14ac:dyDescent="0.2">
      <c r="A1482" s="12" t="s">
        <v>4341</v>
      </c>
      <c r="B1482" s="12" t="s">
        <v>4342</v>
      </c>
      <c r="C1482" s="12" t="s">
        <v>17</v>
      </c>
      <c r="D1482" s="12" t="s">
        <v>17</v>
      </c>
      <c r="E1482" s="12" t="s">
        <v>7678</v>
      </c>
      <c r="F1482" s="12" t="s">
        <v>5458</v>
      </c>
      <c r="G1482" s="12" t="s">
        <v>615</v>
      </c>
      <c r="H1482" s="12" t="s">
        <v>6613</v>
      </c>
      <c r="I1482" s="12">
        <v>0</v>
      </c>
      <c r="J1482" s="12" t="s">
        <v>164</v>
      </c>
      <c r="K1482" s="12" t="s">
        <v>6646</v>
      </c>
      <c r="L1482" s="12" t="s">
        <v>4271</v>
      </c>
      <c r="M1482" s="12" t="s">
        <v>4271</v>
      </c>
      <c r="N1482" s="12" t="s">
        <v>5785</v>
      </c>
      <c r="O1482" s="12" t="s">
        <v>4272</v>
      </c>
      <c r="P1482" s="12" t="s">
        <v>4273</v>
      </c>
      <c r="Q1482" s="12" t="s">
        <v>6664</v>
      </c>
      <c r="R1482" s="12" t="s">
        <v>17</v>
      </c>
      <c r="S1482" s="12" t="s">
        <v>17</v>
      </c>
      <c r="T1482" s="12" t="s">
        <v>11</v>
      </c>
      <c r="U1482" s="12" t="s">
        <v>17</v>
      </c>
      <c r="V1482" s="12" t="s">
        <v>739</v>
      </c>
      <c r="W1482" s="12" t="s">
        <v>7415</v>
      </c>
      <c r="X1482" s="12" t="s">
        <v>17</v>
      </c>
      <c r="Y1482" s="12">
        <v>1173649</v>
      </c>
      <c r="Z1482" s="12" t="s">
        <v>6613</v>
      </c>
      <c r="AA1482" s="12" t="s">
        <v>6613</v>
      </c>
      <c r="AB1482" s="12" t="s">
        <v>6613</v>
      </c>
      <c r="AC1482" s="12" t="s">
        <v>6613</v>
      </c>
      <c r="AD1482" s="12" t="s">
        <v>6613</v>
      </c>
      <c r="AE1482" s="12" t="s">
        <v>6613</v>
      </c>
      <c r="AF1482" s="12" t="s">
        <v>45</v>
      </c>
    </row>
    <row r="1483" spans="1:32" x14ac:dyDescent="0.2">
      <c r="A1483" s="12" t="s">
        <v>4359</v>
      </c>
      <c r="B1483" s="12" t="s">
        <v>4360</v>
      </c>
      <c r="C1483" s="12" t="s">
        <v>17</v>
      </c>
      <c r="D1483" s="12" t="s">
        <v>17</v>
      </c>
      <c r="E1483" s="12" t="s">
        <v>7678</v>
      </c>
      <c r="F1483" s="12" t="s">
        <v>5458</v>
      </c>
      <c r="G1483" s="12" t="s">
        <v>615</v>
      </c>
      <c r="H1483" s="12" t="s">
        <v>6613</v>
      </c>
      <c r="I1483" s="12">
        <v>0</v>
      </c>
      <c r="J1483" s="12" t="s">
        <v>164</v>
      </c>
      <c r="K1483" s="12" t="s">
        <v>6646</v>
      </c>
      <c r="L1483" s="12" t="s">
        <v>4271</v>
      </c>
      <c r="M1483" s="12" t="s">
        <v>4271</v>
      </c>
      <c r="N1483" s="12" t="s">
        <v>5785</v>
      </c>
      <c r="O1483" s="12" t="s">
        <v>4272</v>
      </c>
      <c r="P1483" s="12" t="s">
        <v>4273</v>
      </c>
      <c r="Q1483" s="12" t="s">
        <v>6664</v>
      </c>
      <c r="R1483" s="16" t="s">
        <v>17</v>
      </c>
      <c r="S1483" s="16" t="s">
        <v>17</v>
      </c>
      <c r="T1483" s="12" t="s">
        <v>11</v>
      </c>
      <c r="U1483" s="12" t="s">
        <v>17</v>
      </c>
      <c r="V1483" s="12" t="s">
        <v>490</v>
      </c>
      <c r="W1483" s="12" t="s">
        <v>7415</v>
      </c>
      <c r="X1483" s="12" t="s">
        <v>17</v>
      </c>
      <c r="Y1483" s="12">
        <v>1173825</v>
      </c>
      <c r="Z1483" s="12" t="s">
        <v>6613</v>
      </c>
      <c r="AA1483" s="12" t="s">
        <v>6613</v>
      </c>
      <c r="AB1483" s="12" t="s">
        <v>6613</v>
      </c>
      <c r="AC1483" s="12" t="s">
        <v>6613</v>
      </c>
      <c r="AD1483" s="12" t="s">
        <v>6613</v>
      </c>
      <c r="AE1483" s="12" t="s">
        <v>6613</v>
      </c>
      <c r="AF1483" s="12" t="s">
        <v>45</v>
      </c>
    </row>
    <row r="1484" spans="1:32" x14ac:dyDescent="0.2">
      <c r="A1484" s="12" t="s">
        <v>4388</v>
      </c>
      <c r="B1484" s="12" t="s">
        <v>4389</v>
      </c>
      <c r="C1484" s="12" t="s">
        <v>17</v>
      </c>
      <c r="D1484" s="12" t="s">
        <v>17</v>
      </c>
      <c r="E1484" s="12" t="s">
        <v>7678</v>
      </c>
      <c r="F1484" s="12" t="s">
        <v>5458</v>
      </c>
      <c r="G1484" s="12" t="s">
        <v>615</v>
      </c>
      <c r="H1484" s="12" t="s">
        <v>6613</v>
      </c>
      <c r="I1484" s="12">
        <v>0</v>
      </c>
      <c r="J1484" s="12" t="s">
        <v>164</v>
      </c>
      <c r="K1484" s="12" t="s">
        <v>6646</v>
      </c>
      <c r="L1484" s="12" t="s">
        <v>4271</v>
      </c>
      <c r="M1484" s="12" t="s">
        <v>4271</v>
      </c>
      <c r="N1484" s="12" t="s">
        <v>5785</v>
      </c>
      <c r="O1484" s="12" t="s">
        <v>4272</v>
      </c>
      <c r="P1484" s="12" t="s">
        <v>4273</v>
      </c>
      <c r="Q1484" s="12" t="s">
        <v>6664</v>
      </c>
      <c r="R1484" s="12" t="s">
        <v>17</v>
      </c>
      <c r="S1484" s="12" t="s">
        <v>17</v>
      </c>
      <c r="T1484" s="12" t="s">
        <v>11</v>
      </c>
      <c r="U1484" s="12" t="s">
        <v>17</v>
      </c>
      <c r="V1484" s="12" t="s">
        <v>413</v>
      </c>
      <c r="W1484" s="12" t="s">
        <v>7415</v>
      </c>
      <c r="X1484" s="12" t="s">
        <v>17</v>
      </c>
      <c r="Y1484" s="12">
        <v>1175364</v>
      </c>
      <c r="Z1484" s="12" t="s">
        <v>6613</v>
      </c>
      <c r="AA1484" s="12" t="s">
        <v>6613</v>
      </c>
      <c r="AB1484" s="12" t="s">
        <v>6613</v>
      </c>
      <c r="AC1484" s="12" t="s">
        <v>6613</v>
      </c>
      <c r="AD1484" s="12" t="s">
        <v>6613</v>
      </c>
      <c r="AE1484" s="12" t="s">
        <v>6613</v>
      </c>
      <c r="AF1484" s="12" t="s">
        <v>45</v>
      </c>
    </row>
    <row r="1485" spans="1:32" x14ac:dyDescent="0.2">
      <c r="A1485" s="12" t="s">
        <v>4345</v>
      </c>
      <c r="B1485" s="12" t="s">
        <v>4346</v>
      </c>
      <c r="C1485" s="12" t="s">
        <v>17</v>
      </c>
      <c r="D1485" s="12" t="s">
        <v>17</v>
      </c>
      <c r="E1485" s="12" t="s">
        <v>7678</v>
      </c>
      <c r="F1485" s="12" t="s">
        <v>5458</v>
      </c>
      <c r="G1485" s="12" t="s">
        <v>615</v>
      </c>
      <c r="H1485" s="12" t="s">
        <v>6613</v>
      </c>
      <c r="I1485" s="12">
        <v>0</v>
      </c>
      <c r="J1485" s="12" t="s">
        <v>164</v>
      </c>
      <c r="K1485" s="12" t="s">
        <v>6646</v>
      </c>
      <c r="L1485" s="12" t="s">
        <v>4271</v>
      </c>
      <c r="M1485" s="12" t="s">
        <v>4271</v>
      </c>
      <c r="N1485" s="12" t="s">
        <v>5785</v>
      </c>
      <c r="O1485" s="12" t="s">
        <v>4272</v>
      </c>
      <c r="P1485" s="12" t="s">
        <v>4273</v>
      </c>
      <c r="Q1485" s="12" t="s">
        <v>6664</v>
      </c>
      <c r="R1485" s="12" t="s">
        <v>17</v>
      </c>
      <c r="S1485" s="12" t="s">
        <v>17</v>
      </c>
      <c r="T1485" s="12" t="s">
        <v>11</v>
      </c>
      <c r="U1485" s="12" t="s">
        <v>17</v>
      </c>
      <c r="V1485" s="12" t="s">
        <v>601</v>
      </c>
      <c r="W1485" s="12" t="s">
        <v>7415</v>
      </c>
      <c r="X1485" s="12" t="s">
        <v>17</v>
      </c>
      <c r="Y1485" s="12">
        <v>1175696</v>
      </c>
      <c r="Z1485" s="12" t="s">
        <v>6613</v>
      </c>
      <c r="AA1485" s="12" t="s">
        <v>6613</v>
      </c>
      <c r="AB1485" s="12" t="s">
        <v>6613</v>
      </c>
      <c r="AC1485" s="12" t="s">
        <v>6613</v>
      </c>
      <c r="AD1485" s="12" t="s">
        <v>6613</v>
      </c>
      <c r="AE1485" s="12" t="s">
        <v>6613</v>
      </c>
      <c r="AF1485" s="12" t="s">
        <v>45</v>
      </c>
    </row>
    <row r="1486" spans="1:32" x14ac:dyDescent="0.2">
      <c r="A1486" s="12" t="s">
        <v>4396</v>
      </c>
      <c r="B1486" s="12" t="s">
        <v>4397</v>
      </c>
      <c r="C1486" s="12" t="s">
        <v>17</v>
      </c>
      <c r="D1486" s="12" t="s">
        <v>17</v>
      </c>
      <c r="E1486" s="12" t="s">
        <v>7678</v>
      </c>
      <c r="F1486" s="12" t="s">
        <v>5458</v>
      </c>
      <c r="G1486" s="12" t="s">
        <v>615</v>
      </c>
      <c r="H1486" s="12" t="s">
        <v>6613</v>
      </c>
      <c r="I1486" s="12">
        <v>0</v>
      </c>
      <c r="J1486" s="12" t="s">
        <v>164</v>
      </c>
      <c r="K1486" s="12" t="s">
        <v>6646</v>
      </c>
      <c r="L1486" s="12" t="s">
        <v>4271</v>
      </c>
      <c r="M1486" s="12" t="s">
        <v>4271</v>
      </c>
      <c r="N1486" s="12" t="s">
        <v>5785</v>
      </c>
      <c r="O1486" s="12" t="s">
        <v>4272</v>
      </c>
      <c r="P1486" s="12" t="s">
        <v>4273</v>
      </c>
      <c r="Q1486" s="12" t="s">
        <v>6664</v>
      </c>
      <c r="R1486" s="12" t="s">
        <v>17</v>
      </c>
      <c r="S1486" s="12" t="s">
        <v>17</v>
      </c>
      <c r="T1486" s="12" t="s">
        <v>11</v>
      </c>
      <c r="U1486" s="12" t="s">
        <v>17</v>
      </c>
      <c r="V1486" s="12" t="s">
        <v>3005</v>
      </c>
      <c r="W1486" s="12" t="s">
        <v>7415</v>
      </c>
      <c r="X1486" s="12" t="s">
        <v>17</v>
      </c>
      <c r="Y1486" s="12">
        <v>1175721</v>
      </c>
      <c r="Z1486" s="12" t="s">
        <v>6613</v>
      </c>
      <c r="AA1486" s="12" t="s">
        <v>6613</v>
      </c>
      <c r="AB1486" s="12" t="s">
        <v>6613</v>
      </c>
      <c r="AC1486" s="12" t="s">
        <v>6613</v>
      </c>
      <c r="AD1486" s="12" t="s">
        <v>6613</v>
      </c>
      <c r="AE1486" s="12" t="s">
        <v>6613</v>
      </c>
      <c r="AF1486" s="12" t="s">
        <v>45</v>
      </c>
    </row>
    <row r="1487" spans="1:32" x14ac:dyDescent="0.2">
      <c r="A1487" s="12" t="s">
        <v>4471</v>
      </c>
      <c r="B1487" s="12" t="s">
        <v>4472</v>
      </c>
      <c r="C1487" s="12" t="s">
        <v>17</v>
      </c>
      <c r="D1487" s="12" t="s">
        <v>17</v>
      </c>
      <c r="E1487" s="12" t="s">
        <v>7678</v>
      </c>
      <c r="F1487" s="12" t="s">
        <v>5458</v>
      </c>
      <c r="G1487" s="12" t="s">
        <v>615</v>
      </c>
      <c r="H1487" s="12" t="s">
        <v>6613</v>
      </c>
      <c r="I1487" s="12">
        <v>0</v>
      </c>
      <c r="J1487" s="12" t="s">
        <v>164</v>
      </c>
      <c r="K1487" s="12" t="s">
        <v>6646</v>
      </c>
      <c r="L1487" s="12" t="s">
        <v>4271</v>
      </c>
      <c r="M1487" s="12" t="s">
        <v>4271</v>
      </c>
      <c r="N1487" s="12" t="s">
        <v>5785</v>
      </c>
      <c r="O1487" s="12" t="s">
        <v>4272</v>
      </c>
      <c r="P1487" s="12" t="s">
        <v>4273</v>
      </c>
      <c r="Q1487" s="12" t="s">
        <v>6664</v>
      </c>
      <c r="R1487" s="12" t="s">
        <v>17</v>
      </c>
      <c r="S1487" s="12" t="s">
        <v>17</v>
      </c>
      <c r="T1487" s="12" t="s">
        <v>11</v>
      </c>
      <c r="U1487" s="12" t="s">
        <v>17</v>
      </c>
      <c r="V1487" s="12" t="s">
        <v>413</v>
      </c>
      <c r="W1487" s="12" t="s">
        <v>7415</v>
      </c>
      <c r="X1487" s="12" t="s">
        <v>17</v>
      </c>
      <c r="Y1487" s="12">
        <v>1176785</v>
      </c>
      <c r="Z1487" s="12" t="s">
        <v>6613</v>
      </c>
      <c r="AA1487" s="12" t="s">
        <v>6613</v>
      </c>
      <c r="AB1487" s="12" t="s">
        <v>6613</v>
      </c>
      <c r="AC1487" s="12" t="s">
        <v>6613</v>
      </c>
      <c r="AD1487" s="12" t="s">
        <v>6613</v>
      </c>
      <c r="AE1487" s="12" t="s">
        <v>6613</v>
      </c>
      <c r="AF1487" s="12" t="s">
        <v>45</v>
      </c>
    </row>
    <row r="1488" spans="1:32" x14ac:dyDescent="0.2">
      <c r="A1488" s="12" t="s">
        <v>4392</v>
      </c>
      <c r="B1488" s="12" t="s">
        <v>4393</v>
      </c>
      <c r="C1488" s="12" t="s">
        <v>17</v>
      </c>
      <c r="D1488" s="12" t="s">
        <v>17</v>
      </c>
      <c r="E1488" s="12" t="s">
        <v>7678</v>
      </c>
      <c r="F1488" s="12" t="s">
        <v>5458</v>
      </c>
      <c r="G1488" s="12" t="s">
        <v>615</v>
      </c>
      <c r="H1488" s="12" t="s">
        <v>6613</v>
      </c>
      <c r="I1488" s="12">
        <v>0</v>
      </c>
      <c r="J1488" s="12" t="s">
        <v>164</v>
      </c>
      <c r="K1488" s="12" t="s">
        <v>6646</v>
      </c>
      <c r="L1488" s="12" t="s">
        <v>4271</v>
      </c>
      <c r="M1488" s="12" t="s">
        <v>4271</v>
      </c>
      <c r="N1488" s="12" t="s">
        <v>5785</v>
      </c>
      <c r="O1488" s="12" t="s">
        <v>4272</v>
      </c>
      <c r="P1488" s="12" t="s">
        <v>4273</v>
      </c>
      <c r="Q1488" s="12" t="s">
        <v>6664</v>
      </c>
      <c r="R1488" s="12" t="s">
        <v>17</v>
      </c>
      <c r="S1488" s="12" t="s">
        <v>17</v>
      </c>
      <c r="T1488" s="12" t="s">
        <v>11</v>
      </c>
      <c r="U1488" s="12" t="s">
        <v>17</v>
      </c>
      <c r="V1488" s="12" t="s">
        <v>755</v>
      </c>
      <c r="W1488" s="12" t="s">
        <v>7415</v>
      </c>
      <c r="X1488" s="12" t="s">
        <v>17</v>
      </c>
      <c r="Y1488" s="12">
        <v>1177445</v>
      </c>
      <c r="Z1488" s="12" t="s">
        <v>6613</v>
      </c>
      <c r="AA1488" s="12" t="s">
        <v>6613</v>
      </c>
      <c r="AB1488" s="12" t="s">
        <v>6613</v>
      </c>
      <c r="AC1488" s="12" t="s">
        <v>6613</v>
      </c>
      <c r="AD1488" s="12" t="s">
        <v>6613</v>
      </c>
      <c r="AE1488" s="12" t="s">
        <v>6613</v>
      </c>
      <c r="AF1488" s="12" t="s">
        <v>45</v>
      </c>
    </row>
    <row r="1489" spans="1:32" x14ac:dyDescent="0.2">
      <c r="A1489" s="12" t="s">
        <v>4298</v>
      </c>
      <c r="B1489" s="12" t="s">
        <v>4299</v>
      </c>
      <c r="C1489" s="12" t="s">
        <v>17</v>
      </c>
      <c r="D1489" s="12" t="s">
        <v>17</v>
      </c>
      <c r="E1489" s="12" t="s">
        <v>7678</v>
      </c>
      <c r="F1489" s="12" t="s">
        <v>5458</v>
      </c>
      <c r="G1489" s="12" t="s">
        <v>615</v>
      </c>
      <c r="H1489" s="12" t="s">
        <v>6613</v>
      </c>
      <c r="I1489" s="12">
        <v>0</v>
      </c>
      <c r="J1489" s="12" t="s">
        <v>164</v>
      </c>
      <c r="K1489" s="12" t="s">
        <v>6646</v>
      </c>
      <c r="L1489" s="12" t="s">
        <v>4271</v>
      </c>
      <c r="M1489" s="12" t="s">
        <v>4271</v>
      </c>
      <c r="N1489" s="12" t="s">
        <v>5785</v>
      </c>
      <c r="O1489" s="12" t="s">
        <v>4272</v>
      </c>
      <c r="P1489" s="12" t="s">
        <v>4273</v>
      </c>
      <c r="Q1489" s="12" t="s">
        <v>6664</v>
      </c>
      <c r="R1489" s="12" t="s">
        <v>17</v>
      </c>
      <c r="S1489" s="12" t="s">
        <v>17</v>
      </c>
      <c r="T1489" s="12" t="s">
        <v>11</v>
      </c>
      <c r="U1489" s="12" t="s">
        <v>17</v>
      </c>
      <c r="V1489" s="12" t="s">
        <v>755</v>
      </c>
      <c r="W1489" s="12" t="s">
        <v>7415</v>
      </c>
      <c r="X1489" s="12" t="s">
        <v>17</v>
      </c>
      <c r="Y1489" s="12">
        <v>1177628</v>
      </c>
      <c r="Z1489" s="12" t="s">
        <v>6613</v>
      </c>
      <c r="AA1489" s="12" t="s">
        <v>6613</v>
      </c>
      <c r="AB1489" s="12" t="s">
        <v>6613</v>
      </c>
      <c r="AC1489" s="12" t="s">
        <v>6613</v>
      </c>
      <c r="AD1489" s="12" t="s">
        <v>6613</v>
      </c>
      <c r="AE1489" s="12" t="s">
        <v>6613</v>
      </c>
      <c r="AF1489" s="12" t="s">
        <v>45</v>
      </c>
    </row>
    <row r="1490" spans="1:32" x14ac:dyDescent="0.2">
      <c r="A1490" s="12" t="s">
        <v>4349</v>
      </c>
      <c r="B1490" s="12" t="s">
        <v>4350</v>
      </c>
      <c r="C1490" s="12" t="s">
        <v>17</v>
      </c>
      <c r="D1490" s="12" t="s">
        <v>17</v>
      </c>
      <c r="E1490" s="12" t="s">
        <v>7678</v>
      </c>
      <c r="F1490" s="12" t="s">
        <v>5458</v>
      </c>
      <c r="G1490" s="12" t="s">
        <v>615</v>
      </c>
      <c r="H1490" s="12" t="s">
        <v>6613</v>
      </c>
      <c r="I1490" s="12">
        <v>0</v>
      </c>
      <c r="J1490" s="12" t="s">
        <v>164</v>
      </c>
      <c r="K1490" s="12" t="s">
        <v>6646</v>
      </c>
      <c r="L1490" s="12" t="s">
        <v>4271</v>
      </c>
      <c r="M1490" s="12" t="s">
        <v>4271</v>
      </c>
      <c r="N1490" s="12" t="s">
        <v>5785</v>
      </c>
      <c r="O1490" s="12" t="s">
        <v>4272</v>
      </c>
      <c r="P1490" s="12" t="s">
        <v>4273</v>
      </c>
      <c r="Q1490" s="12" t="s">
        <v>6664</v>
      </c>
      <c r="R1490" s="12" t="s">
        <v>17</v>
      </c>
      <c r="S1490" s="12" t="s">
        <v>17</v>
      </c>
      <c r="T1490" s="12" t="s">
        <v>11</v>
      </c>
      <c r="U1490" s="12" t="s">
        <v>17</v>
      </c>
      <c r="V1490" s="12" t="s">
        <v>4328</v>
      </c>
      <c r="W1490" s="12" t="s">
        <v>7415</v>
      </c>
      <c r="X1490" s="12" t="s">
        <v>17</v>
      </c>
      <c r="Y1490" s="12">
        <v>1177954</v>
      </c>
      <c r="Z1490" s="12" t="s">
        <v>6613</v>
      </c>
      <c r="AA1490" s="12" t="s">
        <v>6613</v>
      </c>
      <c r="AB1490" s="12" t="s">
        <v>6613</v>
      </c>
      <c r="AC1490" s="12" t="s">
        <v>6613</v>
      </c>
      <c r="AD1490" s="12" t="s">
        <v>6613</v>
      </c>
      <c r="AE1490" s="12" t="s">
        <v>6613</v>
      </c>
      <c r="AF1490" s="12" t="s">
        <v>45</v>
      </c>
    </row>
    <row r="1491" spans="1:32" x14ac:dyDescent="0.2">
      <c r="A1491" s="12" t="s">
        <v>4408</v>
      </c>
      <c r="B1491" s="12" t="s">
        <v>4409</v>
      </c>
      <c r="C1491" s="12" t="s">
        <v>17</v>
      </c>
      <c r="D1491" s="12" t="s">
        <v>17</v>
      </c>
      <c r="E1491" s="12" t="s">
        <v>7678</v>
      </c>
      <c r="F1491" s="12" t="s">
        <v>5458</v>
      </c>
      <c r="G1491" s="12" t="s">
        <v>615</v>
      </c>
      <c r="H1491" s="12" t="s">
        <v>6613</v>
      </c>
      <c r="I1491" s="12">
        <v>0</v>
      </c>
      <c r="J1491" s="12" t="s">
        <v>164</v>
      </c>
      <c r="K1491" s="12" t="s">
        <v>6646</v>
      </c>
      <c r="L1491" s="12" t="s">
        <v>4271</v>
      </c>
      <c r="M1491" s="12" t="s">
        <v>4271</v>
      </c>
      <c r="N1491" s="12" t="s">
        <v>5785</v>
      </c>
      <c r="O1491" s="12" t="s">
        <v>4272</v>
      </c>
      <c r="P1491" s="12" t="s">
        <v>4273</v>
      </c>
      <c r="Q1491" s="12" t="s">
        <v>6664</v>
      </c>
      <c r="R1491" s="12" t="s">
        <v>17</v>
      </c>
      <c r="S1491" s="12" t="s">
        <v>17</v>
      </c>
      <c r="T1491" s="12" t="s">
        <v>11</v>
      </c>
      <c r="U1491" s="12" t="s">
        <v>17</v>
      </c>
      <c r="V1491" s="12" t="s">
        <v>631</v>
      </c>
      <c r="W1491" s="12" t="s">
        <v>7415</v>
      </c>
      <c r="X1491" s="12" t="s">
        <v>17</v>
      </c>
      <c r="Y1491" s="12">
        <v>1178452</v>
      </c>
      <c r="Z1491" s="12" t="s">
        <v>6613</v>
      </c>
      <c r="AA1491" s="12" t="s">
        <v>6613</v>
      </c>
      <c r="AB1491" s="12" t="s">
        <v>6613</v>
      </c>
      <c r="AC1491" s="12" t="s">
        <v>6613</v>
      </c>
      <c r="AD1491" s="12" t="s">
        <v>6613</v>
      </c>
      <c r="AE1491" s="12" t="s">
        <v>6613</v>
      </c>
      <c r="AF1491" s="12" t="s">
        <v>45</v>
      </c>
    </row>
    <row r="1492" spans="1:32" x14ac:dyDescent="0.2">
      <c r="A1492" s="12" t="s">
        <v>4448</v>
      </c>
      <c r="B1492" s="12" t="s">
        <v>4449</v>
      </c>
      <c r="C1492" s="12" t="s">
        <v>17</v>
      </c>
      <c r="D1492" s="12" t="s">
        <v>17</v>
      </c>
      <c r="E1492" s="12" t="s">
        <v>7678</v>
      </c>
      <c r="F1492" s="12" t="s">
        <v>5458</v>
      </c>
      <c r="G1492" s="12" t="s">
        <v>615</v>
      </c>
      <c r="H1492" s="12" t="s">
        <v>6613</v>
      </c>
      <c r="I1492" s="12">
        <v>0</v>
      </c>
      <c r="J1492" s="12" t="s">
        <v>164</v>
      </c>
      <c r="K1492" s="12" t="s">
        <v>6646</v>
      </c>
      <c r="L1492" s="12" t="s">
        <v>4271</v>
      </c>
      <c r="M1492" s="12" t="s">
        <v>4271</v>
      </c>
      <c r="N1492" s="12" t="s">
        <v>5785</v>
      </c>
      <c r="O1492" s="12" t="s">
        <v>4272</v>
      </c>
      <c r="P1492" s="12" t="s">
        <v>4273</v>
      </c>
      <c r="Q1492" s="12" t="s">
        <v>6664</v>
      </c>
      <c r="R1492" s="12" t="s">
        <v>17</v>
      </c>
      <c r="S1492" s="12" t="s">
        <v>17</v>
      </c>
      <c r="T1492" s="12" t="s">
        <v>11</v>
      </c>
      <c r="U1492" s="12" t="s">
        <v>17</v>
      </c>
      <c r="V1492" s="12" t="s">
        <v>628</v>
      </c>
      <c r="W1492" s="12" t="s">
        <v>7415</v>
      </c>
      <c r="X1492" s="12" t="s">
        <v>17</v>
      </c>
      <c r="Y1492" s="12">
        <v>1178728</v>
      </c>
      <c r="Z1492" s="12" t="s">
        <v>6613</v>
      </c>
      <c r="AA1492" s="12" t="s">
        <v>6613</v>
      </c>
      <c r="AB1492" s="12" t="s">
        <v>6613</v>
      </c>
      <c r="AC1492" s="12" t="s">
        <v>6613</v>
      </c>
      <c r="AD1492" s="12" t="s">
        <v>6613</v>
      </c>
      <c r="AE1492" s="12" t="s">
        <v>6613</v>
      </c>
      <c r="AF1492" s="12" t="s">
        <v>45</v>
      </c>
    </row>
    <row r="1493" spans="1:32" x14ac:dyDescent="0.2">
      <c r="A1493" s="12" t="s">
        <v>4481</v>
      </c>
      <c r="B1493" s="12" t="s">
        <v>4482</v>
      </c>
      <c r="C1493" s="12" t="s">
        <v>17</v>
      </c>
      <c r="D1493" s="12" t="s">
        <v>17</v>
      </c>
      <c r="E1493" s="12" t="s">
        <v>7678</v>
      </c>
      <c r="F1493" s="12" t="s">
        <v>5458</v>
      </c>
      <c r="G1493" s="12" t="s">
        <v>615</v>
      </c>
      <c r="H1493" s="12" t="s">
        <v>6613</v>
      </c>
      <c r="I1493" s="12">
        <v>0</v>
      </c>
      <c r="J1493" s="12" t="s">
        <v>164</v>
      </c>
      <c r="K1493" s="12" t="s">
        <v>6646</v>
      </c>
      <c r="L1493" s="12" t="s">
        <v>4271</v>
      </c>
      <c r="M1493" s="12" t="s">
        <v>4271</v>
      </c>
      <c r="N1493" s="12" t="s">
        <v>5785</v>
      </c>
      <c r="O1493" s="12" t="s">
        <v>4272</v>
      </c>
      <c r="P1493" s="12" t="s">
        <v>4273</v>
      </c>
      <c r="Q1493" s="12" t="s">
        <v>6664</v>
      </c>
      <c r="R1493" s="12" t="s">
        <v>17</v>
      </c>
      <c r="S1493" s="12" t="s">
        <v>17</v>
      </c>
      <c r="T1493" s="12" t="s">
        <v>11</v>
      </c>
      <c r="U1493" s="12" t="s">
        <v>17</v>
      </c>
      <c r="V1493" s="12" t="s">
        <v>653</v>
      </c>
      <c r="W1493" s="12" t="s">
        <v>7415</v>
      </c>
      <c r="X1493" s="12" t="s">
        <v>17</v>
      </c>
      <c r="Y1493" s="12">
        <v>1179182</v>
      </c>
      <c r="Z1493" s="12" t="s">
        <v>6613</v>
      </c>
      <c r="AA1493" s="12" t="s">
        <v>6613</v>
      </c>
      <c r="AB1493" s="12" t="s">
        <v>6613</v>
      </c>
      <c r="AC1493" s="12" t="s">
        <v>6613</v>
      </c>
      <c r="AD1493" s="12" t="s">
        <v>6613</v>
      </c>
      <c r="AE1493" s="12" t="s">
        <v>6613</v>
      </c>
      <c r="AF1493" s="12" t="s">
        <v>45</v>
      </c>
    </row>
    <row r="1494" spans="1:32" x14ac:dyDescent="0.2">
      <c r="A1494" s="12" t="s">
        <v>4424</v>
      </c>
      <c r="B1494" s="12" t="s">
        <v>4425</v>
      </c>
      <c r="C1494" s="12" t="s">
        <v>17</v>
      </c>
      <c r="D1494" s="12" t="s">
        <v>17</v>
      </c>
      <c r="E1494" s="12" t="s">
        <v>7678</v>
      </c>
      <c r="F1494" s="12" t="s">
        <v>5458</v>
      </c>
      <c r="G1494" s="12" t="s">
        <v>615</v>
      </c>
      <c r="H1494" s="12" t="s">
        <v>6613</v>
      </c>
      <c r="I1494" s="12">
        <v>0</v>
      </c>
      <c r="J1494" s="12" t="s">
        <v>164</v>
      </c>
      <c r="K1494" s="12" t="s">
        <v>6646</v>
      </c>
      <c r="L1494" s="12" t="s">
        <v>4271</v>
      </c>
      <c r="M1494" s="12" t="s">
        <v>4271</v>
      </c>
      <c r="N1494" s="12" t="s">
        <v>5785</v>
      </c>
      <c r="O1494" s="12" t="s">
        <v>4272</v>
      </c>
      <c r="P1494" s="12" t="s">
        <v>4273</v>
      </c>
      <c r="Q1494" s="12" t="s">
        <v>6664</v>
      </c>
      <c r="R1494" s="12" t="s">
        <v>17</v>
      </c>
      <c r="S1494" s="12" t="s">
        <v>17</v>
      </c>
      <c r="T1494" s="12" t="s">
        <v>11</v>
      </c>
      <c r="U1494" s="12" t="s">
        <v>17</v>
      </c>
      <c r="V1494" s="12" t="s">
        <v>666</v>
      </c>
      <c r="W1494" s="12" t="s">
        <v>7415</v>
      </c>
      <c r="X1494" s="12" t="s">
        <v>17</v>
      </c>
      <c r="Y1494" s="12">
        <v>1180256</v>
      </c>
      <c r="Z1494" s="12" t="s">
        <v>6613</v>
      </c>
      <c r="AA1494" s="12" t="s">
        <v>6613</v>
      </c>
      <c r="AB1494" s="12" t="s">
        <v>6613</v>
      </c>
      <c r="AC1494" s="12" t="s">
        <v>6613</v>
      </c>
      <c r="AD1494" s="12" t="s">
        <v>6613</v>
      </c>
      <c r="AE1494" s="12" t="s">
        <v>6613</v>
      </c>
      <c r="AF1494" s="12" t="s">
        <v>45</v>
      </c>
    </row>
    <row r="1495" spans="1:32" x14ac:dyDescent="0.2">
      <c r="A1495" s="12" t="s">
        <v>4294</v>
      </c>
      <c r="B1495" s="12" t="s">
        <v>4295</v>
      </c>
      <c r="C1495" s="12" t="s">
        <v>17</v>
      </c>
      <c r="D1495" s="12" t="s">
        <v>17</v>
      </c>
      <c r="E1495" s="12" t="s">
        <v>7678</v>
      </c>
      <c r="F1495" s="12" t="s">
        <v>5458</v>
      </c>
      <c r="G1495" s="12" t="s">
        <v>615</v>
      </c>
      <c r="H1495" s="12" t="s">
        <v>6613</v>
      </c>
      <c r="I1495" s="12">
        <v>0</v>
      </c>
      <c r="J1495" s="12" t="s">
        <v>164</v>
      </c>
      <c r="K1495" s="12" t="s">
        <v>6646</v>
      </c>
      <c r="L1495" s="12" t="s">
        <v>4271</v>
      </c>
      <c r="M1495" s="12" t="s">
        <v>4271</v>
      </c>
      <c r="N1495" s="12" t="s">
        <v>5785</v>
      </c>
      <c r="O1495" s="12" t="s">
        <v>4272</v>
      </c>
      <c r="P1495" s="12" t="s">
        <v>4273</v>
      </c>
      <c r="Q1495" s="12" t="s">
        <v>6664</v>
      </c>
      <c r="R1495" s="12" t="s">
        <v>17</v>
      </c>
      <c r="S1495" s="12" t="s">
        <v>17</v>
      </c>
      <c r="T1495" s="12" t="s">
        <v>11</v>
      </c>
      <c r="U1495" s="12" t="s">
        <v>17</v>
      </c>
      <c r="V1495" s="12" t="s">
        <v>653</v>
      </c>
      <c r="W1495" s="12" t="s">
        <v>7415</v>
      </c>
      <c r="X1495" s="12" t="s">
        <v>17</v>
      </c>
      <c r="Y1495" s="12">
        <v>1180293</v>
      </c>
      <c r="Z1495" s="12" t="s">
        <v>6613</v>
      </c>
      <c r="AA1495" s="12" t="s">
        <v>6613</v>
      </c>
      <c r="AB1495" s="12" t="s">
        <v>6613</v>
      </c>
      <c r="AC1495" s="12" t="s">
        <v>6613</v>
      </c>
      <c r="AD1495" s="12" t="s">
        <v>6613</v>
      </c>
      <c r="AE1495" s="12" t="s">
        <v>6613</v>
      </c>
      <c r="AF1495" s="12" t="s">
        <v>45</v>
      </c>
    </row>
    <row r="1496" spans="1:32" x14ac:dyDescent="0.2">
      <c r="A1496" s="12" t="s">
        <v>4450</v>
      </c>
      <c r="B1496" s="12" t="s">
        <v>4451</v>
      </c>
      <c r="C1496" s="12" t="s">
        <v>17</v>
      </c>
      <c r="D1496" s="12" t="s">
        <v>17</v>
      </c>
      <c r="E1496" s="12" t="s">
        <v>7678</v>
      </c>
      <c r="F1496" s="12" t="s">
        <v>5458</v>
      </c>
      <c r="G1496" s="12" t="s">
        <v>615</v>
      </c>
      <c r="H1496" s="12" t="s">
        <v>6613</v>
      </c>
      <c r="I1496" s="12">
        <v>0</v>
      </c>
      <c r="J1496" s="12" t="s">
        <v>164</v>
      </c>
      <c r="K1496" s="12" t="s">
        <v>6646</v>
      </c>
      <c r="L1496" s="12" t="s">
        <v>4271</v>
      </c>
      <c r="M1496" s="12" t="s">
        <v>4271</v>
      </c>
      <c r="N1496" s="12" t="s">
        <v>5785</v>
      </c>
      <c r="O1496" s="12" t="s">
        <v>4272</v>
      </c>
      <c r="P1496" s="12" t="s">
        <v>4273</v>
      </c>
      <c r="Q1496" s="12" t="s">
        <v>6664</v>
      </c>
      <c r="R1496" s="12" t="s">
        <v>17</v>
      </c>
      <c r="S1496" s="12" t="s">
        <v>17</v>
      </c>
      <c r="T1496" s="12" t="s">
        <v>11</v>
      </c>
      <c r="U1496" s="12" t="s">
        <v>17</v>
      </c>
      <c r="V1496" s="12" t="s">
        <v>4452</v>
      </c>
      <c r="W1496" s="12" t="s">
        <v>7415</v>
      </c>
      <c r="X1496" s="12" t="s">
        <v>17</v>
      </c>
      <c r="Y1496" s="12">
        <v>1180422</v>
      </c>
      <c r="Z1496" s="12" t="s">
        <v>6613</v>
      </c>
      <c r="AA1496" s="12" t="s">
        <v>6613</v>
      </c>
      <c r="AB1496" s="12" t="s">
        <v>6613</v>
      </c>
      <c r="AC1496" s="12" t="s">
        <v>6613</v>
      </c>
      <c r="AD1496" s="12" t="s">
        <v>6613</v>
      </c>
      <c r="AE1496" s="12" t="s">
        <v>6613</v>
      </c>
      <c r="AF1496" s="12" t="s">
        <v>45</v>
      </c>
    </row>
    <row r="1497" spans="1:32" x14ac:dyDescent="0.2">
      <c r="A1497" s="12" t="s">
        <v>4333</v>
      </c>
      <c r="B1497" s="12" t="s">
        <v>4334</v>
      </c>
      <c r="C1497" s="12" t="s">
        <v>17</v>
      </c>
      <c r="D1497" s="12" t="s">
        <v>17</v>
      </c>
      <c r="E1497" s="12" t="s">
        <v>7678</v>
      </c>
      <c r="F1497" s="12" t="s">
        <v>5458</v>
      </c>
      <c r="G1497" s="12" t="s">
        <v>615</v>
      </c>
      <c r="H1497" s="12" t="s">
        <v>6613</v>
      </c>
      <c r="I1497" s="12">
        <v>0</v>
      </c>
      <c r="J1497" s="12" t="s">
        <v>164</v>
      </c>
      <c r="K1497" s="12" t="s">
        <v>6646</v>
      </c>
      <c r="L1497" s="12" t="s">
        <v>4271</v>
      </c>
      <c r="M1497" s="12" t="s">
        <v>4271</v>
      </c>
      <c r="N1497" s="12" t="s">
        <v>5785</v>
      </c>
      <c r="O1497" s="12" t="s">
        <v>4272</v>
      </c>
      <c r="P1497" s="12" t="s">
        <v>4273</v>
      </c>
      <c r="Q1497" s="12" t="s">
        <v>6664</v>
      </c>
      <c r="R1497" s="12" t="s">
        <v>17</v>
      </c>
      <c r="S1497" s="12" t="s">
        <v>17</v>
      </c>
      <c r="T1497" s="12" t="s">
        <v>11</v>
      </c>
      <c r="U1497" s="12" t="s">
        <v>17</v>
      </c>
      <c r="V1497" s="12" t="s">
        <v>755</v>
      </c>
      <c r="W1497" s="12" t="s">
        <v>7415</v>
      </c>
      <c r="X1497" s="12" t="s">
        <v>17</v>
      </c>
      <c r="Y1497" s="12">
        <v>1180437</v>
      </c>
      <c r="Z1497" s="12" t="s">
        <v>6613</v>
      </c>
      <c r="AA1497" s="12" t="s">
        <v>6613</v>
      </c>
      <c r="AB1497" s="12" t="s">
        <v>6613</v>
      </c>
      <c r="AC1497" s="12" t="s">
        <v>6613</v>
      </c>
      <c r="AD1497" s="12" t="s">
        <v>6613</v>
      </c>
      <c r="AE1497" s="12" t="s">
        <v>6613</v>
      </c>
      <c r="AF1497" s="12" t="s">
        <v>45</v>
      </c>
    </row>
    <row r="1498" spans="1:32" x14ac:dyDescent="0.2">
      <c r="A1498" s="12" t="s">
        <v>4308</v>
      </c>
      <c r="B1498" s="12" t="s">
        <v>4309</v>
      </c>
      <c r="C1498" s="12" t="s">
        <v>17</v>
      </c>
      <c r="D1498" s="12" t="s">
        <v>17</v>
      </c>
      <c r="E1498" s="12" t="s">
        <v>7678</v>
      </c>
      <c r="F1498" s="12" t="s">
        <v>5458</v>
      </c>
      <c r="G1498" s="12" t="s">
        <v>615</v>
      </c>
      <c r="H1498" s="12" t="s">
        <v>6613</v>
      </c>
      <c r="I1498" s="12">
        <v>0</v>
      </c>
      <c r="J1498" s="12" t="s">
        <v>164</v>
      </c>
      <c r="K1498" s="12" t="s">
        <v>6646</v>
      </c>
      <c r="L1498" s="12" t="s">
        <v>4271</v>
      </c>
      <c r="M1498" s="12" t="s">
        <v>4271</v>
      </c>
      <c r="N1498" s="12" t="s">
        <v>5785</v>
      </c>
      <c r="O1498" s="12" t="s">
        <v>4272</v>
      </c>
      <c r="P1498" s="12" t="s">
        <v>4273</v>
      </c>
      <c r="Q1498" s="12" t="s">
        <v>6664</v>
      </c>
      <c r="R1498" s="12" t="s">
        <v>17</v>
      </c>
      <c r="S1498" s="12" t="s">
        <v>17</v>
      </c>
      <c r="T1498" s="12" t="s">
        <v>11</v>
      </c>
      <c r="U1498" s="12" t="s">
        <v>17</v>
      </c>
      <c r="V1498" s="12" t="s">
        <v>3405</v>
      </c>
      <c r="W1498" s="12" t="s">
        <v>7415</v>
      </c>
      <c r="X1498" s="12" t="s">
        <v>17</v>
      </c>
      <c r="Y1498" s="12">
        <v>1180560</v>
      </c>
      <c r="Z1498" s="12" t="s">
        <v>6613</v>
      </c>
      <c r="AA1498" s="12" t="s">
        <v>6613</v>
      </c>
      <c r="AB1498" s="12" t="s">
        <v>6613</v>
      </c>
      <c r="AC1498" s="12" t="s">
        <v>6613</v>
      </c>
      <c r="AD1498" s="12" t="s">
        <v>6613</v>
      </c>
      <c r="AE1498" s="12" t="s">
        <v>6613</v>
      </c>
      <c r="AF1498" s="12" t="s">
        <v>45</v>
      </c>
    </row>
    <row r="1499" spans="1:32" x14ac:dyDescent="0.2">
      <c r="A1499" s="12" t="s">
        <v>4477</v>
      </c>
      <c r="B1499" s="12" t="s">
        <v>4478</v>
      </c>
      <c r="C1499" s="12" t="s">
        <v>17</v>
      </c>
      <c r="D1499" s="12" t="s">
        <v>17</v>
      </c>
      <c r="E1499" s="12" t="s">
        <v>7678</v>
      </c>
      <c r="F1499" s="12" t="s">
        <v>5458</v>
      </c>
      <c r="G1499" s="12" t="s">
        <v>615</v>
      </c>
      <c r="H1499" s="12" t="s">
        <v>6613</v>
      </c>
      <c r="I1499" s="12">
        <v>0</v>
      </c>
      <c r="J1499" s="12" t="s">
        <v>164</v>
      </c>
      <c r="K1499" s="12" t="s">
        <v>6646</v>
      </c>
      <c r="L1499" s="12" t="s">
        <v>4271</v>
      </c>
      <c r="M1499" s="12" t="s">
        <v>4271</v>
      </c>
      <c r="N1499" s="12" t="s">
        <v>5785</v>
      </c>
      <c r="O1499" s="12" t="s">
        <v>4272</v>
      </c>
      <c r="P1499" s="12" t="s">
        <v>4273</v>
      </c>
      <c r="Q1499" s="12" t="s">
        <v>6664</v>
      </c>
      <c r="R1499" s="12" t="s">
        <v>17</v>
      </c>
      <c r="S1499" s="12" t="s">
        <v>17</v>
      </c>
      <c r="T1499" s="12" t="s">
        <v>11</v>
      </c>
      <c r="U1499" s="12" t="s">
        <v>17</v>
      </c>
      <c r="V1499" s="12" t="s">
        <v>619</v>
      </c>
      <c r="W1499" s="12" t="s">
        <v>7415</v>
      </c>
      <c r="X1499" s="12" t="s">
        <v>17</v>
      </c>
      <c r="Y1499" s="12">
        <v>1180602</v>
      </c>
      <c r="Z1499" s="12" t="s">
        <v>6613</v>
      </c>
      <c r="AA1499" s="12" t="s">
        <v>6613</v>
      </c>
      <c r="AB1499" s="12" t="s">
        <v>6613</v>
      </c>
      <c r="AC1499" s="12" t="s">
        <v>6613</v>
      </c>
      <c r="AD1499" s="12" t="s">
        <v>6613</v>
      </c>
      <c r="AE1499" s="12" t="s">
        <v>6613</v>
      </c>
      <c r="AF1499" s="12" t="s">
        <v>45</v>
      </c>
    </row>
    <row r="1500" spans="1:32" x14ac:dyDescent="0.2">
      <c r="A1500" s="12" t="s">
        <v>4329</v>
      </c>
      <c r="B1500" s="12" t="s">
        <v>4330</v>
      </c>
      <c r="C1500" s="12" t="s">
        <v>17</v>
      </c>
      <c r="D1500" s="12" t="s">
        <v>17</v>
      </c>
      <c r="E1500" s="12" t="s">
        <v>7678</v>
      </c>
      <c r="F1500" s="12" t="s">
        <v>5458</v>
      </c>
      <c r="G1500" s="12" t="s">
        <v>615</v>
      </c>
      <c r="H1500" s="12" t="s">
        <v>6613</v>
      </c>
      <c r="I1500" s="12">
        <v>0</v>
      </c>
      <c r="J1500" s="12" t="s">
        <v>164</v>
      </c>
      <c r="K1500" s="12" t="s">
        <v>6646</v>
      </c>
      <c r="L1500" s="12" t="s">
        <v>4271</v>
      </c>
      <c r="M1500" s="12" t="s">
        <v>4271</v>
      </c>
      <c r="N1500" s="12" t="s">
        <v>5785</v>
      </c>
      <c r="O1500" s="12" t="s">
        <v>4272</v>
      </c>
      <c r="P1500" s="12" t="s">
        <v>4273</v>
      </c>
      <c r="Q1500" s="12" t="s">
        <v>6664</v>
      </c>
      <c r="R1500" s="12" t="s">
        <v>17</v>
      </c>
      <c r="S1500" s="12" t="s">
        <v>17</v>
      </c>
      <c r="T1500" s="12" t="s">
        <v>11</v>
      </c>
      <c r="U1500" s="12" t="s">
        <v>17</v>
      </c>
      <c r="V1500" s="12" t="s">
        <v>755</v>
      </c>
      <c r="W1500" s="12" t="s">
        <v>7415</v>
      </c>
      <c r="X1500" s="12" t="s">
        <v>17</v>
      </c>
      <c r="Y1500" s="12">
        <v>1180719</v>
      </c>
      <c r="Z1500" s="12" t="s">
        <v>6613</v>
      </c>
      <c r="AA1500" s="12" t="s">
        <v>6613</v>
      </c>
      <c r="AB1500" s="12" t="s">
        <v>6613</v>
      </c>
      <c r="AC1500" s="12" t="s">
        <v>6613</v>
      </c>
      <c r="AD1500" s="12" t="s">
        <v>6613</v>
      </c>
      <c r="AE1500" s="12" t="s">
        <v>6613</v>
      </c>
      <c r="AF1500" s="12" t="s">
        <v>45</v>
      </c>
    </row>
    <row r="1501" spans="1:32" x14ac:dyDescent="0.2">
      <c r="A1501" s="12" t="s">
        <v>4288</v>
      </c>
      <c r="B1501" s="12" t="s">
        <v>4289</v>
      </c>
      <c r="C1501" s="12" t="s">
        <v>17</v>
      </c>
      <c r="D1501" s="12" t="s">
        <v>17</v>
      </c>
      <c r="E1501" s="12" t="s">
        <v>7678</v>
      </c>
      <c r="F1501" s="12" t="s">
        <v>5458</v>
      </c>
      <c r="G1501" s="12" t="s">
        <v>615</v>
      </c>
      <c r="H1501" s="12" t="s">
        <v>6613</v>
      </c>
      <c r="I1501" s="12">
        <v>0</v>
      </c>
      <c r="J1501" s="12" t="s">
        <v>164</v>
      </c>
      <c r="K1501" s="12" t="s">
        <v>6646</v>
      </c>
      <c r="L1501" s="12" t="s">
        <v>4271</v>
      </c>
      <c r="M1501" s="12" t="s">
        <v>4271</v>
      </c>
      <c r="N1501" s="12" t="s">
        <v>5785</v>
      </c>
      <c r="O1501" s="12" t="s">
        <v>4272</v>
      </c>
      <c r="P1501" s="12" t="s">
        <v>4273</v>
      </c>
      <c r="Q1501" s="12" t="s">
        <v>6664</v>
      </c>
      <c r="R1501" s="12" t="s">
        <v>17</v>
      </c>
      <c r="S1501" s="12" t="s">
        <v>17</v>
      </c>
      <c r="T1501" s="12" t="s">
        <v>11</v>
      </c>
      <c r="U1501" s="12" t="s">
        <v>17</v>
      </c>
      <c r="V1501" s="12" t="s">
        <v>490</v>
      </c>
      <c r="W1501" s="12" t="s">
        <v>7415</v>
      </c>
      <c r="X1501" s="12" t="s">
        <v>17</v>
      </c>
      <c r="Y1501" s="12">
        <v>1180817</v>
      </c>
      <c r="Z1501" s="12" t="s">
        <v>6613</v>
      </c>
      <c r="AA1501" s="12" t="s">
        <v>6613</v>
      </c>
      <c r="AB1501" s="12" t="s">
        <v>6613</v>
      </c>
      <c r="AC1501" s="12" t="s">
        <v>6613</v>
      </c>
      <c r="AD1501" s="12" t="s">
        <v>6613</v>
      </c>
      <c r="AE1501" s="12" t="s">
        <v>6613</v>
      </c>
      <c r="AF1501" s="12" t="s">
        <v>45</v>
      </c>
    </row>
    <row r="1502" spans="1:32" x14ac:dyDescent="0.2">
      <c r="A1502" s="12" t="s">
        <v>4410</v>
      </c>
      <c r="B1502" s="12" t="s">
        <v>4411</v>
      </c>
      <c r="C1502" s="12" t="s">
        <v>17</v>
      </c>
      <c r="D1502" s="12" t="s">
        <v>17</v>
      </c>
      <c r="E1502" s="12" t="s">
        <v>7678</v>
      </c>
      <c r="F1502" s="12" t="s">
        <v>5458</v>
      </c>
      <c r="G1502" s="12" t="s">
        <v>615</v>
      </c>
      <c r="H1502" s="12" t="s">
        <v>6613</v>
      </c>
      <c r="I1502" s="12">
        <v>0</v>
      </c>
      <c r="J1502" s="12" t="s">
        <v>164</v>
      </c>
      <c r="K1502" s="12" t="s">
        <v>6646</v>
      </c>
      <c r="L1502" s="12" t="s">
        <v>4271</v>
      </c>
      <c r="M1502" s="12" t="s">
        <v>4271</v>
      </c>
      <c r="N1502" s="12" t="s">
        <v>5785</v>
      </c>
      <c r="O1502" s="12" t="s">
        <v>4272</v>
      </c>
      <c r="P1502" s="12" t="s">
        <v>4273</v>
      </c>
      <c r="Q1502" s="12" t="s">
        <v>6664</v>
      </c>
      <c r="R1502" s="12" t="s">
        <v>17</v>
      </c>
      <c r="S1502" s="12" t="s">
        <v>17</v>
      </c>
      <c r="T1502" s="12" t="s">
        <v>11</v>
      </c>
      <c r="U1502" s="12" t="s">
        <v>17</v>
      </c>
      <c r="V1502" s="12" t="s">
        <v>601</v>
      </c>
      <c r="W1502" s="12" t="s">
        <v>7415</v>
      </c>
      <c r="X1502" s="12" t="s">
        <v>17</v>
      </c>
      <c r="Y1502" s="12">
        <v>1180860</v>
      </c>
      <c r="Z1502" s="12" t="s">
        <v>6613</v>
      </c>
      <c r="AA1502" s="12" t="s">
        <v>6613</v>
      </c>
      <c r="AB1502" s="12" t="s">
        <v>6613</v>
      </c>
      <c r="AC1502" s="12" t="s">
        <v>6613</v>
      </c>
      <c r="AD1502" s="12" t="s">
        <v>6613</v>
      </c>
      <c r="AE1502" s="12" t="s">
        <v>6613</v>
      </c>
      <c r="AF1502" s="12" t="s">
        <v>45</v>
      </c>
    </row>
    <row r="1503" spans="1:32" x14ac:dyDescent="0.2">
      <c r="A1503" s="12" t="s">
        <v>4290</v>
      </c>
      <c r="B1503" s="12" t="s">
        <v>4291</v>
      </c>
      <c r="C1503" s="12" t="s">
        <v>17</v>
      </c>
      <c r="D1503" s="12" t="s">
        <v>17</v>
      </c>
      <c r="E1503" s="12" t="s">
        <v>7678</v>
      </c>
      <c r="F1503" s="12" t="s">
        <v>5458</v>
      </c>
      <c r="G1503" s="12" t="s">
        <v>615</v>
      </c>
      <c r="H1503" s="12" t="s">
        <v>6613</v>
      </c>
      <c r="I1503" s="12">
        <v>0</v>
      </c>
      <c r="J1503" s="12" t="s">
        <v>164</v>
      </c>
      <c r="K1503" s="12" t="s">
        <v>6646</v>
      </c>
      <c r="L1503" s="12" t="s">
        <v>4271</v>
      </c>
      <c r="M1503" s="12" t="s">
        <v>4271</v>
      </c>
      <c r="N1503" s="12" t="s">
        <v>5785</v>
      </c>
      <c r="O1503" s="12" t="s">
        <v>4272</v>
      </c>
      <c r="P1503" s="12" t="s">
        <v>4273</v>
      </c>
      <c r="Q1503" s="12" t="s">
        <v>6664</v>
      </c>
      <c r="R1503" s="12" t="s">
        <v>17</v>
      </c>
      <c r="S1503" s="12" t="s">
        <v>17</v>
      </c>
      <c r="T1503" s="12" t="s">
        <v>11</v>
      </c>
      <c r="U1503" s="12" t="s">
        <v>17</v>
      </c>
      <c r="V1503" s="12" t="s">
        <v>69</v>
      </c>
      <c r="W1503" s="12" t="s">
        <v>7415</v>
      </c>
      <c r="X1503" s="12" t="s">
        <v>17</v>
      </c>
      <c r="Y1503" s="12">
        <v>1181083</v>
      </c>
      <c r="Z1503" s="12" t="s">
        <v>6613</v>
      </c>
      <c r="AA1503" s="12" t="s">
        <v>6613</v>
      </c>
      <c r="AB1503" s="12" t="s">
        <v>6613</v>
      </c>
      <c r="AC1503" s="12" t="s">
        <v>6613</v>
      </c>
      <c r="AD1503" s="12" t="s">
        <v>6613</v>
      </c>
      <c r="AE1503" s="12" t="s">
        <v>6613</v>
      </c>
      <c r="AF1503" s="12" t="s">
        <v>45</v>
      </c>
    </row>
    <row r="1504" spans="1:32" x14ac:dyDescent="0.2">
      <c r="A1504" s="12" t="s">
        <v>4402</v>
      </c>
      <c r="B1504" s="12" t="s">
        <v>4403</v>
      </c>
      <c r="C1504" s="12" t="s">
        <v>17</v>
      </c>
      <c r="D1504" s="12" t="s">
        <v>17</v>
      </c>
      <c r="E1504" s="12" t="s">
        <v>7678</v>
      </c>
      <c r="F1504" s="12" t="s">
        <v>5458</v>
      </c>
      <c r="G1504" s="12" t="s">
        <v>615</v>
      </c>
      <c r="H1504" s="12" t="s">
        <v>6613</v>
      </c>
      <c r="I1504" s="12">
        <v>0</v>
      </c>
      <c r="J1504" s="12" t="s">
        <v>164</v>
      </c>
      <c r="K1504" s="12" t="s">
        <v>6646</v>
      </c>
      <c r="L1504" s="12" t="s">
        <v>4271</v>
      </c>
      <c r="M1504" s="12" t="s">
        <v>4271</v>
      </c>
      <c r="N1504" s="12" t="s">
        <v>5785</v>
      </c>
      <c r="O1504" s="12" t="s">
        <v>4272</v>
      </c>
      <c r="P1504" s="12" t="s">
        <v>4273</v>
      </c>
      <c r="Q1504" s="12" t="s">
        <v>6664</v>
      </c>
      <c r="R1504" s="12" t="s">
        <v>17</v>
      </c>
      <c r="S1504" s="12" t="s">
        <v>17</v>
      </c>
      <c r="T1504" s="12" t="s">
        <v>11</v>
      </c>
      <c r="U1504" s="12" t="s">
        <v>17</v>
      </c>
      <c r="V1504" s="12" t="s">
        <v>708</v>
      </c>
      <c r="W1504" s="12" t="s">
        <v>7415</v>
      </c>
      <c r="X1504" s="12" t="s">
        <v>17</v>
      </c>
      <c r="Y1504" s="12">
        <v>1181195</v>
      </c>
      <c r="Z1504" s="12" t="s">
        <v>6613</v>
      </c>
      <c r="AA1504" s="12" t="s">
        <v>6613</v>
      </c>
      <c r="AB1504" s="12" t="s">
        <v>6613</v>
      </c>
      <c r="AC1504" s="12" t="s">
        <v>6613</v>
      </c>
      <c r="AD1504" s="12" t="s">
        <v>6613</v>
      </c>
      <c r="AE1504" s="12" t="s">
        <v>6613</v>
      </c>
      <c r="AF1504" s="12" t="s">
        <v>45</v>
      </c>
    </row>
    <row r="1505" spans="1:32" x14ac:dyDescent="0.2">
      <c r="A1505" s="12" t="s">
        <v>4412</v>
      </c>
      <c r="B1505" s="12" t="s">
        <v>4413</v>
      </c>
      <c r="C1505" s="12" t="s">
        <v>17</v>
      </c>
      <c r="D1505" s="12" t="s">
        <v>17</v>
      </c>
      <c r="E1505" s="12" t="s">
        <v>7678</v>
      </c>
      <c r="F1505" s="12" t="s">
        <v>5458</v>
      </c>
      <c r="G1505" s="12" t="s">
        <v>615</v>
      </c>
      <c r="H1505" s="12" t="s">
        <v>6613</v>
      </c>
      <c r="I1505" s="12">
        <v>0</v>
      </c>
      <c r="J1505" s="12" t="s">
        <v>164</v>
      </c>
      <c r="K1505" s="12" t="s">
        <v>6646</v>
      </c>
      <c r="L1505" s="12" t="s">
        <v>4271</v>
      </c>
      <c r="M1505" s="12" t="s">
        <v>4271</v>
      </c>
      <c r="N1505" s="12" t="s">
        <v>5785</v>
      </c>
      <c r="O1505" s="12" t="s">
        <v>4272</v>
      </c>
      <c r="P1505" s="12" t="s">
        <v>4273</v>
      </c>
      <c r="Q1505" s="12" t="s">
        <v>6664</v>
      </c>
      <c r="R1505" s="12" t="s">
        <v>17</v>
      </c>
      <c r="S1505" s="12" t="s">
        <v>17</v>
      </c>
      <c r="T1505" s="12" t="s">
        <v>11</v>
      </c>
      <c r="U1505" s="12" t="s">
        <v>17</v>
      </c>
      <c r="V1505" s="12" t="s">
        <v>69</v>
      </c>
      <c r="W1505" s="12" t="s">
        <v>7415</v>
      </c>
      <c r="X1505" s="12" t="s">
        <v>17</v>
      </c>
      <c r="Y1505" s="12">
        <v>1181382</v>
      </c>
      <c r="Z1505" s="12" t="s">
        <v>6613</v>
      </c>
      <c r="AA1505" s="12" t="s">
        <v>6613</v>
      </c>
      <c r="AB1505" s="12" t="s">
        <v>6613</v>
      </c>
      <c r="AC1505" s="12" t="s">
        <v>6613</v>
      </c>
      <c r="AD1505" s="12" t="s">
        <v>6613</v>
      </c>
      <c r="AE1505" s="12" t="s">
        <v>6613</v>
      </c>
      <c r="AF1505" s="12" t="s">
        <v>45</v>
      </c>
    </row>
    <row r="1506" spans="1:32" x14ac:dyDescent="0.2">
      <c r="A1506" s="12" t="s">
        <v>4286</v>
      </c>
      <c r="B1506" s="12" t="s">
        <v>4287</v>
      </c>
      <c r="C1506" s="12" t="s">
        <v>17</v>
      </c>
      <c r="D1506" s="12" t="s">
        <v>17</v>
      </c>
      <c r="E1506" s="12" t="s">
        <v>7678</v>
      </c>
      <c r="F1506" s="12" t="s">
        <v>5458</v>
      </c>
      <c r="G1506" s="12" t="s">
        <v>615</v>
      </c>
      <c r="H1506" s="12" t="s">
        <v>6613</v>
      </c>
      <c r="I1506" s="12">
        <v>0</v>
      </c>
      <c r="J1506" s="12" t="s">
        <v>164</v>
      </c>
      <c r="K1506" s="12" t="s">
        <v>6646</v>
      </c>
      <c r="L1506" s="12" t="s">
        <v>4271</v>
      </c>
      <c r="M1506" s="12" t="s">
        <v>4271</v>
      </c>
      <c r="N1506" s="12" t="s">
        <v>5785</v>
      </c>
      <c r="O1506" s="12" t="s">
        <v>4272</v>
      </c>
      <c r="P1506" s="12" t="s">
        <v>4273</v>
      </c>
      <c r="Q1506" s="12" t="s">
        <v>6664</v>
      </c>
      <c r="R1506" s="12" t="s">
        <v>17</v>
      </c>
      <c r="S1506" s="12" t="s">
        <v>17</v>
      </c>
      <c r="T1506" s="12" t="s">
        <v>11</v>
      </c>
      <c r="U1506" s="12" t="s">
        <v>17</v>
      </c>
      <c r="V1506" s="12" t="s">
        <v>708</v>
      </c>
      <c r="W1506" s="12" t="s">
        <v>7415</v>
      </c>
      <c r="X1506" s="12" t="s">
        <v>17</v>
      </c>
      <c r="Y1506" s="12">
        <v>1181408</v>
      </c>
      <c r="Z1506" s="12" t="s">
        <v>6613</v>
      </c>
      <c r="AA1506" s="12" t="s">
        <v>6613</v>
      </c>
      <c r="AB1506" s="12" t="s">
        <v>6613</v>
      </c>
      <c r="AC1506" s="12" t="s">
        <v>6613</v>
      </c>
      <c r="AD1506" s="12" t="s">
        <v>6613</v>
      </c>
      <c r="AE1506" s="12" t="s">
        <v>6613</v>
      </c>
      <c r="AF1506" s="12" t="s">
        <v>45</v>
      </c>
    </row>
    <row r="1507" spans="1:32" x14ac:dyDescent="0.2">
      <c r="A1507" s="12" t="s">
        <v>4276</v>
      </c>
      <c r="B1507" s="12" t="s">
        <v>4277</v>
      </c>
      <c r="C1507" s="12" t="s">
        <v>17</v>
      </c>
      <c r="D1507" s="12" t="s">
        <v>17</v>
      </c>
      <c r="E1507" s="12" t="s">
        <v>7678</v>
      </c>
      <c r="F1507" s="12" t="s">
        <v>5458</v>
      </c>
      <c r="G1507" s="12" t="s">
        <v>615</v>
      </c>
      <c r="H1507" s="12" t="s">
        <v>6613</v>
      </c>
      <c r="I1507" s="12">
        <v>0</v>
      </c>
      <c r="J1507" s="12" t="s">
        <v>164</v>
      </c>
      <c r="K1507" s="12" t="s">
        <v>6646</v>
      </c>
      <c r="L1507" s="12" t="s">
        <v>4271</v>
      </c>
      <c r="M1507" s="12" t="s">
        <v>4271</v>
      </c>
      <c r="N1507" s="12" t="s">
        <v>5785</v>
      </c>
      <c r="O1507" s="12" t="s">
        <v>4272</v>
      </c>
      <c r="P1507" s="12" t="s">
        <v>4273</v>
      </c>
      <c r="Q1507" s="12" t="s">
        <v>6664</v>
      </c>
      <c r="R1507" s="12" t="s">
        <v>17</v>
      </c>
      <c r="S1507" s="12" t="s">
        <v>17</v>
      </c>
      <c r="T1507" s="12" t="s">
        <v>11</v>
      </c>
      <c r="U1507" s="12" t="s">
        <v>17</v>
      </c>
      <c r="V1507" s="12" t="s">
        <v>666</v>
      </c>
      <c r="W1507" s="12" t="s">
        <v>7415</v>
      </c>
      <c r="X1507" s="12" t="s">
        <v>17</v>
      </c>
      <c r="Y1507" s="12">
        <v>1181483</v>
      </c>
      <c r="Z1507" s="12" t="s">
        <v>6613</v>
      </c>
      <c r="AA1507" s="12" t="s">
        <v>6613</v>
      </c>
      <c r="AB1507" s="12" t="s">
        <v>6613</v>
      </c>
      <c r="AC1507" s="12" t="s">
        <v>6613</v>
      </c>
      <c r="AD1507" s="12" t="s">
        <v>6613</v>
      </c>
      <c r="AE1507" s="12" t="s">
        <v>6613</v>
      </c>
      <c r="AF1507" s="12" t="s">
        <v>45</v>
      </c>
    </row>
    <row r="1508" spans="1:32" x14ac:dyDescent="0.2">
      <c r="A1508" s="12" t="s">
        <v>4363</v>
      </c>
      <c r="B1508" s="12" t="s">
        <v>4364</v>
      </c>
      <c r="C1508" s="12" t="s">
        <v>17</v>
      </c>
      <c r="D1508" s="12" t="s">
        <v>17</v>
      </c>
      <c r="E1508" s="12" t="s">
        <v>7678</v>
      </c>
      <c r="F1508" s="12" t="s">
        <v>5458</v>
      </c>
      <c r="G1508" s="12" t="s">
        <v>615</v>
      </c>
      <c r="H1508" s="12" t="s">
        <v>6613</v>
      </c>
      <c r="I1508" s="12">
        <v>0</v>
      </c>
      <c r="J1508" s="12" t="s">
        <v>164</v>
      </c>
      <c r="K1508" s="12" t="s">
        <v>6646</v>
      </c>
      <c r="L1508" s="12" t="s">
        <v>4271</v>
      </c>
      <c r="M1508" s="12" t="s">
        <v>4271</v>
      </c>
      <c r="N1508" s="12" t="s">
        <v>5785</v>
      </c>
      <c r="O1508" s="12" t="s">
        <v>4272</v>
      </c>
      <c r="P1508" s="12" t="s">
        <v>4273</v>
      </c>
      <c r="Q1508" s="12" t="s">
        <v>6664</v>
      </c>
      <c r="R1508" s="12" t="s">
        <v>17</v>
      </c>
      <c r="S1508" s="12" t="s">
        <v>17</v>
      </c>
      <c r="T1508" s="12" t="s">
        <v>11</v>
      </c>
      <c r="U1508" s="12" t="s">
        <v>17</v>
      </c>
      <c r="V1508" s="12" t="s">
        <v>2149</v>
      </c>
      <c r="W1508" s="12" t="s">
        <v>7415</v>
      </c>
      <c r="X1508" s="12" t="s">
        <v>17</v>
      </c>
      <c r="Y1508" s="12">
        <v>1181696</v>
      </c>
      <c r="Z1508" s="12" t="s">
        <v>6613</v>
      </c>
      <c r="AA1508" s="12" t="s">
        <v>6613</v>
      </c>
      <c r="AB1508" s="12" t="s">
        <v>6613</v>
      </c>
      <c r="AC1508" s="12" t="s">
        <v>6613</v>
      </c>
      <c r="AD1508" s="12" t="s">
        <v>6613</v>
      </c>
      <c r="AE1508" s="12" t="s">
        <v>6613</v>
      </c>
      <c r="AF1508" s="12" t="s">
        <v>45</v>
      </c>
    </row>
    <row r="1509" spans="1:32" x14ac:dyDescent="0.2">
      <c r="A1509" s="12" t="s">
        <v>4339</v>
      </c>
      <c r="B1509" s="12" t="s">
        <v>4340</v>
      </c>
      <c r="C1509" s="12" t="s">
        <v>17</v>
      </c>
      <c r="D1509" s="12" t="s">
        <v>17</v>
      </c>
      <c r="E1509" s="12" t="s">
        <v>7678</v>
      </c>
      <c r="F1509" s="12" t="s">
        <v>5458</v>
      </c>
      <c r="G1509" s="12" t="s">
        <v>615</v>
      </c>
      <c r="H1509" s="12" t="s">
        <v>6613</v>
      </c>
      <c r="I1509" s="12">
        <v>0</v>
      </c>
      <c r="J1509" s="12" t="s">
        <v>164</v>
      </c>
      <c r="K1509" s="12" t="s">
        <v>6646</v>
      </c>
      <c r="L1509" s="12" t="s">
        <v>4271</v>
      </c>
      <c r="M1509" s="12" t="s">
        <v>4271</v>
      </c>
      <c r="N1509" s="12" t="s">
        <v>5785</v>
      </c>
      <c r="O1509" s="12" t="s">
        <v>4272</v>
      </c>
      <c r="P1509" s="12" t="s">
        <v>4273</v>
      </c>
      <c r="Q1509" s="12" t="s">
        <v>6664</v>
      </c>
      <c r="R1509" s="12" t="s">
        <v>17</v>
      </c>
      <c r="S1509" s="12" t="s">
        <v>17</v>
      </c>
      <c r="T1509" s="12" t="s">
        <v>11</v>
      </c>
      <c r="U1509" s="12" t="s">
        <v>17</v>
      </c>
      <c r="V1509" s="12" t="s">
        <v>413</v>
      </c>
      <c r="W1509" s="12" t="s">
        <v>7415</v>
      </c>
      <c r="X1509" s="12" t="s">
        <v>17</v>
      </c>
      <c r="Y1509" s="12">
        <v>1181884</v>
      </c>
      <c r="Z1509" s="12" t="s">
        <v>6613</v>
      </c>
      <c r="AA1509" s="12" t="s">
        <v>6613</v>
      </c>
      <c r="AB1509" s="12" t="s">
        <v>6613</v>
      </c>
      <c r="AC1509" s="12" t="s">
        <v>6613</v>
      </c>
      <c r="AD1509" s="12" t="s">
        <v>6613</v>
      </c>
      <c r="AE1509" s="12" t="s">
        <v>6613</v>
      </c>
      <c r="AF1509" s="12" t="s">
        <v>45</v>
      </c>
    </row>
    <row r="1510" spans="1:32" x14ac:dyDescent="0.2">
      <c r="A1510" s="12" t="s">
        <v>4752</v>
      </c>
      <c r="B1510" s="12" t="s">
        <v>4753</v>
      </c>
      <c r="C1510" s="12" t="s">
        <v>17</v>
      </c>
      <c r="D1510" s="12" t="s">
        <v>17</v>
      </c>
      <c r="E1510" s="12" t="s">
        <v>7678</v>
      </c>
      <c r="F1510" s="12" t="s">
        <v>5458</v>
      </c>
      <c r="G1510" s="12" t="s">
        <v>830</v>
      </c>
      <c r="H1510" s="12" t="s">
        <v>6613</v>
      </c>
      <c r="I1510" s="12">
        <v>0</v>
      </c>
      <c r="J1510" s="12" t="s">
        <v>164</v>
      </c>
      <c r="K1510" s="12" t="s">
        <v>6646</v>
      </c>
      <c r="L1510" s="12" t="s">
        <v>4734</v>
      </c>
      <c r="M1510" s="12" t="s">
        <v>4734</v>
      </c>
      <c r="N1510" s="12" t="s">
        <v>5785</v>
      </c>
      <c r="O1510" s="12" t="s">
        <v>4735</v>
      </c>
      <c r="P1510" s="12" t="s">
        <v>166</v>
      </c>
      <c r="Q1510" s="12" t="s">
        <v>6664</v>
      </c>
      <c r="R1510" s="12" t="s">
        <v>17</v>
      </c>
      <c r="S1510" s="12" t="s">
        <v>17</v>
      </c>
      <c r="T1510" s="12" t="s">
        <v>11</v>
      </c>
      <c r="U1510" s="12" t="s">
        <v>17</v>
      </c>
      <c r="V1510" s="12" t="s">
        <v>253</v>
      </c>
      <c r="W1510" s="12" t="s">
        <v>7415</v>
      </c>
      <c r="X1510" s="12">
        <v>13.89</v>
      </c>
      <c r="Y1510" s="12">
        <v>1135813</v>
      </c>
      <c r="Z1510" s="12" t="s">
        <v>6613</v>
      </c>
      <c r="AA1510" s="12" t="s">
        <v>6613</v>
      </c>
      <c r="AB1510" s="12" t="s">
        <v>6613</v>
      </c>
      <c r="AC1510" s="12" t="s">
        <v>6613</v>
      </c>
      <c r="AD1510" s="12" t="s">
        <v>6613</v>
      </c>
      <c r="AE1510" s="12" t="s">
        <v>6613</v>
      </c>
      <c r="AF1510" s="12" t="s">
        <v>45</v>
      </c>
    </row>
    <row r="1511" spans="1:32" x14ac:dyDescent="0.2">
      <c r="A1511" s="12" t="s">
        <v>4742</v>
      </c>
      <c r="B1511" s="12" t="s">
        <v>4743</v>
      </c>
      <c r="C1511" s="12" t="s">
        <v>17</v>
      </c>
      <c r="D1511" s="12" t="s">
        <v>17</v>
      </c>
      <c r="E1511" s="12" t="s">
        <v>7678</v>
      </c>
      <c r="F1511" s="12" t="s">
        <v>5458</v>
      </c>
      <c r="G1511" s="12" t="s">
        <v>830</v>
      </c>
      <c r="H1511" s="12" t="s">
        <v>6613</v>
      </c>
      <c r="I1511" s="12">
        <v>0</v>
      </c>
      <c r="J1511" s="12" t="s">
        <v>164</v>
      </c>
      <c r="K1511" s="12" t="s">
        <v>6646</v>
      </c>
      <c r="L1511" s="12" t="s">
        <v>4734</v>
      </c>
      <c r="M1511" s="12" t="s">
        <v>4734</v>
      </c>
      <c r="N1511" s="12" t="s">
        <v>5785</v>
      </c>
      <c r="O1511" s="12" t="s">
        <v>4735</v>
      </c>
      <c r="P1511" s="12" t="s">
        <v>166</v>
      </c>
      <c r="Q1511" s="12" t="s">
        <v>6664</v>
      </c>
      <c r="R1511" s="12" t="s">
        <v>17</v>
      </c>
      <c r="S1511" s="12" t="s">
        <v>17</v>
      </c>
      <c r="T1511" s="12" t="s">
        <v>11</v>
      </c>
      <c r="U1511" s="12" t="s">
        <v>17</v>
      </c>
      <c r="V1511" s="12" t="s">
        <v>841</v>
      </c>
      <c r="W1511" s="12" t="s">
        <v>7415</v>
      </c>
      <c r="X1511" s="12">
        <v>12.55</v>
      </c>
      <c r="Y1511" s="12">
        <v>1139505</v>
      </c>
      <c r="Z1511" s="12" t="s">
        <v>6613</v>
      </c>
      <c r="AA1511" s="12" t="s">
        <v>6613</v>
      </c>
      <c r="AB1511" s="12" t="s">
        <v>6613</v>
      </c>
      <c r="AC1511" s="12" t="s">
        <v>6613</v>
      </c>
      <c r="AD1511" s="12" t="s">
        <v>6613</v>
      </c>
      <c r="AE1511" s="12" t="s">
        <v>6613</v>
      </c>
      <c r="AF1511" s="12" t="s">
        <v>45</v>
      </c>
    </row>
    <row r="1512" spans="1:32" x14ac:dyDescent="0.2">
      <c r="A1512" s="12" t="s">
        <v>4740</v>
      </c>
      <c r="B1512" s="12" t="s">
        <v>4741</v>
      </c>
      <c r="C1512" s="12" t="s">
        <v>17</v>
      </c>
      <c r="D1512" s="12" t="s">
        <v>17</v>
      </c>
      <c r="E1512" s="12" t="s">
        <v>7678</v>
      </c>
      <c r="F1512" s="12" t="s">
        <v>5458</v>
      </c>
      <c r="G1512" s="12" t="s">
        <v>830</v>
      </c>
      <c r="H1512" s="12" t="s">
        <v>6613</v>
      </c>
      <c r="I1512" s="12">
        <v>0</v>
      </c>
      <c r="J1512" s="12" t="s">
        <v>164</v>
      </c>
      <c r="K1512" s="12" t="s">
        <v>6646</v>
      </c>
      <c r="L1512" s="12" t="s">
        <v>4734</v>
      </c>
      <c r="M1512" s="12" t="s">
        <v>4734</v>
      </c>
      <c r="N1512" s="12" t="s">
        <v>5785</v>
      </c>
      <c r="O1512" s="12" t="s">
        <v>4735</v>
      </c>
      <c r="P1512" s="12" t="s">
        <v>166</v>
      </c>
      <c r="Q1512" s="12" t="s">
        <v>6664</v>
      </c>
      <c r="R1512" s="12" t="s">
        <v>17</v>
      </c>
      <c r="S1512" s="12" t="s">
        <v>17</v>
      </c>
      <c r="T1512" s="12" t="s">
        <v>11</v>
      </c>
      <c r="U1512" s="12" t="s">
        <v>17</v>
      </c>
      <c r="V1512" s="12" t="s">
        <v>1113</v>
      </c>
      <c r="W1512" s="12" t="s">
        <v>7415</v>
      </c>
      <c r="X1512" s="12">
        <v>12.63</v>
      </c>
      <c r="Y1512" s="12">
        <v>1142310</v>
      </c>
      <c r="Z1512" s="12" t="s">
        <v>6613</v>
      </c>
      <c r="AA1512" s="12" t="s">
        <v>6613</v>
      </c>
      <c r="AB1512" s="12" t="s">
        <v>6613</v>
      </c>
      <c r="AC1512" s="12" t="s">
        <v>6613</v>
      </c>
      <c r="AD1512" s="12" t="s">
        <v>6613</v>
      </c>
      <c r="AE1512" s="12" t="s">
        <v>6613</v>
      </c>
      <c r="AF1512" s="12" t="s">
        <v>45</v>
      </c>
    </row>
    <row r="1513" spans="1:32" x14ac:dyDescent="0.2">
      <c r="A1513" s="12" t="s">
        <v>4746</v>
      </c>
      <c r="B1513" s="12" t="s">
        <v>4747</v>
      </c>
      <c r="C1513" s="12" t="s">
        <v>17</v>
      </c>
      <c r="D1513" s="12" t="s">
        <v>17</v>
      </c>
      <c r="E1513" s="12" t="s">
        <v>7678</v>
      </c>
      <c r="F1513" s="12" t="s">
        <v>5458</v>
      </c>
      <c r="G1513" s="12" t="s">
        <v>830</v>
      </c>
      <c r="H1513" s="12" t="s">
        <v>6613</v>
      </c>
      <c r="I1513" s="12">
        <v>0</v>
      </c>
      <c r="J1513" s="12" t="s">
        <v>164</v>
      </c>
      <c r="K1513" s="12" t="s">
        <v>6646</v>
      </c>
      <c r="L1513" s="12" t="s">
        <v>4734</v>
      </c>
      <c r="M1513" s="12" t="s">
        <v>4734</v>
      </c>
      <c r="N1513" s="12" t="s">
        <v>5785</v>
      </c>
      <c r="O1513" s="12" t="s">
        <v>4735</v>
      </c>
      <c r="P1513" s="12" t="s">
        <v>166</v>
      </c>
      <c r="Q1513" s="12" t="s">
        <v>6664</v>
      </c>
      <c r="R1513" s="12" t="s">
        <v>17</v>
      </c>
      <c r="S1513" s="12" t="s">
        <v>17</v>
      </c>
      <c r="T1513" s="12" t="s">
        <v>11</v>
      </c>
      <c r="U1513" s="12" t="s">
        <v>17</v>
      </c>
      <c r="V1513" s="12" t="s">
        <v>628</v>
      </c>
      <c r="W1513" s="12" t="s">
        <v>7415</v>
      </c>
      <c r="X1513" s="12">
        <v>12.56</v>
      </c>
      <c r="Y1513" s="12">
        <v>1168755</v>
      </c>
      <c r="Z1513" s="12" t="s">
        <v>6613</v>
      </c>
      <c r="AA1513" s="12" t="s">
        <v>6613</v>
      </c>
      <c r="AB1513" s="12" t="s">
        <v>6613</v>
      </c>
      <c r="AC1513" s="12" t="s">
        <v>6613</v>
      </c>
      <c r="AD1513" s="12" t="s">
        <v>6613</v>
      </c>
      <c r="AE1513" s="12" t="s">
        <v>6613</v>
      </c>
      <c r="AF1513" s="12" t="s">
        <v>45</v>
      </c>
    </row>
    <row r="1514" spans="1:32" x14ac:dyDescent="0.2">
      <c r="A1514" s="12" t="s">
        <v>4738</v>
      </c>
      <c r="B1514" s="12" t="s">
        <v>4739</v>
      </c>
      <c r="C1514" s="12" t="s">
        <v>17</v>
      </c>
      <c r="D1514" s="12" t="s">
        <v>17</v>
      </c>
      <c r="E1514" s="12" t="s">
        <v>7678</v>
      </c>
      <c r="F1514" s="12" t="s">
        <v>5458</v>
      </c>
      <c r="G1514" s="12" t="s">
        <v>830</v>
      </c>
      <c r="H1514" s="12" t="s">
        <v>6613</v>
      </c>
      <c r="I1514" s="12">
        <v>0</v>
      </c>
      <c r="J1514" s="12" t="s">
        <v>164</v>
      </c>
      <c r="K1514" s="12" t="s">
        <v>6646</v>
      </c>
      <c r="L1514" s="12" t="s">
        <v>4734</v>
      </c>
      <c r="M1514" s="12" t="s">
        <v>4734</v>
      </c>
      <c r="N1514" s="12" t="s">
        <v>5785</v>
      </c>
      <c r="O1514" s="12" t="s">
        <v>4735</v>
      </c>
      <c r="P1514" s="12" t="s">
        <v>166</v>
      </c>
      <c r="Q1514" s="12" t="s">
        <v>6664</v>
      </c>
      <c r="R1514" s="12" t="s">
        <v>17</v>
      </c>
      <c r="S1514" s="12" t="s">
        <v>17</v>
      </c>
      <c r="T1514" s="12" t="s">
        <v>11</v>
      </c>
      <c r="U1514" s="12" t="s">
        <v>17</v>
      </c>
      <c r="V1514" s="12" t="s">
        <v>752</v>
      </c>
      <c r="W1514" s="12" t="s">
        <v>7415</v>
      </c>
      <c r="X1514" s="12">
        <v>12.27</v>
      </c>
      <c r="Y1514" s="12">
        <v>1170619</v>
      </c>
      <c r="Z1514" s="12" t="s">
        <v>6613</v>
      </c>
      <c r="AA1514" s="12" t="s">
        <v>6613</v>
      </c>
      <c r="AB1514" s="12" t="s">
        <v>6613</v>
      </c>
      <c r="AC1514" s="12" t="s">
        <v>6613</v>
      </c>
      <c r="AD1514" s="12" t="s">
        <v>6613</v>
      </c>
      <c r="AE1514" s="12" t="s">
        <v>6613</v>
      </c>
      <c r="AF1514" s="12" t="s">
        <v>45</v>
      </c>
    </row>
    <row r="1515" spans="1:32" x14ac:dyDescent="0.2">
      <c r="A1515" s="12" t="s">
        <v>4744</v>
      </c>
      <c r="B1515" s="12" t="s">
        <v>4745</v>
      </c>
      <c r="C1515" s="12" t="s">
        <v>17</v>
      </c>
      <c r="D1515" s="12" t="s">
        <v>17</v>
      </c>
      <c r="E1515" s="12" t="s">
        <v>7678</v>
      </c>
      <c r="F1515" s="12" t="s">
        <v>5458</v>
      </c>
      <c r="G1515" s="12" t="s">
        <v>830</v>
      </c>
      <c r="H1515" s="12" t="s">
        <v>6613</v>
      </c>
      <c r="I1515" s="12">
        <v>0</v>
      </c>
      <c r="J1515" s="12" t="s">
        <v>164</v>
      </c>
      <c r="K1515" s="12" t="s">
        <v>6646</v>
      </c>
      <c r="L1515" s="12" t="s">
        <v>4734</v>
      </c>
      <c r="M1515" s="12" t="s">
        <v>4734</v>
      </c>
      <c r="N1515" s="12" t="s">
        <v>5785</v>
      </c>
      <c r="O1515" s="12" t="s">
        <v>4735</v>
      </c>
      <c r="P1515" s="12" t="s">
        <v>166</v>
      </c>
      <c r="Q1515" s="12" t="s">
        <v>6664</v>
      </c>
      <c r="R1515" s="12" t="s">
        <v>17</v>
      </c>
      <c r="S1515" s="12" t="s">
        <v>17</v>
      </c>
      <c r="T1515" s="12" t="s">
        <v>11</v>
      </c>
      <c r="U1515" s="12" t="s">
        <v>17</v>
      </c>
      <c r="V1515" s="12" t="s">
        <v>904</v>
      </c>
      <c r="W1515" s="12" t="s">
        <v>7415</v>
      </c>
      <c r="X1515" s="12">
        <v>13.83</v>
      </c>
      <c r="Y1515" s="12">
        <v>1170747</v>
      </c>
      <c r="Z1515" s="12" t="s">
        <v>6613</v>
      </c>
      <c r="AA1515" s="12" t="s">
        <v>6613</v>
      </c>
      <c r="AB1515" s="12" t="s">
        <v>6613</v>
      </c>
      <c r="AC1515" s="12" t="s">
        <v>6613</v>
      </c>
      <c r="AD1515" s="12" t="s">
        <v>6613</v>
      </c>
      <c r="AE1515" s="12" t="s">
        <v>6613</v>
      </c>
      <c r="AF1515" s="12" t="s">
        <v>45</v>
      </c>
    </row>
    <row r="1516" spans="1:32" x14ac:dyDescent="0.2">
      <c r="A1516" s="12" t="s">
        <v>4732</v>
      </c>
      <c r="B1516" s="12" t="s">
        <v>4733</v>
      </c>
      <c r="C1516" s="12" t="s">
        <v>17</v>
      </c>
      <c r="D1516" s="12" t="s">
        <v>17</v>
      </c>
      <c r="E1516" s="12" t="s">
        <v>7678</v>
      </c>
      <c r="F1516" s="12" t="s">
        <v>5458</v>
      </c>
      <c r="G1516" s="12" t="s">
        <v>830</v>
      </c>
      <c r="H1516" s="12" t="s">
        <v>6613</v>
      </c>
      <c r="I1516" s="12">
        <v>0</v>
      </c>
      <c r="J1516" s="12" t="s">
        <v>164</v>
      </c>
      <c r="K1516" s="12" t="s">
        <v>6646</v>
      </c>
      <c r="L1516" s="12" t="s">
        <v>4734</v>
      </c>
      <c r="M1516" s="12" t="s">
        <v>4734</v>
      </c>
      <c r="N1516" s="12" t="s">
        <v>5785</v>
      </c>
      <c r="O1516" s="12" t="s">
        <v>4735</v>
      </c>
      <c r="P1516" s="12" t="s">
        <v>166</v>
      </c>
      <c r="Q1516" s="12" t="s">
        <v>6664</v>
      </c>
      <c r="R1516" s="12" t="s">
        <v>17</v>
      </c>
      <c r="S1516" s="12" t="s">
        <v>17</v>
      </c>
      <c r="T1516" s="12" t="s">
        <v>11</v>
      </c>
      <c r="U1516" s="12" t="s">
        <v>17</v>
      </c>
      <c r="V1516" s="12" t="s">
        <v>708</v>
      </c>
      <c r="W1516" s="12" t="s">
        <v>7415</v>
      </c>
      <c r="X1516" s="12">
        <v>12.86</v>
      </c>
      <c r="Y1516" s="12">
        <v>1171352</v>
      </c>
      <c r="Z1516" s="12" t="s">
        <v>6613</v>
      </c>
      <c r="AA1516" s="12" t="s">
        <v>6613</v>
      </c>
      <c r="AB1516" s="12" t="s">
        <v>6613</v>
      </c>
      <c r="AC1516" s="12" t="s">
        <v>6613</v>
      </c>
      <c r="AD1516" s="12" t="s">
        <v>6613</v>
      </c>
      <c r="AE1516" s="12" t="s">
        <v>6613</v>
      </c>
      <c r="AF1516" s="12" t="s">
        <v>45</v>
      </c>
    </row>
    <row r="1517" spans="1:32" x14ac:dyDescent="0.2">
      <c r="A1517" s="12" t="s">
        <v>4748</v>
      </c>
      <c r="B1517" s="12" t="s">
        <v>4749</v>
      </c>
      <c r="C1517" s="12" t="s">
        <v>17</v>
      </c>
      <c r="D1517" s="12" t="s">
        <v>17</v>
      </c>
      <c r="E1517" s="12" t="s">
        <v>7678</v>
      </c>
      <c r="F1517" s="12" t="s">
        <v>5458</v>
      </c>
      <c r="G1517" s="12" t="s">
        <v>830</v>
      </c>
      <c r="H1517" s="12" t="s">
        <v>6613</v>
      </c>
      <c r="I1517" s="12">
        <v>0</v>
      </c>
      <c r="J1517" s="12" t="s">
        <v>164</v>
      </c>
      <c r="K1517" s="12" t="s">
        <v>6646</v>
      </c>
      <c r="L1517" s="12" t="s">
        <v>4734</v>
      </c>
      <c r="M1517" s="12" t="s">
        <v>4734</v>
      </c>
      <c r="N1517" s="12" t="s">
        <v>5785</v>
      </c>
      <c r="O1517" s="12" t="s">
        <v>4735</v>
      </c>
      <c r="P1517" s="12" t="s">
        <v>166</v>
      </c>
      <c r="Q1517" s="12" t="s">
        <v>6664</v>
      </c>
      <c r="R1517" s="12" t="s">
        <v>17</v>
      </c>
      <c r="S1517" s="12" t="s">
        <v>17</v>
      </c>
      <c r="T1517" s="12" t="s">
        <v>11</v>
      </c>
      <c r="U1517" s="12" t="s">
        <v>17</v>
      </c>
      <c r="V1517" s="12" t="s">
        <v>755</v>
      </c>
      <c r="W1517" s="12" t="s">
        <v>7415</v>
      </c>
      <c r="X1517" s="12">
        <v>14.14</v>
      </c>
      <c r="Y1517" s="12">
        <v>1171491</v>
      </c>
      <c r="Z1517" s="12" t="s">
        <v>6613</v>
      </c>
      <c r="AA1517" s="12" t="s">
        <v>6613</v>
      </c>
      <c r="AB1517" s="12" t="s">
        <v>6613</v>
      </c>
      <c r="AC1517" s="12" t="s">
        <v>6613</v>
      </c>
      <c r="AD1517" s="12" t="s">
        <v>6613</v>
      </c>
      <c r="AE1517" s="12" t="s">
        <v>6613</v>
      </c>
      <c r="AF1517" s="12" t="s">
        <v>45</v>
      </c>
    </row>
    <row r="1518" spans="1:32" x14ac:dyDescent="0.2">
      <c r="A1518" s="12" t="s">
        <v>4736</v>
      </c>
      <c r="B1518" s="12" t="s">
        <v>4737</v>
      </c>
      <c r="C1518" s="12" t="s">
        <v>17</v>
      </c>
      <c r="D1518" s="12" t="s">
        <v>17</v>
      </c>
      <c r="E1518" s="12" t="s">
        <v>7678</v>
      </c>
      <c r="F1518" s="12" t="s">
        <v>5458</v>
      </c>
      <c r="G1518" s="12" t="s">
        <v>830</v>
      </c>
      <c r="H1518" s="12" t="s">
        <v>6613</v>
      </c>
      <c r="I1518" s="12">
        <v>0</v>
      </c>
      <c r="J1518" s="12" t="s">
        <v>164</v>
      </c>
      <c r="K1518" s="12" t="s">
        <v>6646</v>
      </c>
      <c r="L1518" s="12" t="s">
        <v>4734</v>
      </c>
      <c r="M1518" s="12" t="s">
        <v>4734</v>
      </c>
      <c r="N1518" s="12" t="s">
        <v>5785</v>
      </c>
      <c r="O1518" s="12" t="s">
        <v>4735</v>
      </c>
      <c r="P1518" s="12" t="s">
        <v>166</v>
      </c>
      <c r="Q1518" s="12" t="s">
        <v>6664</v>
      </c>
      <c r="R1518" s="12" t="s">
        <v>17</v>
      </c>
      <c r="S1518" s="12" t="s">
        <v>17</v>
      </c>
      <c r="T1518" s="12" t="s">
        <v>11</v>
      </c>
      <c r="U1518" s="12" t="s">
        <v>17</v>
      </c>
      <c r="V1518" s="12" t="s">
        <v>628</v>
      </c>
      <c r="W1518" s="12" t="s">
        <v>7415</v>
      </c>
      <c r="X1518" s="12">
        <v>13.84</v>
      </c>
      <c r="Y1518" s="12">
        <v>1172360</v>
      </c>
      <c r="Z1518" s="12" t="s">
        <v>6613</v>
      </c>
      <c r="AA1518" s="12" t="s">
        <v>6613</v>
      </c>
      <c r="AB1518" s="12" t="s">
        <v>6613</v>
      </c>
      <c r="AC1518" s="12" t="s">
        <v>6613</v>
      </c>
      <c r="AD1518" s="12" t="s">
        <v>6613</v>
      </c>
      <c r="AE1518" s="12" t="s">
        <v>6613</v>
      </c>
      <c r="AF1518" s="12" t="s">
        <v>45</v>
      </c>
    </row>
    <row r="1519" spans="1:32" x14ac:dyDescent="0.2">
      <c r="A1519" s="12" t="s">
        <v>4750</v>
      </c>
      <c r="B1519" s="12" t="s">
        <v>4751</v>
      </c>
      <c r="C1519" s="12" t="s">
        <v>17</v>
      </c>
      <c r="D1519" s="12" t="s">
        <v>17</v>
      </c>
      <c r="E1519" s="12" t="s">
        <v>7678</v>
      </c>
      <c r="F1519" s="12" t="s">
        <v>5458</v>
      </c>
      <c r="G1519" s="12" t="s">
        <v>830</v>
      </c>
      <c r="H1519" s="12" t="s">
        <v>6613</v>
      </c>
      <c r="I1519" s="12">
        <v>0</v>
      </c>
      <c r="J1519" s="12" t="s">
        <v>164</v>
      </c>
      <c r="K1519" s="12" t="s">
        <v>6646</v>
      </c>
      <c r="L1519" s="12" t="s">
        <v>4734</v>
      </c>
      <c r="M1519" s="12" t="s">
        <v>4734</v>
      </c>
      <c r="N1519" s="12" t="s">
        <v>5785</v>
      </c>
      <c r="O1519" s="12" t="s">
        <v>4735</v>
      </c>
      <c r="P1519" s="12" t="s">
        <v>166</v>
      </c>
      <c r="Q1519" s="12" t="s">
        <v>6664</v>
      </c>
      <c r="R1519" s="12" t="s">
        <v>17</v>
      </c>
      <c r="S1519" s="12" t="s">
        <v>17</v>
      </c>
      <c r="T1519" s="12" t="s">
        <v>11</v>
      </c>
      <c r="U1519" s="12" t="s">
        <v>17</v>
      </c>
      <c r="V1519" s="12" t="s">
        <v>755</v>
      </c>
      <c r="W1519" s="12" t="s">
        <v>7415</v>
      </c>
      <c r="X1519" s="12">
        <v>14.68</v>
      </c>
      <c r="Y1519" s="12">
        <v>1173114</v>
      </c>
      <c r="Z1519" s="12" t="s">
        <v>6613</v>
      </c>
      <c r="AA1519" s="12" t="s">
        <v>6613</v>
      </c>
      <c r="AB1519" s="12" t="s">
        <v>6613</v>
      </c>
      <c r="AC1519" s="12" t="s">
        <v>6613</v>
      </c>
      <c r="AD1519" s="12" t="s">
        <v>6613</v>
      </c>
      <c r="AE1519" s="12" t="s">
        <v>6613</v>
      </c>
      <c r="AF1519" s="12" t="s">
        <v>45</v>
      </c>
    </row>
    <row r="1520" spans="1:32" x14ac:dyDescent="0.2">
      <c r="A1520" s="12" t="s">
        <v>4805</v>
      </c>
      <c r="B1520" s="12" t="s">
        <v>4806</v>
      </c>
      <c r="C1520" s="12" t="s">
        <v>17</v>
      </c>
      <c r="D1520" s="12" t="s">
        <v>17</v>
      </c>
      <c r="E1520" s="12" t="s">
        <v>7678</v>
      </c>
      <c r="F1520" s="12" t="s">
        <v>5458</v>
      </c>
      <c r="G1520" s="12" t="s">
        <v>830</v>
      </c>
      <c r="H1520" s="12" t="s">
        <v>6613</v>
      </c>
      <c r="I1520" s="12">
        <v>0</v>
      </c>
      <c r="J1520" s="12" t="s">
        <v>164</v>
      </c>
      <c r="K1520" s="12" t="s">
        <v>6646</v>
      </c>
      <c r="L1520" s="12" t="s">
        <v>4793</v>
      </c>
      <c r="M1520" s="12" t="s">
        <v>4793</v>
      </c>
      <c r="N1520" s="12" t="s">
        <v>5785</v>
      </c>
      <c r="O1520" s="12" t="s">
        <v>4794</v>
      </c>
      <c r="P1520" s="12" t="s">
        <v>166</v>
      </c>
      <c r="Q1520" s="12" t="s">
        <v>6664</v>
      </c>
      <c r="R1520" s="12" t="s">
        <v>17</v>
      </c>
      <c r="S1520" s="12" t="s">
        <v>17</v>
      </c>
      <c r="T1520" s="12" t="s">
        <v>11</v>
      </c>
      <c r="U1520" s="12" t="s">
        <v>17</v>
      </c>
      <c r="V1520" s="12" t="s">
        <v>253</v>
      </c>
      <c r="W1520" s="12" t="s">
        <v>7415</v>
      </c>
      <c r="X1520" s="12">
        <v>13.38</v>
      </c>
      <c r="Y1520" s="12">
        <v>1141320</v>
      </c>
      <c r="Z1520" s="12" t="s">
        <v>6613</v>
      </c>
      <c r="AA1520" s="12" t="s">
        <v>6613</v>
      </c>
      <c r="AB1520" s="12" t="s">
        <v>6613</v>
      </c>
      <c r="AC1520" s="12" t="s">
        <v>6613</v>
      </c>
      <c r="AD1520" s="12" t="s">
        <v>6613</v>
      </c>
      <c r="AE1520" s="12" t="s">
        <v>6613</v>
      </c>
      <c r="AF1520" s="12" t="s">
        <v>45</v>
      </c>
    </row>
    <row r="1521" spans="1:32" x14ac:dyDescent="0.2">
      <c r="A1521" s="12" t="s">
        <v>4807</v>
      </c>
      <c r="B1521" s="12" t="s">
        <v>4808</v>
      </c>
      <c r="C1521" s="12" t="s">
        <v>17</v>
      </c>
      <c r="D1521" s="12" t="s">
        <v>17</v>
      </c>
      <c r="E1521" s="12" t="s">
        <v>7678</v>
      </c>
      <c r="F1521" s="12" t="s">
        <v>5458</v>
      </c>
      <c r="G1521" s="12" t="s">
        <v>830</v>
      </c>
      <c r="H1521" s="12" t="s">
        <v>6613</v>
      </c>
      <c r="I1521" s="12">
        <v>0</v>
      </c>
      <c r="J1521" s="12" t="s">
        <v>164</v>
      </c>
      <c r="K1521" s="12" t="s">
        <v>6646</v>
      </c>
      <c r="L1521" s="12" t="s">
        <v>4793</v>
      </c>
      <c r="M1521" s="12" t="s">
        <v>4793</v>
      </c>
      <c r="N1521" s="12" t="s">
        <v>5785</v>
      </c>
      <c r="O1521" s="12" t="s">
        <v>4794</v>
      </c>
      <c r="P1521" s="12" t="s">
        <v>166</v>
      </c>
      <c r="Q1521" s="12" t="s">
        <v>6664</v>
      </c>
      <c r="R1521" s="12" t="s">
        <v>17</v>
      </c>
      <c r="S1521" s="12" t="s">
        <v>17</v>
      </c>
      <c r="T1521" s="12" t="s">
        <v>11</v>
      </c>
      <c r="U1521" s="12" t="s">
        <v>17</v>
      </c>
      <c r="V1521" s="12" t="s">
        <v>413</v>
      </c>
      <c r="W1521" s="12" t="s">
        <v>7415</v>
      </c>
      <c r="X1521" s="12">
        <v>12.64</v>
      </c>
      <c r="Y1521" s="12">
        <v>1169146</v>
      </c>
      <c r="Z1521" s="12" t="s">
        <v>6613</v>
      </c>
      <c r="AA1521" s="12" t="s">
        <v>6613</v>
      </c>
      <c r="AB1521" s="12" t="s">
        <v>6613</v>
      </c>
      <c r="AC1521" s="12" t="s">
        <v>6613</v>
      </c>
      <c r="AD1521" s="12" t="s">
        <v>6613</v>
      </c>
      <c r="AE1521" s="12" t="s">
        <v>6613</v>
      </c>
      <c r="AF1521" s="12" t="s">
        <v>45</v>
      </c>
    </row>
    <row r="1522" spans="1:32" x14ac:dyDescent="0.2">
      <c r="A1522" s="12" t="s">
        <v>4799</v>
      </c>
      <c r="B1522" s="12" t="s">
        <v>4800</v>
      </c>
      <c r="C1522" s="12" t="s">
        <v>17</v>
      </c>
      <c r="D1522" s="12" t="s">
        <v>17</v>
      </c>
      <c r="E1522" s="12" t="s">
        <v>7678</v>
      </c>
      <c r="F1522" s="12" t="s">
        <v>5458</v>
      </c>
      <c r="G1522" s="12" t="s">
        <v>830</v>
      </c>
      <c r="H1522" s="12" t="s">
        <v>6613</v>
      </c>
      <c r="I1522" s="12">
        <v>0</v>
      </c>
      <c r="J1522" s="12" t="s">
        <v>164</v>
      </c>
      <c r="K1522" s="12" t="s">
        <v>6646</v>
      </c>
      <c r="L1522" s="12" t="s">
        <v>4793</v>
      </c>
      <c r="M1522" s="12" t="s">
        <v>4793</v>
      </c>
      <c r="N1522" s="12" t="s">
        <v>5785</v>
      </c>
      <c r="O1522" s="12" t="s">
        <v>4794</v>
      </c>
      <c r="P1522" s="12" t="s">
        <v>166</v>
      </c>
      <c r="Q1522" s="12" t="s">
        <v>6664</v>
      </c>
      <c r="R1522" s="12" t="s">
        <v>17</v>
      </c>
      <c r="S1522" s="12" t="s">
        <v>17</v>
      </c>
      <c r="T1522" s="12" t="s">
        <v>11</v>
      </c>
      <c r="U1522" s="12" t="s">
        <v>17</v>
      </c>
      <c r="V1522" s="12" t="s">
        <v>619</v>
      </c>
      <c r="W1522" s="12" t="s">
        <v>7415</v>
      </c>
      <c r="X1522" s="12">
        <v>12.69</v>
      </c>
      <c r="Y1522" s="12">
        <v>1170552</v>
      </c>
      <c r="Z1522" s="12" t="s">
        <v>6613</v>
      </c>
      <c r="AA1522" s="12" t="s">
        <v>6613</v>
      </c>
      <c r="AB1522" s="12" t="s">
        <v>6613</v>
      </c>
      <c r="AC1522" s="12" t="s">
        <v>6613</v>
      </c>
      <c r="AD1522" s="12" t="s">
        <v>6613</v>
      </c>
      <c r="AE1522" s="12" t="s">
        <v>6613</v>
      </c>
      <c r="AF1522" s="12" t="s">
        <v>45</v>
      </c>
    </row>
    <row r="1523" spans="1:32" x14ac:dyDescent="0.2">
      <c r="A1523" s="12" t="s">
        <v>4795</v>
      </c>
      <c r="B1523" s="12" t="s">
        <v>4796</v>
      </c>
      <c r="C1523" s="12" t="s">
        <v>17</v>
      </c>
      <c r="D1523" s="12" t="s">
        <v>17</v>
      </c>
      <c r="E1523" s="12" t="s">
        <v>7678</v>
      </c>
      <c r="F1523" s="12" t="s">
        <v>5458</v>
      </c>
      <c r="G1523" s="12" t="s">
        <v>830</v>
      </c>
      <c r="H1523" s="12" t="s">
        <v>6613</v>
      </c>
      <c r="I1523" s="12">
        <v>0</v>
      </c>
      <c r="J1523" s="12" t="s">
        <v>164</v>
      </c>
      <c r="K1523" s="12" t="s">
        <v>6646</v>
      </c>
      <c r="L1523" s="12" t="s">
        <v>4793</v>
      </c>
      <c r="M1523" s="12" t="s">
        <v>4793</v>
      </c>
      <c r="N1523" s="12" t="s">
        <v>5785</v>
      </c>
      <c r="O1523" s="12" t="s">
        <v>4794</v>
      </c>
      <c r="P1523" s="12" t="s">
        <v>166</v>
      </c>
      <c r="Q1523" s="12" t="s">
        <v>6664</v>
      </c>
      <c r="R1523" s="12" t="s">
        <v>17</v>
      </c>
      <c r="S1523" s="12" t="s">
        <v>17</v>
      </c>
      <c r="T1523" s="12" t="s">
        <v>11</v>
      </c>
      <c r="U1523" s="12" t="s">
        <v>17</v>
      </c>
      <c r="V1523" s="12" t="s">
        <v>619</v>
      </c>
      <c r="W1523" s="12" t="s">
        <v>7415</v>
      </c>
      <c r="X1523" s="12">
        <v>14.09</v>
      </c>
      <c r="Y1523" s="12">
        <v>1170979</v>
      </c>
      <c r="Z1523" s="12" t="s">
        <v>6613</v>
      </c>
      <c r="AA1523" s="12" t="s">
        <v>6613</v>
      </c>
      <c r="AB1523" s="12" t="s">
        <v>6613</v>
      </c>
      <c r="AC1523" s="12" t="s">
        <v>6613</v>
      </c>
      <c r="AD1523" s="12" t="s">
        <v>6613</v>
      </c>
      <c r="AE1523" s="12" t="s">
        <v>6613</v>
      </c>
      <c r="AF1523" s="12" t="s">
        <v>45</v>
      </c>
    </row>
    <row r="1524" spans="1:32" x14ac:dyDescent="0.2">
      <c r="A1524" s="12" t="s">
        <v>4803</v>
      </c>
      <c r="B1524" s="12" t="s">
        <v>4804</v>
      </c>
      <c r="C1524" s="12" t="s">
        <v>17</v>
      </c>
      <c r="D1524" s="12" t="s">
        <v>17</v>
      </c>
      <c r="E1524" s="12" t="s">
        <v>7678</v>
      </c>
      <c r="F1524" s="12" t="s">
        <v>5458</v>
      </c>
      <c r="G1524" s="12" t="s">
        <v>830</v>
      </c>
      <c r="H1524" s="12" t="s">
        <v>6613</v>
      </c>
      <c r="I1524" s="12">
        <v>0</v>
      </c>
      <c r="J1524" s="12" t="s">
        <v>164</v>
      </c>
      <c r="K1524" s="12" t="s">
        <v>6646</v>
      </c>
      <c r="L1524" s="12" t="s">
        <v>4793</v>
      </c>
      <c r="M1524" s="12" t="s">
        <v>4793</v>
      </c>
      <c r="N1524" s="12" t="s">
        <v>5785</v>
      </c>
      <c r="O1524" s="12" t="s">
        <v>4794</v>
      </c>
      <c r="P1524" s="12" t="s">
        <v>166</v>
      </c>
      <c r="Q1524" s="12" t="s">
        <v>6664</v>
      </c>
      <c r="R1524" s="12" t="s">
        <v>17</v>
      </c>
      <c r="S1524" s="12" t="s">
        <v>17</v>
      </c>
      <c r="T1524" s="12" t="s">
        <v>11</v>
      </c>
      <c r="U1524" s="12" t="s">
        <v>17</v>
      </c>
      <c r="V1524" s="12" t="s">
        <v>413</v>
      </c>
      <c r="W1524" s="12" t="s">
        <v>7415</v>
      </c>
      <c r="X1524" s="12">
        <v>14.25</v>
      </c>
      <c r="Y1524" s="12">
        <v>1171418</v>
      </c>
      <c r="Z1524" s="12" t="s">
        <v>6613</v>
      </c>
      <c r="AA1524" s="12" t="s">
        <v>6613</v>
      </c>
      <c r="AB1524" s="12" t="s">
        <v>6613</v>
      </c>
      <c r="AC1524" s="12" t="s">
        <v>6613</v>
      </c>
      <c r="AD1524" s="12" t="s">
        <v>6613</v>
      </c>
      <c r="AE1524" s="12" t="s">
        <v>6613</v>
      </c>
      <c r="AF1524" s="12" t="s">
        <v>45</v>
      </c>
    </row>
    <row r="1525" spans="1:32" x14ac:dyDescent="0.2">
      <c r="A1525" s="12" t="s">
        <v>4797</v>
      </c>
      <c r="B1525" s="12" t="s">
        <v>4798</v>
      </c>
      <c r="C1525" s="12" t="s">
        <v>17</v>
      </c>
      <c r="D1525" s="12" t="s">
        <v>17</v>
      </c>
      <c r="E1525" s="12" t="s">
        <v>7678</v>
      </c>
      <c r="F1525" s="12" t="s">
        <v>5458</v>
      </c>
      <c r="G1525" s="12" t="s">
        <v>830</v>
      </c>
      <c r="H1525" s="12" t="s">
        <v>6613</v>
      </c>
      <c r="I1525" s="12">
        <v>0</v>
      </c>
      <c r="J1525" s="12" t="s">
        <v>164</v>
      </c>
      <c r="K1525" s="12" t="s">
        <v>6646</v>
      </c>
      <c r="L1525" s="12" t="s">
        <v>4793</v>
      </c>
      <c r="M1525" s="12" t="s">
        <v>4793</v>
      </c>
      <c r="N1525" s="12" t="s">
        <v>5785</v>
      </c>
      <c r="O1525" s="12" t="s">
        <v>4794</v>
      </c>
      <c r="P1525" s="12" t="s">
        <v>166</v>
      </c>
      <c r="Q1525" s="12" t="s">
        <v>6664</v>
      </c>
      <c r="R1525" s="12" t="s">
        <v>17</v>
      </c>
      <c r="S1525" s="12" t="s">
        <v>17</v>
      </c>
      <c r="T1525" s="12" t="s">
        <v>11</v>
      </c>
      <c r="U1525" s="12" t="s">
        <v>17</v>
      </c>
      <c r="V1525" s="12" t="s">
        <v>413</v>
      </c>
      <c r="W1525" s="12" t="s">
        <v>7415</v>
      </c>
      <c r="X1525" s="12">
        <v>13.16</v>
      </c>
      <c r="Y1525" s="12">
        <v>1171623</v>
      </c>
      <c r="Z1525" s="12" t="s">
        <v>6613</v>
      </c>
      <c r="AA1525" s="12" t="s">
        <v>6613</v>
      </c>
      <c r="AB1525" s="12" t="s">
        <v>6613</v>
      </c>
      <c r="AC1525" s="12" t="s">
        <v>6613</v>
      </c>
      <c r="AD1525" s="12" t="s">
        <v>6613</v>
      </c>
      <c r="AE1525" s="12" t="s">
        <v>6613</v>
      </c>
      <c r="AF1525" s="12" t="s">
        <v>45</v>
      </c>
    </row>
    <row r="1526" spans="1:32" x14ac:dyDescent="0.2">
      <c r="A1526" s="12" t="s">
        <v>4801</v>
      </c>
      <c r="B1526" s="12" t="s">
        <v>4802</v>
      </c>
      <c r="C1526" s="12" t="s">
        <v>17</v>
      </c>
      <c r="D1526" s="12" t="s">
        <v>17</v>
      </c>
      <c r="E1526" s="12" t="s">
        <v>7678</v>
      </c>
      <c r="F1526" s="12" t="s">
        <v>5458</v>
      </c>
      <c r="G1526" s="12" t="s">
        <v>830</v>
      </c>
      <c r="H1526" s="12" t="s">
        <v>6613</v>
      </c>
      <c r="I1526" s="12">
        <v>0</v>
      </c>
      <c r="J1526" s="12" t="s">
        <v>164</v>
      </c>
      <c r="K1526" s="12" t="s">
        <v>6646</v>
      </c>
      <c r="L1526" s="12" t="s">
        <v>4793</v>
      </c>
      <c r="M1526" s="12" t="s">
        <v>4793</v>
      </c>
      <c r="N1526" s="12" t="s">
        <v>5785</v>
      </c>
      <c r="O1526" s="12" t="s">
        <v>4794</v>
      </c>
      <c r="P1526" s="12" t="s">
        <v>166</v>
      </c>
      <c r="Q1526" s="12" t="s">
        <v>6664</v>
      </c>
      <c r="R1526" s="12" t="s">
        <v>17</v>
      </c>
      <c r="S1526" s="12" t="s">
        <v>17</v>
      </c>
      <c r="T1526" s="12" t="s">
        <v>11</v>
      </c>
      <c r="U1526" s="12" t="s">
        <v>17</v>
      </c>
      <c r="V1526" s="12" t="s">
        <v>752</v>
      </c>
      <c r="W1526" s="12" t="s">
        <v>7415</v>
      </c>
      <c r="X1526" s="12">
        <v>14.6</v>
      </c>
      <c r="Y1526" s="12">
        <v>1171700</v>
      </c>
      <c r="Z1526" s="12" t="s">
        <v>6613</v>
      </c>
      <c r="AA1526" s="12" t="s">
        <v>6613</v>
      </c>
      <c r="AB1526" s="12" t="s">
        <v>6613</v>
      </c>
      <c r="AC1526" s="12" t="s">
        <v>6613</v>
      </c>
      <c r="AD1526" s="12" t="s">
        <v>6613</v>
      </c>
      <c r="AE1526" s="12" t="s">
        <v>6613</v>
      </c>
      <c r="AF1526" s="12" t="s">
        <v>45</v>
      </c>
    </row>
    <row r="1527" spans="1:32" x14ac:dyDescent="0.2">
      <c r="A1527" s="12" t="s">
        <v>4791</v>
      </c>
      <c r="B1527" s="12" t="s">
        <v>4792</v>
      </c>
      <c r="C1527" s="12" t="s">
        <v>17</v>
      </c>
      <c r="D1527" s="12" t="s">
        <v>17</v>
      </c>
      <c r="E1527" s="12" t="s">
        <v>7678</v>
      </c>
      <c r="F1527" s="12" t="s">
        <v>5458</v>
      </c>
      <c r="G1527" s="12" t="s">
        <v>830</v>
      </c>
      <c r="H1527" s="12" t="s">
        <v>6613</v>
      </c>
      <c r="I1527" s="12">
        <v>0</v>
      </c>
      <c r="J1527" s="12" t="s">
        <v>164</v>
      </c>
      <c r="K1527" s="12" t="s">
        <v>6646</v>
      </c>
      <c r="L1527" s="12" t="s">
        <v>4793</v>
      </c>
      <c r="M1527" s="12" t="s">
        <v>4793</v>
      </c>
      <c r="N1527" s="12" t="s">
        <v>5785</v>
      </c>
      <c r="O1527" s="12" t="s">
        <v>4794</v>
      </c>
      <c r="P1527" s="12" t="s">
        <v>166</v>
      </c>
      <c r="Q1527" s="12" t="s">
        <v>6664</v>
      </c>
      <c r="R1527" s="12" t="s">
        <v>17</v>
      </c>
      <c r="S1527" s="12" t="s">
        <v>17</v>
      </c>
      <c r="T1527" s="12" t="s">
        <v>11</v>
      </c>
      <c r="U1527" s="12" t="s">
        <v>17</v>
      </c>
      <c r="V1527" s="12" t="s">
        <v>619</v>
      </c>
      <c r="W1527" s="12" t="s">
        <v>7415</v>
      </c>
      <c r="X1527" s="12">
        <v>14.11</v>
      </c>
      <c r="Y1527" s="12">
        <v>1172485</v>
      </c>
      <c r="Z1527" s="12" t="s">
        <v>6613</v>
      </c>
      <c r="AA1527" s="12" t="s">
        <v>6613</v>
      </c>
      <c r="AB1527" s="12" t="s">
        <v>6613</v>
      </c>
      <c r="AC1527" s="12" t="s">
        <v>6613</v>
      </c>
      <c r="AD1527" s="12" t="s">
        <v>6613</v>
      </c>
      <c r="AE1527" s="12" t="s">
        <v>6613</v>
      </c>
      <c r="AF1527" s="12" t="s">
        <v>45</v>
      </c>
    </row>
    <row r="1528" spans="1:32" x14ac:dyDescent="0.2">
      <c r="A1528" s="12" t="s">
        <v>4809</v>
      </c>
      <c r="B1528" s="12" t="s">
        <v>4810</v>
      </c>
      <c r="C1528" s="12" t="s">
        <v>17</v>
      </c>
      <c r="D1528" s="12" t="s">
        <v>17</v>
      </c>
      <c r="E1528" s="12" t="s">
        <v>7678</v>
      </c>
      <c r="F1528" s="12" t="s">
        <v>5458</v>
      </c>
      <c r="G1528" s="12" t="s">
        <v>830</v>
      </c>
      <c r="H1528" s="12" t="s">
        <v>6613</v>
      </c>
      <c r="I1528" s="12">
        <v>0</v>
      </c>
      <c r="J1528" s="12" t="s">
        <v>164</v>
      </c>
      <c r="K1528" s="12" t="s">
        <v>6646</v>
      </c>
      <c r="L1528" s="12" t="s">
        <v>4793</v>
      </c>
      <c r="M1528" s="12" t="s">
        <v>4793</v>
      </c>
      <c r="N1528" s="12" t="s">
        <v>5785</v>
      </c>
      <c r="O1528" s="12" t="s">
        <v>4794</v>
      </c>
      <c r="P1528" s="12" t="s">
        <v>166</v>
      </c>
      <c r="Q1528" s="12" t="s">
        <v>6664</v>
      </c>
      <c r="R1528" s="12" t="s">
        <v>17</v>
      </c>
      <c r="S1528" s="12" t="s">
        <v>17</v>
      </c>
      <c r="T1528" s="12" t="s">
        <v>11</v>
      </c>
      <c r="U1528" s="12" t="s">
        <v>17</v>
      </c>
      <c r="V1528" s="12" t="s">
        <v>413</v>
      </c>
      <c r="W1528" s="12" t="s">
        <v>7415</v>
      </c>
      <c r="X1528" s="12">
        <v>14.58</v>
      </c>
      <c r="Y1528" s="12">
        <v>1172667</v>
      </c>
      <c r="Z1528" s="12" t="s">
        <v>6613</v>
      </c>
      <c r="AA1528" s="12" t="s">
        <v>6613</v>
      </c>
      <c r="AB1528" s="12" t="s">
        <v>6613</v>
      </c>
      <c r="AC1528" s="12" t="s">
        <v>6613</v>
      </c>
      <c r="AD1528" s="12" t="s">
        <v>6613</v>
      </c>
      <c r="AE1528" s="12" t="s">
        <v>6613</v>
      </c>
      <c r="AF1528" s="12" t="s">
        <v>45</v>
      </c>
    </row>
    <row r="1529" spans="1:32" x14ac:dyDescent="0.2">
      <c r="A1529" s="12" t="s">
        <v>5423</v>
      </c>
      <c r="B1529" s="12" t="s">
        <v>5424</v>
      </c>
      <c r="C1529" s="12" t="s">
        <v>5424</v>
      </c>
      <c r="D1529" s="12" t="s">
        <v>163</v>
      </c>
      <c r="E1529" s="12" t="s">
        <v>7676</v>
      </c>
      <c r="F1529" s="12" t="s">
        <v>5458</v>
      </c>
      <c r="G1529" s="12" t="s">
        <v>159</v>
      </c>
      <c r="H1529" s="12" t="s">
        <v>6614</v>
      </c>
      <c r="I1529" s="12">
        <v>0</v>
      </c>
      <c r="J1529" s="12" t="s">
        <v>164</v>
      </c>
      <c r="K1529" s="12" t="s">
        <v>6646</v>
      </c>
      <c r="L1529" s="12" t="s">
        <v>5425</v>
      </c>
      <c r="M1529" s="12" t="s">
        <v>5425</v>
      </c>
      <c r="N1529" s="12" t="s">
        <v>5785</v>
      </c>
      <c r="O1529" s="12" t="s">
        <v>1168</v>
      </c>
      <c r="P1529" s="12" t="s">
        <v>166</v>
      </c>
      <c r="Q1529" s="12" t="s">
        <v>6664</v>
      </c>
      <c r="R1529" s="12">
        <v>17.72</v>
      </c>
      <c r="S1529" s="12">
        <v>83.32</v>
      </c>
      <c r="T1529" s="12" t="s">
        <v>11</v>
      </c>
      <c r="U1529" s="12" t="s">
        <v>17</v>
      </c>
      <c r="V1529" s="12" t="s">
        <v>5426</v>
      </c>
      <c r="W1529" s="12" t="s">
        <v>7415</v>
      </c>
      <c r="X1529" s="12">
        <v>55</v>
      </c>
      <c r="Y1529" s="12">
        <v>1119775</v>
      </c>
      <c r="Z1529" s="12" t="s">
        <v>6613</v>
      </c>
      <c r="AA1529" s="12" t="s">
        <v>6613</v>
      </c>
      <c r="AB1529" s="12" t="s">
        <v>6613</v>
      </c>
      <c r="AC1529" s="12" t="s">
        <v>6613</v>
      </c>
      <c r="AD1529" s="12" t="s">
        <v>6613</v>
      </c>
      <c r="AE1529" s="12" t="s">
        <v>6613</v>
      </c>
      <c r="AF1529" s="12" t="s">
        <v>45</v>
      </c>
    </row>
    <row r="1530" spans="1:32" x14ac:dyDescent="0.2">
      <c r="A1530" s="12" t="s">
        <v>5427</v>
      </c>
      <c r="B1530" s="12" t="s">
        <v>5428</v>
      </c>
      <c r="C1530" s="12" t="s">
        <v>5428</v>
      </c>
      <c r="D1530" s="12" t="s">
        <v>163</v>
      </c>
      <c r="E1530" s="12" t="s">
        <v>7676</v>
      </c>
      <c r="F1530" s="12" t="s">
        <v>5458</v>
      </c>
      <c r="G1530" s="12" t="s">
        <v>159</v>
      </c>
      <c r="H1530" s="12" t="s">
        <v>6614</v>
      </c>
      <c r="I1530" s="12">
        <v>0</v>
      </c>
      <c r="J1530" s="12" t="s">
        <v>164</v>
      </c>
      <c r="K1530" s="12" t="s">
        <v>6646</v>
      </c>
      <c r="L1530" s="12" t="s">
        <v>5425</v>
      </c>
      <c r="M1530" s="12" t="s">
        <v>5425</v>
      </c>
      <c r="N1530" s="12" t="s">
        <v>5785</v>
      </c>
      <c r="O1530" s="12" t="s">
        <v>1168</v>
      </c>
      <c r="P1530" s="12" t="s">
        <v>166</v>
      </c>
      <c r="Q1530" s="12" t="s">
        <v>6664</v>
      </c>
      <c r="R1530" s="12">
        <v>17.72</v>
      </c>
      <c r="S1530" s="12">
        <v>83.32</v>
      </c>
      <c r="T1530" s="12" t="s">
        <v>11</v>
      </c>
      <c r="U1530" s="12" t="s">
        <v>17</v>
      </c>
      <c r="V1530" s="12" t="s">
        <v>5426</v>
      </c>
      <c r="W1530" s="12" t="s">
        <v>7415</v>
      </c>
      <c r="X1530" s="12">
        <v>49.88</v>
      </c>
      <c r="Y1530" s="12">
        <v>1120010</v>
      </c>
      <c r="Z1530" s="12" t="s">
        <v>6613</v>
      </c>
      <c r="AA1530" s="12" t="s">
        <v>6613</v>
      </c>
      <c r="AB1530" s="12" t="s">
        <v>6613</v>
      </c>
      <c r="AC1530" s="12" t="s">
        <v>6613</v>
      </c>
      <c r="AD1530" s="12" t="s">
        <v>6613</v>
      </c>
      <c r="AE1530" s="12" t="s">
        <v>6613</v>
      </c>
      <c r="AF1530" s="12" t="s">
        <v>45</v>
      </c>
    </row>
    <row r="1531" spans="1:32" x14ac:dyDescent="0.2">
      <c r="A1531" s="12" t="s">
        <v>418</v>
      </c>
      <c r="B1531" s="12" t="s">
        <v>418</v>
      </c>
      <c r="C1531" s="12" t="s">
        <v>419</v>
      </c>
      <c r="D1531" s="12" t="s">
        <v>13</v>
      </c>
      <c r="E1531" s="12" t="s">
        <v>8110</v>
      </c>
      <c r="F1531" s="12" t="s">
        <v>5460</v>
      </c>
      <c r="G1531" s="12" t="s">
        <v>192</v>
      </c>
      <c r="H1531" s="12" t="s">
        <v>6614</v>
      </c>
      <c r="I1531" s="12">
        <v>6145</v>
      </c>
      <c r="J1531" s="12" t="s">
        <v>421</v>
      </c>
      <c r="K1531" s="12" t="s">
        <v>6651</v>
      </c>
      <c r="L1531" s="12" t="s">
        <v>401</v>
      </c>
      <c r="M1531" s="12" t="s">
        <v>401</v>
      </c>
      <c r="N1531" s="12" t="s">
        <v>5785</v>
      </c>
      <c r="O1531" s="12" t="s">
        <v>405</v>
      </c>
      <c r="P1531" s="12" t="s">
        <v>406</v>
      </c>
      <c r="Q1531" s="12" t="s">
        <v>6682</v>
      </c>
      <c r="R1531" s="12">
        <v>39.729999999999997</v>
      </c>
      <c r="S1531" s="12">
        <v>45.2</v>
      </c>
      <c r="T1531" s="12" t="s">
        <v>11</v>
      </c>
      <c r="U1531" s="12" t="s">
        <v>422</v>
      </c>
      <c r="V1531" s="12" t="s">
        <v>413</v>
      </c>
      <c r="W1531" s="12" t="s">
        <v>7160</v>
      </c>
      <c r="X1531" s="12">
        <v>1.833</v>
      </c>
      <c r="Y1531" s="12">
        <v>751435</v>
      </c>
      <c r="Z1531" s="12" t="s">
        <v>17</v>
      </c>
      <c r="AA1531" s="12" t="s">
        <v>17</v>
      </c>
      <c r="AB1531" s="12" t="s">
        <v>420</v>
      </c>
      <c r="AC1531" s="12" t="s">
        <v>21</v>
      </c>
      <c r="AD1531" s="12">
        <v>6.6000000000000003E-2</v>
      </c>
      <c r="AE1531" s="12">
        <v>0.999</v>
      </c>
      <c r="AF1531" s="12" t="s">
        <v>82</v>
      </c>
    </row>
    <row r="1532" spans="1:32" x14ac:dyDescent="0.2">
      <c r="A1532" s="12" t="s">
        <v>414</v>
      </c>
      <c r="B1532" s="12" t="s">
        <v>414</v>
      </c>
      <c r="C1532" s="12" t="s">
        <v>415</v>
      </c>
      <c r="D1532" s="12" t="s">
        <v>13</v>
      </c>
      <c r="E1532" s="12" t="s">
        <v>8110</v>
      </c>
      <c r="F1532" s="12" t="s">
        <v>5460</v>
      </c>
      <c r="G1532" s="12" t="s">
        <v>192</v>
      </c>
      <c r="H1532" s="12" t="s">
        <v>6614</v>
      </c>
      <c r="I1532" s="12">
        <v>6100</v>
      </c>
      <c r="J1532" s="12" t="s">
        <v>417</v>
      </c>
      <c r="K1532" s="12" t="s">
        <v>6651</v>
      </c>
      <c r="L1532" s="12" t="s">
        <v>401</v>
      </c>
      <c r="M1532" s="12" t="s">
        <v>401</v>
      </c>
      <c r="N1532" s="12" t="s">
        <v>5785</v>
      </c>
      <c r="O1532" s="12" t="s">
        <v>405</v>
      </c>
      <c r="P1532" s="12" t="s">
        <v>406</v>
      </c>
      <c r="Q1532" s="12" t="s">
        <v>6682</v>
      </c>
      <c r="R1532" s="16">
        <v>39.729999999999997</v>
      </c>
      <c r="S1532" s="16">
        <v>45.2</v>
      </c>
      <c r="T1532" s="12" t="s">
        <v>25</v>
      </c>
      <c r="U1532" s="12" t="s">
        <v>412</v>
      </c>
      <c r="V1532" s="12" t="s">
        <v>6639</v>
      </c>
      <c r="W1532" s="12" t="s">
        <v>6639</v>
      </c>
      <c r="X1532" s="12">
        <v>3.202</v>
      </c>
      <c r="Y1532" s="12">
        <v>816520</v>
      </c>
      <c r="Z1532" s="12" t="s">
        <v>6639</v>
      </c>
      <c r="AA1532" s="12" t="s">
        <v>6639</v>
      </c>
      <c r="AB1532" s="12" t="s">
        <v>416</v>
      </c>
      <c r="AC1532" s="12" t="s">
        <v>21</v>
      </c>
      <c r="AD1532" s="12">
        <v>5.5E-2</v>
      </c>
      <c r="AE1532" s="12">
        <v>0.997</v>
      </c>
      <c r="AF1532" s="12" t="s">
        <v>45</v>
      </c>
    </row>
    <row r="1533" spans="1:32" x14ac:dyDescent="0.2">
      <c r="A1533" s="12" t="s">
        <v>408</v>
      </c>
      <c r="B1533" s="12" t="s">
        <v>408</v>
      </c>
      <c r="C1533" s="12" t="s">
        <v>409</v>
      </c>
      <c r="D1533" s="12" t="s">
        <v>13</v>
      </c>
      <c r="E1533" s="12" t="s">
        <v>8110</v>
      </c>
      <c r="F1533" s="12" t="s">
        <v>5460</v>
      </c>
      <c r="G1533" s="12" t="s">
        <v>192</v>
      </c>
      <c r="H1533" s="12" t="s">
        <v>6614</v>
      </c>
      <c r="I1533" s="12">
        <v>6065</v>
      </c>
      <c r="J1533" s="12" t="s">
        <v>411</v>
      </c>
      <c r="K1533" s="12" t="s">
        <v>6651</v>
      </c>
      <c r="L1533" s="12" t="s">
        <v>401</v>
      </c>
      <c r="M1533" s="12" t="s">
        <v>401</v>
      </c>
      <c r="N1533" s="12" t="s">
        <v>5785</v>
      </c>
      <c r="O1533" s="12" t="s">
        <v>405</v>
      </c>
      <c r="P1533" s="12" t="s">
        <v>406</v>
      </c>
      <c r="Q1533" s="12" t="s">
        <v>6682</v>
      </c>
      <c r="R1533" s="12">
        <v>39.729999999999997</v>
      </c>
      <c r="S1533" s="12">
        <v>45.2</v>
      </c>
      <c r="T1533" s="12" t="s">
        <v>11</v>
      </c>
      <c r="U1533" s="12" t="s">
        <v>412</v>
      </c>
      <c r="V1533" s="12" t="s">
        <v>413</v>
      </c>
      <c r="W1533" s="12" t="s">
        <v>7160</v>
      </c>
      <c r="X1533" s="12">
        <v>2.9630000000000001</v>
      </c>
      <c r="Y1533" s="12">
        <v>812657</v>
      </c>
      <c r="Z1533" s="12" t="s">
        <v>17</v>
      </c>
      <c r="AA1533" s="12" t="s">
        <v>17</v>
      </c>
      <c r="AB1533" s="12" t="s">
        <v>410</v>
      </c>
      <c r="AC1533" s="12" t="s">
        <v>21</v>
      </c>
      <c r="AD1533" s="12">
        <v>6.7000000000000004E-2</v>
      </c>
      <c r="AE1533" s="12">
        <v>0.99399999999999999</v>
      </c>
      <c r="AF1533" s="12" t="s">
        <v>82</v>
      </c>
    </row>
    <row r="1534" spans="1:32" x14ac:dyDescent="0.2">
      <c r="A1534" s="12" t="s">
        <v>400</v>
      </c>
      <c r="B1534" s="12" t="s">
        <v>400</v>
      </c>
      <c r="C1534" s="12" t="s">
        <v>402</v>
      </c>
      <c r="D1534" s="12" t="s">
        <v>17</v>
      </c>
      <c r="E1534" s="12" t="s">
        <v>8110</v>
      </c>
      <c r="F1534" s="12" t="s">
        <v>5460</v>
      </c>
      <c r="G1534" s="12" t="s">
        <v>192</v>
      </c>
      <c r="H1534" s="12" t="s">
        <v>6614</v>
      </c>
      <c r="I1534" s="12">
        <v>6057</v>
      </c>
      <c r="J1534" s="12" t="s">
        <v>404</v>
      </c>
      <c r="K1534" s="12" t="s">
        <v>6651</v>
      </c>
      <c r="L1534" s="12" t="s">
        <v>401</v>
      </c>
      <c r="M1534" s="12" t="s">
        <v>401</v>
      </c>
      <c r="N1534" s="12" t="s">
        <v>5785</v>
      </c>
      <c r="O1534" s="12" t="s">
        <v>405</v>
      </c>
      <c r="P1534" s="12" t="s">
        <v>406</v>
      </c>
      <c r="Q1534" s="12" t="s">
        <v>6682</v>
      </c>
      <c r="R1534" s="12">
        <v>39.729999999999997</v>
      </c>
      <c r="S1534" s="12">
        <v>45.2</v>
      </c>
      <c r="T1534" s="12" t="s">
        <v>25</v>
      </c>
      <c r="U1534" s="12" t="s">
        <v>407</v>
      </c>
      <c r="V1534" s="12" t="s">
        <v>6639</v>
      </c>
      <c r="W1534" s="12" t="s">
        <v>6639</v>
      </c>
      <c r="X1534" s="12">
        <v>8.3000000000000004E-2</v>
      </c>
      <c r="Y1534" s="12">
        <v>92184</v>
      </c>
      <c r="Z1534" s="12" t="s">
        <v>6639</v>
      </c>
      <c r="AA1534" s="12" t="s">
        <v>6639</v>
      </c>
      <c r="AB1534" s="12" t="s">
        <v>403</v>
      </c>
      <c r="AC1534" s="12" t="s">
        <v>21</v>
      </c>
      <c r="AD1534" s="12">
        <v>5.1999999999999998E-2</v>
      </c>
      <c r="AE1534" s="12">
        <v>0.996</v>
      </c>
      <c r="AF1534" s="12" t="s">
        <v>45</v>
      </c>
    </row>
    <row r="1535" spans="1:32" x14ac:dyDescent="0.2">
      <c r="A1535" s="12" t="s">
        <v>423</v>
      </c>
      <c r="B1535" s="12" t="s">
        <v>423</v>
      </c>
      <c r="C1535" s="12" t="s">
        <v>424</v>
      </c>
      <c r="D1535" s="12" t="s">
        <v>26</v>
      </c>
      <c r="E1535" s="12" t="s">
        <v>8110</v>
      </c>
      <c r="F1535" s="12" t="s">
        <v>5458</v>
      </c>
      <c r="G1535" s="12" t="s">
        <v>192</v>
      </c>
      <c r="H1535" s="12" t="s">
        <v>6614</v>
      </c>
      <c r="I1535" s="12">
        <v>5875</v>
      </c>
      <c r="J1535" s="12" t="s">
        <v>426</v>
      </c>
      <c r="K1535" s="12" t="s">
        <v>6651</v>
      </c>
      <c r="L1535" s="12" t="s">
        <v>401</v>
      </c>
      <c r="M1535" s="12" t="s">
        <v>401</v>
      </c>
      <c r="N1535" s="12" t="s">
        <v>5785</v>
      </c>
      <c r="O1535" s="12" t="s">
        <v>405</v>
      </c>
      <c r="P1535" s="12" t="s">
        <v>406</v>
      </c>
      <c r="Q1535" s="12" t="s">
        <v>6682</v>
      </c>
      <c r="R1535" s="12">
        <v>39.729999999999997</v>
      </c>
      <c r="S1535" s="12">
        <v>45.2</v>
      </c>
      <c r="T1535" s="12" t="s">
        <v>11</v>
      </c>
      <c r="U1535" s="12" t="s">
        <v>179</v>
      </c>
      <c r="V1535" s="12" t="s">
        <v>413</v>
      </c>
      <c r="W1535" s="12" t="s">
        <v>7160</v>
      </c>
      <c r="X1535" s="12">
        <v>2.1640000000000001</v>
      </c>
      <c r="Y1535" s="12">
        <v>791878</v>
      </c>
      <c r="Z1535" s="12" t="s">
        <v>17</v>
      </c>
      <c r="AA1535" s="12" t="s">
        <v>17</v>
      </c>
      <c r="AB1535" s="12" t="s">
        <v>425</v>
      </c>
      <c r="AC1535" s="12" t="s">
        <v>21</v>
      </c>
      <c r="AD1535" s="12">
        <v>6.3E-2</v>
      </c>
      <c r="AE1535" s="12">
        <v>0.999</v>
      </c>
      <c r="AF1535" s="12" t="s">
        <v>427</v>
      </c>
    </row>
    <row r="1536" spans="1:32" x14ac:dyDescent="0.2">
      <c r="A1536" s="12" t="s">
        <v>191</v>
      </c>
      <c r="B1536" s="12" t="s">
        <v>191</v>
      </c>
      <c r="C1536" s="12" t="s">
        <v>194</v>
      </c>
      <c r="D1536" s="12" t="s">
        <v>13</v>
      </c>
      <c r="E1536" s="12" t="s">
        <v>8110</v>
      </c>
      <c r="F1536" s="12" t="s">
        <v>5460</v>
      </c>
      <c r="G1536" s="12" t="s">
        <v>192</v>
      </c>
      <c r="H1536" s="12" t="s">
        <v>6614</v>
      </c>
      <c r="I1536" s="12">
        <v>5776</v>
      </c>
      <c r="J1536" s="12" t="s">
        <v>196</v>
      </c>
      <c r="K1536" s="12" t="s">
        <v>6651</v>
      </c>
      <c r="L1536" s="12" t="s">
        <v>193</v>
      </c>
      <c r="M1536" s="12" t="s">
        <v>193</v>
      </c>
      <c r="N1536" s="12" t="s">
        <v>5785</v>
      </c>
      <c r="O1536" s="12" t="s">
        <v>197</v>
      </c>
      <c r="P1536" s="12" t="s">
        <v>198</v>
      </c>
      <c r="Q1536" s="12" t="s">
        <v>6682</v>
      </c>
      <c r="R1536" s="12">
        <v>40.299999999999997</v>
      </c>
      <c r="S1536" s="12">
        <v>29.56666667</v>
      </c>
      <c r="T1536" s="12" t="s">
        <v>25</v>
      </c>
      <c r="U1536" s="12" t="s">
        <v>199</v>
      </c>
      <c r="V1536" s="12" t="s">
        <v>6639</v>
      </c>
      <c r="W1536" s="12" t="s">
        <v>6639</v>
      </c>
      <c r="X1536" s="12">
        <v>6.4521179999999996</v>
      </c>
      <c r="Y1536" s="12">
        <v>966697</v>
      </c>
      <c r="Z1536" s="12" t="s">
        <v>6639</v>
      </c>
      <c r="AA1536" s="12" t="s">
        <v>6639</v>
      </c>
      <c r="AB1536" s="12" t="s">
        <v>195</v>
      </c>
      <c r="AC1536" s="12" t="s">
        <v>200</v>
      </c>
      <c r="AD1536" s="12" t="s">
        <v>7952</v>
      </c>
      <c r="AE1536" s="12" t="s">
        <v>8068</v>
      </c>
      <c r="AF1536" s="12" t="s">
        <v>6635</v>
      </c>
    </row>
    <row r="1537" spans="1:32" x14ac:dyDescent="0.2">
      <c r="A1537" s="12" t="s">
        <v>442</v>
      </c>
      <c r="B1537" s="12" t="s">
        <v>442</v>
      </c>
      <c r="C1537" s="12" t="s">
        <v>443</v>
      </c>
      <c r="D1537" s="12" t="s">
        <v>13</v>
      </c>
      <c r="E1537" s="12" t="s">
        <v>8110</v>
      </c>
      <c r="F1537" s="12" t="s">
        <v>5460</v>
      </c>
      <c r="G1537" s="12" t="s">
        <v>192</v>
      </c>
      <c r="H1537" s="12" t="s">
        <v>6614</v>
      </c>
      <c r="I1537" s="12">
        <v>5170</v>
      </c>
      <c r="J1537" s="12" t="s">
        <v>445</v>
      </c>
      <c r="K1537" s="12" t="s">
        <v>6654</v>
      </c>
      <c r="L1537" s="12" t="s">
        <v>429</v>
      </c>
      <c r="M1537" s="12" t="s">
        <v>429</v>
      </c>
      <c r="N1537" s="12" t="s">
        <v>5785</v>
      </c>
      <c r="O1537" s="12" t="s">
        <v>446</v>
      </c>
      <c r="P1537" s="12" t="s">
        <v>406</v>
      </c>
      <c r="Q1537" s="12" t="s">
        <v>6682</v>
      </c>
      <c r="R1537" s="12">
        <v>40.390749999999997</v>
      </c>
      <c r="S1537" s="12">
        <v>43.891066670000001</v>
      </c>
      <c r="T1537" s="12" t="s">
        <v>25</v>
      </c>
      <c r="U1537" s="12" t="s">
        <v>447</v>
      </c>
      <c r="V1537" s="12" t="s">
        <v>6639</v>
      </c>
      <c r="W1537" s="12" t="s">
        <v>6639</v>
      </c>
      <c r="X1537" s="12">
        <v>3.4079999999999999</v>
      </c>
      <c r="Y1537" s="12">
        <v>814932</v>
      </c>
      <c r="Z1537" s="12" t="s">
        <v>6639</v>
      </c>
      <c r="AA1537" s="12" t="s">
        <v>6639</v>
      </c>
      <c r="AB1537" s="12" t="s">
        <v>444</v>
      </c>
      <c r="AC1537" s="12" t="s">
        <v>21</v>
      </c>
      <c r="AD1537" s="12">
        <v>0.13100000000000001</v>
      </c>
      <c r="AE1537" s="12">
        <v>0.996</v>
      </c>
      <c r="AF1537" s="12" t="s">
        <v>45</v>
      </c>
    </row>
    <row r="1538" spans="1:32" x14ac:dyDescent="0.2">
      <c r="A1538" s="12" t="s">
        <v>228</v>
      </c>
      <c r="B1538" s="12" t="s">
        <v>229</v>
      </c>
      <c r="C1538" s="12" t="s">
        <v>230</v>
      </c>
      <c r="D1538" s="12" t="s">
        <v>17</v>
      </c>
      <c r="E1538" s="12" t="s">
        <v>7678</v>
      </c>
      <c r="F1538" s="12" t="s">
        <v>5458</v>
      </c>
      <c r="G1538" s="12" t="s">
        <v>222</v>
      </c>
      <c r="H1538" s="12" t="s">
        <v>6614</v>
      </c>
      <c r="I1538" s="12">
        <v>4700</v>
      </c>
      <c r="J1538" s="12" t="s">
        <v>226</v>
      </c>
      <c r="K1538" s="12" t="s">
        <v>6654</v>
      </c>
      <c r="L1538" s="12" t="s">
        <v>224</v>
      </c>
      <c r="M1538" s="12" t="s">
        <v>224</v>
      </c>
      <c r="N1538" s="12" t="s">
        <v>5785</v>
      </c>
      <c r="O1538" s="12" t="s">
        <v>227</v>
      </c>
      <c r="P1538" s="12" t="s">
        <v>198</v>
      </c>
      <c r="Q1538" s="12" t="s">
        <v>6682</v>
      </c>
      <c r="R1538" s="12">
        <v>38.629306</v>
      </c>
      <c r="S1538" s="12">
        <v>34.297718000000003</v>
      </c>
      <c r="T1538" s="12" t="s">
        <v>11</v>
      </c>
      <c r="U1538" s="12" t="s">
        <v>231</v>
      </c>
      <c r="V1538" s="12" t="s">
        <v>232</v>
      </c>
      <c r="W1538" s="12" t="s">
        <v>7415</v>
      </c>
      <c r="X1538" s="12">
        <v>0.9</v>
      </c>
      <c r="Y1538" s="12">
        <v>567586</v>
      </c>
      <c r="Z1538" s="12" t="s">
        <v>17</v>
      </c>
      <c r="AA1538" s="12" t="s">
        <v>17</v>
      </c>
      <c r="AB1538" s="12" t="s">
        <v>17</v>
      </c>
      <c r="AC1538" s="12" t="s">
        <v>144</v>
      </c>
      <c r="AD1538" s="12" t="s">
        <v>17</v>
      </c>
      <c r="AE1538" s="12" t="s">
        <v>17</v>
      </c>
      <c r="AF1538" s="12" t="s">
        <v>45</v>
      </c>
    </row>
    <row r="1539" spans="1:32" x14ac:dyDescent="0.2">
      <c r="A1539" s="12" t="s">
        <v>221</v>
      </c>
      <c r="B1539" s="12" t="s">
        <v>223</v>
      </c>
      <c r="C1539" s="12" t="s">
        <v>225</v>
      </c>
      <c r="D1539" s="12" t="s">
        <v>17</v>
      </c>
      <c r="E1539" s="12" t="s">
        <v>7678</v>
      </c>
      <c r="F1539" s="12" t="s">
        <v>5458</v>
      </c>
      <c r="G1539" s="12" t="s">
        <v>222</v>
      </c>
      <c r="H1539" s="12" t="s">
        <v>6614</v>
      </c>
      <c r="I1539" s="12">
        <v>4700</v>
      </c>
      <c r="J1539" s="12" t="s">
        <v>226</v>
      </c>
      <c r="K1539" s="12" t="s">
        <v>6654</v>
      </c>
      <c r="L1539" s="12" t="s">
        <v>224</v>
      </c>
      <c r="M1539" s="12" t="s">
        <v>224</v>
      </c>
      <c r="N1539" s="12" t="s">
        <v>5785</v>
      </c>
      <c r="O1539" s="12" t="s">
        <v>227</v>
      </c>
      <c r="P1539" s="12" t="s">
        <v>198</v>
      </c>
      <c r="Q1539" s="12" t="s">
        <v>6682</v>
      </c>
      <c r="R1539" s="16">
        <v>38.629306</v>
      </c>
      <c r="S1539" s="16">
        <v>34.297718000000003</v>
      </c>
      <c r="T1539" s="12" t="s">
        <v>25</v>
      </c>
      <c r="U1539" s="12" t="s">
        <v>179</v>
      </c>
      <c r="V1539" s="12" t="s">
        <v>6639</v>
      </c>
      <c r="W1539" s="12" t="s">
        <v>6639</v>
      </c>
      <c r="X1539" s="12">
        <v>0.9</v>
      </c>
      <c r="Y1539" s="12">
        <v>569877</v>
      </c>
      <c r="Z1539" s="12" t="s">
        <v>6639</v>
      </c>
      <c r="AA1539" s="12" t="s">
        <v>6639</v>
      </c>
      <c r="AB1539" s="12" t="s">
        <v>17</v>
      </c>
      <c r="AC1539" s="12" t="s">
        <v>144</v>
      </c>
      <c r="AD1539" s="12" t="s">
        <v>17</v>
      </c>
      <c r="AE1539" s="12" t="s">
        <v>17</v>
      </c>
      <c r="AF1539" s="12" t="s">
        <v>45</v>
      </c>
    </row>
    <row r="1540" spans="1:32" x14ac:dyDescent="0.2">
      <c r="A1540" s="12" t="s">
        <v>233</v>
      </c>
      <c r="B1540" s="12" t="s">
        <v>234</v>
      </c>
      <c r="C1540" s="12" t="s">
        <v>235</v>
      </c>
      <c r="D1540" s="12" t="s">
        <v>17</v>
      </c>
      <c r="E1540" s="12" t="s">
        <v>7678</v>
      </c>
      <c r="F1540" s="12" t="s">
        <v>5458</v>
      </c>
      <c r="G1540" s="12" t="s">
        <v>222</v>
      </c>
      <c r="H1540" s="12" t="s">
        <v>6614</v>
      </c>
      <c r="I1540" s="12">
        <v>4700</v>
      </c>
      <c r="J1540" s="12" t="s">
        <v>226</v>
      </c>
      <c r="K1540" s="12" t="s">
        <v>6654</v>
      </c>
      <c r="L1540" s="12" t="s">
        <v>224</v>
      </c>
      <c r="M1540" s="12" t="s">
        <v>224</v>
      </c>
      <c r="N1540" s="12" t="s">
        <v>5785</v>
      </c>
      <c r="O1540" s="12" t="s">
        <v>227</v>
      </c>
      <c r="P1540" s="12" t="s">
        <v>198</v>
      </c>
      <c r="Q1540" s="12" t="s">
        <v>6682</v>
      </c>
      <c r="R1540" s="12">
        <v>38.629306</v>
      </c>
      <c r="S1540" s="12">
        <v>34.297718000000003</v>
      </c>
      <c r="T1540" s="12" t="s">
        <v>25</v>
      </c>
      <c r="U1540" s="12" t="s">
        <v>236</v>
      </c>
      <c r="V1540" s="12" t="s">
        <v>6639</v>
      </c>
      <c r="W1540" s="12" t="s">
        <v>6639</v>
      </c>
      <c r="X1540" s="12">
        <v>1.2</v>
      </c>
      <c r="Y1540" s="12">
        <v>679582</v>
      </c>
      <c r="Z1540" s="12" t="s">
        <v>6639</v>
      </c>
      <c r="AA1540" s="12" t="s">
        <v>6639</v>
      </c>
      <c r="AB1540" s="12" t="s">
        <v>17</v>
      </c>
      <c r="AC1540" s="12" t="s">
        <v>144</v>
      </c>
      <c r="AD1540" s="12" t="s">
        <v>17</v>
      </c>
      <c r="AE1540" s="12" t="s">
        <v>17</v>
      </c>
      <c r="AF1540" s="12" t="s">
        <v>45</v>
      </c>
    </row>
    <row r="1541" spans="1:32" x14ac:dyDescent="0.2">
      <c r="A1541" s="12" t="s">
        <v>214</v>
      </c>
      <c r="B1541" s="12" t="s">
        <v>214</v>
      </c>
      <c r="C1541" s="12" t="s">
        <v>215</v>
      </c>
      <c r="D1541" s="12" t="s">
        <v>13</v>
      </c>
      <c r="E1541" s="12" t="s">
        <v>8110</v>
      </c>
      <c r="F1541" s="12" t="s">
        <v>5460</v>
      </c>
      <c r="G1541" s="12" t="s">
        <v>202</v>
      </c>
      <c r="H1541" s="12" t="s">
        <v>6614</v>
      </c>
      <c r="I1541" s="12">
        <v>4604</v>
      </c>
      <c r="J1541" s="12" t="s">
        <v>217</v>
      </c>
      <c r="K1541" s="12" t="s">
        <v>6654</v>
      </c>
      <c r="L1541" s="12" t="s">
        <v>203</v>
      </c>
      <c r="M1541" s="12" t="s">
        <v>203</v>
      </c>
      <c r="N1541" s="12" t="s">
        <v>5785</v>
      </c>
      <c r="O1541" s="12" t="s">
        <v>207</v>
      </c>
      <c r="P1541" s="12" t="s">
        <v>198</v>
      </c>
      <c r="Q1541" s="12" t="s">
        <v>6682</v>
      </c>
      <c r="R1541" s="12">
        <v>37.917740000000002</v>
      </c>
      <c r="S1541" s="12">
        <v>30.708390000000001</v>
      </c>
      <c r="T1541" s="12" t="s">
        <v>25</v>
      </c>
      <c r="U1541" s="12" t="s">
        <v>218</v>
      </c>
      <c r="V1541" s="12" t="s">
        <v>6639</v>
      </c>
      <c r="W1541" s="12" t="s">
        <v>6639</v>
      </c>
      <c r="X1541" s="12">
        <v>0.47064400000000001</v>
      </c>
      <c r="Y1541" s="12">
        <v>382506</v>
      </c>
      <c r="Z1541" s="12" t="s">
        <v>6639</v>
      </c>
      <c r="AA1541" s="12" t="s">
        <v>6639</v>
      </c>
      <c r="AB1541" s="12" t="s">
        <v>216</v>
      </c>
      <c r="AC1541" s="12" t="s">
        <v>219</v>
      </c>
      <c r="AD1541" s="12" t="s">
        <v>7811</v>
      </c>
      <c r="AE1541" s="12" t="s">
        <v>7746</v>
      </c>
      <c r="AF1541" s="12" t="s">
        <v>220</v>
      </c>
    </row>
    <row r="1542" spans="1:32" x14ac:dyDescent="0.2">
      <c r="A1542" s="12" t="s">
        <v>209</v>
      </c>
      <c r="B1542" s="12" t="s">
        <v>209</v>
      </c>
      <c r="C1542" s="12" t="s">
        <v>210</v>
      </c>
      <c r="D1542" s="12" t="s">
        <v>13</v>
      </c>
      <c r="E1542" s="12" t="s">
        <v>8110</v>
      </c>
      <c r="F1542" s="12" t="s">
        <v>5460</v>
      </c>
      <c r="G1542" s="12" t="s">
        <v>202</v>
      </c>
      <c r="H1542" s="12" t="s">
        <v>6614</v>
      </c>
      <c r="I1542" s="12">
        <v>4494</v>
      </c>
      <c r="J1542" s="12" t="s">
        <v>212</v>
      </c>
      <c r="K1542" s="12" t="s">
        <v>6654</v>
      </c>
      <c r="L1542" s="12" t="s">
        <v>203</v>
      </c>
      <c r="M1542" s="12" t="s">
        <v>203</v>
      </c>
      <c r="N1542" s="12" t="s">
        <v>5785</v>
      </c>
      <c r="O1542" s="12" t="s">
        <v>207</v>
      </c>
      <c r="P1542" s="12" t="s">
        <v>198</v>
      </c>
      <c r="Q1542" s="12" t="s">
        <v>6682</v>
      </c>
      <c r="R1542" s="12">
        <v>37.917740000000002</v>
      </c>
      <c r="S1542" s="12">
        <v>30.708390000000001</v>
      </c>
      <c r="T1542" s="12" t="s">
        <v>25</v>
      </c>
      <c r="U1542" s="12" t="s">
        <v>213</v>
      </c>
      <c r="V1542" s="12" t="s">
        <v>6639</v>
      </c>
      <c r="W1542" s="12" t="s">
        <v>6639</v>
      </c>
      <c r="X1542" s="12">
        <v>5.5705749999999998</v>
      </c>
      <c r="Y1542" s="12">
        <v>904777</v>
      </c>
      <c r="Z1542" s="12" t="s">
        <v>6639</v>
      </c>
      <c r="AA1542" s="12" t="s">
        <v>6639</v>
      </c>
      <c r="AB1542" s="12" t="s">
        <v>211</v>
      </c>
      <c r="AC1542" s="12" t="s">
        <v>21</v>
      </c>
      <c r="AD1542" s="12">
        <v>0.126</v>
      </c>
      <c r="AE1542" s="12">
        <v>1</v>
      </c>
      <c r="AF1542" s="12" t="s">
        <v>45</v>
      </c>
    </row>
    <row r="1543" spans="1:32" x14ac:dyDescent="0.2">
      <c r="A1543" s="12" t="s">
        <v>428</v>
      </c>
      <c r="B1543" s="12" t="s">
        <v>428</v>
      </c>
      <c r="C1543" s="12" t="s">
        <v>430</v>
      </c>
      <c r="D1543" s="12" t="s">
        <v>13</v>
      </c>
      <c r="E1543" s="12" t="s">
        <v>8110</v>
      </c>
      <c r="F1543" s="12" t="s">
        <v>5460</v>
      </c>
      <c r="G1543" s="12" t="s">
        <v>192</v>
      </c>
      <c r="H1543" s="12" t="s">
        <v>6614</v>
      </c>
      <c r="I1543" s="12">
        <v>4492</v>
      </c>
      <c r="J1543" s="12" t="s">
        <v>432</v>
      </c>
      <c r="K1543" s="12" t="s">
        <v>6654</v>
      </c>
      <c r="L1543" s="12" t="s">
        <v>429</v>
      </c>
      <c r="M1543" s="12" t="s">
        <v>429</v>
      </c>
      <c r="N1543" s="12" t="s">
        <v>5785</v>
      </c>
      <c r="O1543" s="12" t="s">
        <v>433</v>
      </c>
      <c r="P1543" s="12" t="s">
        <v>406</v>
      </c>
      <c r="Q1543" s="12" t="s">
        <v>6682</v>
      </c>
      <c r="R1543" s="12">
        <v>40.65</v>
      </c>
      <c r="S1543" s="12">
        <v>45.116700000000002</v>
      </c>
      <c r="T1543" s="12" t="s">
        <v>11</v>
      </c>
      <c r="U1543" s="12" t="s">
        <v>434</v>
      </c>
      <c r="V1543" s="12" t="s">
        <v>5754</v>
      </c>
      <c r="W1543" s="12" t="s">
        <v>7160</v>
      </c>
      <c r="X1543" s="12">
        <v>2.8769999999999998</v>
      </c>
      <c r="Y1543" s="12">
        <v>817935</v>
      </c>
      <c r="Z1543" s="12" t="s">
        <v>17</v>
      </c>
      <c r="AA1543" s="12" t="s">
        <v>17</v>
      </c>
      <c r="AB1543" s="12" t="s">
        <v>431</v>
      </c>
      <c r="AC1543" s="12" t="s">
        <v>21</v>
      </c>
      <c r="AD1543" s="12">
        <v>9.2999999999999999E-2</v>
      </c>
      <c r="AE1543" s="12">
        <v>1</v>
      </c>
      <c r="AF1543" s="12" t="s">
        <v>436</v>
      </c>
    </row>
    <row r="1544" spans="1:32" x14ac:dyDescent="0.2">
      <c r="A1544" s="12" t="s">
        <v>437</v>
      </c>
      <c r="B1544" s="12" t="s">
        <v>437</v>
      </c>
      <c r="C1544" s="12" t="s">
        <v>438</v>
      </c>
      <c r="D1544" s="12" t="s">
        <v>13</v>
      </c>
      <c r="E1544" s="12" t="s">
        <v>8110</v>
      </c>
      <c r="F1544" s="12" t="s">
        <v>5460</v>
      </c>
      <c r="G1544" s="12" t="s">
        <v>192</v>
      </c>
      <c r="H1544" s="12" t="s">
        <v>6614</v>
      </c>
      <c r="I1544" s="12">
        <v>4465</v>
      </c>
      <c r="J1544" s="12" t="s">
        <v>440</v>
      </c>
      <c r="K1544" s="12" t="s">
        <v>6654</v>
      </c>
      <c r="L1544" s="12" t="s">
        <v>429</v>
      </c>
      <c r="M1544" s="12" t="s">
        <v>429</v>
      </c>
      <c r="N1544" s="12" t="s">
        <v>5785</v>
      </c>
      <c r="O1544" s="12" t="s">
        <v>433</v>
      </c>
      <c r="P1544" s="12" t="s">
        <v>406</v>
      </c>
      <c r="Q1544" s="12" t="s">
        <v>6682</v>
      </c>
      <c r="R1544" s="16">
        <v>40.65</v>
      </c>
      <c r="S1544" s="16">
        <v>45.116700000000002</v>
      </c>
      <c r="T1544" s="12" t="s">
        <v>25</v>
      </c>
      <c r="U1544" s="12" t="s">
        <v>441</v>
      </c>
      <c r="V1544" s="12" t="s">
        <v>6639</v>
      </c>
      <c r="W1544" s="12" t="s">
        <v>6639</v>
      </c>
      <c r="X1544" s="12">
        <v>3.3420000000000001</v>
      </c>
      <c r="Y1544" s="12">
        <v>828539</v>
      </c>
      <c r="Z1544" s="12" t="s">
        <v>6639</v>
      </c>
      <c r="AA1544" s="12" t="s">
        <v>6639</v>
      </c>
      <c r="AB1544" s="12" t="s">
        <v>439</v>
      </c>
      <c r="AC1544" s="12" t="s">
        <v>21</v>
      </c>
      <c r="AD1544" s="12">
        <v>0.157</v>
      </c>
      <c r="AE1544" s="12">
        <v>0.96799999999999997</v>
      </c>
      <c r="AF1544" s="12" t="s">
        <v>45</v>
      </c>
    </row>
    <row r="1545" spans="1:32" x14ac:dyDescent="0.2">
      <c r="A1545" s="12" t="s">
        <v>201</v>
      </c>
      <c r="B1545" s="12" t="s">
        <v>201</v>
      </c>
      <c r="C1545" s="12" t="s">
        <v>204</v>
      </c>
      <c r="D1545" s="12" t="s">
        <v>13</v>
      </c>
      <c r="E1545" s="12" t="s">
        <v>8110</v>
      </c>
      <c r="F1545" s="12" t="s">
        <v>5460</v>
      </c>
      <c r="G1545" s="12" t="s">
        <v>202</v>
      </c>
      <c r="H1545" s="12" t="s">
        <v>6614</v>
      </c>
      <c r="I1545" s="12">
        <v>4377</v>
      </c>
      <c r="J1545" s="12" t="s">
        <v>206</v>
      </c>
      <c r="K1545" s="12" t="s">
        <v>6654</v>
      </c>
      <c r="L1545" s="12" t="s">
        <v>203</v>
      </c>
      <c r="M1545" s="12" t="s">
        <v>203</v>
      </c>
      <c r="N1545" s="12" t="s">
        <v>5785</v>
      </c>
      <c r="O1545" s="12" t="s">
        <v>207</v>
      </c>
      <c r="P1545" s="12" t="s">
        <v>198</v>
      </c>
      <c r="Q1545" s="12" t="s">
        <v>6682</v>
      </c>
      <c r="R1545" s="12">
        <v>37.917740000000002</v>
      </c>
      <c r="S1545" s="12">
        <v>30.708390000000001</v>
      </c>
      <c r="T1545" s="12" t="s">
        <v>11</v>
      </c>
      <c r="U1545" s="12" t="s">
        <v>179</v>
      </c>
      <c r="V1545" s="12" t="s">
        <v>208</v>
      </c>
      <c r="W1545" s="12" t="s">
        <v>7160</v>
      </c>
      <c r="X1545" s="12">
        <v>8.0171299999999999</v>
      </c>
      <c r="Y1545" s="12">
        <v>1011604</v>
      </c>
      <c r="Z1545" s="12" t="s">
        <v>17</v>
      </c>
      <c r="AA1545" s="12" t="s">
        <v>17</v>
      </c>
      <c r="AB1545" s="12" t="s">
        <v>205</v>
      </c>
      <c r="AC1545" s="12" t="s">
        <v>58</v>
      </c>
      <c r="AD1545" s="12" t="s">
        <v>7919</v>
      </c>
      <c r="AE1545" s="12" t="s">
        <v>7698</v>
      </c>
      <c r="AF1545" s="12" t="s">
        <v>59</v>
      </c>
    </row>
    <row r="1546" spans="1:32" x14ac:dyDescent="0.2">
      <c r="A1546" s="12" t="s">
        <v>491</v>
      </c>
      <c r="B1546" s="12" t="s">
        <v>492</v>
      </c>
      <c r="C1546" s="12" t="s">
        <v>493</v>
      </c>
      <c r="D1546" s="12" t="s">
        <v>143</v>
      </c>
      <c r="E1546" s="12" t="s">
        <v>7678</v>
      </c>
      <c r="F1546" s="12" t="s">
        <v>5460</v>
      </c>
      <c r="G1546" s="12" t="s">
        <v>141</v>
      </c>
      <c r="H1546" s="12" t="s">
        <v>6614</v>
      </c>
      <c r="I1546" s="12">
        <v>3752</v>
      </c>
      <c r="J1546" s="12" t="s">
        <v>494</v>
      </c>
      <c r="K1546" s="12" t="s">
        <v>6654</v>
      </c>
      <c r="L1546" s="12" t="s">
        <v>481</v>
      </c>
      <c r="M1546" s="12" t="s">
        <v>481</v>
      </c>
      <c r="N1546" s="12" t="s">
        <v>5785</v>
      </c>
      <c r="O1546" s="12" t="s">
        <v>484</v>
      </c>
      <c r="P1546" s="12" t="s">
        <v>406</v>
      </c>
      <c r="Q1546" s="12" t="s">
        <v>6682</v>
      </c>
      <c r="R1546" s="12">
        <v>40.14</v>
      </c>
      <c r="S1546" s="12">
        <v>45.26</v>
      </c>
      <c r="T1546" s="12" t="s">
        <v>11</v>
      </c>
      <c r="U1546" s="12" t="s">
        <v>17</v>
      </c>
      <c r="V1546" s="12" t="s">
        <v>495</v>
      </c>
      <c r="W1546" s="12" t="s">
        <v>7160</v>
      </c>
      <c r="X1546" s="12">
        <v>3.4000000000000002E-2</v>
      </c>
      <c r="Y1546" s="12">
        <v>25573</v>
      </c>
      <c r="Z1546" s="12" t="s">
        <v>17</v>
      </c>
      <c r="AA1546" s="12" t="s">
        <v>17</v>
      </c>
      <c r="AB1546" s="12" t="s">
        <v>17</v>
      </c>
      <c r="AC1546" s="12" t="s">
        <v>144</v>
      </c>
      <c r="AD1546" s="12" t="s">
        <v>17</v>
      </c>
      <c r="AE1546" s="12" t="s">
        <v>17</v>
      </c>
      <c r="AF1546" s="12" t="s">
        <v>45</v>
      </c>
    </row>
    <row r="1547" spans="1:32" x14ac:dyDescent="0.2">
      <c r="A1547" s="12" t="s">
        <v>486</v>
      </c>
      <c r="B1547" s="12" t="s">
        <v>487</v>
      </c>
      <c r="C1547" s="12" t="s">
        <v>488</v>
      </c>
      <c r="D1547" s="12" t="s">
        <v>143</v>
      </c>
      <c r="E1547" s="12" t="s">
        <v>7678</v>
      </c>
      <c r="F1547" s="12" t="s">
        <v>5460</v>
      </c>
      <c r="G1547" s="12" t="s">
        <v>141</v>
      </c>
      <c r="H1547" s="12" t="s">
        <v>6614</v>
      </c>
      <c r="I1547" s="12">
        <v>3494</v>
      </c>
      <c r="J1547" s="12" t="s">
        <v>489</v>
      </c>
      <c r="K1547" s="12" t="s">
        <v>6654</v>
      </c>
      <c r="L1547" s="12" t="s">
        <v>481</v>
      </c>
      <c r="M1547" s="12" t="s">
        <v>481</v>
      </c>
      <c r="N1547" s="12" t="s">
        <v>5785</v>
      </c>
      <c r="O1547" s="12" t="s">
        <v>484</v>
      </c>
      <c r="P1547" s="12" t="s">
        <v>406</v>
      </c>
      <c r="Q1547" s="12" t="s">
        <v>6682</v>
      </c>
      <c r="R1547" s="12">
        <v>40.14</v>
      </c>
      <c r="S1547" s="12">
        <v>45.26</v>
      </c>
      <c r="T1547" s="12" t="s">
        <v>11</v>
      </c>
      <c r="U1547" s="12" t="s">
        <v>17</v>
      </c>
      <c r="V1547" s="12" t="s">
        <v>854</v>
      </c>
      <c r="W1547" s="12" t="s">
        <v>7160</v>
      </c>
      <c r="X1547" s="12">
        <v>2.5000000000000001E-2</v>
      </c>
      <c r="Y1547" s="12">
        <v>29391</v>
      </c>
      <c r="Z1547" s="12" t="s">
        <v>17</v>
      </c>
      <c r="AA1547" s="12" t="s">
        <v>17</v>
      </c>
      <c r="AB1547" s="12" t="s">
        <v>17</v>
      </c>
      <c r="AC1547" s="12" t="s">
        <v>144</v>
      </c>
      <c r="AD1547" s="12" t="s">
        <v>17</v>
      </c>
      <c r="AE1547" s="12" t="s">
        <v>17</v>
      </c>
      <c r="AF1547" s="12" t="s">
        <v>45</v>
      </c>
    </row>
    <row r="1548" spans="1:32" x14ac:dyDescent="0.2">
      <c r="A1548" s="12" t="s">
        <v>472</v>
      </c>
      <c r="B1548" s="12" t="s">
        <v>472</v>
      </c>
      <c r="C1548" s="12" t="s">
        <v>474</v>
      </c>
      <c r="D1548" s="12" t="s">
        <v>13</v>
      </c>
      <c r="E1548" s="12" t="s">
        <v>8110</v>
      </c>
      <c r="F1548" s="12" t="s">
        <v>5460</v>
      </c>
      <c r="G1548" s="12" t="s">
        <v>192</v>
      </c>
      <c r="H1548" s="12" t="s">
        <v>6614</v>
      </c>
      <c r="I1548" s="12">
        <v>3402</v>
      </c>
      <c r="J1548" s="12" t="s">
        <v>476</v>
      </c>
      <c r="K1548" s="12" t="s">
        <v>6654</v>
      </c>
      <c r="L1548" s="12" t="s">
        <v>473</v>
      </c>
      <c r="M1548" s="12" t="s">
        <v>473</v>
      </c>
      <c r="N1548" s="12" t="s">
        <v>5785</v>
      </c>
      <c r="O1548" s="12" t="s">
        <v>477</v>
      </c>
      <c r="P1548" s="12" t="s">
        <v>406</v>
      </c>
      <c r="Q1548" s="12" t="s">
        <v>6682</v>
      </c>
      <c r="R1548" s="12">
        <v>40.377222000000003</v>
      </c>
      <c r="S1548" s="12">
        <v>43.938333</v>
      </c>
      <c r="T1548" s="12" t="s">
        <v>25</v>
      </c>
      <c r="U1548" s="12" t="s">
        <v>478</v>
      </c>
      <c r="V1548" s="12" t="s">
        <v>6639</v>
      </c>
      <c r="W1548" s="12" t="s">
        <v>6639</v>
      </c>
      <c r="X1548" s="12">
        <v>3.5070000000000001</v>
      </c>
      <c r="Y1548" s="12">
        <v>830061</v>
      </c>
      <c r="Z1548" s="12" t="s">
        <v>6639</v>
      </c>
      <c r="AA1548" s="12" t="s">
        <v>6639</v>
      </c>
      <c r="AB1548" s="12" t="s">
        <v>475</v>
      </c>
      <c r="AC1548" s="12" t="s">
        <v>21</v>
      </c>
      <c r="AD1548" s="12">
        <v>7.6999999999999999E-2</v>
      </c>
      <c r="AE1548" s="12">
        <v>0.996</v>
      </c>
      <c r="AF1548" s="12" t="s">
        <v>45</v>
      </c>
    </row>
    <row r="1549" spans="1:32" x14ac:dyDescent="0.2">
      <c r="A1549" s="12" t="s">
        <v>479</v>
      </c>
      <c r="B1549" s="12" t="s">
        <v>480</v>
      </c>
      <c r="C1549" s="12" t="s">
        <v>482</v>
      </c>
      <c r="D1549" s="12" t="s">
        <v>143</v>
      </c>
      <c r="E1549" s="12" t="s">
        <v>7678</v>
      </c>
      <c r="F1549" s="12" t="s">
        <v>5460</v>
      </c>
      <c r="G1549" s="12" t="s">
        <v>141</v>
      </c>
      <c r="H1549" s="12" t="s">
        <v>6614</v>
      </c>
      <c r="I1549" s="12">
        <v>3257</v>
      </c>
      <c r="J1549" s="12" t="s">
        <v>483</v>
      </c>
      <c r="K1549" s="12" t="s">
        <v>6654</v>
      </c>
      <c r="L1549" s="12" t="s">
        <v>481</v>
      </c>
      <c r="M1549" s="12" t="s">
        <v>481</v>
      </c>
      <c r="N1549" s="12" t="s">
        <v>5785</v>
      </c>
      <c r="O1549" s="12" t="s">
        <v>484</v>
      </c>
      <c r="P1549" s="12" t="s">
        <v>406</v>
      </c>
      <c r="Q1549" s="12" t="s">
        <v>6682</v>
      </c>
      <c r="R1549" s="12">
        <v>40.14</v>
      </c>
      <c r="S1549" s="12">
        <v>45.26</v>
      </c>
      <c r="T1549" s="12" t="s">
        <v>11</v>
      </c>
      <c r="U1549" s="12" t="s">
        <v>17</v>
      </c>
      <c r="V1549" s="12" t="s">
        <v>3950</v>
      </c>
      <c r="W1549" s="12" t="s">
        <v>7160</v>
      </c>
      <c r="X1549" s="12">
        <v>0.64200000000000002</v>
      </c>
      <c r="Y1549" s="12">
        <v>383841</v>
      </c>
      <c r="Z1549" s="12" t="s">
        <v>17</v>
      </c>
      <c r="AA1549" s="12" t="s">
        <v>17</v>
      </c>
      <c r="AB1549" s="12" t="s">
        <v>17</v>
      </c>
      <c r="AC1549" s="12" t="s">
        <v>144</v>
      </c>
      <c r="AD1549" s="12" t="s">
        <v>17</v>
      </c>
      <c r="AE1549" s="12" t="s">
        <v>17</v>
      </c>
      <c r="AF1549" s="12" t="s">
        <v>45</v>
      </c>
    </row>
    <row r="1550" spans="1:32" x14ac:dyDescent="0.2">
      <c r="A1550" s="12" t="s">
        <v>237</v>
      </c>
      <c r="B1550" s="12" t="s">
        <v>238</v>
      </c>
      <c r="C1550" s="12" t="s">
        <v>240</v>
      </c>
      <c r="D1550" s="12" t="s">
        <v>17</v>
      </c>
      <c r="E1550" s="12" t="s">
        <v>7678</v>
      </c>
      <c r="F1550" s="12" t="s">
        <v>5458</v>
      </c>
      <c r="G1550" s="12" t="s">
        <v>222</v>
      </c>
      <c r="H1550" s="12" t="s">
        <v>6614</v>
      </c>
      <c r="I1550" s="12">
        <v>2900</v>
      </c>
      <c r="J1550" s="12" t="s">
        <v>241</v>
      </c>
      <c r="K1550" s="12" t="s">
        <v>6655</v>
      </c>
      <c r="L1550" s="12" t="s">
        <v>239</v>
      </c>
      <c r="M1550" s="12" t="s">
        <v>239</v>
      </c>
      <c r="N1550" s="12" t="s">
        <v>5785</v>
      </c>
      <c r="O1550" s="12" t="s">
        <v>242</v>
      </c>
      <c r="P1550" s="12" t="s">
        <v>198</v>
      </c>
      <c r="Q1550" s="12" t="s">
        <v>6682</v>
      </c>
      <c r="R1550" s="12">
        <v>39.345804999999999</v>
      </c>
      <c r="S1550" s="12">
        <v>33.788130000000002</v>
      </c>
      <c r="T1550" s="12" t="s">
        <v>25</v>
      </c>
      <c r="U1550" s="12" t="s">
        <v>243</v>
      </c>
      <c r="V1550" s="12" t="s">
        <v>6639</v>
      </c>
      <c r="W1550" s="12" t="s">
        <v>6639</v>
      </c>
      <c r="X1550" s="12">
        <v>0.1</v>
      </c>
      <c r="Y1550" s="12">
        <v>94188</v>
      </c>
      <c r="Z1550" s="12" t="s">
        <v>6639</v>
      </c>
      <c r="AA1550" s="12" t="s">
        <v>6639</v>
      </c>
      <c r="AB1550" s="12" t="s">
        <v>17</v>
      </c>
      <c r="AC1550" s="12" t="s">
        <v>144</v>
      </c>
      <c r="AD1550" s="12" t="s">
        <v>17</v>
      </c>
      <c r="AE1550" s="12" t="s">
        <v>17</v>
      </c>
      <c r="AF1550" s="12" t="s">
        <v>45</v>
      </c>
    </row>
    <row r="1551" spans="1:32" x14ac:dyDescent="0.2">
      <c r="A1551" s="12" t="s">
        <v>244</v>
      </c>
      <c r="B1551" s="12" t="s">
        <v>245</v>
      </c>
      <c r="C1551" s="12" t="s">
        <v>246</v>
      </c>
      <c r="D1551" s="12" t="s">
        <v>17</v>
      </c>
      <c r="E1551" s="12" t="s">
        <v>7678</v>
      </c>
      <c r="F1551" s="12" t="s">
        <v>5458</v>
      </c>
      <c r="G1551" s="12" t="s">
        <v>222</v>
      </c>
      <c r="H1551" s="12" t="s">
        <v>6614</v>
      </c>
      <c r="I1551" s="12">
        <v>2900</v>
      </c>
      <c r="J1551" s="12" t="s">
        <v>241</v>
      </c>
      <c r="K1551" s="12" t="s">
        <v>6655</v>
      </c>
      <c r="L1551" s="12" t="s">
        <v>239</v>
      </c>
      <c r="M1551" s="12" t="s">
        <v>239</v>
      </c>
      <c r="N1551" s="12" t="s">
        <v>5785</v>
      </c>
      <c r="O1551" s="12" t="s">
        <v>242</v>
      </c>
      <c r="P1551" s="12" t="s">
        <v>198</v>
      </c>
      <c r="Q1551" s="12" t="s">
        <v>6682</v>
      </c>
      <c r="R1551" s="12">
        <v>39.345804999999999</v>
      </c>
      <c r="S1551" s="12">
        <v>33.788130000000002</v>
      </c>
      <c r="T1551" s="12" t="s">
        <v>25</v>
      </c>
      <c r="U1551" s="12" t="s">
        <v>17</v>
      </c>
      <c r="V1551" s="12" t="s">
        <v>6639</v>
      </c>
      <c r="W1551" s="12" t="s">
        <v>6639</v>
      </c>
      <c r="X1551" s="12">
        <v>0.8</v>
      </c>
      <c r="Y1551" s="12">
        <v>506826</v>
      </c>
      <c r="Z1551" s="12" t="s">
        <v>6639</v>
      </c>
      <c r="AA1551" s="12" t="s">
        <v>6639</v>
      </c>
      <c r="AB1551" s="12" t="s">
        <v>17</v>
      </c>
      <c r="AC1551" s="12" t="s">
        <v>144</v>
      </c>
      <c r="AD1551" s="12" t="s">
        <v>17</v>
      </c>
      <c r="AE1551" s="12" t="s">
        <v>17</v>
      </c>
      <c r="AF1551" s="12" t="s">
        <v>45</v>
      </c>
    </row>
    <row r="1552" spans="1:32" x14ac:dyDescent="0.2">
      <c r="A1552" s="12" t="s">
        <v>468</v>
      </c>
      <c r="B1552" s="12" t="s">
        <v>469</v>
      </c>
      <c r="C1552" s="12" t="s">
        <v>470</v>
      </c>
      <c r="D1552" s="12" t="s">
        <v>143</v>
      </c>
      <c r="E1552" s="12" t="s">
        <v>7678</v>
      </c>
      <c r="F1552" s="12" t="s">
        <v>5460</v>
      </c>
      <c r="G1552" s="12" t="s">
        <v>141</v>
      </c>
      <c r="H1552" s="12" t="s">
        <v>6614</v>
      </c>
      <c r="I1552" s="12">
        <v>3059</v>
      </c>
      <c r="J1552" s="12" t="s">
        <v>471</v>
      </c>
      <c r="K1552" s="12" t="s">
        <v>6656</v>
      </c>
      <c r="L1552" s="12" t="s">
        <v>450</v>
      </c>
      <c r="M1552" s="12" t="s">
        <v>450</v>
      </c>
      <c r="N1552" s="12" t="s">
        <v>5785</v>
      </c>
      <c r="O1552" s="12" t="s">
        <v>458</v>
      </c>
      <c r="P1552" s="12" t="s">
        <v>406</v>
      </c>
      <c r="Q1552" s="12" t="s">
        <v>6682</v>
      </c>
      <c r="R1552" s="12">
        <v>40.15</v>
      </c>
      <c r="S1552" s="12">
        <v>45.86</v>
      </c>
      <c r="T1552" s="12" t="s">
        <v>11</v>
      </c>
      <c r="U1552" s="12" t="s">
        <v>17</v>
      </c>
      <c r="V1552" s="12" t="s">
        <v>262</v>
      </c>
      <c r="W1552" s="12" t="s">
        <v>7160</v>
      </c>
      <c r="X1552" s="12">
        <v>0.106</v>
      </c>
      <c r="Y1552" s="12">
        <v>117119</v>
      </c>
      <c r="Z1552" s="12" t="s">
        <v>17</v>
      </c>
      <c r="AA1552" s="12" t="s">
        <v>17</v>
      </c>
      <c r="AB1552" s="12" t="s">
        <v>17</v>
      </c>
      <c r="AC1552" s="12" t="s">
        <v>144</v>
      </c>
      <c r="AD1552" s="12" t="s">
        <v>17</v>
      </c>
      <c r="AE1552" s="12" t="s">
        <v>17</v>
      </c>
      <c r="AF1552" s="12" t="s">
        <v>45</v>
      </c>
    </row>
    <row r="1553" spans="1:32" x14ac:dyDescent="0.2">
      <c r="A1553" s="12" t="s">
        <v>463</v>
      </c>
      <c r="B1553" s="12" t="s">
        <v>464</v>
      </c>
      <c r="C1553" s="12" t="s">
        <v>465</v>
      </c>
      <c r="D1553" s="12" t="s">
        <v>143</v>
      </c>
      <c r="E1553" s="12" t="s">
        <v>7678</v>
      </c>
      <c r="F1553" s="12" t="s">
        <v>5460</v>
      </c>
      <c r="G1553" s="12" t="s">
        <v>141</v>
      </c>
      <c r="H1553" s="12" t="s">
        <v>6614</v>
      </c>
      <c r="I1553" s="12">
        <v>3019</v>
      </c>
      <c r="J1553" s="12" t="s">
        <v>466</v>
      </c>
      <c r="K1553" s="12" t="s">
        <v>6656</v>
      </c>
      <c r="L1553" s="12" t="s">
        <v>450</v>
      </c>
      <c r="M1553" s="12" t="s">
        <v>450</v>
      </c>
      <c r="N1553" s="12" t="s">
        <v>5785</v>
      </c>
      <c r="O1553" s="12" t="s">
        <v>467</v>
      </c>
      <c r="P1553" s="12" t="s">
        <v>406</v>
      </c>
      <c r="Q1553" s="12" t="s">
        <v>6682</v>
      </c>
      <c r="R1553" s="12">
        <v>40.380000000000003</v>
      </c>
      <c r="S1553" s="12">
        <v>45.18</v>
      </c>
      <c r="T1553" s="12" t="s">
        <v>25</v>
      </c>
      <c r="U1553" s="12" t="s">
        <v>17</v>
      </c>
      <c r="V1553" s="12" t="s">
        <v>6639</v>
      </c>
      <c r="W1553" s="12" t="s">
        <v>6639</v>
      </c>
      <c r="X1553" s="12">
        <v>0.105</v>
      </c>
      <c r="Y1553" s="12">
        <v>116662</v>
      </c>
      <c r="Z1553" s="12" t="s">
        <v>6639</v>
      </c>
      <c r="AA1553" s="12" t="s">
        <v>6639</v>
      </c>
      <c r="AB1553" s="12" t="s">
        <v>17</v>
      </c>
      <c r="AC1553" s="12" t="s">
        <v>144</v>
      </c>
      <c r="AD1553" s="12" t="s">
        <v>17</v>
      </c>
      <c r="AE1553" s="12" t="s">
        <v>17</v>
      </c>
      <c r="AF1553" s="12" t="s">
        <v>45</v>
      </c>
    </row>
    <row r="1554" spans="1:32" x14ac:dyDescent="0.2">
      <c r="A1554" s="12" t="s">
        <v>459</v>
      </c>
      <c r="B1554" s="12" t="s">
        <v>460</v>
      </c>
      <c r="C1554" s="12" t="s">
        <v>461</v>
      </c>
      <c r="D1554" s="12" t="s">
        <v>143</v>
      </c>
      <c r="E1554" s="12" t="s">
        <v>7678</v>
      </c>
      <c r="F1554" s="12" t="s">
        <v>5460</v>
      </c>
      <c r="G1554" s="12" t="s">
        <v>141</v>
      </c>
      <c r="H1554" s="12" t="s">
        <v>6614</v>
      </c>
      <c r="I1554" s="12">
        <v>3015</v>
      </c>
      <c r="J1554" s="12" t="s">
        <v>462</v>
      </c>
      <c r="K1554" s="12" t="s">
        <v>6656</v>
      </c>
      <c r="L1554" s="12" t="s">
        <v>450</v>
      </c>
      <c r="M1554" s="12" t="s">
        <v>450</v>
      </c>
      <c r="N1554" s="12" t="s">
        <v>5785</v>
      </c>
      <c r="O1554" s="12" t="s">
        <v>453</v>
      </c>
      <c r="P1554" s="12" t="s">
        <v>406</v>
      </c>
      <c r="Q1554" s="12" t="s">
        <v>6682</v>
      </c>
      <c r="R1554" s="12">
        <v>39.200000000000003</v>
      </c>
      <c r="S1554" s="12">
        <v>46.4</v>
      </c>
      <c r="T1554" s="12" t="s">
        <v>25</v>
      </c>
      <c r="U1554" s="12" t="s">
        <v>17</v>
      </c>
      <c r="V1554" s="12" t="s">
        <v>6639</v>
      </c>
      <c r="W1554" s="12" t="s">
        <v>6639</v>
      </c>
      <c r="X1554" s="12">
        <v>5.6000000000000001E-2</v>
      </c>
      <c r="Y1554" s="12">
        <v>64240</v>
      </c>
      <c r="Z1554" s="12" t="s">
        <v>6639</v>
      </c>
      <c r="AA1554" s="12" t="s">
        <v>6639</v>
      </c>
      <c r="AB1554" s="12" t="s">
        <v>17</v>
      </c>
      <c r="AC1554" s="12" t="s">
        <v>144</v>
      </c>
      <c r="AD1554" s="12" t="s">
        <v>17</v>
      </c>
      <c r="AE1554" s="12" t="s">
        <v>17</v>
      </c>
      <c r="AF1554" s="12" t="s">
        <v>45</v>
      </c>
    </row>
    <row r="1555" spans="1:32" x14ac:dyDescent="0.2">
      <c r="A1555" s="12" t="s">
        <v>454</v>
      </c>
      <c r="B1555" s="12" t="s">
        <v>455</v>
      </c>
      <c r="C1555" s="12" t="s">
        <v>456</v>
      </c>
      <c r="D1555" s="12" t="s">
        <v>143</v>
      </c>
      <c r="E1555" s="12" t="s">
        <v>7678</v>
      </c>
      <c r="F1555" s="12" t="s">
        <v>5460</v>
      </c>
      <c r="G1555" s="12" t="s">
        <v>141</v>
      </c>
      <c r="H1555" s="12" t="s">
        <v>6614</v>
      </c>
      <c r="I1555" s="12">
        <v>2955</v>
      </c>
      <c r="J1555" s="12" t="s">
        <v>457</v>
      </c>
      <c r="K1555" s="12" t="s">
        <v>6656</v>
      </c>
      <c r="L1555" s="12" t="s">
        <v>450</v>
      </c>
      <c r="M1555" s="12" t="s">
        <v>450</v>
      </c>
      <c r="N1555" s="12" t="s">
        <v>5785</v>
      </c>
      <c r="O1555" s="12" t="s">
        <v>458</v>
      </c>
      <c r="P1555" s="12" t="s">
        <v>406</v>
      </c>
      <c r="Q1555" s="12" t="s">
        <v>6682</v>
      </c>
      <c r="R1555" s="12">
        <v>40.15</v>
      </c>
      <c r="S1555" s="12">
        <v>45.86</v>
      </c>
      <c r="T1555" s="12" t="s">
        <v>25</v>
      </c>
      <c r="U1555" s="12" t="s">
        <v>17</v>
      </c>
      <c r="V1555" s="12" t="s">
        <v>6639</v>
      </c>
      <c r="W1555" s="12" t="s">
        <v>6639</v>
      </c>
      <c r="X1555" s="12">
        <v>0.249</v>
      </c>
      <c r="Y1555" s="12">
        <v>182052</v>
      </c>
      <c r="Z1555" s="12" t="s">
        <v>6639</v>
      </c>
      <c r="AA1555" s="12" t="s">
        <v>6639</v>
      </c>
      <c r="AB1555" s="12" t="s">
        <v>17</v>
      </c>
      <c r="AC1555" s="12" t="s">
        <v>144</v>
      </c>
      <c r="AD1555" s="12" t="s">
        <v>17</v>
      </c>
      <c r="AE1555" s="12" t="s">
        <v>17</v>
      </c>
      <c r="AF1555" s="12" t="s">
        <v>45</v>
      </c>
    </row>
    <row r="1556" spans="1:32" x14ac:dyDescent="0.2">
      <c r="A1556" s="12" t="s">
        <v>448</v>
      </c>
      <c r="B1556" s="12" t="s">
        <v>449</v>
      </c>
      <c r="C1556" s="12" t="s">
        <v>451</v>
      </c>
      <c r="D1556" s="12" t="s">
        <v>143</v>
      </c>
      <c r="E1556" s="12" t="s">
        <v>7678</v>
      </c>
      <c r="F1556" s="12" t="s">
        <v>5460</v>
      </c>
      <c r="G1556" s="12" t="s">
        <v>141</v>
      </c>
      <c r="H1556" s="12" t="s">
        <v>6614</v>
      </c>
      <c r="I1556" s="12">
        <v>2902</v>
      </c>
      <c r="J1556" s="12" t="s">
        <v>452</v>
      </c>
      <c r="K1556" s="12" t="s">
        <v>6656</v>
      </c>
      <c r="L1556" s="12" t="s">
        <v>450</v>
      </c>
      <c r="M1556" s="12" t="s">
        <v>450</v>
      </c>
      <c r="N1556" s="12" t="s">
        <v>5785</v>
      </c>
      <c r="O1556" s="12" t="s">
        <v>453</v>
      </c>
      <c r="P1556" s="12" t="s">
        <v>406</v>
      </c>
      <c r="Q1556" s="12" t="s">
        <v>6682</v>
      </c>
      <c r="R1556" s="12">
        <v>39.200000000000003</v>
      </c>
      <c r="S1556" s="12">
        <v>46.4</v>
      </c>
      <c r="T1556" s="12" t="s">
        <v>11</v>
      </c>
      <c r="U1556" s="12" t="s">
        <v>17</v>
      </c>
      <c r="V1556" s="12" t="s">
        <v>2787</v>
      </c>
      <c r="W1556" s="12" t="s">
        <v>7160</v>
      </c>
      <c r="X1556" s="12">
        <v>0.24099999999999999</v>
      </c>
      <c r="Y1556" s="12">
        <v>243091</v>
      </c>
      <c r="Z1556" s="12" t="s">
        <v>17</v>
      </c>
      <c r="AA1556" s="12" t="s">
        <v>17</v>
      </c>
      <c r="AB1556" s="12" t="s">
        <v>17</v>
      </c>
      <c r="AC1556" s="12" t="s">
        <v>144</v>
      </c>
      <c r="AD1556" s="12" t="s">
        <v>17</v>
      </c>
      <c r="AE1556" s="12" t="s">
        <v>17</v>
      </c>
      <c r="AF1556" s="12" t="s">
        <v>45</v>
      </c>
    </row>
    <row r="1557" spans="1:32" x14ac:dyDescent="0.2">
      <c r="A1557" s="12" t="s">
        <v>3664</v>
      </c>
      <c r="B1557" s="12" t="s">
        <v>3665</v>
      </c>
      <c r="C1557" s="12" t="s">
        <v>3666</v>
      </c>
      <c r="D1557" s="12" t="s">
        <v>13</v>
      </c>
      <c r="E1557" s="12" t="s">
        <v>8110</v>
      </c>
      <c r="F1557" s="12" t="s">
        <v>5460</v>
      </c>
      <c r="G1557" s="12" t="s">
        <v>192</v>
      </c>
      <c r="H1557" s="12" t="s">
        <v>6614</v>
      </c>
      <c r="I1557" s="12">
        <v>13265</v>
      </c>
      <c r="J1557" s="12" t="s">
        <v>3668</v>
      </c>
      <c r="K1557" s="12" t="s">
        <v>6657</v>
      </c>
      <c r="L1557" s="12" t="s">
        <v>6683</v>
      </c>
      <c r="M1557" s="12" t="s">
        <v>6683</v>
      </c>
      <c r="N1557" s="12" t="s">
        <v>5785</v>
      </c>
      <c r="O1557" s="12" t="s">
        <v>3669</v>
      </c>
      <c r="P1557" s="12" t="s">
        <v>3670</v>
      </c>
      <c r="Q1557" s="12" t="s">
        <v>6682</v>
      </c>
      <c r="R1557" s="12">
        <v>32.65</v>
      </c>
      <c r="S1557" s="12">
        <v>35.067</v>
      </c>
      <c r="T1557" s="12" t="s">
        <v>25</v>
      </c>
      <c r="U1557" s="12" t="s">
        <v>17</v>
      </c>
      <c r="V1557" s="12" t="s">
        <v>6639</v>
      </c>
      <c r="W1557" s="12" t="s">
        <v>6639</v>
      </c>
      <c r="X1557" s="12">
        <v>2.2889E-2</v>
      </c>
      <c r="Y1557" s="12">
        <v>26439</v>
      </c>
      <c r="Z1557" s="12" t="s">
        <v>6639</v>
      </c>
      <c r="AA1557" s="12" t="s">
        <v>6639</v>
      </c>
      <c r="AB1557" s="12" t="s">
        <v>3667</v>
      </c>
      <c r="AC1557" s="12" t="s">
        <v>340</v>
      </c>
      <c r="AD1557" s="12" t="s">
        <v>7879</v>
      </c>
      <c r="AE1557" s="12" t="s">
        <v>7782</v>
      </c>
      <c r="AF1557" s="12" t="s">
        <v>45</v>
      </c>
    </row>
    <row r="1558" spans="1:32" x14ac:dyDescent="0.2">
      <c r="A1558" s="12" t="s">
        <v>1409</v>
      </c>
      <c r="B1558" s="12" t="s">
        <v>1410</v>
      </c>
      <c r="C1558" s="12" t="s">
        <v>1412</v>
      </c>
      <c r="D1558" s="12" t="s">
        <v>13</v>
      </c>
      <c r="E1558" s="12" t="s">
        <v>7678</v>
      </c>
      <c r="F1558" s="12" t="s">
        <v>5460</v>
      </c>
      <c r="G1558" s="12" t="s">
        <v>1400</v>
      </c>
      <c r="H1558" s="12" t="s">
        <v>6614</v>
      </c>
      <c r="I1558" s="12">
        <v>13255</v>
      </c>
      <c r="J1558" s="12" t="s">
        <v>1413</v>
      </c>
      <c r="K1558" s="12" t="s">
        <v>6657</v>
      </c>
      <c r="L1558" s="12" t="s">
        <v>1403</v>
      </c>
      <c r="M1558" s="12" t="s">
        <v>1411</v>
      </c>
      <c r="N1558" s="12" t="s">
        <v>5785</v>
      </c>
      <c r="O1558" s="12" t="s">
        <v>1412</v>
      </c>
      <c r="P1558" s="12" t="s">
        <v>1407</v>
      </c>
      <c r="Q1558" s="12" t="s">
        <v>6682</v>
      </c>
      <c r="R1558" s="12">
        <v>42.38</v>
      </c>
      <c r="S1558" s="12">
        <v>42.59</v>
      </c>
      <c r="T1558" s="12" t="s">
        <v>11</v>
      </c>
      <c r="U1558" s="12" t="s">
        <v>17</v>
      </c>
      <c r="V1558" s="12" t="s">
        <v>954</v>
      </c>
      <c r="W1558" s="12" t="s">
        <v>7160</v>
      </c>
      <c r="X1558" s="12">
        <v>1.1910000000000001</v>
      </c>
      <c r="Y1558" s="12">
        <v>816136</v>
      </c>
      <c r="Z1558" s="12" t="s">
        <v>17</v>
      </c>
      <c r="AA1558" s="12" t="s">
        <v>17</v>
      </c>
      <c r="AB1558" s="12" t="s">
        <v>17</v>
      </c>
      <c r="AC1558" s="12" t="s">
        <v>144</v>
      </c>
      <c r="AD1558" s="12" t="s">
        <v>17</v>
      </c>
      <c r="AE1558" s="12" t="s">
        <v>17</v>
      </c>
      <c r="AF1558" s="12" t="s">
        <v>45</v>
      </c>
    </row>
    <row r="1559" spans="1:32" x14ac:dyDescent="0.2">
      <c r="A1559" s="12" t="s">
        <v>3677</v>
      </c>
      <c r="B1559" s="12" t="s">
        <v>3677</v>
      </c>
      <c r="C1559" s="12" t="s">
        <v>3678</v>
      </c>
      <c r="D1559" s="12" t="s">
        <v>13</v>
      </c>
      <c r="E1559" s="12" t="s">
        <v>8110</v>
      </c>
      <c r="F1559" s="12" t="s">
        <v>5458</v>
      </c>
      <c r="G1559" s="12" t="s">
        <v>192</v>
      </c>
      <c r="H1559" s="12" t="s">
        <v>6614</v>
      </c>
      <c r="I1559" s="12">
        <v>12750</v>
      </c>
      <c r="J1559" s="12" t="s">
        <v>3674</v>
      </c>
      <c r="K1559" s="12" t="s">
        <v>6657</v>
      </c>
      <c r="L1559" s="12" t="s">
        <v>6683</v>
      </c>
      <c r="M1559" s="12" t="s">
        <v>6683</v>
      </c>
      <c r="N1559" s="12" t="s">
        <v>5785</v>
      </c>
      <c r="O1559" s="12" t="s">
        <v>3669</v>
      </c>
      <c r="P1559" s="12" t="s">
        <v>3670</v>
      </c>
      <c r="Q1559" s="12" t="s">
        <v>6682</v>
      </c>
      <c r="R1559" s="12">
        <v>32.65</v>
      </c>
      <c r="S1559" s="12">
        <v>35.067</v>
      </c>
      <c r="T1559" s="12" t="s">
        <v>11</v>
      </c>
      <c r="U1559" s="12" t="s">
        <v>3680</v>
      </c>
      <c r="V1559" s="12" t="s">
        <v>5752</v>
      </c>
      <c r="W1559" s="12" t="s">
        <v>7160</v>
      </c>
      <c r="X1559" s="12">
        <v>2.3222E-2</v>
      </c>
      <c r="Y1559" s="12">
        <v>27137</v>
      </c>
      <c r="Z1559" s="12" t="s">
        <v>17</v>
      </c>
      <c r="AA1559" s="12" t="s">
        <v>17</v>
      </c>
      <c r="AB1559" s="12" t="s">
        <v>3679</v>
      </c>
      <c r="AC1559" s="12" t="s">
        <v>340</v>
      </c>
      <c r="AD1559" s="12" t="s">
        <v>7865</v>
      </c>
      <c r="AE1559" s="12" t="s">
        <v>7782</v>
      </c>
      <c r="AF1559" s="12" t="s">
        <v>45</v>
      </c>
    </row>
    <row r="1560" spans="1:32" x14ac:dyDescent="0.2">
      <c r="A1560" s="12" t="s">
        <v>3692</v>
      </c>
      <c r="B1560" s="12" t="s">
        <v>3693</v>
      </c>
      <c r="C1560" s="12" t="s">
        <v>3694</v>
      </c>
      <c r="D1560" s="12" t="s">
        <v>13</v>
      </c>
      <c r="E1560" s="12" t="s">
        <v>8110</v>
      </c>
      <c r="F1560" s="12" t="s">
        <v>5458</v>
      </c>
      <c r="G1560" s="12" t="s">
        <v>192</v>
      </c>
      <c r="H1560" s="12" t="s">
        <v>6614</v>
      </c>
      <c r="I1560" s="12">
        <v>12750</v>
      </c>
      <c r="J1560" s="12" t="s">
        <v>3674</v>
      </c>
      <c r="K1560" s="12" t="s">
        <v>6657</v>
      </c>
      <c r="L1560" s="12" t="s">
        <v>6683</v>
      </c>
      <c r="M1560" s="12" t="s">
        <v>6683</v>
      </c>
      <c r="N1560" s="12" t="s">
        <v>5785</v>
      </c>
      <c r="O1560" s="12" t="s">
        <v>3669</v>
      </c>
      <c r="P1560" s="12" t="s">
        <v>3670</v>
      </c>
      <c r="Q1560" s="12" t="s">
        <v>6682</v>
      </c>
      <c r="R1560" s="12">
        <v>32.65</v>
      </c>
      <c r="S1560" s="12">
        <v>35.067</v>
      </c>
      <c r="T1560" s="12" t="s">
        <v>11</v>
      </c>
      <c r="U1560" s="12" t="s">
        <v>179</v>
      </c>
      <c r="V1560" s="12" t="s">
        <v>854</v>
      </c>
      <c r="W1560" s="12" t="s">
        <v>7160</v>
      </c>
      <c r="X1560" s="12">
        <v>2.5569999999999999E-2</v>
      </c>
      <c r="Y1560" s="12">
        <v>29883</v>
      </c>
      <c r="Z1560" s="12" t="s">
        <v>17</v>
      </c>
      <c r="AA1560" s="12" t="s">
        <v>17</v>
      </c>
      <c r="AB1560" s="12" t="s">
        <v>3695</v>
      </c>
      <c r="AC1560" s="12" t="s">
        <v>340</v>
      </c>
      <c r="AD1560" s="12" t="s">
        <v>7877</v>
      </c>
      <c r="AE1560" s="12" t="s">
        <v>7782</v>
      </c>
      <c r="AF1560" s="12" t="s">
        <v>45</v>
      </c>
    </row>
    <row r="1561" spans="1:32" x14ac:dyDescent="0.2">
      <c r="A1561" s="12" t="s">
        <v>3687</v>
      </c>
      <c r="B1561" s="12" t="s">
        <v>3688</v>
      </c>
      <c r="C1561" s="12" t="s">
        <v>3689</v>
      </c>
      <c r="D1561" s="12" t="s">
        <v>13</v>
      </c>
      <c r="E1561" s="12" t="s">
        <v>8110</v>
      </c>
      <c r="F1561" s="12" t="s">
        <v>5458</v>
      </c>
      <c r="G1561" s="12" t="s">
        <v>192</v>
      </c>
      <c r="H1561" s="12" t="s">
        <v>6614</v>
      </c>
      <c r="I1561" s="12">
        <v>12750</v>
      </c>
      <c r="J1561" s="12" t="s">
        <v>3674</v>
      </c>
      <c r="K1561" s="12" t="s">
        <v>6657</v>
      </c>
      <c r="L1561" s="12" t="s">
        <v>6683</v>
      </c>
      <c r="M1561" s="12" t="s">
        <v>6683</v>
      </c>
      <c r="N1561" s="12" t="s">
        <v>5785</v>
      </c>
      <c r="O1561" s="12" t="s">
        <v>3669</v>
      </c>
      <c r="P1561" s="12" t="s">
        <v>3670</v>
      </c>
      <c r="Q1561" s="12" t="s">
        <v>6682</v>
      </c>
      <c r="R1561" s="12">
        <v>32.65</v>
      </c>
      <c r="S1561" s="12">
        <v>35.067</v>
      </c>
      <c r="T1561" s="12" t="s">
        <v>11</v>
      </c>
      <c r="U1561" s="12" t="s">
        <v>3675</v>
      </c>
      <c r="V1561" s="12" t="s">
        <v>854</v>
      </c>
      <c r="W1561" s="12" t="s">
        <v>7160</v>
      </c>
      <c r="X1561" s="12">
        <v>3.5305999999999997E-2</v>
      </c>
      <c r="Y1561" s="12">
        <v>40968</v>
      </c>
      <c r="Z1561" s="12" t="s">
        <v>17</v>
      </c>
      <c r="AA1561" s="12" t="s">
        <v>17</v>
      </c>
      <c r="AB1561" s="12" t="s">
        <v>3690</v>
      </c>
      <c r="AC1561" s="12" t="s">
        <v>340</v>
      </c>
      <c r="AD1561" s="12" t="s">
        <v>7871</v>
      </c>
      <c r="AE1561" s="12" t="s">
        <v>7692</v>
      </c>
      <c r="AF1561" s="12" t="s">
        <v>3691</v>
      </c>
    </row>
    <row r="1562" spans="1:32" x14ac:dyDescent="0.2">
      <c r="A1562" s="12" t="s">
        <v>3671</v>
      </c>
      <c r="B1562" s="12" t="s">
        <v>3671</v>
      </c>
      <c r="C1562" s="12" t="s">
        <v>3672</v>
      </c>
      <c r="D1562" s="12" t="s">
        <v>13</v>
      </c>
      <c r="E1562" s="12" t="s">
        <v>8110</v>
      </c>
      <c r="F1562" s="12" t="s">
        <v>5458</v>
      </c>
      <c r="G1562" s="12" t="s">
        <v>192</v>
      </c>
      <c r="H1562" s="12" t="s">
        <v>6614</v>
      </c>
      <c r="I1562" s="12">
        <v>12750</v>
      </c>
      <c r="J1562" s="12" t="s">
        <v>3674</v>
      </c>
      <c r="K1562" s="12" t="s">
        <v>6657</v>
      </c>
      <c r="L1562" s="12" t="s">
        <v>6683</v>
      </c>
      <c r="M1562" s="12" t="s">
        <v>6683</v>
      </c>
      <c r="N1562" s="12" t="s">
        <v>5785</v>
      </c>
      <c r="O1562" s="12" t="s">
        <v>3669</v>
      </c>
      <c r="P1562" s="12" t="s">
        <v>3670</v>
      </c>
      <c r="Q1562" s="12" t="s">
        <v>6682</v>
      </c>
      <c r="R1562" s="12">
        <v>32.65</v>
      </c>
      <c r="S1562" s="12">
        <v>35.067</v>
      </c>
      <c r="T1562" s="12" t="s">
        <v>11</v>
      </c>
      <c r="U1562" s="12" t="s">
        <v>3675</v>
      </c>
      <c r="V1562" s="12" t="s">
        <v>485</v>
      </c>
      <c r="W1562" s="12" t="s">
        <v>7160</v>
      </c>
      <c r="X1562" s="12">
        <v>0.107</v>
      </c>
      <c r="Y1562" s="12">
        <v>115964</v>
      </c>
      <c r="Z1562" s="12" t="s">
        <v>17</v>
      </c>
      <c r="AA1562" s="12" t="s">
        <v>17</v>
      </c>
      <c r="AB1562" s="12" t="s">
        <v>3673</v>
      </c>
      <c r="AC1562" s="12" t="s">
        <v>3676</v>
      </c>
      <c r="AD1562" s="12" t="s">
        <v>7951</v>
      </c>
      <c r="AE1562" s="12" t="s">
        <v>8055</v>
      </c>
      <c r="AF1562" s="12" t="s">
        <v>8080</v>
      </c>
    </row>
    <row r="1563" spans="1:32" x14ac:dyDescent="0.2">
      <c r="A1563" s="12" t="s">
        <v>3681</v>
      </c>
      <c r="B1563" s="12" t="s">
        <v>3681</v>
      </c>
      <c r="C1563" s="12" t="s">
        <v>3682</v>
      </c>
      <c r="D1563" s="12" t="s">
        <v>13</v>
      </c>
      <c r="E1563" s="12" t="s">
        <v>8110</v>
      </c>
      <c r="F1563" s="12" t="s">
        <v>5458</v>
      </c>
      <c r="G1563" s="12" t="s">
        <v>192</v>
      </c>
      <c r="H1563" s="12" t="s">
        <v>6614</v>
      </c>
      <c r="I1563" s="12">
        <v>12750</v>
      </c>
      <c r="J1563" s="12" t="s">
        <v>3674</v>
      </c>
      <c r="K1563" s="12" t="s">
        <v>6657</v>
      </c>
      <c r="L1563" s="12" t="s">
        <v>6683</v>
      </c>
      <c r="M1563" s="12" t="s">
        <v>6683</v>
      </c>
      <c r="N1563" s="12" t="s">
        <v>5785</v>
      </c>
      <c r="O1563" s="12" t="s">
        <v>3669</v>
      </c>
      <c r="P1563" s="12" t="s">
        <v>3670</v>
      </c>
      <c r="Q1563" s="12" t="s">
        <v>6682</v>
      </c>
      <c r="R1563" s="12">
        <v>32.65</v>
      </c>
      <c r="S1563" s="12">
        <v>35.067</v>
      </c>
      <c r="T1563" s="12" t="s">
        <v>11</v>
      </c>
      <c r="U1563" s="12" t="s">
        <v>3684</v>
      </c>
      <c r="V1563" s="12" t="s">
        <v>485</v>
      </c>
      <c r="W1563" s="12" t="s">
        <v>7160</v>
      </c>
      <c r="X1563" s="12">
        <v>0.55300000000000005</v>
      </c>
      <c r="Y1563" s="12">
        <v>447140</v>
      </c>
      <c r="Z1563" s="12" t="s">
        <v>17</v>
      </c>
      <c r="AA1563" s="12" t="s">
        <v>17</v>
      </c>
      <c r="AB1563" s="12" t="s">
        <v>3683</v>
      </c>
      <c r="AC1563" s="12" t="s">
        <v>3685</v>
      </c>
      <c r="AD1563" s="12" t="s">
        <v>7950</v>
      </c>
      <c r="AE1563" s="12" t="s">
        <v>7750</v>
      </c>
      <c r="AF1563" s="12" t="s">
        <v>3686</v>
      </c>
    </row>
    <row r="1564" spans="1:32" x14ac:dyDescent="0.2">
      <c r="A1564" s="12" t="s">
        <v>3618</v>
      </c>
      <c r="B1564" s="12" t="s">
        <v>3618</v>
      </c>
      <c r="C1564" s="12" t="s">
        <v>3619</v>
      </c>
      <c r="D1564" s="12" t="s">
        <v>13</v>
      </c>
      <c r="E1564" s="12" t="s">
        <v>8110</v>
      </c>
      <c r="F1564" s="12" t="s">
        <v>5458</v>
      </c>
      <c r="G1564" s="12" t="s">
        <v>192</v>
      </c>
      <c r="H1564" s="12" t="s">
        <v>6614</v>
      </c>
      <c r="I1564" s="12">
        <v>10050</v>
      </c>
      <c r="J1564" s="12" t="s">
        <v>3612</v>
      </c>
      <c r="K1564" s="12" t="s">
        <v>6657</v>
      </c>
      <c r="L1564" s="12" t="s">
        <v>3569</v>
      </c>
      <c r="M1564" s="12" t="s">
        <v>3568</v>
      </c>
      <c r="N1564" s="12" t="s">
        <v>5785</v>
      </c>
      <c r="O1564" s="12" t="s">
        <v>3573</v>
      </c>
      <c r="P1564" s="12" t="s">
        <v>3574</v>
      </c>
      <c r="Q1564" s="12" t="s">
        <v>6682</v>
      </c>
      <c r="R1564" s="16">
        <v>31.988</v>
      </c>
      <c r="S1564" s="16">
        <v>35.975999999999999</v>
      </c>
      <c r="T1564" s="12" t="s">
        <v>11</v>
      </c>
      <c r="U1564" s="12" t="s">
        <v>3575</v>
      </c>
      <c r="V1564" s="12" t="s">
        <v>5753</v>
      </c>
      <c r="W1564" s="12" t="s">
        <v>7160</v>
      </c>
      <c r="X1564" s="12">
        <v>4.1000000000000002E-2</v>
      </c>
      <c r="Y1564" s="12">
        <v>46937</v>
      </c>
      <c r="Z1564" s="12" t="s">
        <v>17</v>
      </c>
      <c r="AA1564" s="12" t="s">
        <v>17</v>
      </c>
      <c r="AB1564" s="12" t="s">
        <v>3620</v>
      </c>
      <c r="AC1564" s="12" t="s">
        <v>21</v>
      </c>
      <c r="AD1564" s="12" t="s">
        <v>17</v>
      </c>
      <c r="AE1564" s="12">
        <v>0.85499999999999998</v>
      </c>
      <c r="AF1564" s="12" t="s">
        <v>3621</v>
      </c>
    </row>
    <row r="1565" spans="1:32" x14ac:dyDescent="0.2">
      <c r="A1565" s="12" t="s">
        <v>3614</v>
      </c>
      <c r="B1565" s="12" t="s">
        <v>3615</v>
      </c>
      <c r="C1565" s="12" t="s">
        <v>3616</v>
      </c>
      <c r="D1565" s="12" t="s">
        <v>13</v>
      </c>
      <c r="E1565" s="12" t="s">
        <v>8110</v>
      </c>
      <c r="F1565" s="12" t="s">
        <v>5458</v>
      </c>
      <c r="G1565" s="12" t="s">
        <v>192</v>
      </c>
      <c r="H1565" s="12" t="s">
        <v>6614</v>
      </c>
      <c r="I1565" s="12">
        <v>10050</v>
      </c>
      <c r="J1565" s="12" t="s">
        <v>3612</v>
      </c>
      <c r="K1565" s="12" t="s">
        <v>6657</v>
      </c>
      <c r="L1565" s="12" t="s">
        <v>3569</v>
      </c>
      <c r="M1565" s="12" t="s">
        <v>3568</v>
      </c>
      <c r="N1565" s="12" t="s">
        <v>5785</v>
      </c>
      <c r="O1565" s="12" t="s">
        <v>3573</v>
      </c>
      <c r="P1565" s="12" t="s">
        <v>3574</v>
      </c>
      <c r="Q1565" s="12" t="s">
        <v>6682</v>
      </c>
      <c r="R1565" s="12">
        <v>31.988</v>
      </c>
      <c r="S1565" s="12">
        <v>35.975999999999999</v>
      </c>
      <c r="T1565" s="12" t="s">
        <v>11</v>
      </c>
      <c r="U1565" s="12" t="s">
        <v>2900</v>
      </c>
      <c r="V1565" s="12" t="s">
        <v>854</v>
      </c>
      <c r="W1565" s="12" t="s">
        <v>7160</v>
      </c>
      <c r="X1565" s="12">
        <v>4.4993999999999999E-2</v>
      </c>
      <c r="Y1565" s="12">
        <v>51399</v>
      </c>
      <c r="Z1565" s="12" t="s">
        <v>17</v>
      </c>
      <c r="AA1565" s="12" t="s">
        <v>17</v>
      </c>
      <c r="AB1565" s="12" t="s">
        <v>3617</v>
      </c>
      <c r="AC1565" s="12" t="s">
        <v>340</v>
      </c>
      <c r="AD1565" s="12" t="s">
        <v>7873</v>
      </c>
      <c r="AE1565" s="12" t="s">
        <v>8060</v>
      </c>
      <c r="AF1565" s="12" t="s">
        <v>8084</v>
      </c>
    </row>
    <row r="1566" spans="1:32" x14ac:dyDescent="0.2">
      <c r="A1566" s="12" t="s">
        <v>3608</v>
      </c>
      <c r="B1566" s="12" t="s">
        <v>3609</v>
      </c>
      <c r="C1566" s="12" t="s">
        <v>3610</v>
      </c>
      <c r="D1566" s="12" t="s">
        <v>13</v>
      </c>
      <c r="E1566" s="12" t="s">
        <v>8110</v>
      </c>
      <c r="F1566" s="12" t="s">
        <v>5458</v>
      </c>
      <c r="G1566" s="12" t="s">
        <v>192</v>
      </c>
      <c r="H1566" s="12" t="s">
        <v>6614</v>
      </c>
      <c r="I1566" s="12">
        <v>10050</v>
      </c>
      <c r="J1566" s="12" t="s">
        <v>3612</v>
      </c>
      <c r="K1566" s="12" t="s">
        <v>6657</v>
      </c>
      <c r="L1566" s="12" t="s">
        <v>3569</v>
      </c>
      <c r="M1566" s="12" t="s">
        <v>3568</v>
      </c>
      <c r="N1566" s="12" t="s">
        <v>5785</v>
      </c>
      <c r="O1566" s="12" t="s">
        <v>3573</v>
      </c>
      <c r="P1566" s="12" t="s">
        <v>3574</v>
      </c>
      <c r="Q1566" s="12" t="s">
        <v>6682</v>
      </c>
      <c r="R1566" s="12">
        <v>31.988</v>
      </c>
      <c r="S1566" s="12">
        <v>35.975999999999999</v>
      </c>
      <c r="T1566" s="12" t="s">
        <v>11</v>
      </c>
      <c r="U1566" s="12" t="s">
        <v>3585</v>
      </c>
      <c r="V1566" s="12" t="s">
        <v>485</v>
      </c>
      <c r="W1566" s="12" t="s">
        <v>7160</v>
      </c>
      <c r="X1566" s="12">
        <v>6.5226000000000006E-2</v>
      </c>
      <c r="Y1566" s="12">
        <v>73968</v>
      </c>
      <c r="Z1566" s="12" t="s">
        <v>17</v>
      </c>
      <c r="AA1566" s="12" t="s">
        <v>17</v>
      </c>
      <c r="AB1566" s="12" t="s">
        <v>3611</v>
      </c>
      <c r="AC1566" s="12" t="s">
        <v>340</v>
      </c>
      <c r="AD1566" s="12" t="s">
        <v>7874</v>
      </c>
      <c r="AE1566" s="12" t="s">
        <v>7703</v>
      </c>
      <c r="AF1566" s="12" t="s">
        <v>3613</v>
      </c>
    </row>
    <row r="1567" spans="1:32" x14ac:dyDescent="0.2">
      <c r="A1567" s="12" t="s">
        <v>3622</v>
      </c>
      <c r="B1567" s="12" t="s">
        <v>3622</v>
      </c>
      <c r="C1567" s="12" t="s">
        <v>3625</v>
      </c>
      <c r="D1567" s="12" t="s">
        <v>13</v>
      </c>
      <c r="E1567" s="12" t="s">
        <v>8110</v>
      </c>
      <c r="F1567" s="12" t="s">
        <v>5458</v>
      </c>
      <c r="G1567" s="12" t="s">
        <v>192</v>
      </c>
      <c r="H1567" s="12" t="s">
        <v>6614</v>
      </c>
      <c r="I1567" s="12">
        <v>10050</v>
      </c>
      <c r="J1567" s="12" t="s">
        <v>3612</v>
      </c>
      <c r="K1567" s="12" t="s">
        <v>6657</v>
      </c>
      <c r="L1567" s="12" t="s">
        <v>3624</v>
      </c>
      <c r="M1567" s="12" t="s">
        <v>3623</v>
      </c>
      <c r="N1567" s="12" t="s">
        <v>24</v>
      </c>
      <c r="O1567" s="12" t="s">
        <v>3573</v>
      </c>
      <c r="P1567" s="12" t="s">
        <v>3574</v>
      </c>
      <c r="Q1567" s="12" t="s">
        <v>6682</v>
      </c>
      <c r="R1567" s="16">
        <v>31.988</v>
      </c>
      <c r="S1567" s="16">
        <v>35.975999999999999</v>
      </c>
      <c r="T1567" s="12" t="s">
        <v>11</v>
      </c>
      <c r="U1567" s="12" t="s">
        <v>3627</v>
      </c>
      <c r="V1567" s="12" t="s">
        <v>17</v>
      </c>
      <c r="W1567" s="12" t="s">
        <v>7160</v>
      </c>
      <c r="X1567" s="12">
        <v>1.2E-2</v>
      </c>
      <c r="Y1567" s="12">
        <v>14572</v>
      </c>
      <c r="Z1567" s="12" t="s">
        <v>17</v>
      </c>
      <c r="AA1567" s="12" t="s">
        <v>17</v>
      </c>
      <c r="AB1567" s="12" t="s">
        <v>3626</v>
      </c>
      <c r="AC1567" s="12" t="s">
        <v>21</v>
      </c>
      <c r="AD1567" s="12" t="s">
        <v>17</v>
      </c>
      <c r="AE1567" s="12" t="s">
        <v>7796</v>
      </c>
      <c r="AF1567" s="12" t="s">
        <v>45</v>
      </c>
    </row>
    <row r="1568" spans="1:32" x14ac:dyDescent="0.2">
      <c r="A1568" s="12" t="s">
        <v>3591</v>
      </c>
      <c r="B1568" s="12" t="s">
        <v>3592</v>
      </c>
      <c r="C1568" s="12" t="s">
        <v>3593</v>
      </c>
      <c r="D1568" s="12" t="s">
        <v>13</v>
      </c>
      <c r="E1568" s="12" t="s">
        <v>8110</v>
      </c>
      <c r="F1568" s="12" t="s">
        <v>5460</v>
      </c>
      <c r="G1568" s="12" t="s">
        <v>192</v>
      </c>
      <c r="H1568" s="12" t="s">
        <v>6614</v>
      </c>
      <c r="I1568" s="12">
        <v>9875</v>
      </c>
      <c r="J1568" s="12" t="s">
        <v>3595</v>
      </c>
      <c r="K1568" s="12" t="s">
        <v>6657</v>
      </c>
      <c r="L1568" s="12" t="s">
        <v>3569</v>
      </c>
      <c r="M1568" s="12" t="s">
        <v>3568</v>
      </c>
      <c r="N1568" s="12" t="s">
        <v>5785</v>
      </c>
      <c r="O1568" s="12" t="s">
        <v>3573</v>
      </c>
      <c r="P1568" s="12" t="s">
        <v>3574</v>
      </c>
      <c r="Q1568" s="12" t="s">
        <v>6682</v>
      </c>
      <c r="R1568" s="12">
        <v>31.988</v>
      </c>
      <c r="S1568" s="12">
        <v>35.975999999999999</v>
      </c>
      <c r="T1568" s="12" t="s">
        <v>11</v>
      </c>
      <c r="U1568" s="12" t="s">
        <v>2900</v>
      </c>
      <c r="V1568" s="12" t="s">
        <v>937</v>
      </c>
      <c r="W1568" s="12" t="s">
        <v>7160</v>
      </c>
      <c r="X1568" s="12">
        <v>4.0037000000000003E-2</v>
      </c>
      <c r="Y1568" s="12">
        <v>46572</v>
      </c>
      <c r="Z1568" s="12" t="s">
        <v>17</v>
      </c>
      <c r="AA1568" s="12" t="s">
        <v>17</v>
      </c>
      <c r="AB1568" s="12" t="s">
        <v>3594</v>
      </c>
      <c r="AC1568" s="12" t="s">
        <v>340</v>
      </c>
      <c r="AD1568" s="12" t="s">
        <v>7875</v>
      </c>
      <c r="AE1568" s="12" t="s">
        <v>7697</v>
      </c>
      <c r="AF1568" s="12" t="s">
        <v>3596</v>
      </c>
    </row>
    <row r="1569" spans="1:32" x14ac:dyDescent="0.2">
      <c r="A1569" s="12" t="s">
        <v>1399</v>
      </c>
      <c r="B1569" s="12" t="s">
        <v>1401</v>
      </c>
      <c r="C1569" s="12" t="s">
        <v>1404</v>
      </c>
      <c r="D1569" s="12" t="s">
        <v>143</v>
      </c>
      <c r="E1569" s="12" t="s">
        <v>7678</v>
      </c>
      <c r="F1569" s="12" t="s">
        <v>5460</v>
      </c>
      <c r="G1569" s="12" t="s">
        <v>1400</v>
      </c>
      <c r="H1569" s="12" t="s">
        <v>6614</v>
      </c>
      <c r="I1569" s="12">
        <v>9720</v>
      </c>
      <c r="J1569" s="12" t="s">
        <v>1405</v>
      </c>
      <c r="K1569" s="12" t="s">
        <v>6657</v>
      </c>
      <c r="L1569" s="12" t="s">
        <v>1403</v>
      </c>
      <c r="M1569" s="12" t="s">
        <v>1402</v>
      </c>
      <c r="N1569" s="12" t="s">
        <v>5785</v>
      </c>
      <c r="O1569" s="12" t="s">
        <v>1406</v>
      </c>
      <c r="P1569" s="12" t="s">
        <v>1407</v>
      </c>
      <c r="Q1569" s="12" t="s">
        <v>6682</v>
      </c>
      <c r="R1569" s="12">
        <v>42.28</v>
      </c>
      <c r="S1569" s="12">
        <v>43.28</v>
      </c>
      <c r="T1569" s="12" t="s">
        <v>11</v>
      </c>
      <c r="U1569" s="12" t="s">
        <v>1408</v>
      </c>
      <c r="V1569" s="12" t="s">
        <v>232</v>
      </c>
      <c r="W1569" s="12" t="s">
        <v>7160</v>
      </c>
      <c r="X1569" s="12">
        <v>12.481999999999999</v>
      </c>
      <c r="Y1569" s="12">
        <v>1180629</v>
      </c>
      <c r="Z1569" s="12" t="s">
        <v>17</v>
      </c>
      <c r="AA1569" s="12" t="s">
        <v>17</v>
      </c>
      <c r="AB1569" s="12" t="s">
        <v>17</v>
      </c>
      <c r="AC1569" s="12" t="s">
        <v>144</v>
      </c>
      <c r="AD1569" s="12" t="s">
        <v>17</v>
      </c>
      <c r="AE1569" s="12" t="s">
        <v>17</v>
      </c>
      <c r="AF1569" s="12" t="s">
        <v>45</v>
      </c>
    </row>
    <row r="1570" spans="1:32" x14ac:dyDescent="0.2">
      <c r="A1570" s="12" t="s">
        <v>3581</v>
      </c>
      <c r="B1570" s="12" t="s">
        <v>3581</v>
      </c>
      <c r="C1570" s="12" t="s">
        <v>3582</v>
      </c>
      <c r="D1570" s="12" t="s">
        <v>13</v>
      </c>
      <c r="E1570" s="12" t="s">
        <v>8110</v>
      </c>
      <c r="F1570" s="12" t="s">
        <v>5460</v>
      </c>
      <c r="G1570" s="12" t="s">
        <v>192</v>
      </c>
      <c r="H1570" s="12" t="s">
        <v>6614</v>
      </c>
      <c r="I1570" s="12">
        <v>9610</v>
      </c>
      <c r="J1570" s="12" t="s">
        <v>3584</v>
      </c>
      <c r="K1570" s="12" t="s">
        <v>6657</v>
      </c>
      <c r="L1570" s="12" t="s">
        <v>3569</v>
      </c>
      <c r="M1570" s="12" t="s">
        <v>3568</v>
      </c>
      <c r="N1570" s="12" t="s">
        <v>5785</v>
      </c>
      <c r="O1570" s="12" t="s">
        <v>3573</v>
      </c>
      <c r="P1570" s="12" t="s">
        <v>3574</v>
      </c>
      <c r="Q1570" s="12" t="s">
        <v>6682</v>
      </c>
      <c r="R1570" s="12">
        <v>31.988</v>
      </c>
      <c r="S1570" s="12">
        <v>35.975999999999999</v>
      </c>
      <c r="T1570" s="12" t="s">
        <v>25</v>
      </c>
      <c r="U1570" s="12" t="s">
        <v>3585</v>
      </c>
      <c r="V1570" s="12" t="s">
        <v>6639</v>
      </c>
      <c r="W1570" s="12" t="s">
        <v>6639</v>
      </c>
      <c r="X1570" s="12">
        <v>1.8065999999999999E-2</v>
      </c>
      <c r="Y1570" s="12">
        <v>20956</v>
      </c>
      <c r="Z1570" s="12" t="s">
        <v>6639</v>
      </c>
      <c r="AA1570" s="12" t="s">
        <v>6639</v>
      </c>
      <c r="AB1570" s="12" t="s">
        <v>3583</v>
      </c>
      <c r="AC1570" s="12" t="s">
        <v>58</v>
      </c>
      <c r="AD1570" s="12" t="s">
        <v>7933</v>
      </c>
      <c r="AE1570" s="12" t="s">
        <v>7683</v>
      </c>
      <c r="AF1570" s="12" t="s">
        <v>3586</v>
      </c>
    </row>
    <row r="1571" spans="1:32" x14ac:dyDescent="0.2">
      <c r="A1571" s="12" t="s">
        <v>3576</v>
      </c>
      <c r="B1571" s="12" t="s">
        <v>3576</v>
      </c>
      <c r="C1571" s="12" t="s">
        <v>3577</v>
      </c>
      <c r="D1571" s="12" t="s">
        <v>13</v>
      </c>
      <c r="E1571" s="12" t="s">
        <v>8110</v>
      </c>
      <c r="F1571" s="12" t="s">
        <v>5460</v>
      </c>
      <c r="G1571" s="12" t="s">
        <v>192</v>
      </c>
      <c r="H1571" s="12" t="s">
        <v>6614</v>
      </c>
      <c r="I1571" s="12">
        <v>9582</v>
      </c>
      <c r="J1571" s="12" t="s">
        <v>3579</v>
      </c>
      <c r="K1571" s="12" t="s">
        <v>6657</v>
      </c>
      <c r="L1571" s="12" t="s">
        <v>3569</v>
      </c>
      <c r="M1571" s="12" t="s">
        <v>3568</v>
      </c>
      <c r="N1571" s="12" t="s">
        <v>5785</v>
      </c>
      <c r="O1571" s="12" t="s">
        <v>3573</v>
      </c>
      <c r="P1571" s="12" t="s">
        <v>3574</v>
      </c>
      <c r="Q1571" s="12" t="s">
        <v>6682</v>
      </c>
      <c r="R1571" s="12">
        <v>31.988</v>
      </c>
      <c r="S1571" s="12">
        <v>35.975999999999999</v>
      </c>
      <c r="T1571" s="12" t="s">
        <v>11</v>
      </c>
      <c r="U1571" s="12" t="s">
        <v>3580</v>
      </c>
      <c r="V1571" s="12" t="s">
        <v>5755</v>
      </c>
      <c r="W1571" s="12" t="s">
        <v>7160</v>
      </c>
      <c r="X1571" s="12">
        <v>0.14199999999999999</v>
      </c>
      <c r="Y1571" s="12">
        <v>149583</v>
      </c>
      <c r="Z1571" s="12" t="s">
        <v>17</v>
      </c>
      <c r="AA1571" s="12" t="s">
        <v>17</v>
      </c>
      <c r="AB1571" s="12" t="s">
        <v>3578</v>
      </c>
      <c r="AC1571" s="12" t="s">
        <v>21</v>
      </c>
      <c r="AD1571" s="12">
        <v>0.158</v>
      </c>
      <c r="AE1571" s="12">
        <v>0.90700000000000003</v>
      </c>
      <c r="AF1571" s="12" t="s">
        <v>8076</v>
      </c>
    </row>
    <row r="1572" spans="1:32" x14ac:dyDescent="0.2">
      <c r="A1572" s="12" t="s">
        <v>3567</v>
      </c>
      <c r="B1572" s="12" t="s">
        <v>3567</v>
      </c>
      <c r="C1572" s="12" t="s">
        <v>3570</v>
      </c>
      <c r="D1572" s="12" t="s">
        <v>13</v>
      </c>
      <c r="E1572" s="12" t="s">
        <v>8110</v>
      </c>
      <c r="F1572" s="12" t="s">
        <v>5460</v>
      </c>
      <c r="G1572" s="12" t="s">
        <v>192</v>
      </c>
      <c r="H1572" s="12" t="s">
        <v>6614</v>
      </c>
      <c r="I1572" s="12">
        <v>9580</v>
      </c>
      <c r="J1572" s="12" t="s">
        <v>3572</v>
      </c>
      <c r="K1572" s="12" t="s">
        <v>6657</v>
      </c>
      <c r="L1572" s="12" t="s">
        <v>3569</v>
      </c>
      <c r="M1572" s="12" t="s">
        <v>3568</v>
      </c>
      <c r="N1572" s="12" t="s">
        <v>5785</v>
      </c>
      <c r="O1572" s="12" t="s">
        <v>3573</v>
      </c>
      <c r="P1572" s="12" t="s">
        <v>3574</v>
      </c>
      <c r="Q1572" s="12" t="s">
        <v>6682</v>
      </c>
      <c r="R1572" s="12">
        <v>31.988</v>
      </c>
      <c r="S1572" s="12">
        <v>35.975999999999999</v>
      </c>
      <c r="T1572" s="12" t="s">
        <v>11</v>
      </c>
      <c r="U1572" s="12" t="s">
        <v>3575</v>
      </c>
      <c r="V1572" s="12" t="s">
        <v>1128</v>
      </c>
      <c r="W1572" s="12" t="s">
        <v>7160</v>
      </c>
      <c r="X1572" s="12">
        <v>0.11700000000000001</v>
      </c>
      <c r="Y1572" s="12">
        <v>127351</v>
      </c>
      <c r="Z1572" s="12" t="s">
        <v>17</v>
      </c>
      <c r="AA1572" s="12" t="s">
        <v>17</v>
      </c>
      <c r="AB1572" s="12" t="s">
        <v>3571</v>
      </c>
      <c r="AC1572" s="12" t="s">
        <v>21</v>
      </c>
      <c r="AD1572" s="12">
        <v>0.17100000000000001</v>
      </c>
      <c r="AE1572" s="12">
        <v>0.996</v>
      </c>
      <c r="AF1572" s="12" t="s">
        <v>45</v>
      </c>
    </row>
    <row r="1573" spans="1:32" x14ac:dyDescent="0.2">
      <c r="A1573" s="12" t="s">
        <v>3587</v>
      </c>
      <c r="B1573" s="12" t="s">
        <v>3587</v>
      </c>
      <c r="C1573" s="12" t="s">
        <v>3588</v>
      </c>
      <c r="D1573" s="12" t="s">
        <v>13</v>
      </c>
      <c r="E1573" s="12" t="s">
        <v>8110</v>
      </c>
      <c r="F1573" s="12" t="s">
        <v>5460</v>
      </c>
      <c r="G1573" s="12" t="s">
        <v>192</v>
      </c>
      <c r="H1573" s="12" t="s">
        <v>6614</v>
      </c>
      <c r="I1573" s="12">
        <v>9202</v>
      </c>
      <c r="J1573" s="12" t="s">
        <v>3590</v>
      </c>
      <c r="K1573" s="12" t="s">
        <v>6657</v>
      </c>
      <c r="L1573" s="12" t="s">
        <v>3569</v>
      </c>
      <c r="M1573" s="12" t="s">
        <v>3568</v>
      </c>
      <c r="N1573" s="12" t="s">
        <v>5785</v>
      </c>
      <c r="O1573" s="12" t="s">
        <v>3573</v>
      </c>
      <c r="P1573" s="12" t="s">
        <v>3574</v>
      </c>
      <c r="Q1573" s="12" t="s">
        <v>6682</v>
      </c>
      <c r="R1573" s="12">
        <v>31.988</v>
      </c>
      <c r="S1573" s="12">
        <v>35.975999999999999</v>
      </c>
      <c r="T1573" s="12" t="s">
        <v>25</v>
      </c>
      <c r="U1573" s="12" t="s">
        <v>2900</v>
      </c>
      <c r="V1573" s="12" t="s">
        <v>6639</v>
      </c>
      <c r="W1573" s="12" t="s">
        <v>6639</v>
      </c>
      <c r="X1573" s="12">
        <v>0.16400000000000001</v>
      </c>
      <c r="Y1573" s="12">
        <v>167085</v>
      </c>
      <c r="Z1573" s="12" t="s">
        <v>6639</v>
      </c>
      <c r="AA1573" s="12" t="s">
        <v>6639</v>
      </c>
      <c r="AB1573" s="12" t="s">
        <v>3589</v>
      </c>
      <c r="AC1573" s="12" t="s">
        <v>21</v>
      </c>
      <c r="AD1573" s="12">
        <v>0.187</v>
      </c>
      <c r="AE1573" s="12">
        <v>0.82699999999999996</v>
      </c>
      <c r="AF1573" s="12" t="s">
        <v>7668</v>
      </c>
    </row>
    <row r="1574" spans="1:32" x14ac:dyDescent="0.2">
      <c r="A1574" s="12" t="s">
        <v>3603</v>
      </c>
      <c r="B1574" s="12" t="s">
        <v>3603</v>
      </c>
      <c r="C1574" s="12" t="s">
        <v>3604</v>
      </c>
      <c r="D1574" s="12" t="s">
        <v>13</v>
      </c>
      <c r="E1574" s="12" t="s">
        <v>8110</v>
      </c>
      <c r="F1574" s="12" t="s">
        <v>5458</v>
      </c>
      <c r="G1574" s="12" t="s">
        <v>192</v>
      </c>
      <c r="H1574" s="12" t="s">
        <v>6614</v>
      </c>
      <c r="I1574" s="12">
        <v>8800</v>
      </c>
      <c r="J1574" s="12" t="s">
        <v>3606</v>
      </c>
      <c r="K1574" s="12" t="s">
        <v>6657</v>
      </c>
      <c r="L1574" s="12" t="s">
        <v>3569</v>
      </c>
      <c r="M1574" s="12" t="s">
        <v>3598</v>
      </c>
      <c r="N1574" s="12" t="s">
        <v>5785</v>
      </c>
      <c r="O1574" s="12" t="s">
        <v>3573</v>
      </c>
      <c r="P1574" s="12" t="s">
        <v>3574</v>
      </c>
      <c r="Q1574" s="12" t="s">
        <v>6682</v>
      </c>
      <c r="R1574" s="12">
        <v>31.988</v>
      </c>
      <c r="S1574" s="12">
        <v>35.975999999999999</v>
      </c>
      <c r="T1574" s="12" t="s">
        <v>25</v>
      </c>
      <c r="U1574" s="12" t="s">
        <v>589</v>
      </c>
      <c r="V1574" s="12" t="s">
        <v>6639</v>
      </c>
      <c r="W1574" s="12" t="s">
        <v>6639</v>
      </c>
      <c r="X1574" s="12">
        <v>0.04</v>
      </c>
      <c r="Y1574" s="12">
        <v>45791</v>
      </c>
      <c r="Z1574" s="12" t="s">
        <v>6639</v>
      </c>
      <c r="AA1574" s="12" t="s">
        <v>6639</v>
      </c>
      <c r="AB1574" s="12" t="s">
        <v>3605</v>
      </c>
      <c r="AC1574" s="12" t="s">
        <v>21</v>
      </c>
      <c r="AD1574" s="12">
        <v>0.14599999999999999</v>
      </c>
      <c r="AE1574" s="12">
        <v>0.84399999999999997</v>
      </c>
      <c r="AF1574" s="12" t="s">
        <v>3607</v>
      </c>
    </row>
    <row r="1575" spans="1:32" x14ac:dyDescent="0.2">
      <c r="A1575" s="12" t="s">
        <v>3597</v>
      </c>
      <c r="B1575" s="12" t="s">
        <v>3597</v>
      </c>
      <c r="C1575" s="12" t="s">
        <v>3599</v>
      </c>
      <c r="D1575" s="12" t="s">
        <v>13</v>
      </c>
      <c r="E1575" s="12" t="s">
        <v>8110</v>
      </c>
      <c r="F1575" s="12" t="s">
        <v>5458</v>
      </c>
      <c r="G1575" s="12" t="s">
        <v>192</v>
      </c>
      <c r="H1575" s="12" t="s">
        <v>6614</v>
      </c>
      <c r="I1575" s="12">
        <v>8700</v>
      </c>
      <c r="J1575" s="12" t="s">
        <v>3601</v>
      </c>
      <c r="K1575" s="12" t="s">
        <v>6657</v>
      </c>
      <c r="L1575" s="12" t="s">
        <v>3569</v>
      </c>
      <c r="M1575" s="12" t="s">
        <v>3598</v>
      </c>
      <c r="N1575" s="12" t="s">
        <v>5785</v>
      </c>
      <c r="O1575" s="12" t="s">
        <v>3573</v>
      </c>
      <c r="P1575" s="12" t="s">
        <v>3574</v>
      </c>
      <c r="Q1575" s="12" t="s">
        <v>6682</v>
      </c>
      <c r="R1575" s="16">
        <v>31.988</v>
      </c>
      <c r="S1575" s="16">
        <v>35.975999999999999</v>
      </c>
      <c r="T1575" s="12" t="s">
        <v>25</v>
      </c>
      <c r="U1575" s="12" t="s">
        <v>3602</v>
      </c>
      <c r="V1575" s="12" t="s">
        <v>6639</v>
      </c>
      <c r="W1575" s="12" t="s">
        <v>6639</v>
      </c>
      <c r="X1575" s="12">
        <v>0.309</v>
      </c>
      <c r="Y1575" s="12">
        <v>292851</v>
      </c>
      <c r="Z1575" s="12" t="s">
        <v>6639</v>
      </c>
      <c r="AA1575" s="12" t="s">
        <v>6639</v>
      </c>
      <c r="AB1575" s="12" t="s">
        <v>3600</v>
      </c>
      <c r="AC1575" s="12" t="s">
        <v>21</v>
      </c>
      <c r="AD1575" s="12" t="s">
        <v>17</v>
      </c>
      <c r="AE1575" s="12">
        <v>0.96799999999999997</v>
      </c>
      <c r="AF1575" s="12" t="s">
        <v>45</v>
      </c>
    </row>
    <row r="1576" spans="1:32" x14ac:dyDescent="0.2">
      <c r="A1576" s="12" t="s">
        <v>364</v>
      </c>
      <c r="B1576" s="12" t="s">
        <v>364</v>
      </c>
      <c r="C1576" s="12" t="s">
        <v>365</v>
      </c>
      <c r="D1576" s="12" t="s">
        <v>13</v>
      </c>
      <c r="E1576" s="12" t="s">
        <v>8110</v>
      </c>
      <c r="F1576" s="12" t="s">
        <v>5458</v>
      </c>
      <c r="G1576" s="12" t="s">
        <v>273</v>
      </c>
      <c r="H1576" s="12" t="s">
        <v>6614</v>
      </c>
      <c r="I1576" s="12">
        <v>8300</v>
      </c>
      <c r="J1576" s="12" t="s">
        <v>355</v>
      </c>
      <c r="K1576" s="12" t="s">
        <v>6657</v>
      </c>
      <c r="L1576" s="12" t="s">
        <v>274</v>
      </c>
      <c r="M1576" s="12" t="s">
        <v>274</v>
      </c>
      <c r="N1576" s="12" t="s">
        <v>5785</v>
      </c>
      <c r="O1576" s="12" t="s">
        <v>197</v>
      </c>
      <c r="P1576" s="12" t="s">
        <v>198</v>
      </c>
      <c r="Q1576" s="12" t="s">
        <v>6682</v>
      </c>
      <c r="R1576" s="12">
        <v>40.299999999999997</v>
      </c>
      <c r="S1576" s="12">
        <v>29.56666667</v>
      </c>
      <c r="T1576" s="12" t="s">
        <v>25</v>
      </c>
      <c r="U1576" s="12" t="s">
        <v>5747</v>
      </c>
      <c r="V1576" s="12" t="s">
        <v>6639</v>
      </c>
      <c r="W1576" s="12" t="s">
        <v>6639</v>
      </c>
      <c r="X1576" s="12">
        <v>0.33100000000000002</v>
      </c>
      <c r="Y1576" s="12">
        <v>294382</v>
      </c>
      <c r="Z1576" s="12" t="s">
        <v>6639</v>
      </c>
      <c r="AA1576" s="12" t="s">
        <v>6639</v>
      </c>
      <c r="AB1576" s="12" t="s">
        <v>366</v>
      </c>
      <c r="AC1576" s="12" t="s">
        <v>21</v>
      </c>
      <c r="AD1576" s="12">
        <v>0.23100000000000001</v>
      </c>
      <c r="AE1576" s="12">
        <v>0.97299999999999998</v>
      </c>
      <c r="AF1576" s="12" t="s">
        <v>45</v>
      </c>
    </row>
    <row r="1577" spans="1:32" x14ac:dyDescent="0.2">
      <c r="A1577" s="12" t="s">
        <v>370</v>
      </c>
      <c r="B1577" s="12" t="s">
        <v>370</v>
      </c>
      <c r="C1577" s="12" t="s">
        <v>371</v>
      </c>
      <c r="D1577" s="12" t="s">
        <v>13</v>
      </c>
      <c r="E1577" s="12" t="s">
        <v>8110</v>
      </c>
      <c r="F1577" s="12" t="s">
        <v>5458</v>
      </c>
      <c r="G1577" s="12" t="s">
        <v>273</v>
      </c>
      <c r="H1577" s="12" t="s">
        <v>6614</v>
      </c>
      <c r="I1577" s="12">
        <v>8300</v>
      </c>
      <c r="J1577" s="12" t="s">
        <v>355</v>
      </c>
      <c r="K1577" s="12" t="s">
        <v>6657</v>
      </c>
      <c r="L1577" s="12" t="s">
        <v>274</v>
      </c>
      <c r="M1577" s="12" t="s">
        <v>274</v>
      </c>
      <c r="N1577" s="12" t="s">
        <v>5785</v>
      </c>
      <c r="O1577" s="12" t="s">
        <v>197</v>
      </c>
      <c r="P1577" s="12" t="s">
        <v>198</v>
      </c>
      <c r="Q1577" s="12" t="s">
        <v>6682</v>
      </c>
      <c r="R1577" s="12">
        <v>40.299999999999997</v>
      </c>
      <c r="S1577" s="12">
        <v>29.56666667</v>
      </c>
      <c r="T1577" s="12" t="s">
        <v>11</v>
      </c>
      <c r="U1577" s="12" t="s">
        <v>373</v>
      </c>
      <c r="V1577" s="12" t="s">
        <v>374</v>
      </c>
      <c r="W1577" s="12" t="s">
        <v>7160</v>
      </c>
      <c r="X1577" s="12">
        <v>0.55000000000000004</v>
      </c>
      <c r="Y1577" s="12">
        <v>414820</v>
      </c>
      <c r="Z1577" s="12" t="s">
        <v>17</v>
      </c>
      <c r="AA1577" s="12" t="s">
        <v>17</v>
      </c>
      <c r="AB1577" s="12" t="s">
        <v>372</v>
      </c>
      <c r="AC1577" s="12" t="s">
        <v>21</v>
      </c>
      <c r="AD1577" s="12">
        <v>0.24399999999999999</v>
      </c>
      <c r="AE1577" s="12">
        <v>1</v>
      </c>
      <c r="AF1577" s="12" t="s">
        <v>375</v>
      </c>
    </row>
    <row r="1578" spans="1:32" x14ac:dyDescent="0.2">
      <c r="A1578" s="12" t="s">
        <v>360</v>
      </c>
      <c r="B1578" s="12" t="s">
        <v>360</v>
      </c>
      <c r="C1578" s="12" t="s">
        <v>361</v>
      </c>
      <c r="D1578" s="12" t="s">
        <v>13</v>
      </c>
      <c r="E1578" s="12" t="s">
        <v>8110</v>
      </c>
      <c r="F1578" s="12" t="s">
        <v>5458</v>
      </c>
      <c r="G1578" s="12" t="s">
        <v>273</v>
      </c>
      <c r="H1578" s="12" t="s">
        <v>6614</v>
      </c>
      <c r="I1578" s="12">
        <v>8300</v>
      </c>
      <c r="J1578" s="12" t="s">
        <v>355</v>
      </c>
      <c r="K1578" s="12" t="s">
        <v>6657</v>
      </c>
      <c r="L1578" s="12" t="s">
        <v>274</v>
      </c>
      <c r="M1578" s="12" t="s">
        <v>274</v>
      </c>
      <c r="N1578" s="12" t="s">
        <v>5785</v>
      </c>
      <c r="O1578" s="12" t="s">
        <v>197</v>
      </c>
      <c r="P1578" s="12" t="s">
        <v>198</v>
      </c>
      <c r="Q1578" s="12" t="s">
        <v>6682</v>
      </c>
      <c r="R1578" s="16">
        <v>40.299999999999997</v>
      </c>
      <c r="S1578" s="16">
        <v>29.56666667</v>
      </c>
      <c r="T1578" s="12" t="s">
        <v>11</v>
      </c>
      <c r="U1578" s="12" t="s">
        <v>213</v>
      </c>
      <c r="V1578" s="12" t="s">
        <v>322</v>
      </c>
      <c r="W1578" s="12" t="s">
        <v>7160</v>
      </c>
      <c r="X1578" s="12">
        <v>0.82699999999999996</v>
      </c>
      <c r="Y1578" s="12">
        <v>544031</v>
      </c>
      <c r="Z1578" s="12" t="s">
        <v>17</v>
      </c>
      <c r="AA1578" s="12" t="s">
        <v>17</v>
      </c>
      <c r="AB1578" s="12" t="s">
        <v>362</v>
      </c>
      <c r="AC1578" s="12" t="s">
        <v>21</v>
      </c>
      <c r="AD1578" s="12">
        <v>0.185</v>
      </c>
      <c r="AE1578" s="12">
        <v>1</v>
      </c>
      <c r="AF1578" s="12" t="s">
        <v>363</v>
      </c>
    </row>
    <row r="1579" spans="1:32" x14ac:dyDescent="0.2">
      <c r="A1579" s="12" t="s">
        <v>376</v>
      </c>
      <c r="B1579" s="12" t="s">
        <v>376</v>
      </c>
      <c r="C1579" s="12" t="s">
        <v>377</v>
      </c>
      <c r="D1579" s="12" t="s">
        <v>13</v>
      </c>
      <c r="E1579" s="12" t="s">
        <v>8110</v>
      </c>
      <c r="F1579" s="12" t="s">
        <v>5458</v>
      </c>
      <c r="G1579" s="12" t="s">
        <v>273</v>
      </c>
      <c r="H1579" s="12" t="s">
        <v>6614</v>
      </c>
      <c r="I1579" s="12">
        <v>8300</v>
      </c>
      <c r="J1579" s="12" t="s">
        <v>355</v>
      </c>
      <c r="K1579" s="12" t="s">
        <v>6657</v>
      </c>
      <c r="L1579" s="12" t="s">
        <v>274</v>
      </c>
      <c r="M1579" s="12" t="s">
        <v>274</v>
      </c>
      <c r="N1579" s="12" t="s">
        <v>5785</v>
      </c>
      <c r="O1579" s="12" t="s">
        <v>197</v>
      </c>
      <c r="P1579" s="12" t="s">
        <v>198</v>
      </c>
      <c r="Q1579" s="12" t="s">
        <v>6682</v>
      </c>
      <c r="R1579" s="16">
        <v>40.299999999999997</v>
      </c>
      <c r="S1579" s="16">
        <v>29.56666667</v>
      </c>
      <c r="T1579" s="12" t="s">
        <v>11</v>
      </c>
      <c r="U1579" s="12" t="s">
        <v>379</v>
      </c>
      <c r="V1579" s="12" t="s">
        <v>322</v>
      </c>
      <c r="W1579" s="12" t="s">
        <v>7160</v>
      </c>
      <c r="X1579" s="12">
        <v>1.135</v>
      </c>
      <c r="Y1579" s="12">
        <v>607546</v>
      </c>
      <c r="Z1579" s="12" t="s">
        <v>17</v>
      </c>
      <c r="AA1579" s="12" t="s">
        <v>17</v>
      </c>
      <c r="AB1579" s="12" t="s">
        <v>378</v>
      </c>
      <c r="AC1579" s="12" t="s">
        <v>21</v>
      </c>
      <c r="AD1579" s="12">
        <v>0.21299999999999999</v>
      </c>
      <c r="AE1579" s="12">
        <v>0.999</v>
      </c>
      <c r="AF1579" s="12" t="s">
        <v>111</v>
      </c>
    </row>
    <row r="1580" spans="1:32" x14ac:dyDescent="0.2">
      <c r="A1580" s="12" t="s">
        <v>367</v>
      </c>
      <c r="B1580" s="12" t="s">
        <v>367</v>
      </c>
      <c r="C1580" s="12" t="s">
        <v>368</v>
      </c>
      <c r="D1580" s="12" t="s">
        <v>13</v>
      </c>
      <c r="E1580" s="12" t="s">
        <v>8110</v>
      </c>
      <c r="F1580" s="12" t="s">
        <v>5458</v>
      </c>
      <c r="G1580" s="12" t="s">
        <v>273</v>
      </c>
      <c r="H1580" s="12" t="s">
        <v>6614</v>
      </c>
      <c r="I1580" s="12">
        <v>8300</v>
      </c>
      <c r="J1580" s="12" t="s">
        <v>355</v>
      </c>
      <c r="K1580" s="12" t="s">
        <v>6657</v>
      </c>
      <c r="L1580" s="12" t="s">
        <v>274</v>
      </c>
      <c r="M1580" s="12" t="s">
        <v>274</v>
      </c>
      <c r="N1580" s="12" t="s">
        <v>5785</v>
      </c>
      <c r="O1580" s="12" t="s">
        <v>197</v>
      </c>
      <c r="P1580" s="12" t="s">
        <v>198</v>
      </c>
      <c r="Q1580" s="12" t="s">
        <v>6682</v>
      </c>
      <c r="R1580" s="12">
        <v>40.299999999999997</v>
      </c>
      <c r="S1580" s="12">
        <v>29.56666667</v>
      </c>
      <c r="T1580" s="12" t="s">
        <v>11</v>
      </c>
      <c r="U1580" s="12" t="s">
        <v>213</v>
      </c>
      <c r="V1580" s="12" t="s">
        <v>306</v>
      </c>
      <c r="W1580" s="12" t="s">
        <v>7160</v>
      </c>
      <c r="X1580" s="12">
        <v>1.56</v>
      </c>
      <c r="Y1580" s="12">
        <v>663312</v>
      </c>
      <c r="Z1580" s="12" t="s">
        <v>17</v>
      </c>
      <c r="AA1580" s="12" t="s">
        <v>17</v>
      </c>
      <c r="AB1580" s="12" t="s">
        <v>369</v>
      </c>
      <c r="AC1580" s="12" t="s">
        <v>21</v>
      </c>
      <c r="AD1580" s="12">
        <v>0.20300000000000001</v>
      </c>
      <c r="AE1580" s="12">
        <v>0.999</v>
      </c>
      <c r="AF1580" s="12" t="s">
        <v>328</v>
      </c>
    </row>
    <row r="1581" spans="1:32" x14ac:dyDescent="0.2">
      <c r="A1581" s="12" t="s">
        <v>357</v>
      </c>
      <c r="B1581" s="12" t="s">
        <v>357</v>
      </c>
      <c r="C1581" s="12" t="s">
        <v>358</v>
      </c>
      <c r="D1581" s="12" t="s">
        <v>13</v>
      </c>
      <c r="E1581" s="12" t="s">
        <v>8110</v>
      </c>
      <c r="F1581" s="12" t="s">
        <v>5458</v>
      </c>
      <c r="G1581" s="12" t="s">
        <v>273</v>
      </c>
      <c r="H1581" s="12" t="s">
        <v>6614</v>
      </c>
      <c r="I1581" s="12">
        <v>8300</v>
      </c>
      <c r="J1581" s="12" t="s">
        <v>355</v>
      </c>
      <c r="K1581" s="12" t="s">
        <v>6657</v>
      </c>
      <c r="L1581" s="12" t="s">
        <v>274</v>
      </c>
      <c r="M1581" s="12" t="s">
        <v>274</v>
      </c>
      <c r="N1581" s="12" t="s">
        <v>5785</v>
      </c>
      <c r="O1581" s="12" t="s">
        <v>197</v>
      </c>
      <c r="P1581" s="12" t="s">
        <v>198</v>
      </c>
      <c r="Q1581" s="12" t="s">
        <v>6682</v>
      </c>
      <c r="R1581" s="12">
        <v>40.299999999999997</v>
      </c>
      <c r="S1581" s="12">
        <v>29.56666667</v>
      </c>
      <c r="T1581" s="12" t="s">
        <v>11</v>
      </c>
      <c r="U1581" s="12" t="s">
        <v>344</v>
      </c>
      <c r="V1581" s="12" t="s">
        <v>339</v>
      </c>
      <c r="W1581" s="12" t="s">
        <v>7160</v>
      </c>
      <c r="X1581" s="12">
        <v>2.8650000000000002</v>
      </c>
      <c r="Y1581" s="12">
        <v>759115</v>
      </c>
      <c r="Z1581" s="12" t="s">
        <v>17</v>
      </c>
      <c r="AA1581" s="12" t="s">
        <v>17</v>
      </c>
      <c r="AB1581" s="12" t="s">
        <v>359</v>
      </c>
      <c r="AC1581" s="12" t="s">
        <v>21</v>
      </c>
      <c r="AD1581" s="12">
        <v>0.184</v>
      </c>
      <c r="AE1581" s="12">
        <v>0.999</v>
      </c>
      <c r="AF1581" s="12" t="s">
        <v>22</v>
      </c>
    </row>
    <row r="1582" spans="1:32" x14ac:dyDescent="0.2">
      <c r="A1582" s="12" t="s">
        <v>352</v>
      </c>
      <c r="B1582" s="12" t="s">
        <v>352</v>
      </c>
      <c r="C1582" s="12" t="s">
        <v>353</v>
      </c>
      <c r="D1582" s="12" t="s">
        <v>13</v>
      </c>
      <c r="E1582" s="12" t="s">
        <v>8110</v>
      </c>
      <c r="F1582" s="12" t="s">
        <v>5458</v>
      </c>
      <c r="G1582" s="12" t="s">
        <v>273</v>
      </c>
      <c r="H1582" s="12" t="s">
        <v>6614</v>
      </c>
      <c r="I1582" s="12">
        <v>8300</v>
      </c>
      <c r="J1582" s="12" t="s">
        <v>355</v>
      </c>
      <c r="K1582" s="12" t="s">
        <v>6657</v>
      </c>
      <c r="L1582" s="12" t="s">
        <v>274</v>
      </c>
      <c r="M1582" s="12" t="s">
        <v>274</v>
      </c>
      <c r="N1582" s="12" t="s">
        <v>5785</v>
      </c>
      <c r="O1582" s="12" t="s">
        <v>197</v>
      </c>
      <c r="P1582" s="12" t="s">
        <v>198</v>
      </c>
      <c r="Q1582" s="12" t="s">
        <v>6682</v>
      </c>
      <c r="R1582" s="12">
        <v>40.299999999999997</v>
      </c>
      <c r="S1582" s="12">
        <v>29.56666667</v>
      </c>
      <c r="T1582" s="12" t="s">
        <v>25</v>
      </c>
      <c r="U1582" s="12" t="s">
        <v>356</v>
      </c>
      <c r="V1582" s="12" t="s">
        <v>6639</v>
      </c>
      <c r="W1582" s="12" t="s">
        <v>6639</v>
      </c>
      <c r="X1582" s="12">
        <v>2.2480000000000002</v>
      </c>
      <c r="Y1582" s="12">
        <v>799433</v>
      </c>
      <c r="Z1582" s="12" t="s">
        <v>6639</v>
      </c>
      <c r="AA1582" s="12" t="s">
        <v>6639</v>
      </c>
      <c r="AB1582" s="12" t="s">
        <v>354</v>
      </c>
      <c r="AC1582" s="12" t="s">
        <v>21</v>
      </c>
      <c r="AD1582" s="12" t="s">
        <v>17</v>
      </c>
      <c r="AE1582" s="12">
        <v>0.996</v>
      </c>
      <c r="AF1582" s="12" t="s">
        <v>45</v>
      </c>
    </row>
    <row r="1583" spans="1:32" x14ac:dyDescent="0.2">
      <c r="A1583" s="12" t="s">
        <v>323</v>
      </c>
      <c r="B1583" s="12" t="s">
        <v>323</v>
      </c>
      <c r="C1583" s="12" t="s">
        <v>324</v>
      </c>
      <c r="D1583" s="12" t="s">
        <v>13</v>
      </c>
      <c r="E1583" s="12" t="s">
        <v>8110</v>
      </c>
      <c r="F1583" s="12" t="s">
        <v>5460</v>
      </c>
      <c r="G1583" s="12" t="s">
        <v>273</v>
      </c>
      <c r="H1583" s="12" t="s">
        <v>6614</v>
      </c>
      <c r="I1583" s="12">
        <v>8288</v>
      </c>
      <c r="J1583" s="12" t="s">
        <v>326</v>
      </c>
      <c r="K1583" s="12" t="s">
        <v>6657</v>
      </c>
      <c r="L1583" s="12" t="s">
        <v>274</v>
      </c>
      <c r="M1583" s="12" t="s">
        <v>274</v>
      </c>
      <c r="N1583" s="12" t="s">
        <v>5785</v>
      </c>
      <c r="O1583" s="12" t="s">
        <v>197</v>
      </c>
      <c r="P1583" s="12" t="s">
        <v>198</v>
      </c>
      <c r="Q1583" s="12" t="s">
        <v>6682</v>
      </c>
      <c r="R1583" s="12">
        <v>40.299999999999997</v>
      </c>
      <c r="S1583" s="12">
        <v>29.56666667</v>
      </c>
      <c r="T1583" s="12" t="s">
        <v>11</v>
      </c>
      <c r="U1583" s="12" t="s">
        <v>327</v>
      </c>
      <c r="V1583" s="12" t="s">
        <v>5760</v>
      </c>
      <c r="W1583" s="12" t="s">
        <v>7160</v>
      </c>
      <c r="X1583" s="12">
        <v>2.125</v>
      </c>
      <c r="Y1583" s="12">
        <v>755758</v>
      </c>
      <c r="Z1583" s="12" t="s">
        <v>17</v>
      </c>
      <c r="AA1583" s="12" t="s">
        <v>17</v>
      </c>
      <c r="AB1583" s="12" t="s">
        <v>325</v>
      </c>
      <c r="AC1583" s="12" t="s">
        <v>21</v>
      </c>
      <c r="AD1583" s="12">
        <v>0.16200000000000001</v>
      </c>
      <c r="AE1583" s="12">
        <v>0.99399999999999999</v>
      </c>
      <c r="AF1583" s="12" t="s">
        <v>328</v>
      </c>
    </row>
    <row r="1584" spans="1:32" x14ac:dyDescent="0.2">
      <c r="A1584" s="12" t="s">
        <v>329</v>
      </c>
      <c r="B1584" s="12" t="s">
        <v>329</v>
      </c>
      <c r="C1584" s="12" t="s">
        <v>330</v>
      </c>
      <c r="D1584" s="12" t="s">
        <v>13</v>
      </c>
      <c r="E1584" s="12" t="s">
        <v>8110</v>
      </c>
      <c r="F1584" s="12" t="s">
        <v>5460</v>
      </c>
      <c r="G1584" s="12" t="s">
        <v>273</v>
      </c>
      <c r="H1584" s="12" t="s">
        <v>6614</v>
      </c>
      <c r="I1584" s="12">
        <v>8288</v>
      </c>
      <c r="J1584" s="12" t="s">
        <v>332</v>
      </c>
      <c r="K1584" s="12" t="s">
        <v>6657</v>
      </c>
      <c r="L1584" s="12" t="s">
        <v>274</v>
      </c>
      <c r="M1584" s="12" t="s">
        <v>274</v>
      </c>
      <c r="N1584" s="12" t="s">
        <v>5785</v>
      </c>
      <c r="O1584" s="12" t="s">
        <v>197</v>
      </c>
      <c r="P1584" s="12" t="s">
        <v>198</v>
      </c>
      <c r="Q1584" s="12" t="s">
        <v>6682</v>
      </c>
      <c r="R1584" s="12">
        <v>40.299999999999997</v>
      </c>
      <c r="S1584" s="12">
        <v>29.56666667</v>
      </c>
      <c r="T1584" s="12" t="s">
        <v>25</v>
      </c>
      <c r="U1584" s="12" t="s">
        <v>333</v>
      </c>
      <c r="V1584" s="12" t="s">
        <v>6639</v>
      </c>
      <c r="W1584" s="12" t="s">
        <v>6639</v>
      </c>
      <c r="X1584" s="12">
        <v>2.9940000000000002</v>
      </c>
      <c r="Y1584" s="12">
        <v>780873</v>
      </c>
      <c r="Z1584" s="12" t="s">
        <v>6639</v>
      </c>
      <c r="AA1584" s="12" t="s">
        <v>6639</v>
      </c>
      <c r="AB1584" s="12" t="s">
        <v>331</v>
      </c>
      <c r="AC1584" s="12" t="s">
        <v>21</v>
      </c>
      <c r="AD1584" s="12">
        <v>0.16300000000000001</v>
      </c>
      <c r="AE1584" s="12">
        <v>0.998</v>
      </c>
      <c r="AF1584" s="12" t="s">
        <v>45</v>
      </c>
    </row>
    <row r="1585" spans="1:32" x14ac:dyDescent="0.2">
      <c r="A1585" s="12" t="s">
        <v>318</v>
      </c>
      <c r="B1585" s="12" t="s">
        <v>318</v>
      </c>
      <c r="C1585" s="12" t="s">
        <v>319</v>
      </c>
      <c r="D1585" s="12" t="s">
        <v>13</v>
      </c>
      <c r="E1585" s="12" t="s">
        <v>8110</v>
      </c>
      <c r="F1585" s="12" t="s">
        <v>5460</v>
      </c>
      <c r="G1585" s="12" t="s">
        <v>273</v>
      </c>
      <c r="H1585" s="12" t="s">
        <v>6614</v>
      </c>
      <c r="I1585" s="12">
        <v>8281</v>
      </c>
      <c r="J1585" s="12" t="s">
        <v>321</v>
      </c>
      <c r="K1585" s="12" t="s">
        <v>6657</v>
      </c>
      <c r="L1585" s="12" t="s">
        <v>274</v>
      </c>
      <c r="M1585" s="12" t="s">
        <v>274</v>
      </c>
      <c r="N1585" s="12" t="s">
        <v>5785</v>
      </c>
      <c r="O1585" s="12" t="s">
        <v>197</v>
      </c>
      <c r="P1585" s="12" t="s">
        <v>198</v>
      </c>
      <c r="Q1585" s="12" t="s">
        <v>6682</v>
      </c>
      <c r="R1585" s="12">
        <v>40.299999999999997</v>
      </c>
      <c r="S1585" s="12">
        <v>29.56666667</v>
      </c>
      <c r="T1585" s="12" t="s">
        <v>11</v>
      </c>
      <c r="U1585" s="12" t="s">
        <v>218</v>
      </c>
      <c r="V1585" s="12" t="s">
        <v>322</v>
      </c>
      <c r="W1585" s="12" t="s">
        <v>7160</v>
      </c>
      <c r="X1585" s="12">
        <v>13.544</v>
      </c>
      <c r="Y1585" s="12">
        <v>1023789</v>
      </c>
      <c r="Z1585" s="12" t="s">
        <v>17</v>
      </c>
      <c r="AA1585" s="12" t="s">
        <v>17</v>
      </c>
      <c r="AB1585" s="12" t="s">
        <v>320</v>
      </c>
      <c r="AC1585" s="12" t="s">
        <v>21</v>
      </c>
      <c r="AD1585" s="12">
        <v>0.13</v>
      </c>
      <c r="AE1585" s="12">
        <v>0.99299999999999999</v>
      </c>
      <c r="AF1585" s="12" t="s">
        <v>152</v>
      </c>
    </row>
    <row r="1586" spans="1:32" x14ac:dyDescent="0.2">
      <c r="A1586" s="12" t="s">
        <v>311</v>
      </c>
      <c r="B1586" s="12" t="s">
        <v>311</v>
      </c>
      <c r="C1586" s="12" t="s">
        <v>312</v>
      </c>
      <c r="D1586" s="12" t="s">
        <v>13</v>
      </c>
      <c r="E1586" s="12" t="s">
        <v>8110</v>
      </c>
      <c r="F1586" s="12" t="s">
        <v>5460</v>
      </c>
      <c r="G1586" s="12" t="s">
        <v>273</v>
      </c>
      <c r="H1586" s="12" t="s">
        <v>6614</v>
      </c>
      <c r="I1586" s="12">
        <v>8273</v>
      </c>
      <c r="J1586" s="12" t="s">
        <v>314</v>
      </c>
      <c r="K1586" s="12" t="s">
        <v>6657</v>
      </c>
      <c r="L1586" s="12" t="s">
        <v>274</v>
      </c>
      <c r="M1586" s="12" t="s">
        <v>274</v>
      </c>
      <c r="N1586" s="12" t="s">
        <v>5785</v>
      </c>
      <c r="O1586" s="12" t="s">
        <v>197</v>
      </c>
      <c r="P1586" s="12" t="s">
        <v>198</v>
      </c>
      <c r="Q1586" s="12" t="s">
        <v>6682</v>
      </c>
      <c r="R1586" s="12">
        <v>40.299999999999997</v>
      </c>
      <c r="S1586" s="12">
        <v>29.56666667</v>
      </c>
      <c r="T1586" s="12" t="s">
        <v>11</v>
      </c>
      <c r="U1586" s="12" t="s">
        <v>315</v>
      </c>
      <c r="V1586" s="12" t="s">
        <v>316</v>
      </c>
      <c r="W1586" s="12" t="s">
        <v>7160</v>
      </c>
      <c r="X1586" s="12">
        <v>2.39</v>
      </c>
      <c r="Y1586" s="12">
        <v>884258</v>
      </c>
      <c r="Z1586" s="12" t="s">
        <v>17</v>
      </c>
      <c r="AA1586" s="12" t="s">
        <v>17</v>
      </c>
      <c r="AB1586" s="12" t="s">
        <v>313</v>
      </c>
      <c r="AC1586" s="12" t="s">
        <v>21</v>
      </c>
      <c r="AD1586" s="12" t="s">
        <v>17</v>
      </c>
      <c r="AE1586" s="12">
        <v>0.99399999999999999</v>
      </c>
      <c r="AF1586" s="12" t="s">
        <v>317</v>
      </c>
    </row>
    <row r="1587" spans="1:32" x14ac:dyDescent="0.2">
      <c r="A1587" s="12" t="s">
        <v>307</v>
      </c>
      <c r="B1587" s="12" t="s">
        <v>307</v>
      </c>
      <c r="C1587" s="12" t="s">
        <v>308</v>
      </c>
      <c r="D1587" s="12" t="s">
        <v>13</v>
      </c>
      <c r="E1587" s="12" t="s">
        <v>8110</v>
      </c>
      <c r="F1587" s="12" t="s">
        <v>5460</v>
      </c>
      <c r="G1587" s="12" t="s">
        <v>273</v>
      </c>
      <c r="H1587" s="12" t="s">
        <v>6614</v>
      </c>
      <c r="I1587" s="12">
        <v>8254</v>
      </c>
      <c r="J1587" s="12" t="s">
        <v>310</v>
      </c>
      <c r="K1587" s="12" t="s">
        <v>6657</v>
      </c>
      <c r="L1587" s="12" t="s">
        <v>274</v>
      </c>
      <c r="M1587" s="12" t="s">
        <v>274</v>
      </c>
      <c r="N1587" s="12" t="s">
        <v>5785</v>
      </c>
      <c r="O1587" s="12" t="s">
        <v>197</v>
      </c>
      <c r="P1587" s="12" t="s">
        <v>198</v>
      </c>
      <c r="Q1587" s="12" t="s">
        <v>6682</v>
      </c>
      <c r="R1587" s="12">
        <v>40.299999999999997</v>
      </c>
      <c r="S1587" s="12">
        <v>29.56666667</v>
      </c>
      <c r="T1587" s="12" t="s">
        <v>25</v>
      </c>
      <c r="U1587" s="12" t="s">
        <v>290</v>
      </c>
      <c r="V1587" s="12" t="s">
        <v>6639</v>
      </c>
      <c r="W1587" s="12" t="s">
        <v>6639</v>
      </c>
      <c r="X1587" s="12">
        <v>3.7629999999999999</v>
      </c>
      <c r="Y1587" s="12">
        <v>892187</v>
      </c>
      <c r="Z1587" s="12" t="s">
        <v>6639</v>
      </c>
      <c r="AA1587" s="12" t="s">
        <v>6639</v>
      </c>
      <c r="AB1587" s="12" t="s">
        <v>309</v>
      </c>
      <c r="AC1587" s="12" t="s">
        <v>21</v>
      </c>
      <c r="AD1587" s="12">
        <v>0.14899999999999999</v>
      </c>
      <c r="AE1587" s="12">
        <v>0.98599999999999999</v>
      </c>
      <c r="AF1587" s="12" t="s">
        <v>45</v>
      </c>
    </row>
    <row r="1588" spans="1:32" x14ac:dyDescent="0.2">
      <c r="A1588" s="12" t="s">
        <v>301</v>
      </c>
      <c r="B1588" s="12" t="s">
        <v>301</v>
      </c>
      <c r="C1588" s="12" t="s">
        <v>302</v>
      </c>
      <c r="D1588" s="12" t="s">
        <v>13</v>
      </c>
      <c r="E1588" s="12" t="s">
        <v>8110</v>
      </c>
      <c r="F1588" s="12" t="s">
        <v>5460</v>
      </c>
      <c r="G1588" s="12" t="s">
        <v>273</v>
      </c>
      <c r="H1588" s="12" t="s">
        <v>6614</v>
      </c>
      <c r="I1588" s="12">
        <v>8251</v>
      </c>
      <c r="J1588" s="12" t="s">
        <v>304</v>
      </c>
      <c r="K1588" s="12" t="s">
        <v>6657</v>
      </c>
      <c r="L1588" s="12" t="s">
        <v>274</v>
      </c>
      <c r="M1588" s="12" t="s">
        <v>274</v>
      </c>
      <c r="N1588" s="12" t="s">
        <v>5785</v>
      </c>
      <c r="O1588" s="12" t="s">
        <v>197</v>
      </c>
      <c r="P1588" s="12" t="s">
        <v>198</v>
      </c>
      <c r="Q1588" s="12" t="s">
        <v>6682</v>
      </c>
      <c r="R1588" s="12">
        <v>40.299999999999997</v>
      </c>
      <c r="S1588" s="12">
        <v>29.56666667</v>
      </c>
      <c r="T1588" s="12" t="s">
        <v>11</v>
      </c>
      <c r="U1588" s="12" t="s">
        <v>305</v>
      </c>
      <c r="V1588" s="12" t="s">
        <v>306</v>
      </c>
      <c r="W1588" s="12" t="s">
        <v>7160</v>
      </c>
      <c r="X1588" s="12">
        <v>7.7850000000000001</v>
      </c>
      <c r="Y1588" s="12">
        <v>996769</v>
      </c>
      <c r="Z1588" s="12" t="s">
        <v>17</v>
      </c>
      <c r="AA1588" s="12" t="s">
        <v>17</v>
      </c>
      <c r="AB1588" s="12" t="s">
        <v>303</v>
      </c>
      <c r="AC1588" s="12" t="s">
        <v>21</v>
      </c>
      <c r="AD1588" s="12" t="s">
        <v>17</v>
      </c>
      <c r="AE1588" s="12">
        <v>0.995</v>
      </c>
      <c r="AF1588" s="12" t="s">
        <v>152</v>
      </c>
    </row>
    <row r="1589" spans="1:32" x14ac:dyDescent="0.2">
      <c r="A1589" s="12" t="s">
        <v>296</v>
      </c>
      <c r="B1589" s="12" t="s">
        <v>296</v>
      </c>
      <c r="C1589" s="12" t="s">
        <v>297</v>
      </c>
      <c r="D1589" s="12" t="s">
        <v>13</v>
      </c>
      <c r="E1589" s="12" t="s">
        <v>8110</v>
      </c>
      <c r="F1589" s="12" t="s">
        <v>5460</v>
      </c>
      <c r="G1589" s="12" t="s">
        <v>273</v>
      </c>
      <c r="H1589" s="12" t="s">
        <v>6614</v>
      </c>
      <c r="I1589" s="12">
        <v>8195</v>
      </c>
      <c r="J1589" s="12" t="s">
        <v>299</v>
      </c>
      <c r="K1589" s="12" t="s">
        <v>6657</v>
      </c>
      <c r="L1589" s="12" t="s">
        <v>274</v>
      </c>
      <c r="M1589" s="12" t="s">
        <v>274</v>
      </c>
      <c r="N1589" s="12" t="s">
        <v>5785</v>
      </c>
      <c r="O1589" s="12" t="s">
        <v>197</v>
      </c>
      <c r="P1589" s="12" t="s">
        <v>198</v>
      </c>
      <c r="Q1589" s="12" t="s">
        <v>6682</v>
      </c>
      <c r="R1589" s="12">
        <v>40.299999999999997</v>
      </c>
      <c r="S1589" s="12">
        <v>29.56666667</v>
      </c>
      <c r="T1589" s="12" t="s">
        <v>25</v>
      </c>
      <c r="U1589" s="12" t="s">
        <v>300</v>
      </c>
      <c r="V1589" s="12" t="s">
        <v>6639</v>
      </c>
      <c r="W1589" s="12" t="s">
        <v>6639</v>
      </c>
      <c r="X1589" s="12">
        <v>4.9059999999999997</v>
      </c>
      <c r="Y1589" s="12">
        <v>974979</v>
      </c>
      <c r="Z1589" s="12" t="s">
        <v>6639</v>
      </c>
      <c r="AA1589" s="12" t="s">
        <v>6639</v>
      </c>
      <c r="AB1589" s="12" t="s">
        <v>298</v>
      </c>
      <c r="AC1589" s="12" t="s">
        <v>21</v>
      </c>
      <c r="AD1589" s="12">
        <v>0.113</v>
      </c>
      <c r="AE1589" s="12">
        <v>0.99199999999999999</v>
      </c>
      <c r="AF1589" s="12" t="s">
        <v>45</v>
      </c>
    </row>
    <row r="1590" spans="1:32" x14ac:dyDescent="0.2">
      <c r="A1590" s="12" t="s">
        <v>291</v>
      </c>
      <c r="B1590" s="12" t="s">
        <v>291</v>
      </c>
      <c r="C1590" s="12" t="s">
        <v>292</v>
      </c>
      <c r="D1590" s="12" t="s">
        <v>13</v>
      </c>
      <c r="E1590" s="12" t="s">
        <v>8110</v>
      </c>
      <c r="F1590" s="12" t="s">
        <v>5460</v>
      </c>
      <c r="G1590" s="12" t="s">
        <v>273</v>
      </c>
      <c r="H1590" s="12" t="s">
        <v>6614</v>
      </c>
      <c r="I1590" s="12">
        <v>8097</v>
      </c>
      <c r="J1590" s="12" t="s">
        <v>294</v>
      </c>
      <c r="K1590" s="12" t="s">
        <v>6657</v>
      </c>
      <c r="L1590" s="12" t="s">
        <v>274</v>
      </c>
      <c r="M1590" s="12" t="s">
        <v>274</v>
      </c>
      <c r="N1590" s="12" t="s">
        <v>5785</v>
      </c>
      <c r="O1590" s="12" t="s">
        <v>197</v>
      </c>
      <c r="P1590" s="12" t="s">
        <v>198</v>
      </c>
      <c r="Q1590" s="12" t="s">
        <v>6682</v>
      </c>
      <c r="R1590" s="12">
        <v>40.299999999999997</v>
      </c>
      <c r="S1590" s="12">
        <v>29.56666667</v>
      </c>
      <c r="T1590" s="12" t="s">
        <v>11</v>
      </c>
      <c r="U1590" s="12" t="s">
        <v>295</v>
      </c>
      <c r="V1590" s="12" t="s">
        <v>232</v>
      </c>
      <c r="W1590" s="12" t="s">
        <v>7160</v>
      </c>
      <c r="X1590" s="12">
        <v>6.9480000000000004</v>
      </c>
      <c r="Y1590" s="12">
        <v>980130</v>
      </c>
      <c r="Z1590" s="12" t="s">
        <v>17</v>
      </c>
      <c r="AA1590" s="12" t="s">
        <v>17</v>
      </c>
      <c r="AB1590" s="12" t="s">
        <v>293</v>
      </c>
      <c r="AC1590" s="12" t="s">
        <v>21</v>
      </c>
      <c r="AD1590" s="12" t="s">
        <v>17</v>
      </c>
      <c r="AE1590" s="12">
        <v>0.98299999999999998</v>
      </c>
      <c r="AF1590" s="12" t="s">
        <v>152</v>
      </c>
    </row>
    <row r="1591" spans="1:32" x14ac:dyDescent="0.2">
      <c r="A1591" s="12" t="s">
        <v>286</v>
      </c>
      <c r="B1591" s="12" t="s">
        <v>286</v>
      </c>
      <c r="C1591" s="12" t="s">
        <v>287</v>
      </c>
      <c r="D1591" s="12" t="s">
        <v>13</v>
      </c>
      <c r="E1591" s="12" t="s">
        <v>8110</v>
      </c>
      <c r="F1591" s="12" t="s">
        <v>5460</v>
      </c>
      <c r="G1591" s="12" t="s">
        <v>273</v>
      </c>
      <c r="H1591" s="12" t="s">
        <v>6614</v>
      </c>
      <c r="I1591" s="12">
        <v>8086</v>
      </c>
      <c r="J1591" s="12" t="s">
        <v>289</v>
      </c>
      <c r="K1591" s="12" t="s">
        <v>6657</v>
      </c>
      <c r="L1591" s="12" t="s">
        <v>274</v>
      </c>
      <c r="M1591" s="12" t="s">
        <v>274</v>
      </c>
      <c r="N1591" s="12" t="s">
        <v>5785</v>
      </c>
      <c r="O1591" s="12" t="s">
        <v>197</v>
      </c>
      <c r="P1591" s="12" t="s">
        <v>198</v>
      </c>
      <c r="Q1591" s="12" t="s">
        <v>6682</v>
      </c>
      <c r="R1591" s="12">
        <v>40.299999999999997</v>
      </c>
      <c r="S1591" s="12">
        <v>29.56666667</v>
      </c>
      <c r="T1591" s="12" t="s">
        <v>11</v>
      </c>
      <c r="U1591" s="12" t="s">
        <v>290</v>
      </c>
      <c r="V1591" s="12" t="s">
        <v>306</v>
      </c>
      <c r="W1591" s="12" t="s">
        <v>7160</v>
      </c>
      <c r="X1591" s="12">
        <v>9.7650000000000006</v>
      </c>
      <c r="Y1591" s="12">
        <v>987745</v>
      </c>
      <c r="Z1591" s="12" t="s">
        <v>17</v>
      </c>
      <c r="AA1591" s="12" t="s">
        <v>17</v>
      </c>
      <c r="AB1591" s="12" t="s">
        <v>288</v>
      </c>
      <c r="AC1591" s="12" t="s">
        <v>21</v>
      </c>
      <c r="AD1591" s="12" t="s">
        <v>17</v>
      </c>
      <c r="AE1591" s="12">
        <v>0.996</v>
      </c>
      <c r="AF1591" s="12" t="s">
        <v>152</v>
      </c>
    </row>
    <row r="1592" spans="1:32" x14ac:dyDescent="0.2">
      <c r="A1592" s="12" t="s">
        <v>341</v>
      </c>
      <c r="B1592" s="12" t="s">
        <v>341</v>
      </c>
      <c r="C1592" s="12" t="s">
        <v>342</v>
      </c>
      <c r="D1592" s="12" t="s">
        <v>143</v>
      </c>
      <c r="E1592" s="12" t="s">
        <v>8110</v>
      </c>
      <c r="F1592" s="12" t="s">
        <v>5458</v>
      </c>
      <c r="G1592" s="12" t="s">
        <v>273</v>
      </c>
      <c r="H1592" s="12" t="s">
        <v>6614</v>
      </c>
      <c r="I1592" s="12">
        <v>7950</v>
      </c>
      <c r="J1592" s="12" t="s">
        <v>337</v>
      </c>
      <c r="K1592" s="12" t="s">
        <v>6657</v>
      </c>
      <c r="L1592" s="12" t="s">
        <v>274</v>
      </c>
      <c r="M1592" s="12" t="s">
        <v>274</v>
      </c>
      <c r="N1592" s="12" t="s">
        <v>5785</v>
      </c>
      <c r="O1592" s="12" t="s">
        <v>278</v>
      </c>
      <c r="P1592" s="12" t="s">
        <v>198</v>
      </c>
      <c r="Q1592" s="12" t="s">
        <v>6682</v>
      </c>
      <c r="R1592" s="12">
        <v>40.26</v>
      </c>
      <c r="S1592" s="12">
        <v>29.65</v>
      </c>
      <c r="T1592" s="12" t="s">
        <v>25</v>
      </c>
      <c r="U1592" s="12" t="s">
        <v>344</v>
      </c>
      <c r="V1592" s="12" t="s">
        <v>6639</v>
      </c>
      <c r="W1592" s="12" t="s">
        <v>6639</v>
      </c>
      <c r="X1592" s="12">
        <v>3.7999999999999999E-2</v>
      </c>
      <c r="Y1592" s="12">
        <v>43335</v>
      </c>
      <c r="Z1592" s="12" t="s">
        <v>6639</v>
      </c>
      <c r="AA1592" s="12" t="s">
        <v>6639</v>
      </c>
      <c r="AB1592" s="12" t="s">
        <v>343</v>
      </c>
      <c r="AC1592" s="12" t="s">
        <v>21</v>
      </c>
      <c r="AD1592" s="12">
        <v>9.0999999999999998E-2</v>
      </c>
      <c r="AE1592" s="12">
        <v>0.996</v>
      </c>
      <c r="AF1592" s="12" t="s">
        <v>45</v>
      </c>
    </row>
    <row r="1593" spans="1:32" x14ac:dyDescent="0.2">
      <c r="A1593" s="12" t="s">
        <v>349</v>
      </c>
      <c r="B1593" s="12" t="s">
        <v>349</v>
      </c>
      <c r="C1593" s="12" t="s">
        <v>350</v>
      </c>
      <c r="D1593" s="12" t="s">
        <v>17</v>
      </c>
      <c r="E1593" s="12" t="s">
        <v>8110</v>
      </c>
      <c r="F1593" s="12" t="s">
        <v>5458</v>
      </c>
      <c r="G1593" s="12" t="s">
        <v>273</v>
      </c>
      <c r="H1593" s="12" t="s">
        <v>6614</v>
      </c>
      <c r="I1593" s="12">
        <v>7950</v>
      </c>
      <c r="J1593" s="12" t="s">
        <v>337</v>
      </c>
      <c r="K1593" s="12" t="s">
        <v>6657</v>
      </c>
      <c r="L1593" s="12" t="s">
        <v>274</v>
      </c>
      <c r="M1593" s="12" t="s">
        <v>274</v>
      </c>
      <c r="N1593" s="12" t="s">
        <v>5785</v>
      </c>
      <c r="O1593" s="12" t="s">
        <v>278</v>
      </c>
      <c r="P1593" s="12" t="s">
        <v>198</v>
      </c>
      <c r="Q1593" s="12" t="s">
        <v>6682</v>
      </c>
      <c r="R1593" s="12">
        <v>40.26</v>
      </c>
      <c r="S1593" s="12">
        <v>29.65</v>
      </c>
      <c r="T1593" s="12" t="s">
        <v>11</v>
      </c>
      <c r="U1593" s="12" t="s">
        <v>218</v>
      </c>
      <c r="V1593" s="12" t="s">
        <v>4680</v>
      </c>
      <c r="W1593" s="12" t="s">
        <v>7160</v>
      </c>
      <c r="X1593" s="12">
        <v>0.17100000000000001</v>
      </c>
      <c r="Y1593" s="12">
        <v>183324</v>
      </c>
      <c r="Z1593" s="12" t="s">
        <v>17</v>
      </c>
      <c r="AA1593" s="12" t="s">
        <v>17</v>
      </c>
      <c r="AB1593" s="12" t="s">
        <v>351</v>
      </c>
      <c r="AC1593" s="12" t="s">
        <v>340</v>
      </c>
      <c r="AD1593" s="12" t="s">
        <v>7844</v>
      </c>
      <c r="AE1593" s="12" t="s">
        <v>7721</v>
      </c>
      <c r="AF1593" s="12" t="s">
        <v>45</v>
      </c>
    </row>
    <row r="1594" spans="1:32" x14ac:dyDescent="0.2">
      <c r="A1594" s="12" t="s">
        <v>345</v>
      </c>
      <c r="B1594" s="12" t="s">
        <v>345</v>
      </c>
      <c r="C1594" s="12" t="s">
        <v>346</v>
      </c>
      <c r="D1594" s="12" t="s">
        <v>347</v>
      </c>
      <c r="E1594" s="12" t="s">
        <v>8110</v>
      </c>
      <c r="F1594" s="12" t="s">
        <v>5458</v>
      </c>
      <c r="G1594" s="12" t="s">
        <v>273</v>
      </c>
      <c r="H1594" s="12" t="s">
        <v>6614</v>
      </c>
      <c r="I1594" s="12">
        <v>7950</v>
      </c>
      <c r="J1594" s="12" t="s">
        <v>337</v>
      </c>
      <c r="K1594" s="12" t="s">
        <v>6657</v>
      </c>
      <c r="L1594" s="12" t="s">
        <v>274</v>
      </c>
      <c r="M1594" s="12" t="s">
        <v>274</v>
      </c>
      <c r="N1594" s="12" t="s">
        <v>5785</v>
      </c>
      <c r="O1594" s="12" t="s">
        <v>278</v>
      </c>
      <c r="P1594" s="12" t="s">
        <v>198</v>
      </c>
      <c r="Q1594" s="12" t="s">
        <v>6682</v>
      </c>
      <c r="R1594" s="12">
        <v>40.26</v>
      </c>
      <c r="S1594" s="12">
        <v>29.65</v>
      </c>
      <c r="T1594" s="12" t="s">
        <v>25</v>
      </c>
      <c r="U1594" s="12" t="s">
        <v>5746</v>
      </c>
      <c r="V1594" s="12" t="s">
        <v>6639</v>
      </c>
      <c r="W1594" s="12" t="s">
        <v>6639</v>
      </c>
      <c r="X1594" s="12">
        <v>0.221</v>
      </c>
      <c r="Y1594" s="12">
        <v>228543</v>
      </c>
      <c r="Z1594" s="12" t="s">
        <v>6639</v>
      </c>
      <c r="AA1594" s="12" t="s">
        <v>6639</v>
      </c>
      <c r="AB1594" s="12" t="s">
        <v>348</v>
      </c>
      <c r="AC1594" s="12" t="s">
        <v>340</v>
      </c>
      <c r="AD1594" s="12" t="s">
        <v>7857</v>
      </c>
      <c r="AE1594" s="12" t="s">
        <v>7727</v>
      </c>
      <c r="AF1594" s="12" t="s">
        <v>45</v>
      </c>
    </row>
    <row r="1595" spans="1:32" x14ac:dyDescent="0.2">
      <c r="A1595" s="12" t="s">
        <v>334</v>
      </c>
      <c r="B1595" s="12" t="s">
        <v>334</v>
      </c>
      <c r="C1595" s="12" t="s">
        <v>335</v>
      </c>
      <c r="D1595" s="12" t="s">
        <v>143</v>
      </c>
      <c r="E1595" s="12" t="s">
        <v>8110</v>
      </c>
      <c r="F1595" s="12" t="s">
        <v>5458</v>
      </c>
      <c r="G1595" s="12" t="s">
        <v>273</v>
      </c>
      <c r="H1595" s="12" t="s">
        <v>6614</v>
      </c>
      <c r="I1595" s="12">
        <v>7950</v>
      </c>
      <c r="J1595" s="12" t="s">
        <v>337</v>
      </c>
      <c r="K1595" s="12" t="s">
        <v>6657</v>
      </c>
      <c r="L1595" s="12" t="s">
        <v>274</v>
      </c>
      <c r="M1595" s="12" t="s">
        <v>274</v>
      </c>
      <c r="N1595" s="12" t="s">
        <v>5785</v>
      </c>
      <c r="O1595" s="12" t="s">
        <v>278</v>
      </c>
      <c r="P1595" s="12" t="s">
        <v>198</v>
      </c>
      <c r="Q1595" s="12" t="s">
        <v>6682</v>
      </c>
      <c r="R1595" s="12">
        <v>40.26</v>
      </c>
      <c r="S1595" s="12">
        <v>29.65</v>
      </c>
      <c r="T1595" s="12" t="s">
        <v>11</v>
      </c>
      <c r="U1595" s="12" t="s">
        <v>338</v>
      </c>
      <c r="V1595" s="12" t="s">
        <v>589</v>
      </c>
      <c r="W1595" s="12" t="s">
        <v>7160</v>
      </c>
      <c r="X1595" s="12">
        <v>0.23100000000000001</v>
      </c>
      <c r="Y1595" s="12">
        <v>234996</v>
      </c>
      <c r="Z1595" s="12" t="s">
        <v>17</v>
      </c>
      <c r="AA1595" s="12" t="s">
        <v>17</v>
      </c>
      <c r="AB1595" s="12" t="s">
        <v>336</v>
      </c>
      <c r="AC1595" s="12" t="s">
        <v>340</v>
      </c>
      <c r="AD1595" s="12" t="s">
        <v>7880</v>
      </c>
      <c r="AE1595" s="12" t="s">
        <v>7730</v>
      </c>
      <c r="AF1595" s="12" t="s">
        <v>45</v>
      </c>
    </row>
    <row r="1596" spans="1:32" x14ac:dyDescent="0.2">
      <c r="A1596" s="12" t="s">
        <v>281</v>
      </c>
      <c r="B1596" s="12" t="s">
        <v>281</v>
      </c>
      <c r="C1596" s="12" t="s">
        <v>282</v>
      </c>
      <c r="D1596" s="12" t="s">
        <v>13</v>
      </c>
      <c r="E1596" s="12" t="s">
        <v>8110</v>
      </c>
      <c r="F1596" s="12" t="s">
        <v>5460</v>
      </c>
      <c r="G1596" s="12" t="s">
        <v>273</v>
      </c>
      <c r="H1596" s="12" t="s">
        <v>6614</v>
      </c>
      <c r="I1596" s="12">
        <v>7930</v>
      </c>
      <c r="J1596" s="12" t="s">
        <v>284</v>
      </c>
      <c r="K1596" s="12" t="s">
        <v>6657</v>
      </c>
      <c r="L1596" s="12" t="s">
        <v>274</v>
      </c>
      <c r="M1596" s="12" t="s">
        <v>274</v>
      </c>
      <c r="N1596" s="12" t="s">
        <v>5785</v>
      </c>
      <c r="O1596" s="12" t="s">
        <v>197</v>
      </c>
      <c r="P1596" s="12" t="s">
        <v>198</v>
      </c>
      <c r="Q1596" s="12" t="s">
        <v>6682</v>
      </c>
      <c r="R1596" s="12">
        <v>40.299999999999997</v>
      </c>
      <c r="S1596" s="12">
        <v>29.56666667</v>
      </c>
      <c r="T1596" s="12" t="s">
        <v>11</v>
      </c>
      <c r="U1596" s="12" t="s">
        <v>5759</v>
      </c>
      <c r="V1596" s="12" t="s">
        <v>285</v>
      </c>
      <c r="W1596" s="12" t="s">
        <v>7160</v>
      </c>
      <c r="X1596" s="12">
        <v>8.4649999999999999</v>
      </c>
      <c r="Y1596" s="12">
        <v>1003994</v>
      </c>
      <c r="Z1596" s="12" t="s">
        <v>17</v>
      </c>
      <c r="AA1596" s="12" t="s">
        <v>17</v>
      </c>
      <c r="AB1596" s="12" t="s">
        <v>283</v>
      </c>
      <c r="AC1596" s="12" t="s">
        <v>21</v>
      </c>
      <c r="AD1596" s="12" t="s">
        <v>17</v>
      </c>
      <c r="AE1596" s="12">
        <v>0.99299999999999999</v>
      </c>
      <c r="AF1596" s="12" t="s">
        <v>152</v>
      </c>
    </row>
    <row r="1597" spans="1:32" x14ac:dyDescent="0.2">
      <c r="A1597" s="12" t="s">
        <v>272</v>
      </c>
      <c r="B1597" s="12" t="s">
        <v>272</v>
      </c>
      <c r="C1597" s="12" t="s">
        <v>275</v>
      </c>
      <c r="D1597" s="12" t="s">
        <v>143</v>
      </c>
      <c r="E1597" s="12" t="s">
        <v>8110</v>
      </c>
      <c r="F1597" s="12" t="s">
        <v>5460</v>
      </c>
      <c r="G1597" s="12" t="s">
        <v>273</v>
      </c>
      <c r="H1597" s="12" t="s">
        <v>6614</v>
      </c>
      <c r="I1597" s="12">
        <v>7870</v>
      </c>
      <c r="J1597" s="12" t="s">
        <v>277</v>
      </c>
      <c r="K1597" s="12" t="s">
        <v>6657</v>
      </c>
      <c r="L1597" s="12" t="s">
        <v>274</v>
      </c>
      <c r="M1597" s="12" t="s">
        <v>274</v>
      </c>
      <c r="N1597" s="12" t="s">
        <v>5785</v>
      </c>
      <c r="O1597" s="12" t="s">
        <v>278</v>
      </c>
      <c r="P1597" s="12" t="s">
        <v>198</v>
      </c>
      <c r="Q1597" s="12" t="s">
        <v>6682</v>
      </c>
      <c r="R1597" s="12">
        <v>40.26</v>
      </c>
      <c r="S1597" s="12">
        <v>29.65</v>
      </c>
      <c r="T1597" s="12" t="s">
        <v>11</v>
      </c>
      <c r="U1597" s="12" t="s">
        <v>279</v>
      </c>
      <c r="V1597" s="12" t="s">
        <v>183</v>
      </c>
      <c r="W1597" s="12" t="s">
        <v>7160</v>
      </c>
      <c r="X1597" s="12">
        <v>1.2130000000000001</v>
      </c>
      <c r="Y1597" s="12">
        <v>702849</v>
      </c>
      <c r="Z1597" s="12" t="s">
        <v>17</v>
      </c>
      <c r="AA1597" s="12" t="s">
        <v>17</v>
      </c>
      <c r="AB1597" s="12" t="s">
        <v>276</v>
      </c>
      <c r="AC1597" s="12" t="s">
        <v>219</v>
      </c>
      <c r="AD1597" s="12" t="s">
        <v>7812</v>
      </c>
      <c r="AE1597" s="12" t="s">
        <v>7764</v>
      </c>
      <c r="AF1597" s="12" t="s">
        <v>45</v>
      </c>
    </row>
    <row r="1598" spans="1:32" x14ac:dyDescent="0.2">
      <c r="A1598" s="12" t="s">
        <v>267</v>
      </c>
      <c r="B1598" s="12" t="s">
        <v>268</v>
      </c>
      <c r="C1598" s="12" t="s">
        <v>269</v>
      </c>
      <c r="D1598" s="12" t="s">
        <v>17</v>
      </c>
      <c r="E1598" s="12" t="s">
        <v>7678</v>
      </c>
      <c r="F1598" s="12" t="s">
        <v>5458</v>
      </c>
      <c r="G1598" s="12" t="s">
        <v>222</v>
      </c>
      <c r="H1598" s="12" t="s">
        <v>6614</v>
      </c>
      <c r="I1598" s="12">
        <v>3800</v>
      </c>
      <c r="J1598" s="12" t="s">
        <v>251</v>
      </c>
      <c r="K1598" s="12" t="s">
        <v>6652</v>
      </c>
      <c r="L1598" s="12" t="s">
        <v>249</v>
      </c>
      <c r="M1598" s="12" t="s">
        <v>249</v>
      </c>
      <c r="N1598" s="12" t="s">
        <v>5785</v>
      </c>
      <c r="O1598" s="12" t="s">
        <v>242</v>
      </c>
      <c r="P1598" s="12" t="s">
        <v>198</v>
      </c>
      <c r="Q1598" s="12" t="s">
        <v>6682</v>
      </c>
      <c r="R1598" s="12">
        <v>39.345804999999999</v>
      </c>
      <c r="S1598" s="12">
        <v>33.788130000000002</v>
      </c>
      <c r="T1598" s="12" t="s">
        <v>11</v>
      </c>
      <c r="U1598" s="12" t="s">
        <v>270</v>
      </c>
      <c r="V1598" s="12" t="s">
        <v>271</v>
      </c>
      <c r="W1598" s="12" t="s">
        <v>7415</v>
      </c>
      <c r="X1598" s="12">
        <v>0.1</v>
      </c>
      <c r="Y1598" s="12">
        <v>88242</v>
      </c>
      <c r="Z1598" s="12" t="s">
        <v>17</v>
      </c>
      <c r="AA1598" s="12" t="s">
        <v>17</v>
      </c>
      <c r="AB1598" s="12" t="s">
        <v>17</v>
      </c>
      <c r="AC1598" s="12" t="s">
        <v>144</v>
      </c>
      <c r="AD1598" s="12" t="s">
        <v>17</v>
      </c>
      <c r="AE1598" s="12" t="s">
        <v>17</v>
      </c>
      <c r="AF1598" s="12" t="s">
        <v>45</v>
      </c>
    </row>
    <row r="1599" spans="1:32" x14ac:dyDescent="0.2">
      <c r="A1599" s="12" t="s">
        <v>263</v>
      </c>
      <c r="B1599" s="12" t="s">
        <v>264</v>
      </c>
      <c r="C1599" s="12" t="s">
        <v>265</v>
      </c>
      <c r="D1599" s="12" t="s">
        <v>17</v>
      </c>
      <c r="E1599" s="12" t="s">
        <v>7678</v>
      </c>
      <c r="F1599" s="12" t="s">
        <v>5458</v>
      </c>
      <c r="G1599" s="12" t="s">
        <v>222</v>
      </c>
      <c r="H1599" s="12" t="s">
        <v>6614</v>
      </c>
      <c r="I1599" s="12">
        <v>3800</v>
      </c>
      <c r="J1599" s="12" t="s">
        <v>251</v>
      </c>
      <c r="K1599" s="12" t="s">
        <v>6652</v>
      </c>
      <c r="L1599" s="12" t="s">
        <v>249</v>
      </c>
      <c r="M1599" s="12" t="s">
        <v>249</v>
      </c>
      <c r="N1599" s="12" t="s">
        <v>5785</v>
      </c>
      <c r="O1599" s="12" t="s">
        <v>242</v>
      </c>
      <c r="P1599" s="12" t="s">
        <v>198</v>
      </c>
      <c r="Q1599" s="12" t="s">
        <v>6682</v>
      </c>
      <c r="R1599" s="12">
        <v>39.345804999999999</v>
      </c>
      <c r="S1599" s="12">
        <v>33.788130000000002</v>
      </c>
      <c r="T1599" s="12" t="s">
        <v>25</v>
      </c>
      <c r="U1599" s="12" t="s">
        <v>266</v>
      </c>
      <c r="V1599" s="12" t="s">
        <v>6639</v>
      </c>
      <c r="W1599" s="12" t="s">
        <v>6639</v>
      </c>
      <c r="X1599" s="12">
        <v>0.4</v>
      </c>
      <c r="Y1599" s="12">
        <v>327072</v>
      </c>
      <c r="Z1599" s="12" t="s">
        <v>6639</v>
      </c>
      <c r="AA1599" s="12" t="s">
        <v>6639</v>
      </c>
      <c r="AB1599" s="12" t="s">
        <v>17</v>
      </c>
      <c r="AC1599" s="12" t="s">
        <v>144</v>
      </c>
      <c r="AD1599" s="12" t="s">
        <v>17</v>
      </c>
      <c r="AE1599" s="12" t="s">
        <v>17</v>
      </c>
      <c r="AF1599" s="12" t="s">
        <v>45</v>
      </c>
    </row>
    <row r="1600" spans="1:32" x14ac:dyDescent="0.2">
      <c r="A1600" s="12" t="s">
        <v>258</v>
      </c>
      <c r="B1600" s="12" t="s">
        <v>259</v>
      </c>
      <c r="C1600" s="12" t="s">
        <v>260</v>
      </c>
      <c r="D1600" s="12" t="s">
        <v>17</v>
      </c>
      <c r="E1600" s="12" t="s">
        <v>7678</v>
      </c>
      <c r="F1600" s="12" t="s">
        <v>5458</v>
      </c>
      <c r="G1600" s="12" t="s">
        <v>222</v>
      </c>
      <c r="H1600" s="12" t="s">
        <v>6614</v>
      </c>
      <c r="I1600" s="12">
        <v>3800</v>
      </c>
      <c r="J1600" s="12" t="s">
        <v>251</v>
      </c>
      <c r="K1600" s="12" t="s">
        <v>6652</v>
      </c>
      <c r="L1600" s="12" t="s">
        <v>249</v>
      </c>
      <c r="M1600" s="12" t="s">
        <v>249</v>
      </c>
      <c r="N1600" s="12" t="s">
        <v>5785</v>
      </c>
      <c r="O1600" s="12" t="s">
        <v>242</v>
      </c>
      <c r="P1600" s="12" t="s">
        <v>198</v>
      </c>
      <c r="Q1600" s="12" t="s">
        <v>6682</v>
      </c>
      <c r="R1600" s="12">
        <v>39.345804999999999</v>
      </c>
      <c r="S1600" s="12">
        <v>33.788130000000002</v>
      </c>
      <c r="T1600" s="12" t="s">
        <v>11</v>
      </c>
      <c r="U1600" s="12" t="s">
        <v>261</v>
      </c>
      <c r="V1600" s="12" t="s">
        <v>262</v>
      </c>
      <c r="W1600" s="12" t="s">
        <v>7415</v>
      </c>
      <c r="X1600" s="12">
        <v>0.8</v>
      </c>
      <c r="Y1600" s="12">
        <v>534934</v>
      </c>
      <c r="Z1600" s="12" t="s">
        <v>17</v>
      </c>
      <c r="AA1600" s="12" t="s">
        <v>17</v>
      </c>
      <c r="AB1600" s="12" t="s">
        <v>17</v>
      </c>
      <c r="AC1600" s="12" t="s">
        <v>144</v>
      </c>
      <c r="AD1600" s="12" t="s">
        <v>17</v>
      </c>
      <c r="AE1600" s="12" t="s">
        <v>17</v>
      </c>
      <c r="AF1600" s="12" t="s">
        <v>45</v>
      </c>
    </row>
    <row r="1601" spans="1:32" x14ac:dyDescent="0.2">
      <c r="A1601" s="12" t="s">
        <v>254</v>
      </c>
      <c r="B1601" s="12" t="s">
        <v>255</v>
      </c>
      <c r="C1601" s="12" t="s">
        <v>256</v>
      </c>
      <c r="D1601" s="12" t="s">
        <v>17</v>
      </c>
      <c r="E1601" s="12" t="s">
        <v>7678</v>
      </c>
      <c r="F1601" s="12" t="s">
        <v>5458</v>
      </c>
      <c r="G1601" s="12" t="s">
        <v>222</v>
      </c>
      <c r="H1601" s="12" t="s">
        <v>6614</v>
      </c>
      <c r="I1601" s="12">
        <v>3800</v>
      </c>
      <c r="J1601" s="12" t="s">
        <v>251</v>
      </c>
      <c r="K1601" s="12" t="s">
        <v>6652</v>
      </c>
      <c r="L1601" s="12" t="s">
        <v>249</v>
      </c>
      <c r="M1601" s="12" t="s">
        <v>249</v>
      </c>
      <c r="N1601" s="12" t="s">
        <v>5785</v>
      </c>
      <c r="O1601" s="12" t="s">
        <v>242</v>
      </c>
      <c r="P1601" s="12" t="s">
        <v>198</v>
      </c>
      <c r="Q1601" s="12" t="s">
        <v>6682</v>
      </c>
      <c r="R1601" s="12">
        <v>39.345804999999999</v>
      </c>
      <c r="S1601" s="12">
        <v>33.788130000000002</v>
      </c>
      <c r="T1601" s="12" t="s">
        <v>25</v>
      </c>
      <c r="U1601" s="12" t="s">
        <v>257</v>
      </c>
      <c r="V1601" s="12" t="s">
        <v>6639</v>
      </c>
      <c r="W1601" s="12" t="s">
        <v>6639</v>
      </c>
      <c r="X1601" s="12">
        <v>0.9</v>
      </c>
      <c r="Y1601" s="12">
        <v>572622</v>
      </c>
      <c r="Z1601" s="12" t="s">
        <v>6639</v>
      </c>
      <c r="AA1601" s="12" t="s">
        <v>6639</v>
      </c>
      <c r="AB1601" s="12" t="s">
        <v>17</v>
      </c>
      <c r="AC1601" s="12" t="s">
        <v>144</v>
      </c>
      <c r="AD1601" s="12" t="s">
        <v>17</v>
      </c>
      <c r="AE1601" s="12" t="s">
        <v>17</v>
      </c>
      <c r="AF1601" s="12" t="s">
        <v>45</v>
      </c>
    </row>
    <row r="1602" spans="1:32" x14ac:dyDescent="0.2">
      <c r="A1602" s="12" t="s">
        <v>247</v>
      </c>
      <c r="B1602" s="12" t="s">
        <v>248</v>
      </c>
      <c r="C1602" s="12" t="s">
        <v>250</v>
      </c>
      <c r="D1602" s="12" t="s">
        <v>17</v>
      </c>
      <c r="E1602" s="12" t="s">
        <v>7678</v>
      </c>
      <c r="F1602" s="12" t="s">
        <v>5458</v>
      </c>
      <c r="G1602" s="12" t="s">
        <v>222</v>
      </c>
      <c r="H1602" s="12" t="s">
        <v>6614</v>
      </c>
      <c r="I1602" s="12">
        <v>3800</v>
      </c>
      <c r="J1602" s="12" t="s">
        <v>251</v>
      </c>
      <c r="K1602" s="12" t="s">
        <v>6652</v>
      </c>
      <c r="L1602" s="12" t="s">
        <v>249</v>
      </c>
      <c r="M1602" s="12" t="s">
        <v>249</v>
      </c>
      <c r="N1602" s="12" t="s">
        <v>5785</v>
      </c>
      <c r="O1602" s="12" t="s">
        <v>242</v>
      </c>
      <c r="P1602" s="12" t="s">
        <v>198</v>
      </c>
      <c r="Q1602" s="12" t="s">
        <v>6682</v>
      </c>
      <c r="R1602" s="12">
        <v>39.345804999999999</v>
      </c>
      <c r="S1602" s="12">
        <v>33.788130000000002</v>
      </c>
      <c r="T1602" s="12" t="s">
        <v>11</v>
      </c>
      <c r="U1602" s="12" t="s">
        <v>252</v>
      </c>
      <c r="V1602" s="12" t="s">
        <v>253</v>
      </c>
      <c r="W1602" s="12" t="s">
        <v>7415</v>
      </c>
      <c r="X1602" s="12">
        <v>2.2000000000000002</v>
      </c>
      <c r="Y1602" s="12">
        <v>941301</v>
      </c>
      <c r="Z1602" s="12" t="s">
        <v>17</v>
      </c>
      <c r="AA1602" s="12" t="s">
        <v>17</v>
      </c>
      <c r="AB1602" s="12" t="s">
        <v>17</v>
      </c>
      <c r="AC1602" s="12" t="s">
        <v>144</v>
      </c>
      <c r="AD1602" s="12" t="s">
        <v>17</v>
      </c>
      <c r="AE1602" s="12" t="s">
        <v>17</v>
      </c>
      <c r="AF1602" s="12" t="s">
        <v>45</v>
      </c>
    </row>
    <row r="1603" spans="1:32" x14ac:dyDescent="0.2">
      <c r="A1603" s="12" t="s">
        <v>501</v>
      </c>
      <c r="B1603" s="12" t="s">
        <v>502</v>
      </c>
      <c r="C1603" s="12" t="s">
        <v>502</v>
      </c>
      <c r="D1603" s="12" t="s">
        <v>163</v>
      </c>
      <c r="E1603" s="12" t="s">
        <v>7676</v>
      </c>
      <c r="F1603" s="12" t="s">
        <v>5458</v>
      </c>
      <c r="G1603" s="12" t="s">
        <v>159</v>
      </c>
      <c r="H1603" s="12" t="s">
        <v>6614</v>
      </c>
      <c r="I1603" s="12">
        <v>0</v>
      </c>
      <c r="J1603" s="12" t="s">
        <v>164</v>
      </c>
      <c r="K1603" s="12" t="s">
        <v>6646</v>
      </c>
      <c r="L1603" s="12" t="s">
        <v>498</v>
      </c>
      <c r="M1603" s="12" t="s">
        <v>498</v>
      </c>
      <c r="N1603" s="12" t="s">
        <v>5785</v>
      </c>
      <c r="O1603" s="12" t="s">
        <v>503</v>
      </c>
      <c r="P1603" s="12" t="s">
        <v>406</v>
      </c>
      <c r="Q1603" s="12" t="s">
        <v>6682</v>
      </c>
      <c r="R1603" s="12">
        <v>40.604517000000001</v>
      </c>
      <c r="S1603" s="12">
        <v>43.100757999999999</v>
      </c>
      <c r="T1603" s="12" t="s">
        <v>11</v>
      </c>
      <c r="U1603" s="12" t="s">
        <v>17</v>
      </c>
      <c r="V1603" s="12" t="s">
        <v>37</v>
      </c>
      <c r="W1603" s="12" t="s">
        <v>7415</v>
      </c>
      <c r="X1603" s="12">
        <v>45.36</v>
      </c>
      <c r="Y1603" s="12">
        <v>1119554</v>
      </c>
      <c r="Z1603" s="12" t="s">
        <v>6613</v>
      </c>
      <c r="AA1603" s="12" t="s">
        <v>6613</v>
      </c>
      <c r="AB1603" s="12" t="s">
        <v>6613</v>
      </c>
      <c r="AC1603" s="12" t="s">
        <v>6613</v>
      </c>
      <c r="AD1603" s="12" t="s">
        <v>6613</v>
      </c>
      <c r="AE1603" s="12" t="s">
        <v>6613</v>
      </c>
      <c r="AF1603" s="12" t="s">
        <v>45</v>
      </c>
    </row>
    <row r="1604" spans="1:32" x14ac:dyDescent="0.2">
      <c r="A1604" s="12" t="s">
        <v>496</v>
      </c>
      <c r="B1604" s="12" t="s">
        <v>497</v>
      </c>
      <c r="C1604" s="12" t="s">
        <v>497</v>
      </c>
      <c r="D1604" s="12" t="s">
        <v>163</v>
      </c>
      <c r="E1604" s="12" t="s">
        <v>7676</v>
      </c>
      <c r="F1604" s="12" t="s">
        <v>5458</v>
      </c>
      <c r="G1604" s="12" t="s">
        <v>159</v>
      </c>
      <c r="H1604" s="12" t="s">
        <v>6614</v>
      </c>
      <c r="I1604" s="12">
        <v>0</v>
      </c>
      <c r="J1604" s="12" t="s">
        <v>164</v>
      </c>
      <c r="K1604" s="12" t="s">
        <v>6646</v>
      </c>
      <c r="L1604" s="12" t="s">
        <v>498</v>
      </c>
      <c r="M1604" s="12" t="s">
        <v>498</v>
      </c>
      <c r="N1604" s="12" t="s">
        <v>5785</v>
      </c>
      <c r="O1604" s="12" t="s">
        <v>499</v>
      </c>
      <c r="P1604" s="12" t="s">
        <v>406</v>
      </c>
      <c r="Q1604" s="12" t="s">
        <v>6682</v>
      </c>
      <c r="R1604" s="12">
        <v>39.815277999999999</v>
      </c>
      <c r="S1604" s="12">
        <v>46.751944000000002</v>
      </c>
      <c r="T1604" s="12" t="s">
        <v>11</v>
      </c>
      <c r="U1604" s="12" t="s">
        <v>17</v>
      </c>
      <c r="V1604" s="12" t="s">
        <v>500</v>
      </c>
      <c r="W1604" s="12" t="s">
        <v>7415</v>
      </c>
      <c r="X1604" s="12">
        <v>39.89</v>
      </c>
      <c r="Y1604" s="12">
        <v>1119649</v>
      </c>
      <c r="Z1604" s="12" t="s">
        <v>6613</v>
      </c>
      <c r="AA1604" s="12" t="s">
        <v>6613</v>
      </c>
      <c r="AB1604" s="12" t="s">
        <v>6613</v>
      </c>
      <c r="AC1604" s="12" t="s">
        <v>6613</v>
      </c>
      <c r="AD1604" s="12" t="s">
        <v>6613</v>
      </c>
      <c r="AE1604" s="12" t="s">
        <v>6613</v>
      </c>
      <c r="AF1604" s="12" t="s">
        <v>45</v>
      </c>
    </row>
    <row r="1605" spans="1:32" x14ac:dyDescent="0.2">
      <c r="A1605" s="12" t="s">
        <v>1504</v>
      </c>
      <c r="B1605" s="12" t="s">
        <v>1505</v>
      </c>
      <c r="C1605" s="12" t="s">
        <v>17</v>
      </c>
      <c r="D1605" s="12" t="s">
        <v>17</v>
      </c>
      <c r="E1605" s="12" t="s">
        <v>7676</v>
      </c>
      <c r="F1605" s="12" t="s">
        <v>5458</v>
      </c>
      <c r="G1605" s="12" t="s">
        <v>222</v>
      </c>
      <c r="H1605" s="12" t="s">
        <v>6614</v>
      </c>
      <c r="I1605" s="12">
        <v>0</v>
      </c>
      <c r="J1605" s="12" t="s">
        <v>164</v>
      </c>
      <c r="K1605" s="12" t="s">
        <v>6646</v>
      </c>
      <c r="L1605" s="12" t="s">
        <v>1506</v>
      </c>
      <c r="M1605" s="12" t="s">
        <v>1506</v>
      </c>
      <c r="N1605" s="12" t="s">
        <v>5785</v>
      </c>
      <c r="O1605" s="12" t="s">
        <v>17</v>
      </c>
      <c r="P1605" s="12" t="s">
        <v>17</v>
      </c>
      <c r="Q1605" s="12" t="s">
        <v>6682</v>
      </c>
      <c r="R1605" s="12" t="s">
        <v>17</v>
      </c>
      <c r="S1605" s="12" t="s">
        <v>17</v>
      </c>
      <c r="T1605" s="12" t="s">
        <v>1126</v>
      </c>
      <c r="U1605" s="12" t="s">
        <v>17</v>
      </c>
      <c r="V1605" s="12" t="s">
        <v>7414</v>
      </c>
      <c r="W1605" s="12" t="s">
        <v>7414</v>
      </c>
      <c r="X1605" s="12" t="s">
        <v>17</v>
      </c>
      <c r="Y1605" s="12">
        <v>1181710</v>
      </c>
      <c r="Z1605" s="12" t="s">
        <v>6613</v>
      </c>
      <c r="AA1605" s="12" t="s">
        <v>6613</v>
      </c>
      <c r="AB1605" s="12" t="s">
        <v>6613</v>
      </c>
      <c r="AC1605" s="12" t="s">
        <v>6613</v>
      </c>
      <c r="AD1605" s="12" t="s">
        <v>6613</v>
      </c>
      <c r="AE1605" s="12" t="s">
        <v>6613</v>
      </c>
      <c r="AF1605" s="12" t="s">
        <v>45</v>
      </c>
    </row>
    <row r="1606" spans="1:32" x14ac:dyDescent="0.2">
      <c r="A1606" s="12" t="s">
        <v>1507</v>
      </c>
      <c r="B1606" s="12" t="s">
        <v>1508</v>
      </c>
      <c r="C1606" s="12" t="s">
        <v>17</v>
      </c>
      <c r="D1606" s="12" t="s">
        <v>17</v>
      </c>
      <c r="E1606" s="12" t="s">
        <v>7676</v>
      </c>
      <c r="F1606" s="12" t="s">
        <v>5458</v>
      </c>
      <c r="G1606" s="12" t="s">
        <v>222</v>
      </c>
      <c r="H1606" s="12" t="s">
        <v>6614</v>
      </c>
      <c r="I1606" s="12">
        <v>0</v>
      </c>
      <c r="J1606" s="12" t="s">
        <v>164</v>
      </c>
      <c r="K1606" s="12" t="s">
        <v>6646</v>
      </c>
      <c r="L1606" s="12" t="s">
        <v>1506</v>
      </c>
      <c r="M1606" s="12" t="s">
        <v>1506</v>
      </c>
      <c r="N1606" s="12" t="s">
        <v>5785</v>
      </c>
      <c r="O1606" s="12" t="s">
        <v>17</v>
      </c>
      <c r="P1606" s="12" t="s">
        <v>17</v>
      </c>
      <c r="Q1606" s="12" t="s">
        <v>6682</v>
      </c>
      <c r="R1606" s="12" t="s">
        <v>17</v>
      </c>
      <c r="S1606" s="12" t="s">
        <v>17</v>
      </c>
      <c r="T1606" s="12" t="s">
        <v>1126</v>
      </c>
      <c r="U1606" s="12" t="s">
        <v>17</v>
      </c>
      <c r="V1606" s="12" t="s">
        <v>7414</v>
      </c>
      <c r="W1606" s="12" t="s">
        <v>7414</v>
      </c>
      <c r="X1606" s="12" t="s">
        <v>17</v>
      </c>
      <c r="Y1606" s="12">
        <v>1181824</v>
      </c>
      <c r="Z1606" s="12" t="s">
        <v>6613</v>
      </c>
      <c r="AA1606" s="12" t="s">
        <v>6613</v>
      </c>
      <c r="AB1606" s="12" t="s">
        <v>6613</v>
      </c>
      <c r="AC1606" s="12" t="s">
        <v>6613</v>
      </c>
      <c r="AD1606" s="12" t="s">
        <v>6613</v>
      </c>
      <c r="AE1606" s="12" t="s">
        <v>6613</v>
      </c>
      <c r="AF1606" s="12" t="s">
        <v>45</v>
      </c>
    </row>
    <row r="1607" spans="1:32" x14ac:dyDescent="0.2">
      <c r="A1607" s="12" t="s">
        <v>2118</v>
      </c>
      <c r="B1607" s="12" t="s">
        <v>2119</v>
      </c>
      <c r="C1607" s="12" t="s">
        <v>17</v>
      </c>
      <c r="D1607" s="12" t="s">
        <v>17</v>
      </c>
      <c r="E1607" s="12" t="s">
        <v>7676</v>
      </c>
      <c r="F1607" s="12" t="s">
        <v>5458</v>
      </c>
      <c r="G1607" s="12" t="s">
        <v>222</v>
      </c>
      <c r="H1607" s="12" t="s">
        <v>6614</v>
      </c>
      <c r="I1607" s="12">
        <v>0</v>
      </c>
      <c r="J1607" s="12" t="s">
        <v>164</v>
      </c>
      <c r="K1607" s="12" t="s">
        <v>6646</v>
      </c>
      <c r="L1607" s="12" t="s">
        <v>2118</v>
      </c>
      <c r="M1607" s="12" t="s">
        <v>2118</v>
      </c>
      <c r="N1607" s="12" t="s">
        <v>5785</v>
      </c>
      <c r="O1607" s="12" t="s">
        <v>17</v>
      </c>
      <c r="P1607" s="12" t="s">
        <v>17</v>
      </c>
      <c r="Q1607" s="12" t="s">
        <v>6682</v>
      </c>
      <c r="R1607" s="12" t="s">
        <v>17</v>
      </c>
      <c r="S1607" s="12" t="s">
        <v>17</v>
      </c>
      <c r="T1607" s="12" t="s">
        <v>1126</v>
      </c>
      <c r="U1607" s="12" t="s">
        <v>17</v>
      </c>
      <c r="V1607" s="12" t="s">
        <v>7414</v>
      </c>
      <c r="W1607" s="12" t="s">
        <v>7414</v>
      </c>
      <c r="X1607" s="12" t="s">
        <v>17</v>
      </c>
      <c r="Y1607" s="12">
        <v>1181793</v>
      </c>
      <c r="Z1607" s="12" t="s">
        <v>6613</v>
      </c>
      <c r="AA1607" s="12" t="s">
        <v>6613</v>
      </c>
      <c r="AB1607" s="12" t="s">
        <v>6613</v>
      </c>
      <c r="AC1607" s="12" t="s">
        <v>6613</v>
      </c>
      <c r="AD1607" s="12" t="s">
        <v>6613</v>
      </c>
      <c r="AE1607" s="12" t="s">
        <v>6613</v>
      </c>
      <c r="AF1607" s="12" t="s">
        <v>45</v>
      </c>
    </row>
    <row r="1608" spans="1:32" x14ac:dyDescent="0.2">
      <c r="A1608" s="12" t="s">
        <v>2120</v>
      </c>
      <c r="B1608" s="12" t="s">
        <v>2121</v>
      </c>
      <c r="C1608" s="12" t="s">
        <v>17</v>
      </c>
      <c r="D1608" s="12" t="s">
        <v>17</v>
      </c>
      <c r="E1608" s="12" t="s">
        <v>7676</v>
      </c>
      <c r="F1608" s="12" t="s">
        <v>5458</v>
      </c>
      <c r="G1608" s="12" t="s">
        <v>222</v>
      </c>
      <c r="H1608" s="12" t="s">
        <v>6614</v>
      </c>
      <c r="I1608" s="12">
        <v>0</v>
      </c>
      <c r="J1608" s="12" t="s">
        <v>164</v>
      </c>
      <c r="K1608" s="12" t="s">
        <v>6646</v>
      </c>
      <c r="L1608" s="12" t="s">
        <v>2118</v>
      </c>
      <c r="M1608" s="12" t="s">
        <v>2118</v>
      </c>
      <c r="N1608" s="12" t="s">
        <v>5785</v>
      </c>
      <c r="O1608" s="12" t="s">
        <v>17</v>
      </c>
      <c r="P1608" s="12" t="s">
        <v>17</v>
      </c>
      <c r="Q1608" s="12" t="s">
        <v>6682</v>
      </c>
      <c r="R1608" s="12" t="s">
        <v>17</v>
      </c>
      <c r="S1608" s="12" t="s">
        <v>17</v>
      </c>
      <c r="T1608" s="12" t="s">
        <v>1126</v>
      </c>
      <c r="U1608" s="12" t="s">
        <v>17</v>
      </c>
      <c r="V1608" s="12" t="s">
        <v>7414</v>
      </c>
      <c r="W1608" s="12" t="s">
        <v>7414</v>
      </c>
      <c r="X1608" s="12" t="s">
        <v>17</v>
      </c>
      <c r="Y1608" s="12">
        <v>1181844</v>
      </c>
      <c r="Z1608" s="12" t="s">
        <v>6613</v>
      </c>
      <c r="AA1608" s="12" t="s">
        <v>6613</v>
      </c>
      <c r="AB1608" s="12" t="s">
        <v>6613</v>
      </c>
      <c r="AC1608" s="12" t="s">
        <v>6613</v>
      </c>
      <c r="AD1608" s="12" t="s">
        <v>6613</v>
      </c>
      <c r="AE1608" s="12" t="s">
        <v>6613</v>
      </c>
      <c r="AF1608" s="12" t="s">
        <v>45</v>
      </c>
    </row>
    <row r="1620" spans="1:5" x14ac:dyDescent="0.2">
      <c r="A1620" s="81"/>
      <c r="B1620" s="58"/>
      <c r="C1620" s="28"/>
      <c r="D1620" s="14"/>
      <c r="E1620" s="14"/>
    </row>
  </sheetData>
  <sortState ref="A4:AF1624">
    <sortCondition ref="Q3"/>
  </sortState>
  <conditionalFormatting sqref="G1:G1048576">
    <cfRule type="containsText" dxfId="3" priority="1" operator="containsText" text="This">
      <formula>NOT(ISERROR(SEARCH("This",G1)))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1447"/>
  <sheetViews>
    <sheetView workbookViewId="0">
      <pane xSplit="1" ySplit="3" topLeftCell="B706" activePane="bottomRight" state="frozen"/>
      <selection pane="topRight" activeCell="C1" sqref="C1"/>
      <selection pane="bottomLeft" activeCell="A2" sqref="A2"/>
      <selection pane="bottomRight" activeCell="C726" sqref="C726"/>
    </sheetView>
  </sheetViews>
  <sheetFormatPr baseColWidth="10" defaultRowHeight="16" x14ac:dyDescent="0.2"/>
  <cols>
    <col min="1" max="1" width="19.33203125" style="3" customWidth="1"/>
    <col min="2" max="2" width="26.6640625" style="57" customWidth="1"/>
    <col min="3" max="3" width="13" style="60" customWidth="1"/>
    <col min="4" max="6" width="8.83203125" style="68" customWidth="1"/>
    <col min="7" max="7" width="31.5" style="60" customWidth="1"/>
    <col min="8" max="8" width="9.5" style="57" customWidth="1"/>
    <col min="9" max="9" width="25.83203125" style="68" customWidth="1"/>
    <col min="10" max="10" width="13.33203125" style="74" customWidth="1"/>
    <col min="11" max="11" width="16.6640625" style="68" customWidth="1"/>
    <col min="12" max="12" width="8.83203125" style="68" customWidth="1"/>
    <col min="13" max="13" width="18.5" style="68" customWidth="1"/>
    <col min="14" max="14" width="8.6640625" style="57" bestFit="1" customWidth="1"/>
    <col min="15" max="15" width="11.33203125" style="57" customWidth="1"/>
    <col min="16" max="16" width="10.83203125" style="57"/>
    <col min="17" max="17" width="16.33203125" style="57" customWidth="1"/>
    <col min="18" max="19" width="13.1640625" style="57" customWidth="1"/>
    <col min="20" max="21" width="14" style="57" customWidth="1"/>
    <col min="22" max="22" width="13.5" style="3" customWidth="1"/>
    <col min="23" max="24" width="7.33203125" style="57" customWidth="1"/>
    <col min="25" max="25" width="13.33203125" style="57" customWidth="1"/>
    <col min="26" max="26" width="22.83203125" style="57" customWidth="1"/>
    <col min="27" max="27" width="9.1640625" style="57" bestFit="1" customWidth="1"/>
    <col min="28" max="30" width="10.83203125" style="57"/>
    <col min="31" max="38" width="17.1640625" style="57" customWidth="1"/>
    <col min="39" max="16384" width="10.83203125" style="57"/>
  </cols>
  <sheetData>
    <row r="1" spans="1:56" x14ac:dyDescent="0.2">
      <c r="A1" s="159" t="s">
        <v>8183</v>
      </c>
    </row>
    <row r="3" spans="1:56" s="12" customFormat="1" ht="153" x14ac:dyDescent="0.2">
      <c r="A3" s="7" t="s">
        <v>8021</v>
      </c>
      <c r="B3" s="7" t="s">
        <v>0</v>
      </c>
      <c r="C3" s="7" t="s">
        <v>3</v>
      </c>
      <c r="D3" s="7" t="s">
        <v>8104</v>
      </c>
      <c r="E3" s="7" t="s">
        <v>8029</v>
      </c>
      <c r="F3" s="7" t="s">
        <v>8033</v>
      </c>
      <c r="G3" s="7" t="s">
        <v>8034</v>
      </c>
      <c r="H3" s="7" t="s">
        <v>8130</v>
      </c>
      <c r="I3" s="7" t="s">
        <v>8022</v>
      </c>
      <c r="J3" s="79" t="s">
        <v>8129</v>
      </c>
      <c r="K3" s="7" t="s">
        <v>8023</v>
      </c>
      <c r="L3" s="7" t="s">
        <v>5743</v>
      </c>
      <c r="M3" s="7" t="s">
        <v>8107</v>
      </c>
      <c r="N3" s="7" t="s">
        <v>7154</v>
      </c>
      <c r="O3" s="7" t="s">
        <v>8044</v>
      </c>
      <c r="P3" s="7" t="s">
        <v>8045</v>
      </c>
      <c r="Q3" s="7" t="s">
        <v>8046</v>
      </c>
      <c r="R3" s="7" t="s">
        <v>8043</v>
      </c>
      <c r="S3" s="7" t="s">
        <v>8020</v>
      </c>
      <c r="T3" s="7" t="s">
        <v>8019</v>
      </c>
      <c r="U3" s="7" t="s">
        <v>8018</v>
      </c>
      <c r="V3" s="7" t="s">
        <v>7398</v>
      </c>
      <c r="W3" s="7" t="s">
        <v>7155</v>
      </c>
      <c r="X3" s="7" t="s">
        <v>7156</v>
      </c>
      <c r="Y3" s="7" t="s">
        <v>7157</v>
      </c>
      <c r="Z3" s="7" t="s">
        <v>7158</v>
      </c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1:56" s="12" customFormat="1" x14ac:dyDescent="0.2">
      <c r="A4" s="75" t="s">
        <v>8131</v>
      </c>
      <c r="B4" s="59" t="s">
        <v>1493</v>
      </c>
      <c r="C4" s="59" t="s">
        <v>13</v>
      </c>
      <c r="D4" s="59" t="s">
        <v>7159</v>
      </c>
      <c r="E4" s="59" t="s">
        <v>8030</v>
      </c>
      <c r="F4" s="59" t="s">
        <v>7160</v>
      </c>
      <c r="G4" s="12" t="s">
        <v>7649</v>
      </c>
      <c r="H4" s="76">
        <v>15.2</v>
      </c>
      <c r="I4" s="60" t="s">
        <v>8132</v>
      </c>
      <c r="J4" s="80">
        <v>5.0999999999999996</v>
      </c>
      <c r="K4" s="59" t="s">
        <v>7373</v>
      </c>
      <c r="L4" s="59" t="s">
        <v>144</v>
      </c>
      <c r="M4" s="12" t="s">
        <v>8110</v>
      </c>
      <c r="N4" s="72" t="s">
        <v>17</v>
      </c>
      <c r="O4" s="72" t="s">
        <v>17</v>
      </c>
      <c r="P4" s="72" t="s">
        <v>17</v>
      </c>
      <c r="Q4" s="72" t="s">
        <v>17</v>
      </c>
      <c r="R4" s="72" t="s">
        <v>17</v>
      </c>
      <c r="S4" s="72" t="s">
        <v>17</v>
      </c>
      <c r="T4" s="72" t="s">
        <v>17</v>
      </c>
      <c r="U4" s="72" t="s">
        <v>17</v>
      </c>
      <c r="V4" s="12" t="s">
        <v>8128</v>
      </c>
      <c r="W4" s="59" t="s">
        <v>11</v>
      </c>
      <c r="X4" s="72" t="s">
        <v>17</v>
      </c>
      <c r="Y4" s="72" t="s">
        <v>17</v>
      </c>
      <c r="Z4" s="72" t="s">
        <v>17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</row>
    <row r="5" spans="1:56" s="12" customFormat="1" x14ac:dyDescent="0.2">
      <c r="A5" s="12" t="s">
        <v>5471</v>
      </c>
      <c r="B5" s="12" t="s">
        <v>4972</v>
      </c>
      <c r="C5" s="12" t="s">
        <v>13</v>
      </c>
      <c r="D5" s="12" t="s">
        <v>7210</v>
      </c>
      <c r="E5" s="12" t="s">
        <v>8031</v>
      </c>
      <c r="F5" s="12" t="s">
        <v>7160</v>
      </c>
      <c r="G5" s="12" t="s">
        <v>7649</v>
      </c>
      <c r="H5" s="12">
        <v>72</v>
      </c>
      <c r="I5" s="12" t="s">
        <v>7647</v>
      </c>
      <c r="J5" s="80">
        <v>8</v>
      </c>
      <c r="K5" s="12" t="s">
        <v>7161</v>
      </c>
      <c r="L5" s="12" t="s">
        <v>21</v>
      </c>
      <c r="M5" s="12" t="s">
        <v>8110</v>
      </c>
      <c r="N5" s="12">
        <v>335</v>
      </c>
      <c r="O5" s="12">
        <v>0.13800000000000001</v>
      </c>
      <c r="P5" s="12">
        <v>0.99</v>
      </c>
      <c r="Q5" s="12" t="s">
        <v>7277</v>
      </c>
      <c r="R5" s="12">
        <v>0.875</v>
      </c>
      <c r="S5" s="12">
        <v>3.4229669999999999</v>
      </c>
      <c r="T5" s="12">
        <v>886481</v>
      </c>
      <c r="U5" s="12">
        <v>0.11899999999999999</v>
      </c>
      <c r="V5" s="12" t="s">
        <v>7661</v>
      </c>
      <c r="W5" s="12" t="s">
        <v>11</v>
      </c>
      <c r="X5" s="12">
        <v>4888</v>
      </c>
      <c r="Y5" s="12">
        <v>5.0689999999999997E-3</v>
      </c>
      <c r="Z5" s="12">
        <v>4.3032898221974705</v>
      </c>
      <c r="AD5" s="63"/>
      <c r="AE5" s="63"/>
      <c r="AF5" s="63"/>
      <c r="AG5" s="63"/>
      <c r="AH5" s="63"/>
      <c r="AI5" s="63"/>
      <c r="AJ5" s="63"/>
      <c r="AK5" s="63"/>
      <c r="AL5" s="63"/>
      <c r="AM5" s="63"/>
    </row>
    <row r="6" spans="1:56" s="12" customFormat="1" x14ac:dyDescent="0.2">
      <c r="A6" s="12" t="s">
        <v>5719</v>
      </c>
      <c r="B6" s="12" t="s">
        <v>5291</v>
      </c>
      <c r="C6" s="12" t="s">
        <v>8127</v>
      </c>
      <c r="D6" s="12" t="s">
        <v>7159</v>
      </c>
      <c r="E6" s="12" t="s">
        <v>8031</v>
      </c>
      <c r="F6" s="12" t="s">
        <v>7160</v>
      </c>
      <c r="G6" s="12" t="s">
        <v>7649</v>
      </c>
      <c r="H6" s="12">
        <v>38</v>
      </c>
      <c r="I6" s="12" t="s">
        <v>7646</v>
      </c>
      <c r="J6" s="80">
        <v>4.2222222222222223</v>
      </c>
      <c r="K6" s="12" t="s">
        <v>7161</v>
      </c>
      <c r="L6" s="12" t="s">
        <v>21</v>
      </c>
      <c r="M6" s="12" t="s">
        <v>8110</v>
      </c>
      <c r="N6" s="12">
        <v>135</v>
      </c>
      <c r="O6" s="12">
        <v>6.6000000000000003E-2</v>
      </c>
      <c r="P6" s="12">
        <v>0.998</v>
      </c>
      <c r="Q6" s="12" t="s">
        <v>7196</v>
      </c>
      <c r="R6" s="12">
        <v>0.16400000000000001</v>
      </c>
      <c r="S6" s="12">
        <v>0.34984300000000002</v>
      </c>
      <c r="T6" s="12">
        <v>325658</v>
      </c>
      <c r="U6" s="12">
        <v>5.8000000000000003E-2</v>
      </c>
      <c r="V6" s="12" t="s">
        <v>7661</v>
      </c>
      <c r="W6" s="12" t="s">
        <v>11</v>
      </c>
      <c r="X6" s="12">
        <v>200</v>
      </c>
      <c r="Y6" s="12">
        <v>1.8738000000000001E-2</v>
      </c>
      <c r="Z6" s="12">
        <v>1.4389362100794649</v>
      </c>
      <c r="AD6" s="63"/>
      <c r="AE6" s="63"/>
      <c r="AF6" s="63"/>
      <c r="AG6" s="63"/>
      <c r="AH6" s="63"/>
      <c r="AI6" s="63"/>
      <c r="AJ6" s="63"/>
      <c r="AK6" s="63"/>
      <c r="AL6" s="63"/>
      <c r="AM6" s="63"/>
    </row>
    <row r="7" spans="1:56" s="12" customFormat="1" x14ac:dyDescent="0.2">
      <c r="A7" s="12" t="s">
        <v>5720</v>
      </c>
      <c r="B7" s="12" t="s">
        <v>5291</v>
      </c>
      <c r="C7" s="12" t="s">
        <v>8127</v>
      </c>
      <c r="D7" s="12" t="s">
        <v>7159</v>
      </c>
      <c r="E7" s="12" t="s">
        <v>8031</v>
      </c>
      <c r="F7" s="12" t="s">
        <v>7160</v>
      </c>
      <c r="G7" s="12" t="s">
        <v>7649</v>
      </c>
      <c r="H7" s="12">
        <v>38</v>
      </c>
      <c r="I7" s="12" t="s">
        <v>7647</v>
      </c>
      <c r="J7" s="80">
        <v>4.2222222222222223</v>
      </c>
      <c r="K7" s="12" t="s">
        <v>7161</v>
      </c>
      <c r="L7" s="12" t="s">
        <v>21</v>
      </c>
      <c r="M7" s="12" t="s">
        <v>8110</v>
      </c>
      <c r="N7" s="12">
        <v>85.5</v>
      </c>
      <c r="O7" s="12">
        <v>5.7000000000000002E-2</v>
      </c>
      <c r="P7" s="12">
        <v>0.997</v>
      </c>
      <c r="Q7" s="12" t="s">
        <v>7235</v>
      </c>
      <c r="R7" s="12">
        <v>0.187</v>
      </c>
      <c r="S7" s="12">
        <v>0.34858499999999998</v>
      </c>
      <c r="T7" s="12">
        <v>338581</v>
      </c>
      <c r="U7" s="12">
        <v>5.2999999999999999E-2</v>
      </c>
      <c r="V7" s="12" t="s">
        <v>7661</v>
      </c>
      <c r="W7" s="12" t="s">
        <v>11</v>
      </c>
      <c r="X7" s="12">
        <v>222</v>
      </c>
      <c r="Y7" s="12">
        <v>4.5259999999999996E-3</v>
      </c>
      <c r="Z7" s="12">
        <v>0.75215096730170738</v>
      </c>
      <c r="AD7" s="63"/>
      <c r="AE7" s="63"/>
      <c r="AF7" s="63"/>
      <c r="AG7" s="63"/>
      <c r="AH7" s="63"/>
      <c r="AI7" s="63"/>
      <c r="AJ7" s="63"/>
      <c r="AK7" s="63"/>
      <c r="AL7" s="63"/>
      <c r="AM7" s="63"/>
    </row>
    <row r="8" spans="1:56" s="12" customFormat="1" x14ac:dyDescent="0.2">
      <c r="A8" s="12" t="s">
        <v>5268</v>
      </c>
      <c r="B8" s="12" t="s">
        <v>5266</v>
      </c>
      <c r="C8" s="12" t="s">
        <v>8127</v>
      </c>
      <c r="D8" s="12" t="s">
        <v>7159</v>
      </c>
      <c r="E8" s="12" t="s">
        <v>8031</v>
      </c>
      <c r="F8" s="12" t="s">
        <v>7160</v>
      </c>
      <c r="G8" s="12" t="s">
        <v>7650</v>
      </c>
      <c r="H8" s="12">
        <v>99</v>
      </c>
      <c r="I8" s="12" t="s">
        <v>7645</v>
      </c>
      <c r="J8" s="80">
        <v>49.5</v>
      </c>
      <c r="K8" s="12" t="s">
        <v>7161</v>
      </c>
      <c r="L8" s="12" t="s">
        <v>21</v>
      </c>
      <c r="M8" s="12" t="s">
        <v>8110</v>
      </c>
      <c r="N8" s="12">
        <v>37.799999999999997</v>
      </c>
      <c r="O8" s="12">
        <v>7.8E-2</v>
      </c>
      <c r="P8" s="12">
        <v>0.96399999999999997</v>
      </c>
      <c r="Q8" s="12" t="s">
        <v>7287</v>
      </c>
      <c r="R8" s="12">
        <v>4.2999999999999997E-2</v>
      </c>
      <c r="S8" s="12">
        <v>0.03</v>
      </c>
      <c r="T8" s="12">
        <v>35431</v>
      </c>
      <c r="U8" s="12">
        <v>4.9000000000000002E-2</v>
      </c>
      <c r="V8" s="12" t="s">
        <v>7661</v>
      </c>
      <c r="W8" s="12" t="s">
        <v>11</v>
      </c>
      <c r="X8" s="12">
        <v>8</v>
      </c>
      <c r="Y8" s="12" t="s">
        <v>8052</v>
      </c>
      <c r="Z8" s="12" t="s">
        <v>8052</v>
      </c>
      <c r="AD8" s="63"/>
      <c r="AE8" s="63"/>
      <c r="AF8" s="63"/>
      <c r="AG8" s="63"/>
      <c r="AH8" s="63"/>
      <c r="AI8" s="63"/>
      <c r="AJ8" s="63"/>
      <c r="AK8" s="63"/>
      <c r="AL8" s="63"/>
      <c r="AM8" s="63"/>
    </row>
    <row r="9" spans="1:56" s="12" customFormat="1" x14ac:dyDescent="0.2">
      <c r="A9" s="12" t="s">
        <v>5590</v>
      </c>
      <c r="B9" s="12" t="s">
        <v>4187</v>
      </c>
      <c r="C9" s="12" t="s">
        <v>8127</v>
      </c>
      <c r="D9" s="12" t="s">
        <v>7159</v>
      </c>
      <c r="E9" s="12" t="s">
        <v>8031</v>
      </c>
      <c r="F9" s="12" t="s">
        <v>7160</v>
      </c>
      <c r="G9" s="12" t="s">
        <v>7650</v>
      </c>
      <c r="H9" s="12">
        <v>78</v>
      </c>
      <c r="I9" s="12" t="s">
        <v>7647</v>
      </c>
      <c r="J9" s="80">
        <v>3.9000000000000004</v>
      </c>
      <c r="K9" s="12" t="s">
        <v>7161</v>
      </c>
      <c r="L9" s="12" t="s">
        <v>21</v>
      </c>
      <c r="M9" s="12" t="s">
        <v>8110</v>
      </c>
      <c r="N9" s="12">
        <v>54.1</v>
      </c>
      <c r="O9" s="12">
        <v>7.0000000000000007E-2</v>
      </c>
      <c r="P9" s="12">
        <v>0.99399999999999999</v>
      </c>
      <c r="Q9" s="12" t="s">
        <v>7171</v>
      </c>
      <c r="R9" s="12">
        <v>1.7000000000000001E-2</v>
      </c>
      <c r="S9" s="12">
        <v>9.4606999999999997E-2</v>
      </c>
      <c r="T9" s="12">
        <v>109341</v>
      </c>
      <c r="U9" s="12">
        <v>5.3999999999999999E-2</v>
      </c>
      <c r="V9" s="12" t="s">
        <v>7661</v>
      </c>
      <c r="W9" s="12" t="s">
        <v>25</v>
      </c>
      <c r="X9" s="12">
        <v>63</v>
      </c>
      <c r="Y9" s="12" t="s">
        <v>6639</v>
      </c>
      <c r="Z9" s="12" t="s">
        <v>6639</v>
      </c>
      <c r="AD9" s="63"/>
      <c r="AE9" s="63"/>
      <c r="AF9" s="63"/>
      <c r="AG9" s="63"/>
      <c r="AH9" s="63"/>
      <c r="AI9" s="63"/>
      <c r="AJ9" s="63"/>
      <c r="AK9" s="63"/>
      <c r="AL9" s="63"/>
      <c r="AM9" s="63"/>
    </row>
    <row r="10" spans="1:56" s="12" customFormat="1" x14ac:dyDescent="0.2">
      <c r="A10" s="12" t="s">
        <v>5591</v>
      </c>
      <c r="B10" s="12" t="s">
        <v>4187</v>
      </c>
      <c r="C10" s="12" t="s">
        <v>13</v>
      </c>
      <c r="D10" s="12" t="s">
        <v>7210</v>
      </c>
      <c r="E10" s="12" t="s">
        <v>8031</v>
      </c>
      <c r="F10" s="12" t="s">
        <v>7160</v>
      </c>
      <c r="G10" s="12" t="s">
        <v>7649</v>
      </c>
      <c r="H10" s="12">
        <v>78</v>
      </c>
      <c r="I10" s="12" t="s">
        <v>7647</v>
      </c>
      <c r="J10" s="80">
        <v>8.6666666666666661</v>
      </c>
      <c r="K10" s="12" t="s">
        <v>7161</v>
      </c>
      <c r="L10" s="12" t="s">
        <v>21</v>
      </c>
      <c r="M10" s="12" t="s">
        <v>8110</v>
      </c>
      <c r="N10" s="12">
        <v>254</v>
      </c>
      <c r="O10" s="12">
        <v>0.13600000000000001</v>
      </c>
      <c r="P10" s="12">
        <v>0.996</v>
      </c>
      <c r="Q10" s="12" t="s">
        <v>7241</v>
      </c>
      <c r="R10" s="12">
        <v>0.86</v>
      </c>
      <c r="S10" s="12">
        <v>3.7279879999999999</v>
      </c>
      <c r="T10" s="12">
        <v>883340</v>
      </c>
      <c r="U10" s="12">
        <v>0.111</v>
      </c>
      <c r="V10" s="12" t="s">
        <v>7661</v>
      </c>
      <c r="W10" s="12" t="s">
        <v>25</v>
      </c>
      <c r="X10" s="12">
        <v>8853</v>
      </c>
      <c r="Y10" s="12" t="s">
        <v>6639</v>
      </c>
      <c r="Z10" s="12" t="s">
        <v>6639</v>
      </c>
      <c r="AD10" s="63"/>
      <c r="AE10" s="63"/>
      <c r="AF10" s="63"/>
      <c r="AG10" s="63"/>
      <c r="AH10" s="63"/>
      <c r="AI10" s="63"/>
      <c r="AJ10" s="63"/>
      <c r="AK10" s="63"/>
      <c r="AL10" s="63"/>
      <c r="AM10" s="63"/>
    </row>
    <row r="11" spans="1:56" s="12" customFormat="1" x14ac:dyDescent="0.2">
      <c r="A11" s="12" t="s">
        <v>5717</v>
      </c>
      <c r="B11" s="12" t="s">
        <v>4250</v>
      </c>
      <c r="C11" s="12" t="s">
        <v>8127</v>
      </c>
      <c r="D11" s="12" t="s">
        <v>7159</v>
      </c>
      <c r="E11" s="12" t="s">
        <v>8031</v>
      </c>
      <c r="F11" s="12" t="s">
        <v>7160</v>
      </c>
      <c r="G11" s="12" t="s">
        <v>7649</v>
      </c>
      <c r="H11" s="12">
        <v>56</v>
      </c>
      <c r="I11" s="12" t="s">
        <v>7646</v>
      </c>
      <c r="J11" s="80">
        <v>6.2222222222222214</v>
      </c>
      <c r="K11" s="12" t="s">
        <v>7161</v>
      </c>
      <c r="L11" s="12" t="s">
        <v>21</v>
      </c>
      <c r="M11" s="12" t="s">
        <v>8110</v>
      </c>
      <c r="N11" s="12">
        <v>79.599999999999994</v>
      </c>
      <c r="O11" s="12">
        <v>6.9000000000000006E-2</v>
      </c>
      <c r="P11" s="12">
        <v>1</v>
      </c>
      <c r="Q11" s="12" t="s">
        <v>7165</v>
      </c>
      <c r="R11" s="12">
        <v>5.1000000000000004E-3</v>
      </c>
      <c r="S11" s="12">
        <v>4.9700000000000001E-2</v>
      </c>
      <c r="T11" s="12">
        <v>58475</v>
      </c>
      <c r="U11" s="12">
        <v>7.8E-2</v>
      </c>
      <c r="V11" s="12" t="s">
        <v>7661</v>
      </c>
      <c r="W11" s="12" t="s">
        <v>11</v>
      </c>
      <c r="X11" s="12">
        <v>6</v>
      </c>
      <c r="Y11" s="12" t="s">
        <v>8052</v>
      </c>
      <c r="Z11" s="12" t="s">
        <v>8052</v>
      </c>
      <c r="AD11" s="63"/>
      <c r="AE11" s="63"/>
      <c r="AF11" s="63"/>
      <c r="AG11" s="63"/>
      <c r="AH11" s="63"/>
      <c r="AI11" s="63"/>
      <c r="AJ11" s="63"/>
      <c r="AK11" s="63"/>
      <c r="AL11" s="63"/>
      <c r="AM11" s="63"/>
    </row>
    <row r="12" spans="1:56" s="12" customFormat="1" x14ac:dyDescent="0.2">
      <c r="A12" s="12" t="s">
        <v>5718</v>
      </c>
      <c r="B12" s="12" t="s">
        <v>4250</v>
      </c>
      <c r="C12" s="12" t="s">
        <v>8127</v>
      </c>
      <c r="D12" s="12" t="s">
        <v>7159</v>
      </c>
      <c r="E12" s="12" t="s">
        <v>8031</v>
      </c>
      <c r="F12" s="12" t="s">
        <v>7160</v>
      </c>
      <c r="G12" s="12" t="s">
        <v>7649</v>
      </c>
      <c r="H12" s="12">
        <v>56</v>
      </c>
      <c r="I12" s="12" t="s">
        <v>7647</v>
      </c>
      <c r="J12" s="80">
        <v>6.2222222222222214</v>
      </c>
      <c r="K12" s="12" t="s">
        <v>7161</v>
      </c>
      <c r="L12" s="12" t="s">
        <v>21</v>
      </c>
      <c r="M12" s="12" t="s">
        <v>8110</v>
      </c>
      <c r="N12" s="12">
        <v>46.5</v>
      </c>
      <c r="O12" s="12">
        <v>6.4000000000000001E-2</v>
      </c>
      <c r="P12" s="12">
        <v>1</v>
      </c>
      <c r="Q12" s="12" t="s">
        <v>7169</v>
      </c>
      <c r="R12" s="12">
        <v>3.3999999999999998E-3</v>
      </c>
      <c r="S12" s="12">
        <v>3.9251000000000001E-2</v>
      </c>
      <c r="T12" s="12">
        <v>46922</v>
      </c>
      <c r="U12" s="12">
        <v>7.6999999999999999E-2</v>
      </c>
      <c r="V12" s="12" t="s">
        <v>7661</v>
      </c>
      <c r="W12" s="12" t="s">
        <v>11</v>
      </c>
      <c r="X12" s="12">
        <v>1</v>
      </c>
      <c r="Y12" s="12" t="s">
        <v>8052</v>
      </c>
      <c r="Z12" s="12" t="s">
        <v>8052</v>
      </c>
      <c r="AD12" s="63"/>
      <c r="AE12" s="63"/>
      <c r="AF12" s="63"/>
      <c r="AG12" s="63"/>
      <c r="AH12" s="63"/>
      <c r="AI12" s="63"/>
      <c r="AJ12" s="63"/>
      <c r="AK12" s="63"/>
      <c r="AL12" s="63"/>
      <c r="AM12" s="63"/>
    </row>
    <row r="13" spans="1:56" s="12" customFormat="1" x14ac:dyDescent="0.2">
      <c r="A13" s="12" t="s">
        <v>5739</v>
      </c>
      <c r="B13" s="12" t="s">
        <v>4245</v>
      </c>
      <c r="C13" s="12" t="s">
        <v>8127</v>
      </c>
      <c r="D13" s="12" t="s">
        <v>7159</v>
      </c>
      <c r="E13" s="12" t="s">
        <v>8031</v>
      </c>
      <c r="F13" s="12" t="s">
        <v>7160</v>
      </c>
      <c r="G13" s="12" t="s">
        <v>7649</v>
      </c>
      <c r="H13" s="12">
        <v>17</v>
      </c>
      <c r="I13" s="12" t="s">
        <v>7646</v>
      </c>
      <c r="J13" s="80">
        <v>1.8888888888888888</v>
      </c>
      <c r="K13" s="12" t="s">
        <v>7161</v>
      </c>
      <c r="L13" s="12" t="s">
        <v>21</v>
      </c>
      <c r="M13" s="12" t="s">
        <v>8110</v>
      </c>
      <c r="N13" s="12">
        <v>108</v>
      </c>
      <c r="O13" s="12">
        <v>6.8000000000000005E-2</v>
      </c>
      <c r="P13" s="12">
        <v>0.97699999999999998</v>
      </c>
      <c r="Q13" s="12" t="s">
        <v>7200</v>
      </c>
      <c r="R13" s="12">
        <v>7.3999999999999996E-2</v>
      </c>
      <c r="S13" s="12">
        <v>0.114122</v>
      </c>
      <c r="T13" s="12">
        <v>129655</v>
      </c>
      <c r="U13" s="12">
        <v>4.2999999999999997E-2</v>
      </c>
      <c r="V13" s="12" t="s">
        <v>7661</v>
      </c>
      <c r="W13" s="12" t="s">
        <v>25</v>
      </c>
      <c r="X13" s="12">
        <v>83</v>
      </c>
      <c r="Y13" s="12" t="s">
        <v>6639</v>
      </c>
      <c r="Z13" s="12" t="s">
        <v>6639</v>
      </c>
      <c r="AD13" s="63"/>
      <c r="AE13" s="63"/>
      <c r="AF13" s="63"/>
      <c r="AG13" s="63"/>
      <c r="AH13" s="63"/>
      <c r="AI13" s="63"/>
      <c r="AJ13" s="63"/>
      <c r="AK13" s="63"/>
      <c r="AL13" s="63"/>
      <c r="AM13" s="63"/>
    </row>
    <row r="14" spans="1:56" s="12" customFormat="1" x14ac:dyDescent="0.2">
      <c r="A14" s="12" t="s">
        <v>5740</v>
      </c>
      <c r="B14" s="12" t="s">
        <v>4245</v>
      </c>
      <c r="C14" s="12" t="s">
        <v>8127</v>
      </c>
      <c r="D14" s="12" t="s">
        <v>7159</v>
      </c>
      <c r="E14" s="12" t="s">
        <v>8031</v>
      </c>
      <c r="F14" s="12" t="s">
        <v>7160</v>
      </c>
      <c r="G14" s="12" t="s">
        <v>7649</v>
      </c>
      <c r="H14" s="12">
        <v>17</v>
      </c>
      <c r="I14" s="12" t="s">
        <v>7647</v>
      </c>
      <c r="J14" s="80">
        <v>1.8888888888888888</v>
      </c>
      <c r="K14" s="12" t="s">
        <v>7161</v>
      </c>
      <c r="L14" s="12" t="s">
        <v>21</v>
      </c>
      <c r="M14" s="12" t="s">
        <v>8110</v>
      </c>
      <c r="N14" s="12">
        <v>89.9</v>
      </c>
      <c r="O14" s="12">
        <v>6.5000000000000002E-2</v>
      </c>
      <c r="P14" s="12">
        <v>0.96399999999999997</v>
      </c>
      <c r="Q14" s="12" t="s">
        <v>7356</v>
      </c>
      <c r="R14" s="12">
        <v>0.114</v>
      </c>
      <c r="S14" s="12">
        <v>0.107184</v>
      </c>
      <c r="T14" s="12">
        <v>122950</v>
      </c>
      <c r="U14" s="12">
        <v>0.04</v>
      </c>
      <c r="V14" s="12" t="s">
        <v>7661</v>
      </c>
      <c r="W14" s="12" t="s">
        <v>25</v>
      </c>
      <c r="X14" s="12">
        <v>78</v>
      </c>
      <c r="Y14" s="12" t="s">
        <v>6639</v>
      </c>
      <c r="Z14" s="12" t="s">
        <v>6639</v>
      </c>
      <c r="AD14" s="63"/>
      <c r="AE14" s="63"/>
      <c r="AF14" s="63"/>
      <c r="AG14" s="63"/>
      <c r="AH14" s="63"/>
      <c r="AI14" s="63"/>
      <c r="AJ14" s="63"/>
      <c r="AK14" s="63"/>
      <c r="AL14" s="63"/>
      <c r="AM14" s="63"/>
    </row>
    <row r="15" spans="1:56" s="12" customFormat="1" x14ac:dyDescent="0.2">
      <c r="A15" s="12" t="s">
        <v>5733</v>
      </c>
      <c r="B15" s="12" t="s">
        <v>5288</v>
      </c>
      <c r="C15" s="12" t="s">
        <v>8127</v>
      </c>
      <c r="D15" s="12" t="s">
        <v>7159</v>
      </c>
      <c r="E15" s="12" t="s">
        <v>8031</v>
      </c>
      <c r="F15" s="12" t="s">
        <v>7160</v>
      </c>
      <c r="G15" s="12" t="s">
        <v>7649</v>
      </c>
      <c r="H15" s="12">
        <v>37</v>
      </c>
      <c r="I15" s="12" t="s">
        <v>7646</v>
      </c>
      <c r="J15" s="80">
        <v>4.1111111111111107</v>
      </c>
      <c r="K15" s="12" t="s">
        <v>7161</v>
      </c>
      <c r="L15" s="12" t="s">
        <v>21</v>
      </c>
      <c r="M15" s="12" t="s">
        <v>8110</v>
      </c>
      <c r="N15" s="12">
        <v>291</v>
      </c>
      <c r="O15" s="12">
        <v>7.1999999999999995E-2</v>
      </c>
      <c r="P15" s="12">
        <v>1</v>
      </c>
      <c r="Q15" s="12" t="s">
        <v>7165</v>
      </c>
      <c r="R15" s="12">
        <v>1.2E-2</v>
      </c>
      <c r="S15" s="12">
        <v>9.2907000000000003E-2</v>
      </c>
      <c r="T15" s="12">
        <v>105004</v>
      </c>
      <c r="U15" s="12">
        <v>6.7000000000000004E-2</v>
      </c>
      <c r="V15" s="12" t="s">
        <v>7661</v>
      </c>
      <c r="W15" s="12" t="s">
        <v>25</v>
      </c>
      <c r="X15" s="12">
        <v>68</v>
      </c>
      <c r="Y15" s="12" t="s">
        <v>6639</v>
      </c>
      <c r="Z15" s="12" t="s">
        <v>6639</v>
      </c>
      <c r="AD15" s="63"/>
      <c r="AE15" s="63"/>
      <c r="AF15" s="63"/>
      <c r="AG15" s="63"/>
      <c r="AH15" s="63"/>
      <c r="AI15" s="63"/>
      <c r="AJ15" s="63"/>
      <c r="AK15" s="63"/>
      <c r="AL15" s="63"/>
      <c r="AM15" s="63"/>
    </row>
    <row r="16" spans="1:56" s="12" customFormat="1" x14ac:dyDescent="0.2">
      <c r="A16" s="12" t="s">
        <v>5734</v>
      </c>
      <c r="B16" s="12" t="s">
        <v>5288</v>
      </c>
      <c r="C16" s="12" t="s">
        <v>8127</v>
      </c>
      <c r="D16" s="12" t="s">
        <v>7159</v>
      </c>
      <c r="E16" s="12" t="s">
        <v>8031</v>
      </c>
      <c r="F16" s="12" t="s">
        <v>7160</v>
      </c>
      <c r="G16" s="12" t="s">
        <v>7649</v>
      </c>
      <c r="H16" s="12">
        <v>37</v>
      </c>
      <c r="I16" s="12" t="s">
        <v>7647</v>
      </c>
      <c r="J16" s="80">
        <v>4.1111111111111107</v>
      </c>
      <c r="K16" s="12" t="s">
        <v>7161</v>
      </c>
      <c r="L16" s="12" t="s">
        <v>21</v>
      </c>
      <c r="M16" s="12" t="s">
        <v>8110</v>
      </c>
      <c r="N16" s="12">
        <v>308</v>
      </c>
      <c r="O16" s="12">
        <v>6.9000000000000006E-2</v>
      </c>
      <c r="P16" s="12">
        <v>0.999</v>
      </c>
      <c r="Q16" s="12" t="s">
        <v>7179</v>
      </c>
      <c r="R16" s="12">
        <v>1.0999999999999999E-2</v>
      </c>
      <c r="S16" s="12">
        <v>0.109292</v>
      </c>
      <c r="T16" s="12">
        <v>123135</v>
      </c>
      <c r="U16" s="12">
        <v>6.3E-2</v>
      </c>
      <c r="V16" s="12" t="s">
        <v>7661</v>
      </c>
      <c r="W16" s="12" t="s">
        <v>25</v>
      </c>
      <c r="X16" s="12">
        <v>103</v>
      </c>
      <c r="Y16" s="12" t="s">
        <v>6639</v>
      </c>
      <c r="Z16" s="12" t="s">
        <v>6639</v>
      </c>
      <c r="AD16" s="63"/>
      <c r="AE16" s="63"/>
      <c r="AF16" s="63"/>
      <c r="AG16" s="63"/>
      <c r="AH16" s="63"/>
      <c r="AI16" s="63"/>
      <c r="AJ16" s="63"/>
      <c r="AK16" s="63"/>
      <c r="AL16" s="63"/>
      <c r="AM16" s="63"/>
    </row>
    <row r="17" spans="1:39" s="12" customFormat="1" x14ac:dyDescent="0.2">
      <c r="A17" s="12" t="s">
        <v>5721</v>
      </c>
      <c r="B17" s="12" t="s">
        <v>5294</v>
      </c>
      <c r="C17" s="12" t="s">
        <v>8127</v>
      </c>
      <c r="D17" s="12" t="s">
        <v>7159</v>
      </c>
      <c r="E17" s="12" t="s">
        <v>8031</v>
      </c>
      <c r="F17" s="12" t="s">
        <v>7160</v>
      </c>
      <c r="G17" s="12" t="s">
        <v>7649</v>
      </c>
      <c r="H17" s="12">
        <v>42</v>
      </c>
      <c r="I17" s="12" t="s">
        <v>7646</v>
      </c>
      <c r="J17" s="80">
        <v>4.6666666666666661</v>
      </c>
      <c r="K17" s="12" t="s">
        <v>7161</v>
      </c>
      <c r="L17" s="12" t="s">
        <v>21</v>
      </c>
      <c r="M17" s="12" t="s">
        <v>8110</v>
      </c>
      <c r="N17" s="12">
        <v>491</v>
      </c>
      <c r="O17" s="12">
        <v>7.2999999999999995E-2</v>
      </c>
      <c r="P17" s="12">
        <v>1</v>
      </c>
      <c r="Q17" s="12" t="s">
        <v>7169</v>
      </c>
      <c r="R17" s="12">
        <v>9.1999999999999998E-2</v>
      </c>
      <c r="S17" s="12">
        <v>0.41537000000000002</v>
      </c>
      <c r="T17" s="12">
        <v>369607</v>
      </c>
      <c r="U17" s="12">
        <v>0.06</v>
      </c>
      <c r="V17" s="12" t="s">
        <v>7661</v>
      </c>
      <c r="W17" s="12" t="s">
        <v>25</v>
      </c>
      <c r="X17" s="12">
        <v>923</v>
      </c>
      <c r="Y17" s="12" t="s">
        <v>6639</v>
      </c>
      <c r="Z17" s="12" t="s">
        <v>6639</v>
      </c>
      <c r="AD17" s="63"/>
      <c r="AE17" s="63"/>
      <c r="AF17" s="63"/>
      <c r="AG17" s="63"/>
      <c r="AH17" s="63"/>
      <c r="AI17" s="63"/>
      <c r="AJ17" s="63"/>
      <c r="AK17" s="63"/>
      <c r="AL17" s="63"/>
      <c r="AM17" s="63"/>
    </row>
    <row r="18" spans="1:39" s="12" customFormat="1" x14ac:dyDescent="0.2">
      <c r="A18" s="12" t="s">
        <v>5722</v>
      </c>
      <c r="B18" s="12" t="s">
        <v>5294</v>
      </c>
      <c r="C18" s="12" t="s">
        <v>8127</v>
      </c>
      <c r="D18" s="12" t="s">
        <v>7159</v>
      </c>
      <c r="E18" s="12" t="s">
        <v>8031</v>
      </c>
      <c r="F18" s="12" t="s">
        <v>7160</v>
      </c>
      <c r="G18" s="12" t="s">
        <v>7649</v>
      </c>
      <c r="H18" s="12">
        <v>42</v>
      </c>
      <c r="I18" s="12" t="s">
        <v>7647</v>
      </c>
      <c r="J18" s="80">
        <v>4.6666666666666661</v>
      </c>
      <c r="K18" s="12" t="s">
        <v>7161</v>
      </c>
      <c r="L18" s="12" t="s">
        <v>21</v>
      </c>
      <c r="M18" s="12" t="s">
        <v>8110</v>
      </c>
      <c r="N18" s="12">
        <v>305</v>
      </c>
      <c r="O18" s="12">
        <v>7.0000000000000007E-2</v>
      </c>
      <c r="P18" s="12">
        <v>1</v>
      </c>
      <c r="Q18" s="12" t="s">
        <v>7165</v>
      </c>
      <c r="R18" s="12">
        <v>0.11899999999999999</v>
      </c>
      <c r="S18" s="12">
        <v>0.42020600000000002</v>
      </c>
      <c r="T18" s="12">
        <v>387140</v>
      </c>
      <c r="U18" s="12">
        <v>5.8000000000000003E-2</v>
      </c>
      <c r="V18" s="12" t="s">
        <v>7661</v>
      </c>
      <c r="W18" s="12" t="s">
        <v>25</v>
      </c>
      <c r="X18" s="12">
        <v>983</v>
      </c>
      <c r="Y18" s="12" t="s">
        <v>6639</v>
      </c>
      <c r="Z18" s="12" t="s">
        <v>6639</v>
      </c>
      <c r="AD18" s="63"/>
      <c r="AE18" s="63"/>
      <c r="AF18" s="63"/>
      <c r="AG18" s="63"/>
      <c r="AH18" s="63"/>
      <c r="AI18" s="63"/>
      <c r="AJ18" s="63"/>
      <c r="AK18" s="63"/>
      <c r="AL18" s="63"/>
      <c r="AM18" s="63"/>
    </row>
    <row r="19" spans="1:39" s="12" customFormat="1" x14ac:dyDescent="0.2">
      <c r="A19" s="12" t="s">
        <v>5735</v>
      </c>
      <c r="B19" s="12" t="s">
        <v>5377</v>
      </c>
      <c r="C19" s="12" t="s">
        <v>8127</v>
      </c>
      <c r="D19" s="12" t="s">
        <v>7159</v>
      </c>
      <c r="E19" s="12" t="s">
        <v>8031</v>
      </c>
      <c r="F19" s="12" t="s">
        <v>7160</v>
      </c>
      <c r="G19" s="12" t="s">
        <v>7649</v>
      </c>
      <c r="H19" s="12">
        <v>19</v>
      </c>
      <c r="I19" s="12" t="s">
        <v>7646</v>
      </c>
      <c r="J19" s="80">
        <v>2.1111111111111112</v>
      </c>
      <c r="K19" s="12" t="s">
        <v>7161</v>
      </c>
      <c r="L19" s="12" t="s">
        <v>21</v>
      </c>
      <c r="M19" s="12" t="s">
        <v>8110</v>
      </c>
      <c r="N19" s="12">
        <v>9.61</v>
      </c>
      <c r="O19" s="12">
        <v>0.08</v>
      </c>
      <c r="P19" s="12">
        <v>0.95299999999999996</v>
      </c>
      <c r="Q19" s="12" t="s">
        <v>7201</v>
      </c>
      <c r="R19" s="12">
        <v>6.4999999999999997E-3</v>
      </c>
      <c r="S19" s="12">
        <v>1.9480999999999998E-2</v>
      </c>
      <c r="T19" s="12">
        <v>23668</v>
      </c>
      <c r="U19" s="12">
        <v>5.5E-2</v>
      </c>
      <c r="V19" s="12" t="s">
        <v>7661</v>
      </c>
      <c r="W19" s="12" t="s">
        <v>11</v>
      </c>
      <c r="X19" s="12">
        <v>2</v>
      </c>
      <c r="Y19" s="12" t="s">
        <v>8052</v>
      </c>
      <c r="Z19" s="12" t="s">
        <v>8052</v>
      </c>
      <c r="AD19" s="63"/>
      <c r="AE19" s="63"/>
      <c r="AF19" s="63"/>
      <c r="AG19" s="63"/>
      <c r="AH19" s="63"/>
      <c r="AI19" s="63"/>
      <c r="AJ19" s="63"/>
      <c r="AK19" s="63"/>
      <c r="AL19" s="63"/>
      <c r="AM19" s="63"/>
    </row>
    <row r="20" spans="1:39" s="12" customFormat="1" x14ac:dyDescent="0.2">
      <c r="A20" s="12" t="s">
        <v>5736</v>
      </c>
      <c r="B20" s="12" t="s">
        <v>5377</v>
      </c>
      <c r="C20" s="12" t="s">
        <v>8127</v>
      </c>
      <c r="D20" s="12" t="s">
        <v>7159</v>
      </c>
      <c r="E20" s="12" t="s">
        <v>8031</v>
      </c>
      <c r="F20" s="12" t="s">
        <v>7160</v>
      </c>
      <c r="G20" s="12" t="s">
        <v>7649</v>
      </c>
      <c r="H20" s="12">
        <v>19</v>
      </c>
      <c r="I20" s="12" t="s">
        <v>7647</v>
      </c>
      <c r="J20" s="80">
        <v>2.1111111111111112</v>
      </c>
      <c r="K20" s="12" t="s">
        <v>7161</v>
      </c>
      <c r="L20" s="12" t="s">
        <v>21</v>
      </c>
      <c r="M20" s="12" t="s">
        <v>8110</v>
      </c>
      <c r="N20" s="12">
        <v>11.8</v>
      </c>
      <c r="O20" s="12">
        <v>8.6999999999999994E-2</v>
      </c>
      <c r="P20" s="12">
        <v>0.999</v>
      </c>
      <c r="Q20" s="12" t="s">
        <v>7357</v>
      </c>
      <c r="R20" s="12">
        <v>8.0000000000000002E-3</v>
      </c>
      <c r="S20" s="12">
        <v>3.0402999999999999E-2</v>
      </c>
      <c r="T20" s="12">
        <v>36700</v>
      </c>
      <c r="U20" s="12">
        <v>5.1999999999999998E-2</v>
      </c>
      <c r="V20" s="12" t="s">
        <v>7661</v>
      </c>
      <c r="W20" s="12" t="s">
        <v>11</v>
      </c>
      <c r="X20" s="12">
        <v>3</v>
      </c>
      <c r="Y20" s="12" t="s">
        <v>8052</v>
      </c>
      <c r="Z20" s="12" t="s">
        <v>8052</v>
      </c>
      <c r="AD20" s="63"/>
      <c r="AE20" s="63"/>
      <c r="AF20" s="63"/>
      <c r="AG20" s="63"/>
      <c r="AH20" s="63"/>
      <c r="AI20" s="63"/>
      <c r="AJ20" s="63"/>
      <c r="AK20" s="63"/>
      <c r="AL20" s="63"/>
      <c r="AM20" s="63"/>
    </row>
    <row r="21" spans="1:39" s="12" customFormat="1" x14ac:dyDescent="0.2">
      <c r="A21" s="12" t="s">
        <v>5723</v>
      </c>
      <c r="B21" s="12" t="s">
        <v>5297</v>
      </c>
      <c r="C21" s="12" t="s">
        <v>8127</v>
      </c>
      <c r="D21" s="12" t="s">
        <v>7159</v>
      </c>
      <c r="E21" s="12" t="s">
        <v>8031</v>
      </c>
      <c r="F21" s="12" t="s">
        <v>7160</v>
      </c>
      <c r="G21" s="12" t="s">
        <v>7649</v>
      </c>
      <c r="H21" s="12">
        <v>47</v>
      </c>
      <c r="I21" s="12" t="s">
        <v>7646</v>
      </c>
      <c r="J21" s="80">
        <v>5.2222222222222223</v>
      </c>
      <c r="K21" s="12" t="s">
        <v>7161</v>
      </c>
      <c r="L21" s="12" t="s">
        <v>21</v>
      </c>
      <c r="M21" s="12" t="s">
        <v>8110</v>
      </c>
      <c r="N21" s="12">
        <v>161</v>
      </c>
      <c r="O21" s="12">
        <v>6.2E-2</v>
      </c>
      <c r="P21" s="12">
        <v>1</v>
      </c>
      <c r="Q21" s="12" t="s">
        <v>7165</v>
      </c>
      <c r="R21" s="12">
        <v>2.1000000000000001E-2</v>
      </c>
      <c r="S21" s="12">
        <v>0.11683399999999999</v>
      </c>
      <c r="T21" s="12">
        <v>131684</v>
      </c>
      <c r="U21" s="12">
        <v>6.2E-2</v>
      </c>
      <c r="V21" s="12" t="s">
        <v>7661</v>
      </c>
      <c r="W21" s="12" t="s">
        <v>11</v>
      </c>
      <c r="X21" s="12">
        <v>24</v>
      </c>
      <c r="Y21" s="12" t="s">
        <v>8052</v>
      </c>
      <c r="Z21" s="12" t="s">
        <v>8052</v>
      </c>
      <c r="AD21" s="63"/>
      <c r="AE21" s="63"/>
      <c r="AF21" s="63"/>
      <c r="AG21" s="63"/>
      <c r="AH21" s="63"/>
      <c r="AI21" s="63"/>
      <c r="AJ21" s="63"/>
      <c r="AK21" s="63"/>
      <c r="AL21" s="63"/>
      <c r="AM21" s="63"/>
    </row>
    <row r="22" spans="1:39" s="12" customFormat="1" x14ac:dyDescent="0.2">
      <c r="A22" s="12" t="s">
        <v>5724</v>
      </c>
      <c r="B22" s="12" t="s">
        <v>5297</v>
      </c>
      <c r="C22" s="12" t="s">
        <v>8127</v>
      </c>
      <c r="D22" s="12" t="s">
        <v>7159</v>
      </c>
      <c r="E22" s="12" t="s">
        <v>8031</v>
      </c>
      <c r="F22" s="12" t="s">
        <v>7160</v>
      </c>
      <c r="G22" s="12" t="s">
        <v>7649</v>
      </c>
      <c r="H22" s="12">
        <v>47</v>
      </c>
      <c r="I22" s="12" t="s">
        <v>7647</v>
      </c>
      <c r="J22" s="80">
        <v>5.2222222222222223</v>
      </c>
      <c r="K22" s="12" t="s">
        <v>7161</v>
      </c>
      <c r="L22" s="12" t="s">
        <v>21</v>
      </c>
      <c r="M22" s="12" t="s">
        <v>8110</v>
      </c>
      <c r="N22" s="12">
        <v>129</v>
      </c>
      <c r="O22" s="12">
        <v>5.8000000000000003E-2</v>
      </c>
      <c r="P22" s="12">
        <v>1</v>
      </c>
      <c r="Q22" s="12" t="s">
        <v>7169</v>
      </c>
      <c r="R22" s="12">
        <v>2.4E-2</v>
      </c>
      <c r="S22" s="12">
        <v>0.12789</v>
      </c>
      <c r="T22" s="12">
        <v>144379</v>
      </c>
      <c r="U22" s="12">
        <v>5.8999999999999997E-2</v>
      </c>
      <c r="V22" s="12" t="s">
        <v>7661</v>
      </c>
      <c r="W22" s="12" t="s">
        <v>11</v>
      </c>
      <c r="X22" s="12">
        <v>35</v>
      </c>
      <c r="Y22" s="12" t="s">
        <v>8052</v>
      </c>
      <c r="Z22" s="12" t="s">
        <v>8052</v>
      </c>
      <c r="AD22" s="63"/>
      <c r="AE22" s="63"/>
      <c r="AF22" s="63"/>
      <c r="AG22" s="63"/>
      <c r="AH22" s="63"/>
      <c r="AI22" s="63"/>
      <c r="AJ22" s="63"/>
      <c r="AK22" s="63"/>
      <c r="AL22" s="63"/>
      <c r="AM22" s="63"/>
    </row>
    <row r="23" spans="1:39" s="12" customFormat="1" x14ac:dyDescent="0.2">
      <c r="A23" s="12" t="s">
        <v>5715</v>
      </c>
      <c r="B23" s="12" t="s">
        <v>4254</v>
      </c>
      <c r="C23" s="12" t="s">
        <v>8127</v>
      </c>
      <c r="D23" s="12" t="s">
        <v>7159</v>
      </c>
      <c r="E23" s="12" t="s">
        <v>8031</v>
      </c>
      <c r="F23" s="12" t="s">
        <v>7160</v>
      </c>
      <c r="G23" s="12" t="s">
        <v>7649</v>
      </c>
      <c r="H23" s="12">
        <v>24</v>
      </c>
      <c r="I23" s="12" t="s">
        <v>7646</v>
      </c>
      <c r="J23" s="80">
        <v>2.6666666666666665</v>
      </c>
      <c r="K23" s="12" t="s">
        <v>7161</v>
      </c>
      <c r="L23" s="12" t="s">
        <v>21</v>
      </c>
      <c r="M23" s="12" t="s">
        <v>8110</v>
      </c>
      <c r="N23" s="12">
        <v>152</v>
      </c>
      <c r="O23" s="12">
        <v>7.2999999999999995E-2</v>
      </c>
      <c r="P23" s="12">
        <v>0.99199999999999999</v>
      </c>
      <c r="Q23" s="12" t="s">
        <v>7191</v>
      </c>
      <c r="R23" s="12">
        <v>4.1000000000000002E-2</v>
      </c>
      <c r="S23" s="12">
        <v>0.11374099999999999</v>
      </c>
      <c r="T23" s="12">
        <v>129392</v>
      </c>
      <c r="U23" s="12">
        <v>0.05</v>
      </c>
      <c r="V23" s="12" t="s">
        <v>7661</v>
      </c>
      <c r="W23" s="12" t="s">
        <v>11</v>
      </c>
      <c r="X23" s="12">
        <v>23</v>
      </c>
      <c r="Y23" s="12" t="s">
        <v>8052</v>
      </c>
      <c r="Z23" s="12" t="s">
        <v>8052</v>
      </c>
      <c r="AD23" s="63"/>
      <c r="AE23" s="63"/>
      <c r="AF23" s="63"/>
      <c r="AG23" s="63"/>
      <c r="AH23" s="63"/>
      <c r="AI23" s="63"/>
      <c r="AJ23" s="63"/>
      <c r="AK23" s="63"/>
      <c r="AL23" s="63"/>
      <c r="AM23" s="63"/>
    </row>
    <row r="24" spans="1:39" s="12" customFormat="1" x14ac:dyDescent="0.2">
      <c r="A24" s="12" t="s">
        <v>5716</v>
      </c>
      <c r="B24" s="12" t="s">
        <v>4254</v>
      </c>
      <c r="C24" s="12" t="s">
        <v>8127</v>
      </c>
      <c r="D24" s="12" t="s">
        <v>7159</v>
      </c>
      <c r="E24" s="12" t="s">
        <v>8031</v>
      </c>
      <c r="F24" s="12" t="s">
        <v>7160</v>
      </c>
      <c r="G24" s="12" t="s">
        <v>7649</v>
      </c>
      <c r="H24" s="12">
        <v>24</v>
      </c>
      <c r="I24" s="12" t="s">
        <v>7647</v>
      </c>
      <c r="J24" s="80">
        <v>2.6666666666666665</v>
      </c>
      <c r="K24" s="12" t="s">
        <v>7161</v>
      </c>
      <c r="L24" s="12" t="s">
        <v>21</v>
      </c>
      <c r="M24" s="12" t="s">
        <v>8110</v>
      </c>
      <c r="N24" s="12">
        <v>115</v>
      </c>
      <c r="O24" s="12">
        <v>6.7000000000000004E-2</v>
      </c>
      <c r="P24" s="12">
        <v>0.99399999999999999</v>
      </c>
      <c r="Q24" s="12" t="s">
        <v>7262</v>
      </c>
      <c r="R24" s="12">
        <v>4.8000000000000001E-2</v>
      </c>
      <c r="S24" s="12">
        <v>9.8252000000000006E-2</v>
      </c>
      <c r="T24" s="12">
        <v>113478</v>
      </c>
      <c r="U24" s="12">
        <v>4.7E-2</v>
      </c>
      <c r="V24" s="12" t="s">
        <v>7661</v>
      </c>
      <c r="W24" s="12" t="s">
        <v>11</v>
      </c>
      <c r="X24" s="12">
        <v>24</v>
      </c>
      <c r="Y24" s="12" t="s">
        <v>8052</v>
      </c>
      <c r="Z24" s="12" t="s">
        <v>8052</v>
      </c>
      <c r="AD24" s="63"/>
      <c r="AE24" s="63"/>
      <c r="AF24" s="63"/>
      <c r="AG24" s="63"/>
      <c r="AH24" s="63"/>
      <c r="AI24" s="63"/>
      <c r="AJ24" s="63"/>
      <c r="AK24" s="63"/>
      <c r="AL24" s="63"/>
      <c r="AM24" s="63"/>
    </row>
    <row r="25" spans="1:39" s="12" customFormat="1" x14ac:dyDescent="0.2">
      <c r="A25" s="12" t="s">
        <v>5737</v>
      </c>
      <c r="B25" s="12" t="s">
        <v>5382</v>
      </c>
      <c r="C25" s="12" t="s">
        <v>8127</v>
      </c>
      <c r="D25" s="12" t="s">
        <v>7159</v>
      </c>
      <c r="E25" s="12" t="s">
        <v>8031</v>
      </c>
      <c r="F25" s="12" t="s">
        <v>7160</v>
      </c>
      <c r="G25" s="12" t="s">
        <v>7649</v>
      </c>
      <c r="H25" s="12">
        <v>57</v>
      </c>
      <c r="I25" s="12" t="s">
        <v>7646</v>
      </c>
      <c r="J25" s="80">
        <v>6.333333333333333</v>
      </c>
      <c r="K25" s="12" t="s">
        <v>7161</v>
      </c>
      <c r="L25" s="12" t="s">
        <v>21</v>
      </c>
      <c r="M25" s="12" t="s">
        <v>8110</v>
      </c>
      <c r="N25" s="12">
        <v>55.6</v>
      </c>
      <c r="O25" s="12">
        <v>8.4000000000000005E-2</v>
      </c>
      <c r="P25" s="12">
        <v>0.999</v>
      </c>
      <c r="Q25" s="12" t="s">
        <v>7179</v>
      </c>
      <c r="R25" s="12">
        <v>3.8E-3</v>
      </c>
      <c r="S25" s="12">
        <v>7.2096999999999994E-2</v>
      </c>
      <c r="T25" s="12">
        <v>83426</v>
      </c>
      <c r="U25" s="12">
        <v>7.0000000000000007E-2</v>
      </c>
      <c r="V25" s="12" t="s">
        <v>7661</v>
      </c>
      <c r="W25" s="12" t="s">
        <v>25</v>
      </c>
      <c r="X25" s="12">
        <v>45</v>
      </c>
      <c r="Y25" s="12" t="s">
        <v>6639</v>
      </c>
      <c r="Z25" s="12" t="s">
        <v>6639</v>
      </c>
      <c r="AD25" s="63"/>
      <c r="AE25" s="63"/>
      <c r="AF25" s="63"/>
      <c r="AG25" s="63"/>
      <c r="AH25" s="63"/>
      <c r="AI25" s="63"/>
      <c r="AJ25" s="63"/>
      <c r="AK25" s="63"/>
      <c r="AL25" s="63"/>
      <c r="AM25" s="63"/>
    </row>
    <row r="26" spans="1:39" s="12" customFormat="1" x14ac:dyDescent="0.2">
      <c r="A26" s="12" t="s">
        <v>5738</v>
      </c>
      <c r="B26" s="12" t="s">
        <v>5382</v>
      </c>
      <c r="C26" s="12" t="s">
        <v>8127</v>
      </c>
      <c r="D26" s="12" t="s">
        <v>7159</v>
      </c>
      <c r="E26" s="12" t="s">
        <v>8031</v>
      </c>
      <c r="F26" s="12" t="s">
        <v>7160</v>
      </c>
      <c r="G26" s="12" t="s">
        <v>7649</v>
      </c>
      <c r="H26" s="12">
        <v>57</v>
      </c>
      <c r="I26" s="12" t="s">
        <v>7647</v>
      </c>
      <c r="J26" s="80">
        <v>6.333333333333333</v>
      </c>
      <c r="K26" s="12" t="s">
        <v>7161</v>
      </c>
      <c r="L26" s="12" t="s">
        <v>21</v>
      </c>
      <c r="M26" s="12" t="s">
        <v>8110</v>
      </c>
      <c r="N26" s="12">
        <v>42.6</v>
      </c>
      <c r="O26" s="12">
        <v>7.1999999999999995E-2</v>
      </c>
      <c r="P26" s="12">
        <v>0.998</v>
      </c>
      <c r="Q26" s="12" t="s">
        <v>7235</v>
      </c>
      <c r="R26" s="12">
        <v>3.5999999999999999E-3</v>
      </c>
      <c r="S26" s="12">
        <v>6.7898E-2</v>
      </c>
      <c r="T26" s="12">
        <v>79356</v>
      </c>
      <c r="U26" s="12">
        <v>0.06</v>
      </c>
      <c r="V26" s="12" t="s">
        <v>7661</v>
      </c>
      <c r="W26" s="12" t="s">
        <v>25</v>
      </c>
      <c r="X26" s="12">
        <v>47</v>
      </c>
      <c r="Y26" s="12" t="s">
        <v>6639</v>
      </c>
      <c r="Z26" s="12" t="s">
        <v>6639</v>
      </c>
      <c r="AD26" s="63"/>
      <c r="AE26" s="63"/>
      <c r="AF26" s="63"/>
      <c r="AG26" s="63"/>
      <c r="AH26" s="63"/>
      <c r="AI26" s="63"/>
      <c r="AJ26" s="63"/>
      <c r="AK26" s="63"/>
      <c r="AL26" s="63"/>
      <c r="AM26" s="63"/>
    </row>
    <row r="27" spans="1:39" s="12" customFormat="1" x14ac:dyDescent="0.2">
      <c r="A27" s="12" t="s">
        <v>5725</v>
      </c>
      <c r="B27" s="12" t="s">
        <v>5300</v>
      </c>
      <c r="C27" s="12" t="s">
        <v>8127</v>
      </c>
      <c r="D27" s="12" t="s">
        <v>7159</v>
      </c>
      <c r="E27" s="12" t="s">
        <v>8031</v>
      </c>
      <c r="F27" s="12" t="s">
        <v>7160</v>
      </c>
      <c r="G27" s="12" t="s">
        <v>7649</v>
      </c>
      <c r="H27" s="12">
        <v>74</v>
      </c>
      <c r="I27" s="12" t="s">
        <v>7646</v>
      </c>
      <c r="J27" s="80">
        <v>8.2222222222222214</v>
      </c>
      <c r="K27" s="12" t="s">
        <v>7161</v>
      </c>
      <c r="L27" s="12" t="s">
        <v>21</v>
      </c>
      <c r="M27" s="12" t="s">
        <v>8110</v>
      </c>
      <c r="N27" s="12">
        <v>455</v>
      </c>
      <c r="O27" s="12">
        <v>8.2000000000000003E-2</v>
      </c>
      <c r="P27" s="12">
        <v>1</v>
      </c>
      <c r="Q27" s="12" t="s">
        <v>7165</v>
      </c>
      <c r="R27" s="12">
        <v>4.7E-2</v>
      </c>
      <c r="S27" s="12">
        <v>0.43251899999999999</v>
      </c>
      <c r="T27" s="12">
        <v>382952</v>
      </c>
      <c r="U27" s="12">
        <v>6.3E-2</v>
      </c>
      <c r="V27" s="12" t="s">
        <v>7661</v>
      </c>
      <c r="W27" s="12" t="s">
        <v>25</v>
      </c>
      <c r="X27" s="12">
        <v>1047</v>
      </c>
      <c r="Y27" s="12" t="s">
        <v>6639</v>
      </c>
      <c r="Z27" s="12" t="s">
        <v>6639</v>
      </c>
      <c r="AD27" s="63"/>
      <c r="AE27" s="63"/>
      <c r="AF27" s="63"/>
      <c r="AG27" s="63"/>
      <c r="AH27" s="63"/>
      <c r="AI27" s="63"/>
      <c r="AJ27" s="63"/>
      <c r="AK27" s="63"/>
      <c r="AL27" s="63"/>
      <c r="AM27" s="63"/>
    </row>
    <row r="28" spans="1:39" s="12" customFormat="1" x14ac:dyDescent="0.2">
      <c r="A28" s="12" t="s">
        <v>5726</v>
      </c>
      <c r="B28" s="12" t="s">
        <v>5300</v>
      </c>
      <c r="C28" s="12" t="s">
        <v>8127</v>
      </c>
      <c r="D28" s="12" t="s">
        <v>7159</v>
      </c>
      <c r="E28" s="12" t="s">
        <v>8031</v>
      </c>
      <c r="F28" s="12" t="s">
        <v>7160</v>
      </c>
      <c r="G28" s="12" t="s">
        <v>7649</v>
      </c>
      <c r="H28" s="12">
        <v>74</v>
      </c>
      <c r="I28" s="12" t="s">
        <v>7647</v>
      </c>
      <c r="J28" s="80">
        <v>8.2222222222222214</v>
      </c>
      <c r="K28" s="12" t="s">
        <v>7161</v>
      </c>
      <c r="L28" s="12" t="s">
        <v>21</v>
      </c>
      <c r="M28" s="12" t="s">
        <v>8110</v>
      </c>
      <c r="N28" s="12">
        <v>422</v>
      </c>
      <c r="O28" s="12">
        <v>7.2999999999999995E-2</v>
      </c>
      <c r="P28" s="12">
        <v>0.999</v>
      </c>
      <c r="Q28" s="12" t="s">
        <v>7169</v>
      </c>
      <c r="R28" s="12">
        <v>6.0999999999999999E-2</v>
      </c>
      <c r="S28" s="12">
        <v>0.49394700000000002</v>
      </c>
      <c r="T28" s="12">
        <v>437651</v>
      </c>
      <c r="U28" s="12">
        <v>5.8000000000000003E-2</v>
      </c>
      <c r="V28" s="12" t="s">
        <v>7661</v>
      </c>
      <c r="W28" s="12" t="s">
        <v>25</v>
      </c>
      <c r="X28" s="12">
        <v>1257</v>
      </c>
      <c r="Y28" s="12" t="s">
        <v>6639</v>
      </c>
      <c r="Z28" s="12" t="s">
        <v>6639</v>
      </c>
      <c r="AD28" s="63"/>
      <c r="AE28" s="63"/>
      <c r="AF28" s="63"/>
      <c r="AG28" s="63"/>
      <c r="AH28" s="63"/>
      <c r="AI28" s="63"/>
      <c r="AJ28" s="63"/>
      <c r="AK28" s="63"/>
      <c r="AL28" s="63"/>
      <c r="AM28" s="63"/>
    </row>
    <row r="29" spans="1:39" s="12" customFormat="1" x14ac:dyDescent="0.2">
      <c r="A29" s="12" t="s">
        <v>5727</v>
      </c>
      <c r="B29" s="12" t="s">
        <v>5303</v>
      </c>
      <c r="C29" s="12" t="s">
        <v>8127</v>
      </c>
      <c r="D29" s="12" t="s">
        <v>7159</v>
      </c>
      <c r="E29" s="12" t="s">
        <v>8031</v>
      </c>
      <c r="F29" s="12" t="s">
        <v>7160</v>
      </c>
      <c r="G29" s="12" t="s">
        <v>7649</v>
      </c>
      <c r="H29" s="12">
        <v>42</v>
      </c>
      <c r="I29" s="12" t="s">
        <v>7646</v>
      </c>
      <c r="J29" s="80">
        <v>4.6666666666666661</v>
      </c>
      <c r="K29" s="12" t="s">
        <v>7161</v>
      </c>
      <c r="L29" s="12" t="s">
        <v>21</v>
      </c>
      <c r="M29" s="12" t="s">
        <v>8110</v>
      </c>
      <c r="N29" s="12">
        <v>82.9</v>
      </c>
      <c r="O29" s="12">
        <v>8.3000000000000004E-2</v>
      </c>
      <c r="P29" s="12">
        <v>0.998</v>
      </c>
      <c r="Q29" s="12" t="s">
        <v>7177</v>
      </c>
      <c r="R29" s="12">
        <v>1.2999999999999999E-2</v>
      </c>
      <c r="S29" s="12">
        <v>0.11795700000000001</v>
      </c>
      <c r="T29" s="12">
        <v>133044</v>
      </c>
      <c r="U29" s="12">
        <v>5.5E-2</v>
      </c>
      <c r="V29" s="12" t="s">
        <v>7661</v>
      </c>
      <c r="W29" s="12" t="s">
        <v>11</v>
      </c>
      <c r="X29" s="12">
        <v>31</v>
      </c>
      <c r="Y29" s="12" t="s">
        <v>8052</v>
      </c>
      <c r="Z29" s="12" t="s">
        <v>8052</v>
      </c>
      <c r="AD29" s="63"/>
      <c r="AE29" s="63"/>
      <c r="AF29" s="63"/>
      <c r="AG29" s="63"/>
      <c r="AH29" s="63"/>
      <c r="AI29" s="63"/>
      <c r="AJ29" s="63"/>
      <c r="AK29" s="63"/>
      <c r="AL29" s="63"/>
      <c r="AM29" s="63"/>
    </row>
    <row r="30" spans="1:39" s="12" customFormat="1" x14ac:dyDescent="0.2">
      <c r="A30" s="12" t="s">
        <v>5728</v>
      </c>
      <c r="B30" s="12" t="s">
        <v>5303</v>
      </c>
      <c r="C30" s="12" t="s">
        <v>8127</v>
      </c>
      <c r="D30" s="12" t="s">
        <v>7159</v>
      </c>
      <c r="E30" s="12" t="s">
        <v>8031</v>
      </c>
      <c r="F30" s="12" t="s">
        <v>7160</v>
      </c>
      <c r="G30" s="12" t="s">
        <v>7649</v>
      </c>
      <c r="H30" s="12">
        <v>42</v>
      </c>
      <c r="I30" s="12" t="s">
        <v>7647</v>
      </c>
      <c r="J30" s="80">
        <v>4.6666666666666661</v>
      </c>
      <c r="K30" s="12" t="s">
        <v>7161</v>
      </c>
      <c r="L30" s="12" t="s">
        <v>21</v>
      </c>
      <c r="M30" s="12" t="s">
        <v>8110</v>
      </c>
      <c r="N30" s="12">
        <v>49.3</v>
      </c>
      <c r="O30" s="12">
        <v>0.08</v>
      </c>
      <c r="P30" s="12">
        <v>1</v>
      </c>
      <c r="Q30" s="12" t="s">
        <v>7169</v>
      </c>
      <c r="R30" s="12">
        <v>1.7999999999999999E-2</v>
      </c>
      <c r="S30" s="12">
        <v>0.109856</v>
      </c>
      <c r="T30" s="12">
        <v>125386</v>
      </c>
      <c r="U30" s="12">
        <v>5.1999999999999998E-2</v>
      </c>
      <c r="V30" s="12" t="s">
        <v>7661</v>
      </c>
      <c r="W30" s="12" t="s">
        <v>11</v>
      </c>
      <c r="X30" s="12">
        <v>12</v>
      </c>
      <c r="Y30" s="12" t="s">
        <v>8052</v>
      </c>
      <c r="Z30" s="12" t="s">
        <v>8052</v>
      </c>
      <c r="AD30" s="63"/>
      <c r="AE30" s="63"/>
      <c r="AF30" s="63"/>
      <c r="AG30" s="63"/>
      <c r="AH30" s="63"/>
      <c r="AI30" s="63"/>
      <c r="AJ30" s="63"/>
      <c r="AK30" s="63"/>
      <c r="AL30" s="63"/>
      <c r="AM30" s="63"/>
    </row>
    <row r="31" spans="1:39" s="12" customFormat="1" x14ac:dyDescent="0.2">
      <c r="A31" s="12" t="s">
        <v>5729</v>
      </c>
      <c r="B31" s="12" t="s">
        <v>5308</v>
      </c>
      <c r="C31" s="12" t="s">
        <v>8127</v>
      </c>
      <c r="D31" s="12" t="s">
        <v>7159</v>
      </c>
      <c r="E31" s="12" t="s">
        <v>8031</v>
      </c>
      <c r="F31" s="12" t="s">
        <v>7160</v>
      </c>
      <c r="G31" s="12" t="s">
        <v>7649</v>
      </c>
      <c r="H31" s="12">
        <v>60</v>
      </c>
      <c r="I31" s="12" t="s">
        <v>7646</v>
      </c>
      <c r="J31" s="80">
        <v>6.6666666666666661</v>
      </c>
      <c r="K31" s="12" t="s">
        <v>7161</v>
      </c>
      <c r="L31" s="12" t="s">
        <v>21</v>
      </c>
      <c r="M31" s="12" t="s">
        <v>8110</v>
      </c>
      <c r="N31" s="12">
        <v>109</v>
      </c>
      <c r="O31" s="12">
        <v>6.3E-2</v>
      </c>
      <c r="P31" s="12">
        <v>0.995</v>
      </c>
      <c r="Q31" s="12" t="s">
        <v>7202</v>
      </c>
      <c r="R31" s="12">
        <v>4.2000000000000003E-2</v>
      </c>
      <c r="S31" s="12">
        <v>0.54173199999999999</v>
      </c>
      <c r="T31" s="12">
        <v>456552</v>
      </c>
      <c r="U31" s="12">
        <v>4.3999999999999997E-2</v>
      </c>
      <c r="V31" s="12" t="s">
        <v>7661</v>
      </c>
      <c r="W31" s="12" t="s">
        <v>11</v>
      </c>
      <c r="X31" s="12">
        <v>465</v>
      </c>
      <c r="Y31" s="12">
        <v>3.614E-3</v>
      </c>
      <c r="Z31" s="12">
        <v>0.99801391365053271</v>
      </c>
      <c r="AD31" s="63"/>
      <c r="AE31" s="63"/>
      <c r="AF31" s="63"/>
      <c r="AG31" s="63"/>
      <c r="AH31" s="63"/>
      <c r="AI31" s="63"/>
      <c r="AJ31" s="63"/>
      <c r="AK31" s="63"/>
      <c r="AL31" s="63"/>
      <c r="AM31" s="63"/>
    </row>
    <row r="32" spans="1:39" s="12" customFormat="1" x14ac:dyDescent="0.2">
      <c r="A32" s="12" t="s">
        <v>5730</v>
      </c>
      <c r="B32" s="12" t="s">
        <v>5308</v>
      </c>
      <c r="C32" s="12" t="s">
        <v>8127</v>
      </c>
      <c r="D32" s="12" t="s">
        <v>7159</v>
      </c>
      <c r="E32" s="12" t="s">
        <v>8031</v>
      </c>
      <c r="F32" s="12" t="s">
        <v>7160</v>
      </c>
      <c r="G32" s="12" t="s">
        <v>7649</v>
      </c>
      <c r="H32" s="12">
        <v>60</v>
      </c>
      <c r="I32" s="12" t="s">
        <v>7647</v>
      </c>
      <c r="J32" s="80">
        <v>6.6666666666666661</v>
      </c>
      <c r="K32" s="12" t="s">
        <v>7161</v>
      </c>
      <c r="L32" s="12" t="s">
        <v>21</v>
      </c>
      <c r="M32" s="12" t="s">
        <v>8110</v>
      </c>
      <c r="N32" s="12">
        <v>77</v>
      </c>
      <c r="O32" s="12">
        <v>5.8000000000000003E-2</v>
      </c>
      <c r="P32" s="12">
        <v>0.998</v>
      </c>
      <c r="Q32" s="12" t="s">
        <v>7343</v>
      </c>
      <c r="R32" s="12">
        <v>6.2E-2</v>
      </c>
      <c r="S32" s="12">
        <v>0.74447799999999997</v>
      </c>
      <c r="T32" s="12">
        <v>561030</v>
      </c>
      <c r="U32" s="12">
        <v>4.2000000000000003E-2</v>
      </c>
      <c r="V32" s="12" t="s">
        <v>7661</v>
      </c>
      <c r="W32" s="12" t="s">
        <v>11</v>
      </c>
      <c r="X32" s="12">
        <v>858</v>
      </c>
      <c r="Y32" s="12">
        <v>2.0639999999999999E-3</v>
      </c>
      <c r="Z32" s="12">
        <v>0.79324206950091858</v>
      </c>
      <c r="AD32" s="63"/>
      <c r="AE32" s="63"/>
      <c r="AF32" s="63"/>
      <c r="AG32" s="63"/>
      <c r="AH32" s="63"/>
      <c r="AI32" s="63"/>
      <c r="AJ32" s="63"/>
      <c r="AK32" s="63"/>
      <c r="AL32" s="63"/>
      <c r="AM32" s="63"/>
    </row>
    <row r="33" spans="1:39" s="12" customFormat="1" x14ac:dyDescent="0.2">
      <c r="A33" s="12" t="s">
        <v>5731</v>
      </c>
      <c r="B33" s="12" t="s">
        <v>5311</v>
      </c>
      <c r="C33" s="12" t="s">
        <v>8127</v>
      </c>
      <c r="D33" s="12" t="s">
        <v>7159</v>
      </c>
      <c r="E33" s="12" t="s">
        <v>8031</v>
      </c>
      <c r="F33" s="12" t="s">
        <v>7160</v>
      </c>
      <c r="G33" s="12" t="s">
        <v>7649</v>
      </c>
      <c r="H33" s="12">
        <v>61</v>
      </c>
      <c r="I33" s="12" t="s">
        <v>7646</v>
      </c>
      <c r="J33" s="80">
        <v>6.7777777777777777</v>
      </c>
      <c r="K33" s="12" t="s">
        <v>7161</v>
      </c>
      <c r="L33" s="12" t="s">
        <v>21</v>
      </c>
      <c r="M33" s="12" t="s">
        <v>8110</v>
      </c>
      <c r="N33" s="12">
        <v>128</v>
      </c>
      <c r="O33" s="12">
        <v>0.05</v>
      </c>
      <c r="P33" s="12">
        <v>1</v>
      </c>
      <c r="Q33" s="12" t="s">
        <v>7169</v>
      </c>
      <c r="R33" s="12">
        <v>3.0000000000000001E-3</v>
      </c>
      <c r="S33" s="12">
        <v>7.5717000000000007E-2</v>
      </c>
      <c r="T33" s="12">
        <v>86481</v>
      </c>
      <c r="U33" s="12">
        <v>6.0999999999999999E-2</v>
      </c>
      <c r="V33" s="12" t="s">
        <v>7661</v>
      </c>
      <c r="W33" s="12" t="s">
        <v>25</v>
      </c>
      <c r="X33" s="12">
        <v>46</v>
      </c>
      <c r="Y33" s="12" t="s">
        <v>6639</v>
      </c>
      <c r="Z33" s="12" t="s">
        <v>6639</v>
      </c>
      <c r="AD33" s="63"/>
      <c r="AE33" s="63"/>
      <c r="AF33" s="63"/>
      <c r="AG33" s="63"/>
      <c r="AH33" s="63"/>
      <c r="AI33" s="63"/>
      <c r="AJ33" s="63"/>
      <c r="AK33" s="63"/>
      <c r="AL33" s="63"/>
      <c r="AM33" s="63"/>
    </row>
    <row r="34" spans="1:39" s="12" customFormat="1" x14ac:dyDescent="0.2">
      <c r="A34" s="12" t="s">
        <v>5732</v>
      </c>
      <c r="B34" s="12" t="s">
        <v>5311</v>
      </c>
      <c r="C34" s="12" t="s">
        <v>8127</v>
      </c>
      <c r="D34" s="12" t="s">
        <v>7159</v>
      </c>
      <c r="E34" s="12" t="s">
        <v>8031</v>
      </c>
      <c r="F34" s="12" t="s">
        <v>7160</v>
      </c>
      <c r="G34" s="12" t="s">
        <v>7649</v>
      </c>
      <c r="H34" s="12">
        <v>61</v>
      </c>
      <c r="I34" s="12" t="s">
        <v>7647</v>
      </c>
      <c r="J34" s="80">
        <v>6.7777777777777777</v>
      </c>
      <c r="K34" s="12" t="s">
        <v>7161</v>
      </c>
      <c r="L34" s="12" t="s">
        <v>21</v>
      </c>
      <c r="M34" s="12" t="s">
        <v>8110</v>
      </c>
      <c r="N34" s="12">
        <v>85.3</v>
      </c>
      <c r="O34" s="12">
        <v>4.3999999999999997E-2</v>
      </c>
      <c r="P34" s="12">
        <v>0.999</v>
      </c>
      <c r="Q34" s="12" t="s">
        <v>7179</v>
      </c>
      <c r="R34" s="12">
        <v>3.7000000000000002E-3</v>
      </c>
      <c r="S34" s="12">
        <v>9.5573000000000005E-2</v>
      </c>
      <c r="T34" s="12">
        <v>108514</v>
      </c>
      <c r="U34" s="12">
        <v>5.7000000000000002E-2</v>
      </c>
      <c r="V34" s="12" t="s">
        <v>7661</v>
      </c>
      <c r="W34" s="12" t="s">
        <v>25</v>
      </c>
      <c r="X34" s="12">
        <v>80</v>
      </c>
      <c r="Y34" s="12" t="s">
        <v>6639</v>
      </c>
      <c r="Z34" s="12" t="s">
        <v>6639</v>
      </c>
      <c r="AD34" s="63"/>
      <c r="AE34" s="63"/>
      <c r="AF34" s="63"/>
      <c r="AG34" s="63"/>
      <c r="AH34" s="63"/>
      <c r="AI34" s="63"/>
      <c r="AJ34" s="63"/>
      <c r="AK34" s="63"/>
      <c r="AL34" s="63"/>
      <c r="AM34" s="63"/>
    </row>
    <row r="35" spans="1:39" s="12" customFormat="1" x14ac:dyDescent="0.2">
      <c r="A35" s="12" t="s">
        <v>4996</v>
      </c>
      <c r="B35" s="12" t="s">
        <v>4995</v>
      </c>
      <c r="C35" s="12" t="s">
        <v>8127</v>
      </c>
      <c r="D35" s="12" t="s">
        <v>7159</v>
      </c>
      <c r="E35" s="12" t="s">
        <v>8031</v>
      </c>
      <c r="F35" s="12" t="s">
        <v>7160</v>
      </c>
      <c r="G35" s="12" t="s">
        <v>7650</v>
      </c>
      <c r="H35" s="12">
        <v>74</v>
      </c>
      <c r="I35" s="12" t="s">
        <v>7645</v>
      </c>
      <c r="J35" s="80">
        <v>37</v>
      </c>
      <c r="K35" s="12" t="s">
        <v>7161</v>
      </c>
      <c r="L35" s="12" t="s">
        <v>21</v>
      </c>
      <c r="M35" s="12" t="s">
        <v>8110</v>
      </c>
      <c r="N35" s="12">
        <v>6.3</v>
      </c>
      <c r="O35" s="12">
        <v>6.6000000000000003E-2</v>
      </c>
      <c r="P35" s="12">
        <v>0.85599999999999998</v>
      </c>
      <c r="Q35" s="12" t="s">
        <v>7281</v>
      </c>
      <c r="R35" s="12">
        <v>1.4999999999999999E-2</v>
      </c>
      <c r="S35" s="12">
        <v>2.4E-2</v>
      </c>
      <c r="T35" s="12">
        <v>27827</v>
      </c>
      <c r="U35" s="12" t="s">
        <v>17</v>
      </c>
      <c r="V35" s="12" t="s">
        <v>7661</v>
      </c>
      <c r="W35" s="12" t="s">
        <v>25</v>
      </c>
      <c r="X35" s="12">
        <v>12</v>
      </c>
      <c r="Y35" s="12" t="s">
        <v>6639</v>
      </c>
      <c r="Z35" s="12" t="s">
        <v>6639</v>
      </c>
      <c r="AD35" s="63"/>
      <c r="AE35" s="63"/>
      <c r="AF35" s="63"/>
      <c r="AG35" s="63"/>
      <c r="AH35" s="63"/>
      <c r="AI35" s="63"/>
      <c r="AJ35" s="63"/>
      <c r="AK35" s="63"/>
      <c r="AL35" s="63"/>
      <c r="AM35" s="63"/>
    </row>
    <row r="36" spans="1:39" s="12" customFormat="1" x14ac:dyDescent="0.2">
      <c r="A36" s="12" t="s">
        <v>4182</v>
      </c>
      <c r="B36" s="12" t="s">
        <v>4181</v>
      </c>
      <c r="C36" s="12" t="s">
        <v>8127</v>
      </c>
      <c r="D36" s="12" t="s">
        <v>7159</v>
      </c>
      <c r="E36" s="12" t="s">
        <v>8031</v>
      </c>
      <c r="F36" s="12" t="s">
        <v>7160</v>
      </c>
      <c r="G36" s="12" t="s">
        <v>7649</v>
      </c>
      <c r="H36" s="12">
        <v>73</v>
      </c>
      <c r="I36" s="12" t="s">
        <v>7645</v>
      </c>
      <c r="J36" s="80">
        <v>73</v>
      </c>
      <c r="K36" s="12" t="s">
        <v>7161</v>
      </c>
      <c r="L36" s="12" t="s">
        <v>21</v>
      </c>
      <c r="M36" s="12" t="s">
        <v>8110</v>
      </c>
      <c r="N36" s="12">
        <v>102</v>
      </c>
      <c r="O36" s="12">
        <v>7.0999999999999994E-2</v>
      </c>
      <c r="P36" s="12" t="s">
        <v>17</v>
      </c>
      <c r="Q36" s="12" t="s">
        <v>17</v>
      </c>
      <c r="R36" s="12">
        <v>0.17100000000000001</v>
      </c>
      <c r="S36" s="12">
        <v>2.1139999999999999</v>
      </c>
      <c r="T36" s="12">
        <v>873389</v>
      </c>
      <c r="U36" s="12" t="s">
        <v>17</v>
      </c>
      <c r="V36" s="12" t="s">
        <v>7661</v>
      </c>
      <c r="W36" s="12" t="s">
        <v>11</v>
      </c>
      <c r="X36" s="12">
        <v>2867</v>
      </c>
      <c r="Y36" s="12">
        <v>6.149E-3</v>
      </c>
      <c r="Z36" s="12">
        <v>3.5372175805868942</v>
      </c>
      <c r="AD36" s="63"/>
      <c r="AE36" s="63"/>
      <c r="AF36" s="63"/>
      <c r="AG36" s="63"/>
      <c r="AH36" s="63"/>
      <c r="AI36" s="63"/>
      <c r="AJ36" s="63"/>
      <c r="AK36" s="63"/>
      <c r="AL36" s="63"/>
      <c r="AM36" s="63"/>
    </row>
    <row r="37" spans="1:39" s="12" customFormat="1" x14ac:dyDescent="0.2">
      <c r="A37" s="12" t="s">
        <v>5601</v>
      </c>
      <c r="B37" s="12" t="s">
        <v>5186</v>
      </c>
      <c r="C37" s="12" t="s">
        <v>8127</v>
      </c>
      <c r="D37" s="12" t="s">
        <v>7159</v>
      </c>
      <c r="E37" s="12" t="s">
        <v>8031</v>
      </c>
      <c r="F37" s="12" t="s">
        <v>7230</v>
      </c>
      <c r="G37" s="12" t="s">
        <v>7651</v>
      </c>
      <c r="H37" s="12">
        <v>30</v>
      </c>
      <c r="I37" s="12" t="s">
        <v>7647</v>
      </c>
      <c r="J37" s="80">
        <v>2.25</v>
      </c>
      <c r="K37" s="12" t="s">
        <v>7161</v>
      </c>
      <c r="L37" s="12" t="s">
        <v>21</v>
      </c>
      <c r="M37" s="12" t="s">
        <v>8110</v>
      </c>
      <c r="N37" s="12">
        <v>115</v>
      </c>
      <c r="O37" s="12">
        <v>3.4000000000000002E-2</v>
      </c>
      <c r="P37" s="12">
        <v>1</v>
      </c>
      <c r="Q37" s="12" t="s">
        <v>7165</v>
      </c>
      <c r="R37" s="12">
        <v>1.0999999999999999E-2</v>
      </c>
      <c r="S37" s="12">
        <v>1.9085000000000001E-2</v>
      </c>
      <c r="T37" s="12">
        <v>22786</v>
      </c>
      <c r="U37" s="12">
        <v>4.1000000000000002E-2</v>
      </c>
      <c r="V37" s="12" t="s">
        <v>7661</v>
      </c>
      <c r="W37" s="12" t="s">
        <v>25</v>
      </c>
      <c r="X37" s="12">
        <v>25</v>
      </c>
      <c r="Y37" s="12" t="s">
        <v>6639</v>
      </c>
      <c r="Z37" s="12" t="s">
        <v>6639</v>
      </c>
      <c r="AD37" s="63"/>
      <c r="AE37" s="63"/>
      <c r="AF37" s="63"/>
      <c r="AG37" s="63"/>
      <c r="AH37" s="63"/>
      <c r="AI37" s="63"/>
      <c r="AJ37" s="63"/>
      <c r="AK37" s="63"/>
      <c r="AL37" s="63"/>
      <c r="AM37" s="63"/>
    </row>
    <row r="38" spans="1:39" s="12" customFormat="1" x14ac:dyDescent="0.2">
      <c r="A38" s="12" t="s">
        <v>5600</v>
      </c>
      <c r="B38" s="12" t="s">
        <v>5186</v>
      </c>
      <c r="C38" s="12" t="s">
        <v>8127</v>
      </c>
      <c r="D38" s="12" t="s">
        <v>7159</v>
      </c>
      <c r="E38" s="12" t="s">
        <v>8031</v>
      </c>
      <c r="F38" s="12" t="s">
        <v>7230</v>
      </c>
      <c r="G38" s="12" t="s">
        <v>7651</v>
      </c>
      <c r="H38" s="12">
        <v>30</v>
      </c>
      <c r="I38" s="12" t="s">
        <v>7647</v>
      </c>
      <c r="J38" s="80">
        <v>6.75</v>
      </c>
      <c r="K38" s="12" t="s">
        <v>7161</v>
      </c>
      <c r="L38" s="12" t="s">
        <v>21</v>
      </c>
      <c r="M38" s="12" t="s">
        <v>8110</v>
      </c>
      <c r="N38" s="12">
        <v>298</v>
      </c>
      <c r="O38" s="12">
        <v>0.03</v>
      </c>
      <c r="P38" s="12">
        <v>1</v>
      </c>
      <c r="Q38" s="12" t="s">
        <v>7165</v>
      </c>
      <c r="R38" s="12">
        <v>1.2999999999999999E-2</v>
      </c>
      <c r="S38" s="12">
        <v>5.7112999999999997E-2</v>
      </c>
      <c r="T38" s="12">
        <v>67440</v>
      </c>
      <c r="U38" s="12">
        <v>4.4999999999999998E-2</v>
      </c>
      <c r="V38" s="12" t="s">
        <v>7661</v>
      </c>
      <c r="W38" s="12" t="s">
        <v>25</v>
      </c>
      <c r="X38" s="12">
        <v>28</v>
      </c>
      <c r="Y38" s="12" t="s">
        <v>6639</v>
      </c>
      <c r="Z38" s="12" t="s">
        <v>6639</v>
      </c>
      <c r="AD38" s="63"/>
      <c r="AE38" s="63"/>
      <c r="AF38" s="63"/>
      <c r="AG38" s="63"/>
      <c r="AH38" s="63"/>
      <c r="AI38" s="63"/>
      <c r="AJ38" s="63"/>
      <c r="AK38" s="63"/>
      <c r="AL38" s="63"/>
      <c r="AM38" s="63"/>
    </row>
    <row r="39" spans="1:39" s="12" customFormat="1" x14ac:dyDescent="0.2">
      <c r="A39" s="12" t="s">
        <v>5603</v>
      </c>
      <c r="B39" s="12" t="s">
        <v>5189</v>
      </c>
      <c r="C39" s="12" t="s">
        <v>8127</v>
      </c>
      <c r="D39" s="12" t="s">
        <v>7159</v>
      </c>
      <c r="E39" s="12" t="s">
        <v>8031</v>
      </c>
      <c r="F39" s="12" t="s">
        <v>7230</v>
      </c>
      <c r="G39" s="12" t="s">
        <v>7651</v>
      </c>
      <c r="H39" s="12">
        <v>24</v>
      </c>
      <c r="I39" s="12" t="s">
        <v>7647</v>
      </c>
      <c r="J39" s="80">
        <v>1.7999999999999998</v>
      </c>
      <c r="K39" s="12" t="s">
        <v>7161</v>
      </c>
      <c r="L39" s="12" t="s">
        <v>21</v>
      </c>
      <c r="M39" s="12" t="s">
        <v>8110</v>
      </c>
      <c r="N39" s="12">
        <v>82.8</v>
      </c>
      <c r="O39" s="12">
        <v>4.8000000000000001E-2</v>
      </c>
      <c r="P39" s="12">
        <v>0.998</v>
      </c>
      <c r="Q39" s="12" t="s">
        <v>7206</v>
      </c>
      <c r="R39" s="12">
        <v>1.2E-2</v>
      </c>
      <c r="S39" s="12">
        <v>2.8839E-2</v>
      </c>
      <c r="T39" s="12">
        <v>34393</v>
      </c>
      <c r="U39" s="12">
        <v>4.7E-2</v>
      </c>
      <c r="V39" s="12" t="s">
        <v>7661</v>
      </c>
      <c r="W39" s="12" t="s">
        <v>25</v>
      </c>
      <c r="X39" s="12">
        <v>23</v>
      </c>
      <c r="Y39" s="12" t="s">
        <v>6639</v>
      </c>
      <c r="Z39" s="12" t="s">
        <v>6639</v>
      </c>
      <c r="AD39" s="63"/>
      <c r="AE39" s="63"/>
      <c r="AF39" s="63"/>
      <c r="AG39" s="63"/>
      <c r="AH39" s="63"/>
      <c r="AI39" s="63"/>
      <c r="AJ39" s="63"/>
      <c r="AK39" s="63"/>
      <c r="AL39" s="63"/>
      <c r="AM39" s="63"/>
    </row>
    <row r="40" spans="1:39" s="12" customFormat="1" x14ac:dyDescent="0.2">
      <c r="A40" s="12" t="s">
        <v>5602</v>
      </c>
      <c r="B40" s="12" t="s">
        <v>5189</v>
      </c>
      <c r="C40" s="12" t="s">
        <v>8127</v>
      </c>
      <c r="D40" s="12" t="s">
        <v>7159</v>
      </c>
      <c r="E40" s="12" t="s">
        <v>8031</v>
      </c>
      <c r="F40" s="12" t="s">
        <v>7230</v>
      </c>
      <c r="G40" s="12" t="s">
        <v>7651</v>
      </c>
      <c r="H40" s="12">
        <v>24</v>
      </c>
      <c r="I40" s="12" t="s">
        <v>7647</v>
      </c>
      <c r="J40" s="80">
        <v>5.3999999999999995</v>
      </c>
      <c r="K40" s="12" t="s">
        <v>7161</v>
      </c>
      <c r="L40" s="12" t="s">
        <v>21</v>
      </c>
      <c r="M40" s="12" t="s">
        <v>8110</v>
      </c>
      <c r="N40" s="12">
        <v>149</v>
      </c>
      <c r="O40" s="12">
        <v>3.6999999999999998E-2</v>
      </c>
      <c r="P40" s="12">
        <v>1</v>
      </c>
      <c r="Q40" s="12" t="s">
        <v>7189</v>
      </c>
      <c r="R40" s="12">
        <v>1.2999999999999999E-2</v>
      </c>
      <c r="S40" s="12">
        <v>6.9380999999999998E-2</v>
      </c>
      <c r="T40" s="12">
        <v>81417</v>
      </c>
      <c r="U40" s="12">
        <v>4.7E-2</v>
      </c>
      <c r="V40" s="12" t="s">
        <v>7661</v>
      </c>
      <c r="W40" s="12" t="s">
        <v>25</v>
      </c>
      <c r="X40" s="12">
        <v>42</v>
      </c>
      <c r="Y40" s="12" t="s">
        <v>6639</v>
      </c>
      <c r="Z40" s="12" t="s">
        <v>6639</v>
      </c>
      <c r="AD40" s="63"/>
      <c r="AE40" s="63"/>
      <c r="AF40" s="63"/>
      <c r="AG40" s="63"/>
      <c r="AH40" s="63"/>
      <c r="AI40" s="63"/>
      <c r="AJ40" s="63"/>
      <c r="AK40" s="63"/>
      <c r="AL40" s="63"/>
      <c r="AM40" s="63"/>
    </row>
    <row r="41" spans="1:39" s="12" customFormat="1" x14ac:dyDescent="0.2">
      <c r="A41" s="12" t="s">
        <v>5605</v>
      </c>
      <c r="B41" s="12" t="s">
        <v>5191</v>
      </c>
      <c r="C41" s="12" t="s">
        <v>8127</v>
      </c>
      <c r="D41" s="12" t="s">
        <v>7159</v>
      </c>
      <c r="E41" s="12" t="s">
        <v>8031</v>
      </c>
      <c r="F41" s="12" t="s">
        <v>7230</v>
      </c>
      <c r="G41" s="12" t="s">
        <v>7651</v>
      </c>
      <c r="H41" s="12">
        <v>27</v>
      </c>
      <c r="I41" s="12" t="s">
        <v>7647</v>
      </c>
      <c r="J41" s="80">
        <v>2.0249999999999999</v>
      </c>
      <c r="K41" s="12" t="s">
        <v>7161</v>
      </c>
      <c r="L41" s="12" t="s">
        <v>21</v>
      </c>
      <c r="M41" s="12" t="s">
        <v>8110</v>
      </c>
      <c r="N41" s="12">
        <v>57</v>
      </c>
      <c r="O41" s="12">
        <v>6.4000000000000001E-2</v>
      </c>
      <c r="P41" s="12">
        <v>1</v>
      </c>
      <c r="Q41" s="12" t="s">
        <v>7165</v>
      </c>
      <c r="R41" s="12">
        <v>3.5000000000000003E-2</v>
      </c>
      <c r="S41" s="12">
        <v>0.184696</v>
      </c>
      <c r="T41" s="12">
        <v>200854</v>
      </c>
      <c r="U41" s="12">
        <v>5.5E-2</v>
      </c>
      <c r="V41" s="12" t="s">
        <v>7661</v>
      </c>
      <c r="W41" s="12" t="s">
        <v>25</v>
      </c>
      <c r="X41" s="12">
        <v>219</v>
      </c>
      <c r="Y41" s="12" t="s">
        <v>6639</v>
      </c>
      <c r="Z41" s="12" t="s">
        <v>6639</v>
      </c>
      <c r="AD41" s="63"/>
      <c r="AE41" s="63"/>
      <c r="AF41" s="63"/>
      <c r="AG41" s="63"/>
      <c r="AH41" s="63"/>
      <c r="AI41" s="63"/>
      <c r="AJ41" s="63"/>
      <c r="AK41" s="63"/>
      <c r="AL41" s="63"/>
      <c r="AM41" s="63"/>
    </row>
    <row r="42" spans="1:39" s="12" customFormat="1" x14ac:dyDescent="0.2">
      <c r="A42" s="12" t="s">
        <v>5604</v>
      </c>
      <c r="B42" s="12" t="s">
        <v>5191</v>
      </c>
      <c r="C42" s="12" t="s">
        <v>8127</v>
      </c>
      <c r="D42" s="12" t="s">
        <v>7159</v>
      </c>
      <c r="E42" s="12" t="s">
        <v>8031</v>
      </c>
      <c r="F42" s="12" t="s">
        <v>7230</v>
      </c>
      <c r="G42" s="12" t="s">
        <v>7651</v>
      </c>
      <c r="H42" s="12">
        <v>27</v>
      </c>
      <c r="I42" s="12" t="s">
        <v>7647</v>
      </c>
      <c r="J42" s="80">
        <v>6.0749999999999993</v>
      </c>
      <c r="K42" s="12" t="s">
        <v>7161</v>
      </c>
      <c r="L42" s="12" t="s">
        <v>21</v>
      </c>
      <c r="M42" s="12" t="s">
        <v>8110</v>
      </c>
      <c r="N42" s="12">
        <v>64.099999999999994</v>
      </c>
      <c r="O42" s="12">
        <v>5.7000000000000002E-2</v>
      </c>
      <c r="P42" s="12">
        <v>0.999</v>
      </c>
      <c r="Q42" s="12" t="s">
        <v>7179</v>
      </c>
      <c r="R42" s="12">
        <v>3.4000000000000002E-2</v>
      </c>
      <c r="S42" s="12">
        <v>0.36614400000000002</v>
      </c>
      <c r="T42" s="12">
        <v>351743</v>
      </c>
      <c r="U42" s="12">
        <v>5.6000000000000001E-2</v>
      </c>
      <c r="V42" s="12" t="s">
        <v>7661</v>
      </c>
      <c r="W42" s="12" t="s">
        <v>25</v>
      </c>
      <c r="X42" s="12">
        <v>898</v>
      </c>
      <c r="Y42" s="12" t="s">
        <v>6639</v>
      </c>
      <c r="Z42" s="12" t="s">
        <v>6639</v>
      </c>
      <c r="AD42" s="63"/>
      <c r="AE42" s="63"/>
      <c r="AF42" s="63"/>
      <c r="AG42" s="63"/>
      <c r="AH42" s="63"/>
      <c r="AI42" s="63"/>
      <c r="AJ42" s="63"/>
      <c r="AK42" s="63"/>
      <c r="AL42" s="63"/>
      <c r="AM42" s="63"/>
    </row>
    <row r="43" spans="1:39" s="12" customFormat="1" x14ac:dyDescent="0.2">
      <c r="A43" s="12" t="s">
        <v>5636</v>
      </c>
      <c r="B43" s="12" t="s">
        <v>5389</v>
      </c>
      <c r="C43" s="12" t="s">
        <v>8127</v>
      </c>
      <c r="D43" s="12" t="s">
        <v>7159</v>
      </c>
      <c r="E43" s="12" t="s">
        <v>8031</v>
      </c>
      <c r="F43" s="12" t="s">
        <v>7230</v>
      </c>
      <c r="G43" s="12" t="s">
        <v>7651</v>
      </c>
      <c r="H43" s="12">
        <v>25</v>
      </c>
      <c r="I43" s="12" t="s">
        <v>7647</v>
      </c>
      <c r="J43" s="80">
        <v>1.875</v>
      </c>
      <c r="K43" s="12" t="s">
        <v>7161</v>
      </c>
      <c r="L43" s="12" t="s">
        <v>21</v>
      </c>
      <c r="M43" s="12" t="s">
        <v>8110</v>
      </c>
      <c r="N43" s="12">
        <v>50.9</v>
      </c>
      <c r="O43" s="12">
        <v>4.2999999999999997E-2</v>
      </c>
      <c r="P43" s="12">
        <v>1</v>
      </c>
      <c r="Q43" s="12" t="s">
        <v>7189</v>
      </c>
      <c r="R43" s="12">
        <v>1.9E-2</v>
      </c>
      <c r="S43" s="12">
        <v>3.8177999999999997E-2</v>
      </c>
      <c r="T43" s="12">
        <v>45297</v>
      </c>
      <c r="U43" s="12">
        <v>5.7000000000000002E-2</v>
      </c>
      <c r="V43" s="12" t="s">
        <v>7661</v>
      </c>
      <c r="W43" s="12" t="s">
        <v>25</v>
      </c>
      <c r="X43" s="12">
        <v>41</v>
      </c>
      <c r="Y43" s="12" t="s">
        <v>6639</v>
      </c>
      <c r="Z43" s="12" t="s">
        <v>6639</v>
      </c>
      <c r="AD43" s="63"/>
      <c r="AE43" s="63"/>
      <c r="AF43" s="63"/>
      <c r="AG43" s="63"/>
      <c r="AH43" s="63"/>
      <c r="AI43" s="63"/>
      <c r="AJ43" s="63"/>
      <c r="AK43" s="63"/>
      <c r="AL43" s="63"/>
      <c r="AM43" s="63"/>
    </row>
    <row r="44" spans="1:39" s="12" customFormat="1" x14ac:dyDescent="0.2">
      <c r="A44" s="12" t="s">
        <v>5635</v>
      </c>
      <c r="B44" s="12" t="s">
        <v>5389</v>
      </c>
      <c r="C44" s="12" t="s">
        <v>8127</v>
      </c>
      <c r="D44" s="12" t="s">
        <v>7159</v>
      </c>
      <c r="E44" s="12" t="s">
        <v>8031</v>
      </c>
      <c r="F44" s="12" t="s">
        <v>7230</v>
      </c>
      <c r="G44" s="12" t="s">
        <v>7651</v>
      </c>
      <c r="H44" s="12">
        <v>25</v>
      </c>
      <c r="I44" s="12" t="s">
        <v>7647</v>
      </c>
      <c r="J44" s="80">
        <v>5.625</v>
      </c>
      <c r="K44" s="12" t="s">
        <v>7161</v>
      </c>
      <c r="L44" s="12" t="s">
        <v>21</v>
      </c>
      <c r="M44" s="12" t="s">
        <v>8110</v>
      </c>
      <c r="N44" s="12">
        <v>112</v>
      </c>
      <c r="O44" s="12">
        <v>3.1E-2</v>
      </c>
      <c r="P44" s="12">
        <v>0.999</v>
      </c>
      <c r="Q44" s="12" t="s">
        <v>7169</v>
      </c>
      <c r="R44" s="12">
        <v>0.02</v>
      </c>
      <c r="S44" s="12">
        <v>8.4823999999999997E-2</v>
      </c>
      <c r="T44" s="12">
        <v>95146</v>
      </c>
      <c r="U44" s="12">
        <v>5.7000000000000002E-2</v>
      </c>
      <c r="V44" s="12" t="s">
        <v>7661</v>
      </c>
      <c r="W44" s="12" t="s">
        <v>25</v>
      </c>
      <c r="X44" s="12">
        <v>66</v>
      </c>
      <c r="Y44" s="12" t="s">
        <v>6639</v>
      </c>
      <c r="Z44" s="12" t="s">
        <v>6639</v>
      </c>
      <c r="AD44" s="63"/>
      <c r="AE44" s="63"/>
      <c r="AF44" s="63"/>
      <c r="AG44" s="63"/>
      <c r="AH44" s="63"/>
      <c r="AI44" s="63"/>
      <c r="AJ44" s="63"/>
      <c r="AK44" s="63"/>
      <c r="AL44" s="63"/>
      <c r="AM44" s="63"/>
    </row>
    <row r="45" spans="1:39" s="12" customFormat="1" x14ac:dyDescent="0.2">
      <c r="A45" s="12" t="s">
        <v>5649</v>
      </c>
      <c r="B45" s="12" t="s">
        <v>3918</v>
      </c>
      <c r="C45" s="12" t="s">
        <v>8127</v>
      </c>
      <c r="D45" s="12" t="s">
        <v>7159</v>
      </c>
      <c r="E45" s="12" t="s">
        <v>8031</v>
      </c>
      <c r="F45" s="12" t="s">
        <v>7230</v>
      </c>
      <c r="G45" s="12" t="s">
        <v>7651</v>
      </c>
      <c r="H45" s="12">
        <v>24</v>
      </c>
      <c r="I45" s="12" t="s">
        <v>7647</v>
      </c>
      <c r="J45" s="80">
        <v>1.7999999999999998</v>
      </c>
      <c r="K45" s="12" t="s">
        <v>7161</v>
      </c>
      <c r="L45" s="12" t="s">
        <v>21</v>
      </c>
      <c r="M45" s="12" t="s">
        <v>8110</v>
      </c>
      <c r="N45" s="12">
        <v>39.9</v>
      </c>
      <c r="O45" s="12">
        <v>5.2999999999999999E-2</v>
      </c>
      <c r="P45" s="12">
        <v>0.999</v>
      </c>
      <c r="Q45" s="12" t="s">
        <v>7343</v>
      </c>
      <c r="R45" s="12">
        <v>0.157</v>
      </c>
      <c r="S45" s="12">
        <v>8.4512000000000004E-2</v>
      </c>
      <c r="T45" s="12">
        <v>98292</v>
      </c>
      <c r="U45" s="12">
        <v>4.7E-2</v>
      </c>
      <c r="V45" s="12" t="s">
        <v>7661</v>
      </c>
      <c r="W45" s="12" t="s">
        <v>11</v>
      </c>
      <c r="X45" s="12">
        <v>34</v>
      </c>
      <c r="Y45" s="12" t="s">
        <v>8052</v>
      </c>
      <c r="Z45" s="12" t="s">
        <v>8052</v>
      </c>
      <c r="AD45" s="63"/>
      <c r="AE45" s="63"/>
      <c r="AF45" s="63"/>
      <c r="AG45" s="63"/>
      <c r="AH45" s="63"/>
      <c r="AI45" s="63"/>
      <c r="AJ45" s="63"/>
      <c r="AK45" s="63"/>
      <c r="AL45" s="63"/>
      <c r="AM45" s="63"/>
    </row>
    <row r="46" spans="1:39" s="12" customFormat="1" x14ac:dyDescent="0.2">
      <c r="A46" s="12" t="s">
        <v>5647</v>
      </c>
      <c r="B46" s="12" t="s">
        <v>3918</v>
      </c>
      <c r="C46" s="12" t="s">
        <v>8127</v>
      </c>
      <c r="D46" s="12" t="s">
        <v>7159</v>
      </c>
      <c r="E46" s="12" t="s">
        <v>8031</v>
      </c>
      <c r="F46" s="12" t="s">
        <v>7230</v>
      </c>
      <c r="G46" s="12" t="s">
        <v>7651</v>
      </c>
      <c r="H46" s="12">
        <v>24</v>
      </c>
      <c r="I46" s="12" t="s">
        <v>7647</v>
      </c>
      <c r="J46" s="80">
        <v>5.3999999999999995</v>
      </c>
      <c r="K46" s="12" t="s">
        <v>7161</v>
      </c>
      <c r="L46" s="12" t="s">
        <v>21</v>
      </c>
      <c r="M46" s="12" t="s">
        <v>8110</v>
      </c>
      <c r="N46" s="12">
        <v>251</v>
      </c>
      <c r="O46" s="12">
        <v>5.2999999999999999E-2</v>
      </c>
      <c r="P46" s="12">
        <v>1</v>
      </c>
      <c r="Q46" s="12" t="s">
        <v>7165</v>
      </c>
      <c r="R46" s="12">
        <v>0.123</v>
      </c>
      <c r="S46" s="12">
        <v>0.21058499999999999</v>
      </c>
      <c r="T46" s="12">
        <v>225091</v>
      </c>
      <c r="U46" s="12">
        <v>5.1999999999999998E-2</v>
      </c>
      <c r="V46" s="12" t="s">
        <v>7661</v>
      </c>
      <c r="W46" s="12" t="s">
        <v>11</v>
      </c>
      <c r="X46" s="12">
        <v>72</v>
      </c>
      <c r="Y46" s="12" t="s">
        <v>8052</v>
      </c>
      <c r="Z46" s="12" t="s">
        <v>8052</v>
      </c>
      <c r="AD46" s="63"/>
      <c r="AE46" s="63"/>
      <c r="AF46" s="63"/>
      <c r="AG46" s="63"/>
      <c r="AH46" s="63"/>
      <c r="AI46" s="63"/>
      <c r="AJ46" s="63"/>
      <c r="AK46" s="63"/>
      <c r="AL46" s="63"/>
      <c r="AM46" s="63"/>
    </row>
    <row r="47" spans="1:39" s="12" customFormat="1" x14ac:dyDescent="0.2">
      <c r="A47" s="12" t="s">
        <v>5648</v>
      </c>
      <c r="B47" s="12" t="s">
        <v>3918</v>
      </c>
      <c r="C47" s="12" t="s">
        <v>8127</v>
      </c>
      <c r="D47" s="12" t="s">
        <v>7159</v>
      </c>
      <c r="E47" s="12" t="s">
        <v>8031</v>
      </c>
      <c r="F47" s="12" t="s">
        <v>7230</v>
      </c>
      <c r="G47" s="12" t="s">
        <v>7651</v>
      </c>
      <c r="H47" s="12">
        <v>18</v>
      </c>
      <c r="I47" s="12" t="s">
        <v>7647</v>
      </c>
      <c r="J47" s="80">
        <v>4.05</v>
      </c>
      <c r="K47" s="12" t="s">
        <v>7161</v>
      </c>
      <c r="L47" s="12" t="s">
        <v>21</v>
      </c>
      <c r="M47" s="12" t="s">
        <v>8110</v>
      </c>
      <c r="N47" s="12">
        <v>128</v>
      </c>
      <c r="O47" s="12">
        <v>5.2999999999999999E-2</v>
      </c>
      <c r="P47" s="12">
        <v>1</v>
      </c>
      <c r="Q47" s="12" t="s">
        <v>7165</v>
      </c>
      <c r="R47" s="12">
        <v>0.01</v>
      </c>
      <c r="S47" s="12">
        <v>8.0432000000000003E-2</v>
      </c>
      <c r="T47" s="12">
        <v>93676</v>
      </c>
      <c r="U47" s="12">
        <v>5.6000000000000001E-2</v>
      </c>
      <c r="V47" s="12" t="s">
        <v>7661</v>
      </c>
      <c r="W47" s="12" t="s">
        <v>11</v>
      </c>
      <c r="X47" s="12">
        <v>20</v>
      </c>
      <c r="Y47" s="12" t="s">
        <v>8052</v>
      </c>
      <c r="Z47" s="12" t="s">
        <v>8052</v>
      </c>
      <c r="AD47" s="63"/>
      <c r="AE47" s="63"/>
      <c r="AF47" s="63"/>
      <c r="AG47" s="63"/>
      <c r="AH47" s="63"/>
      <c r="AI47" s="63"/>
      <c r="AJ47" s="63"/>
      <c r="AK47" s="63"/>
      <c r="AL47" s="63"/>
      <c r="AM47" s="63"/>
    </row>
    <row r="48" spans="1:39" s="12" customFormat="1" x14ac:dyDescent="0.2">
      <c r="A48" s="12" t="s">
        <v>5607</v>
      </c>
      <c r="B48" s="12" t="s">
        <v>5193</v>
      </c>
      <c r="C48" s="12" t="s">
        <v>8127</v>
      </c>
      <c r="D48" s="12" t="s">
        <v>7159</v>
      </c>
      <c r="E48" s="12" t="s">
        <v>8031</v>
      </c>
      <c r="F48" s="12" t="s">
        <v>7230</v>
      </c>
      <c r="G48" s="12" t="s">
        <v>7651</v>
      </c>
      <c r="H48" s="12">
        <v>24</v>
      </c>
      <c r="I48" s="12" t="s">
        <v>7647</v>
      </c>
      <c r="J48" s="80">
        <v>1.7999999999999998</v>
      </c>
      <c r="K48" s="12" t="s">
        <v>7161</v>
      </c>
      <c r="L48" s="12" t="s">
        <v>21</v>
      </c>
      <c r="M48" s="12" t="s">
        <v>8110</v>
      </c>
      <c r="N48" s="12">
        <v>87.8</v>
      </c>
      <c r="O48" s="12">
        <v>4.2999999999999997E-2</v>
      </c>
      <c r="P48" s="12">
        <v>1</v>
      </c>
      <c r="Q48" s="12" t="s">
        <v>7165</v>
      </c>
      <c r="R48" s="12">
        <v>1.6E-2</v>
      </c>
      <c r="S48" s="12">
        <v>3.4183999999999999E-2</v>
      </c>
      <c r="T48" s="12">
        <v>40656</v>
      </c>
      <c r="U48" s="12">
        <v>5.3999999999999999E-2</v>
      </c>
      <c r="V48" s="12" t="s">
        <v>7661</v>
      </c>
      <c r="W48" s="12" t="s">
        <v>11</v>
      </c>
      <c r="X48" s="12">
        <v>21</v>
      </c>
      <c r="Y48" s="12" t="s">
        <v>8052</v>
      </c>
      <c r="Z48" s="12" t="s">
        <v>8052</v>
      </c>
      <c r="AD48" s="63"/>
      <c r="AE48" s="63"/>
      <c r="AF48" s="63"/>
      <c r="AG48" s="63"/>
      <c r="AH48" s="63"/>
      <c r="AI48" s="63"/>
      <c r="AJ48" s="63"/>
      <c r="AK48" s="63"/>
      <c r="AL48" s="63"/>
      <c r="AM48" s="63"/>
    </row>
    <row r="49" spans="1:39" s="12" customFormat="1" x14ac:dyDescent="0.2">
      <c r="A49" s="12" t="s">
        <v>5606</v>
      </c>
      <c r="B49" s="12" t="s">
        <v>5193</v>
      </c>
      <c r="C49" s="12" t="s">
        <v>8127</v>
      </c>
      <c r="D49" s="12" t="s">
        <v>7159</v>
      </c>
      <c r="E49" s="12" t="s">
        <v>8031</v>
      </c>
      <c r="F49" s="12" t="s">
        <v>7230</v>
      </c>
      <c r="G49" s="12" t="s">
        <v>7651</v>
      </c>
      <c r="H49" s="12">
        <v>24</v>
      </c>
      <c r="I49" s="12" t="s">
        <v>7647</v>
      </c>
      <c r="J49" s="80">
        <v>5.3999999999999995</v>
      </c>
      <c r="K49" s="12" t="s">
        <v>7161</v>
      </c>
      <c r="L49" s="12" t="s">
        <v>21</v>
      </c>
      <c r="M49" s="12" t="s">
        <v>8110</v>
      </c>
      <c r="N49" s="12">
        <v>244</v>
      </c>
      <c r="O49" s="12">
        <v>4.1000000000000002E-2</v>
      </c>
      <c r="P49" s="12">
        <v>1</v>
      </c>
      <c r="Q49" s="12" t="s">
        <v>7165</v>
      </c>
      <c r="R49" s="12">
        <v>1.9E-2</v>
      </c>
      <c r="S49" s="12">
        <v>0.101067</v>
      </c>
      <c r="T49" s="12">
        <v>116039</v>
      </c>
      <c r="U49" s="12">
        <v>6.7000000000000004E-2</v>
      </c>
      <c r="V49" s="12" t="s">
        <v>7661</v>
      </c>
      <c r="W49" s="12" t="s">
        <v>11</v>
      </c>
      <c r="X49" s="12">
        <v>24</v>
      </c>
      <c r="Y49" s="12" t="s">
        <v>8052</v>
      </c>
      <c r="Z49" s="12" t="s">
        <v>8052</v>
      </c>
      <c r="AD49" s="63"/>
      <c r="AE49" s="63"/>
      <c r="AF49" s="63"/>
      <c r="AG49" s="63"/>
      <c r="AH49" s="63"/>
      <c r="AI49" s="63"/>
      <c r="AJ49" s="63"/>
      <c r="AK49" s="63"/>
      <c r="AL49" s="63"/>
      <c r="AM49" s="63"/>
    </row>
    <row r="50" spans="1:39" s="12" customFormat="1" x14ac:dyDescent="0.2">
      <c r="A50" s="12" t="s">
        <v>5609</v>
      </c>
      <c r="B50" s="12" t="s">
        <v>5195</v>
      </c>
      <c r="C50" s="12" t="s">
        <v>8127</v>
      </c>
      <c r="D50" s="12" t="s">
        <v>7159</v>
      </c>
      <c r="E50" s="12" t="s">
        <v>8031</v>
      </c>
      <c r="F50" s="12" t="s">
        <v>7230</v>
      </c>
      <c r="G50" s="12" t="s">
        <v>7651</v>
      </c>
      <c r="H50" s="12">
        <v>24</v>
      </c>
      <c r="I50" s="12" t="s">
        <v>7647</v>
      </c>
      <c r="J50" s="80">
        <v>1.7999999999999998</v>
      </c>
      <c r="K50" s="12" t="s">
        <v>7161</v>
      </c>
      <c r="L50" s="12" t="s">
        <v>21</v>
      </c>
      <c r="M50" s="12" t="s">
        <v>8110</v>
      </c>
      <c r="N50" s="12">
        <v>158</v>
      </c>
      <c r="O50" s="12">
        <v>4.2000000000000003E-2</v>
      </c>
      <c r="P50" s="12">
        <v>1</v>
      </c>
      <c r="Q50" s="12" t="s">
        <v>7169</v>
      </c>
      <c r="R50" s="12">
        <v>0.29899999999999999</v>
      </c>
      <c r="S50" s="12">
        <v>0.38638400000000001</v>
      </c>
      <c r="T50" s="12">
        <v>355403</v>
      </c>
      <c r="U50" s="12">
        <v>0.03</v>
      </c>
      <c r="V50" s="12" t="s">
        <v>7661</v>
      </c>
      <c r="W50" s="12" t="s">
        <v>25</v>
      </c>
      <c r="X50" s="12">
        <v>763</v>
      </c>
      <c r="Y50" s="12" t="s">
        <v>6639</v>
      </c>
      <c r="Z50" s="12" t="s">
        <v>6639</v>
      </c>
      <c r="AD50" s="63"/>
      <c r="AE50" s="63"/>
      <c r="AF50" s="63"/>
      <c r="AG50" s="63"/>
      <c r="AH50" s="63"/>
      <c r="AI50" s="63"/>
      <c r="AJ50" s="63"/>
      <c r="AK50" s="63"/>
      <c r="AL50" s="63"/>
      <c r="AM50" s="63"/>
    </row>
    <row r="51" spans="1:39" s="12" customFormat="1" x14ac:dyDescent="0.2">
      <c r="A51" s="12" t="s">
        <v>5608</v>
      </c>
      <c r="B51" s="12" t="s">
        <v>5195</v>
      </c>
      <c r="C51" s="12" t="s">
        <v>8127</v>
      </c>
      <c r="D51" s="12" t="s">
        <v>7159</v>
      </c>
      <c r="E51" s="12" t="s">
        <v>8031</v>
      </c>
      <c r="F51" s="12" t="s">
        <v>7230</v>
      </c>
      <c r="G51" s="12" t="s">
        <v>7651</v>
      </c>
      <c r="H51" s="12">
        <v>24</v>
      </c>
      <c r="I51" s="12" t="s">
        <v>7647</v>
      </c>
      <c r="J51" s="80">
        <v>5.3999999999999995</v>
      </c>
      <c r="K51" s="12" t="s">
        <v>7161</v>
      </c>
      <c r="L51" s="12" t="s">
        <v>21</v>
      </c>
      <c r="M51" s="12" t="s">
        <v>8110</v>
      </c>
      <c r="N51" s="12">
        <v>357</v>
      </c>
      <c r="O51" s="12">
        <v>4.5999999999999999E-2</v>
      </c>
      <c r="P51" s="12">
        <v>0.999</v>
      </c>
      <c r="Q51" s="12" t="s">
        <v>7169</v>
      </c>
      <c r="R51" s="12">
        <v>0.31900000000000001</v>
      </c>
      <c r="S51" s="12">
        <v>0.72060400000000002</v>
      </c>
      <c r="T51" s="12">
        <v>496861</v>
      </c>
      <c r="U51" s="12">
        <v>3.4000000000000002E-2</v>
      </c>
      <c r="V51" s="12" t="s">
        <v>7661</v>
      </c>
      <c r="W51" s="12" t="s">
        <v>25</v>
      </c>
      <c r="X51" s="12">
        <v>3181</v>
      </c>
      <c r="Y51" s="12" t="s">
        <v>6639</v>
      </c>
      <c r="Z51" s="12" t="s">
        <v>6639</v>
      </c>
      <c r="AD51" s="63"/>
      <c r="AE51" s="63"/>
      <c r="AF51" s="63"/>
      <c r="AG51" s="63"/>
      <c r="AH51" s="63"/>
      <c r="AI51" s="63"/>
      <c r="AJ51" s="63"/>
      <c r="AK51" s="63"/>
      <c r="AL51" s="63"/>
      <c r="AM51" s="63"/>
    </row>
    <row r="52" spans="1:39" s="12" customFormat="1" x14ac:dyDescent="0.2">
      <c r="A52" s="12" t="s">
        <v>5583</v>
      </c>
      <c r="B52" s="12" t="s">
        <v>5067</v>
      </c>
      <c r="C52" s="12" t="s">
        <v>8127</v>
      </c>
      <c r="D52" s="12" t="s">
        <v>7159</v>
      </c>
      <c r="E52" s="12" t="s">
        <v>8031</v>
      </c>
      <c r="F52" s="12" t="s">
        <v>7160</v>
      </c>
      <c r="G52" s="12" t="s">
        <v>7649</v>
      </c>
      <c r="H52" s="12">
        <v>68</v>
      </c>
      <c r="I52" s="12" t="s">
        <v>7645</v>
      </c>
      <c r="J52" s="80">
        <v>22.666666666666664</v>
      </c>
      <c r="K52" s="12" t="s">
        <v>7161</v>
      </c>
      <c r="L52" s="12" t="s">
        <v>21</v>
      </c>
      <c r="M52" s="12" t="s">
        <v>8110</v>
      </c>
      <c r="N52" s="12">
        <v>5.5</v>
      </c>
      <c r="O52" s="12">
        <v>5.2999999999999999E-2</v>
      </c>
      <c r="P52" s="12">
        <v>0.998</v>
      </c>
      <c r="Q52" s="12" t="s">
        <v>7199</v>
      </c>
      <c r="R52" s="12">
        <v>7.4999999999999997E-3</v>
      </c>
      <c r="S52" s="12">
        <v>3.2000000000000001E-2</v>
      </c>
      <c r="T52" s="12">
        <v>37032</v>
      </c>
      <c r="U52" s="12" t="s">
        <v>17</v>
      </c>
      <c r="V52" s="12" t="s">
        <v>7661</v>
      </c>
      <c r="W52" s="12" t="s">
        <v>25</v>
      </c>
      <c r="X52" s="12">
        <v>14</v>
      </c>
      <c r="Y52" s="12" t="s">
        <v>6639</v>
      </c>
      <c r="Z52" s="12" t="s">
        <v>6639</v>
      </c>
      <c r="AD52" s="63"/>
      <c r="AE52" s="63"/>
      <c r="AF52" s="63"/>
      <c r="AG52" s="63"/>
      <c r="AH52" s="63"/>
      <c r="AI52" s="63"/>
      <c r="AJ52" s="63"/>
      <c r="AK52" s="63"/>
      <c r="AL52" s="63"/>
      <c r="AM52" s="63"/>
    </row>
    <row r="53" spans="1:39" s="12" customFormat="1" x14ac:dyDescent="0.2">
      <c r="A53" s="12" t="s">
        <v>5584</v>
      </c>
      <c r="B53" s="12" t="s">
        <v>5067</v>
      </c>
      <c r="C53" s="12" t="s">
        <v>8127</v>
      </c>
      <c r="D53" s="12" t="s">
        <v>7159</v>
      </c>
      <c r="E53" s="12" t="s">
        <v>8031</v>
      </c>
      <c r="F53" s="12" t="s">
        <v>7230</v>
      </c>
      <c r="G53" s="12" t="s">
        <v>7651</v>
      </c>
      <c r="H53" s="12">
        <v>16</v>
      </c>
      <c r="I53" s="12" t="s">
        <v>7647</v>
      </c>
      <c r="J53" s="80">
        <v>3.5999999999999996</v>
      </c>
      <c r="K53" s="12" t="s">
        <v>7161</v>
      </c>
      <c r="L53" s="12" t="s">
        <v>21</v>
      </c>
      <c r="M53" s="12" t="s">
        <v>8110</v>
      </c>
      <c r="N53" s="12">
        <v>9.0399999999999991</v>
      </c>
      <c r="O53" s="12">
        <v>0.06</v>
      </c>
      <c r="P53" s="12">
        <v>1</v>
      </c>
      <c r="Q53" s="12" t="s">
        <v>7196</v>
      </c>
      <c r="R53" s="12">
        <v>3.0000000000000001E-3</v>
      </c>
      <c r="S53" s="12">
        <v>2.1995000000000001E-2</v>
      </c>
      <c r="T53" s="12">
        <v>26570</v>
      </c>
      <c r="U53" s="12">
        <v>2.5000000000000001E-2</v>
      </c>
      <c r="V53" s="12" t="s">
        <v>7661</v>
      </c>
      <c r="W53" s="12" t="s">
        <v>25</v>
      </c>
      <c r="X53" s="12">
        <v>8</v>
      </c>
      <c r="Y53" s="12" t="s">
        <v>6639</v>
      </c>
      <c r="Z53" s="12" t="s">
        <v>6639</v>
      </c>
      <c r="AD53" s="63"/>
      <c r="AE53" s="63"/>
      <c r="AF53" s="63"/>
      <c r="AG53" s="63"/>
      <c r="AH53" s="63"/>
      <c r="AI53" s="63"/>
      <c r="AJ53" s="63"/>
      <c r="AK53" s="63"/>
      <c r="AL53" s="63"/>
      <c r="AM53" s="63"/>
    </row>
    <row r="54" spans="1:39" s="12" customFormat="1" x14ac:dyDescent="0.2">
      <c r="A54" s="12" t="s">
        <v>5589</v>
      </c>
      <c r="B54" s="12" t="s">
        <v>5271</v>
      </c>
      <c r="C54" s="12" t="s">
        <v>8127</v>
      </c>
      <c r="D54" s="12" t="s">
        <v>7159</v>
      </c>
      <c r="E54" s="12" t="s">
        <v>8031</v>
      </c>
      <c r="F54" s="12" t="s">
        <v>7230</v>
      </c>
      <c r="G54" s="12" t="s">
        <v>7651</v>
      </c>
      <c r="H54" s="12">
        <v>15</v>
      </c>
      <c r="I54" s="12" t="s">
        <v>7647</v>
      </c>
      <c r="J54" s="80">
        <v>1.125</v>
      </c>
      <c r="K54" s="12" t="s">
        <v>7161</v>
      </c>
      <c r="L54" s="12" t="s">
        <v>21</v>
      </c>
      <c r="M54" s="12" t="s">
        <v>8110</v>
      </c>
      <c r="N54" s="12">
        <v>9.15</v>
      </c>
      <c r="O54" s="12">
        <v>5.6000000000000001E-2</v>
      </c>
      <c r="P54" s="12">
        <v>0.96899999999999997</v>
      </c>
      <c r="Q54" s="12" t="s">
        <v>7358</v>
      </c>
      <c r="R54" s="12">
        <v>4.1000000000000002E-2</v>
      </c>
      <c r="S54" s="12">
        <v>5.3509000000000001E-2</v>
      </c>
      <c r="T54" s="12">
        <v>63224</v>
      </c>
      <c r="U54" s="12">
        <v>4.1000000000000002E-2</v>
      </c>
      <c r="V54" s="12" t="s">
        <v>7661</v>
      </c>
      <c r="W54" s="12" t="s">
        <v>25</v>
      </c>
      <c r="X54" s="12">
        <v>56</v>
      </c>
      <c r="Y54" s="12" t="s">
        <v>6639</v>
      </c>
      <c r="Z54" s="12" t="s">
        <v>6639</v>
      </c>
      <c r="AD54" s="63"/>
      <c r="AE54" s="63"/>
      <c r="AF54" s="63"/>
      <c r="AG54" s="63"/>
      <c r="AH54" s="63"/>
      <c r="AI54" s="63"/>
      <c r="AJ54" s="63"/>
      <c r="AK54" s="63"/>
      <c r="AL54" s="63"/>
      <c r="AM54" s="63"/>
    </row>
    <row r="55" spans="1:39" s="12" customFormat="1" x14ac:dyDescent="0.2">
      <c r="A55" s="12" t="s">
        <v>5588</v>
      </c>
      <c r="B55" s="12" t="s">
        <v>5271</v>
      </c>
      <c r="C55" s="12" t="s">
        <v>8127</v>
      </c>
      <c r="D55" s="12" t="s">
        <v>7159</v>
      </c>
      <c r="E55" s="12" t="s">
        <v>8031</v>
      </c>
      <c r="F55" s="12" t="s">
        <v>7230</v>
      </c>
      <c r="G55" s="12" t="s">
        <v>7651</v>
      </c>
      <c r="H55" s="12">
        <v>15</v>
      </c>
      <c r="I55" s="12" t="s">
        <v>7647</v>
      </c>
      <c r="J55" s="80">
        <v>3.375</v>
      </c>
      <c r="K55" s="12" t="s">
        <v>7161</v>
      </c>
      <c r="L55" s="12" t="s">
        <v>21</v>
      </c>
      <c r="M55" s="12" t="s">
        <v>8110</v>
      </c>
      <c r="N55" s="12">
        <v>22.1</v>
      </c>
      <c r="O55" s="12">
        <v>6.9000000000000006E-2</v>
      </c>
      <c r="P55" s="12">
        <v>0.998</v>
      </c>
      <c r="Q55" s="12" t="s">
        <v>7203</v>
      </c>
      <c r="R55" s="12">
        <v>0.05</v>
      </c>
      <c r="S55" s="12">
        <v>0.135658</v>
      </c>
      <c r="T55" s="12">
        <v>146595</v>
      </c>
      <c r="U55" s="12">
        <v>4.2000000000000003E-2</v>
      </c>
      <c r="V55" s="12" t="s">
        <v>7661</v>
      </c>
      <c r="W55" s="12" t="s">
        <v>25</v>
      </c>
      <c r="X55" s="12">
        <v>119</v>
      </c>
      <c r="Y55" s="12" t="s">
        <v>6639</v>
      </c>
      <c r="Z55" s="12" t="s">
        <v>6639</v>
      </c>
      <c r="AD55" s="63"/>
      <c r="AE55" s="63"/>
      <c r="AF55" s="63"/>
      <c r="AG55" s="63"/>
      <c r="AH55" s="63"/>
      <c r="AI55" s="63"/>
      <c r="AJ55" s="63"/>
      <c r="AK55" s="63"/>
      <c r="AL55" s="63"/>
      <c r="AM55" s="63"/>
    </row>
    <row r="56" spans="1:39" s="12" customFormat="1" x14ac:dyDescent="0.2">
      <c r="A56" s="12" t="s">
        <v>5585</v>
      </c>
      <c r="B56" s="12" t="s">
        <v>5071</v>
      </c>
      <c r="C56" s="12" t="s">
        <v>8127</v>
      </c>
      <c r="D56" s="12" t="s">
        <v>7159</v>
      </c>
      <c r="E56" s="12" t="s">
        <v>8031</v>
      </c>
      <c r="F56" s="12" t="s">
        <v>7160</v>
      </c>
      <c r="G56" s="12" t="s">
        <v>7649</v>
      </c>
      <c r="H56" s="12">
        <v>75</v>
      </c>
      <c r="I56" s="12" t="s">
        <v>7645</v>
      </c>
      <c r="J56" s="80">
        <v>25</v>
      </c>
      <c r="K56" s="12" t="s">
        <v>7161</v>
      </c>
      <c r="L56" s="12" t="s">
        <v>21</v>
      </c>
      <c r="M56" s="12" t="s">
        <v>8110</v>
      </c>
      <c r="N56" s="12">
        <v>0.90300000000000002</v>
      </c>
      <c r="O56" s="12" t="s">
        <v>7796</v>
      </c>
      <c r="P56" s="12" t="s">
        <v>7796</v>
      </c>
      <c r="Q56" s="12" t="s">
        <v>7796</v>
      </c>
      <c r="R56" s="12">
        <v>5.1999999999999998E-3</v>
      </c>
      <c r="S56" s="12">
        <v>1.0999999999999999E-2</v>
      </c>
      <c r="T56" s="12">
        <v>12246</v>
      </c>
      <c r="U56" s="12">
        <v>4.7E-2</v>
      </c>
      <c r="V56" s="12" t="s">
        <v>7661</v>
      </c>
      <c r="W56" s="12" t="s">
        <v>25</v>
      </c>
      <c r="X56" s="12">
        <v>10</v>
      </c>
      <c r="Y56" s="12" t="s">
        <v>6639</v>
      </c>
      <c r="Z56" s="12" t="s">
        <v>6639</v>
      </c>
      <c r="AD56" s="63"/>
      <c r="AE56" s="63"/>
      <c r="AF56" s="63"/>
      <c r="AG56" s="63"/>
      <c r="AH56" s="63"/>
      <c r="AI56" s="63"/>
      <c r="AJ56" s="63"/>
      <c r="AK56" s="63"/>
      <c r="AL56" s="63"/>
      <c r="AM56" s="63"/>
    </row>
    <row r="57" spans="1:39" s="12" customFormat="1" x14ac:dyDescent="0.2">
      <c r="A57" s="12" t="s">
        <v>5587</v>
      </c>
      <c r="B57" s="12" t="s">
        <v>5071</v>
      </c>
      <c r="C57" s="12" t="s">
        <v>8127</v>
      </c>
      <c r="D57" s="12" t="s">
        <v>7159</v>
      </c>
      <c r="E57" s="12" t="s">
        <v>8031</v>
      </c>
      <c r="F57" s="12" t="s">
        <v>7230</v>
      </c>
      <c r="G57" s="12" t="s">
        <v>7651</v>
      </c>
      <c r="H57" s="12">
        <v>18</v>
      </c>
      <c r="I57" s="12" t="s">
        <v>7647</v>
      </c>
      <c r="J57" s="80">
        <v>1.3499999999999999</v>
      </c>
      <c r="K57" s="12" t="s">
        <v>7161</v>
      </c>
      <c r="L57" s="12" t="s">
        <v>21</v>
      </c>
      <c r="M57" s="12" t="s">
        <v>8110</v>
      </c>
      <c r="N57" s="12">
        <v>4.62</v>
      </c>
      <c r="O57" s="12">
        <v>7.4999999999999997E-2</v>
      </c>
      <c r="P57" s="12">
        <v>0.96799999999999997</v>
      </c>
      <c r="Q57" s="12" t="s">
        <v>7377</v>
      </c>
      <c r="R57" s="12">
        <v>5.3E-3</v>
      </c>
      <c r="S57" s="12">
        <v>2.4021000000000001E-2</v>
      </c>
      <c r="T57" s="12">
        <v>28768</v>
      </c>
      <c r="U57" s="12">
        <v>3.7999999999999999E-2</v>
      </c>
      <c r="V57" s="12" t="s">
        <v>7661</v>
      </c>
      <c r="W57" s="12" t="s">
        <v>25</v>
      </c>
      <c r="X57" s="12">
        <v>16</v>
      </c>
      <c r="Y57" s="12" t="s">
        <v>6639</v>
      </c>
      <c r="Z57" s="12" t="s">
        <v>6639</v>
      </c>
      <c r="AD57" s="63"/>
      <c r="AE57" s="63"/>
      <c r="AF57" s="63"/>
      <c r="AG57" s="63"/>
      <c r="AH57" s="63"/>
      <c r="AI57" s="63"/>
      <c r="AJ57" s="63"/>
      <c r="AK57" s="63"/>
      <c r="AL57" s="63"/>
      <c r="AM57" s="63"/>
    </row>
    <row r="58" spans="1:39" s="12" customFormat="1" x14ac:dyDescent="0.2">
      <c r="A58" s="12" t="s">
        <v>5586</v>
      </c>
      <c r="B58" s="12" t="s">
        <v>5071</v>
      </c>
      <c r="C58" s="12" t="s">
        <v>8127</v>
      </c>
      <c r="D58" s="12" t="s">
        <v>7159</v>
      </c>
      <c r="E58" s="12" t="s">
        <v>8031</v>
      </c>
      <c r="F58" s="12" t="s">
        <v>7230</v>
      </c>
      <c r="G58" s="12" t="s">
        <v>7651</v>
      </c>
      <c r="H58" s="12">
        <v>18</v>
      </c>
      <c r="I58" s="12" t="s">
        <v>7647</v>
      </c>
      <c r="J58" s="80">
        <v>4.05</v>
      </c>
      <c r="K58" s="12" t="s">
        <v>7161</v>
      </c>
      <c r="L58" s="12" t="s">
        <v>21</v>
      </c>
      <c r="M58" s="12" t="s">
        <v>8110</v>
      </c>
      <c r="N58" s="12">
        <v>9.2200000000000006</v>
      </c>
      <c r="O58" s="12">
        <v>6.9000000000000006E-2</v>
      </c>
      <c r="P58" s="12">
        <v>0.98199999999999998</v>
      </c>
      <c r="Q58" s="12" t="s">
        <v>7338</v>
      </c>
      <c r="R58" s="12">
        <v>6.4999999999999997E-3</v>
      </c>
      <c r="S58" s="12">
        <v>4.7328000000000002E-2</v>
      </c>
      <c r="T58" s="12">
        <v>56416</v>
      </c>
      <c r="U58" s="12">
        <v>4.3999999999999997E-2</v>
      </c>
      <c r="V58" s="12" t="s">
        <v>7661</v>
      </c>
      <c r="W58" s="12" t="s">
        <v>25</v>
      </c>
      <c r="X58" s="12">
        <v>25</v>
      </c>
      <c r="Y58" s="12" t="s">
        <v>6639</v>
      </c>
      <c r="Z58" s="12" t="s">
        <v>6639</v>
      </c>
      <c r="AD58" s="63"/>
      <c r="AE58" s="63"/>
      <c r="AF58" s="63"/>
      <c r="AG58" s="63"/>
      <c r="AH58" s="63"/>
      <c r="AI58" s="63"/>
      <c r="AJ58" s="63"/>
      <c r="AK58" s="63"/>
      <c r="AL58" s="63"/>
      <c r="AM58" s="63"/>
    </row>
    <row r="59" spans="1:39" s="12" customFormat="1" x14ac:dyDescent="0.2">
      <c r="A59" s="12" t="s">
        <v>5640</v>
      </c>
      <c r="B59" s="12" t="s">
        <v>4231</v>
      </c>
      <c r="C59" s="12" t="s">
        <v>8127</v>
      </c>
      <c r="D59" s="12" t="s">
        <v>7159</v>
      </c>
      <c r="E59" s="12" t="s">
        <v>8031</v>
      </c>
      <c r="F59" s="12" t="s">
        <v>7230</v>
      </c>
      <c r="G59" s="12" t="s">
        <v>7651</v>
      </c>
      <c r="H59" s="12">
        <v>19</v>
      </c>
      <c r="I59" s="12" t="s">
        <v>7647</v>
      </c>
      <c r="J59" s="80">
        <v>1.425</v>
      </c>
      <c r="K59" s="12" t="s">
        <v>7161</v>
      </c>
      <c r="L59" s="12" t="s">
        <v>21</v>
      </c>
      <c r="M59" s="12" t="s">
        <v>8110</v>
      </c>
      <c r="N59" s="12">
        <v>8.6199999999999992</v>
      </c>
      <c r="O59" s="12">
        <v>5.2999999999999999E-2</v>
      </c>
      <c r="P59" s="12">
        <v>0.94599999999999995</v>
      </c>
      <c r="Q59" s="12" t="s">
        <v>7359</v>
      </c>
      <c r="R59" s="12">
        <v>1.9E-3</v>
      </c>
      <c r="S59" s="12">
        <v>8.8929999999999999E-3</v>
      </c>
      <c r="T59" s="12">
        <v>10625</v>
      </c>
      <c r="U59" s="12">
        <v>3.6999999999999998E-2</v>
      </c>
      <c r="V59" s="12" t="s">
        <v>7661</v>
      </c>
      <c r="W59" s="12" t="s">
        <v>11</v>
      </c>
      <c r="X59" s="12">
        <v>4</v>
      </c>
      <c r="Y59" s="12" t="s">
        <v>8052</v>
      </c>
      <c r="Z59" s="12" t="s">
        <v>8052</v>
      </c>
      <c r="AD59" s="63"/>
      <c r="AE59" s="63"/>
      <c r="AF59" s="63"/>
      <c r="AG59" s="63"/>
      <c r="AH59" s="63"/>
      <c r="AI59" s="63"/>
      <c r="AJ59" s="63"/>
      <c r="AK59" s="63"/>
      <c r="AL59" s="63"/>
      <c r="AM59" s="63"/>
    </row>
    <row r="60" spans="1:39" s="12" customFormat="1" x14ac:dyDescent="0.2">
      <c r="A60" s="12" t="s">
        <v>5639</v>
      </c>
      <c r="B60" s="12" t="s">
        <v>4231</v>
      </c>
      <c r="C60" s="12" t="s">
        <v>8127</v>
      </c>
      <c r="D60" s="12" t="s">
        <v>7159</v>
      </c>
      <c r="E60" s="12" t="s">
        <v>8031</v>
      </c>
      <c r="F60" s="12" t="s">
        <v>7230</v>
      </c>
      <c r="G60" s="12" t="s">
        <v>7651</v>
      </c>
      <c r="H60" s="12">
        <v>19</v>
      </c>
      <c r="I60" s="12" t="s">
        <v>7647</v>
      </c>
      <c r="J60" s="80">
        <v>4.2750000000000004</v>
      </c>
      <c r="K60" s="12" t="s">
        <v>7161</v>
      </c>
      <c r="L60" s="12" t="s">
        <v>21</v>
      </c>
      <c r="M60" s="12" t="s">
        <v>8110</v>
      </c>
      <c r="N60" s="12">
        <v>16.399999999999999</v>
      </c>
      <c r="O60" s="12">
        <v>5.3999999999999999E-2</v>
      </c>
      <c r="P60" s="12">
        <v>0.999</v>
      </c>
      <c r="Q60" s="12" t="s">
        <v>7204</v>
      </c>
      <c r="R60" s="12">
        <v>1.9E-3</v>
      </c>
      <c r="S60" s="12">
        <v>1.821E-2</v>
      </c>
      <c r="T60" s="12">
        <v>22023</v>
      </c>
      <c r="U60" s="12">
        <v>4.5999999999999999E-2</v>
      </c>
      <c r="V60" s="12" t="s">
        <v>7661</v>
      </c>
      <c r="W60" s="12" t="s">
        <v>11</v>
      </c>
      <c r="X60" s="12">
        <v>5</v>
      </c>
      <c r="Y60" s="12" t="s">
        <v>8052</v>
      </c>
      <c r="Z60" s="12" t="s">
        <v>8052</v>
      </c>
      <c r="AD60" s="63"/>
      <c r="AE60" s="63"/>
      <c r="AF60" s="63"/>
      <c r="AG60" s="63"/>
      <c r="AH60" s="63"/>
      <c r="AI60" s="63"/>
      <c r="AJ60" s="63"/>
      <c r="AK60" s="63"/>
      <c r="AL60" s="63"/>
      <c r="AM60" s="63"/>
    </row>
    <row r="61" spans="1:39" s="12" customFormat="1" x14ac:dyDescent="0.2">
      <c r="A61" s="12" t="s">
        <v>5198</v>
      </c>
      <c r="B61" s="12" t="s">
        <v>5197</v>
      </c>
      <c r="C61" s="12" t="s">
        <v>8127</v>
      </c>
      <c r="D61" s="12" t="s">
        <v>7159</v>
      </c>
      <c r="E61" s="12" t="s">
        <v>8031</v>
      </c>
      <c r="F61" s="12" t="s">
        <v>7230</v>
      </c>
      <c r="G61" s="12" t="s">
        <v>7651</v>
      </c>
      <c r="H61" s="12">
        <v>24</v>
      </c>
      <c r="I61" s="12" t="s">
        <v>7647</v>
      </c>
      <c r="J61" s="80">
        <v>1.7999999999999998</v>
      </c>
      <c r="K61" s="12" t="s">
        <v>7161</v>
      </c>
      <c r="L61" s="12" t="s">
        <v>21</v>
      </c>
      <c r="M61" s="12" t="s">
        <v>8110</v>
      </c>
      <c r="N61" s="12">
        <v>7.72</v>
      </c>
      <c r="O61" s="12">
        <v>0.05</v>
      </c>
      <c r="P61" s="12">
        <v>0.999</v>
      </c>
      <c r="Q61" s="12" t="s">
        <v>7285</v>
      </c>
      <c r="R61" s="12">
        <v>8.8000000000000005E-3</v>
      </c>
      <c r="S61" s="12">
        <v>6.5777000000000002E-2</v>
      </c>
      <c r="T61" s="12">
        <v>74303</v>
      </c>
      <c r="U61" s="12">
        <v>3.7999999999999999E-2</v>
      </c>
      <c r="V61" s="12" t="s">
        <v>7661</v>
      </c>
      <c r="W61" s="12" t="s">
        <v>25</v>
      </c>
      <c r="X61" s="12">
        <v>34</v>
      </c>
      <c r="Y61" s="12" t="s">
        <v>6639</v>
      </c>
      <c r="Z61" s="12" t="s">
        <v>6639</v>
      </c>
      <c r="AD61" s="63"/>
      <c r="AE61" s="63"/>
      <c r="AF61" s="63"/>
      <c r="AG61" s="63"/>
      <c r="AH61" s="63"/>
      <c r="AI61" s="63"/>
      <c r="AJ61" s="63"/>
      <c r="AK61" s="63"/>
      <c r="AL61" s="63"/>
      <c r="AM61" s="63"/>
    </row>
    <row r="62" spans="1:39" s="12" customFormat="1" x14ac:dyDescent="0.2">
      <c r="A62" s="12" t="s">
        <v>5642</v>
      </c>
      <c r="B62" s="12" t="s">
        <v>4235</v>
      </c>
      <c r="C62" s="12" t="s">
        <v>8127</v>
      </c>
      <c r="D62" s="12" t="s">
        <v>7159</v>
      </c>
      <c r="E62" s="12" t="s">
        <v>8031</v>
      </c>
      <c r="F62" s="12" t="s">
        <v>7230</v>
      </c>
      <c r="G62" s="12" t="s">
        <v>7651</v>
      </c>
      <c r="H62" s="12">
        <v>22</v>
      </c>
      <c r="I62" s="12" t="s">
        <v>7647</v>
      </c>
      <c r="J62" s="80">
        <v>1.65</v>
      </c>
      <c r="K62" s="12" t="s">
        <v>7161</v>
      </c>
      <c r="L62" s="12" t="s">
        <v>21</v>
      </c>
      <c r="M62" s="12" t="s">
        <v>8110</v>
      </c>
      <c r="N62" s="12">
        <v>224</v>
      </c>
      <c r="O62" s="12">
        <v>6.7000000000000004E-2</v>
      </c>
      <c r="P62" s="12">
        <v>1</v>
      </c>
      <c r="Q62" s="12" t="s">
        <v>7189</v>
      </c>
      <c r="R62" s="12">
        <v>0.11</v>
      </c>
      <c r="S62" s="12">
        <v>0.16015199999999999</v>
      </c>
      <c r="T62" s="12">
        <v>176611</v>
      </c>
      <c r="U62" s="12">
        <v>7.8E-2</v>
      </c>
      <c r="V62" s="12" t="s">
        <v>7661</v>
      </c>
      <c r="W62" s="12" t="s">
        <v>25</v>
      </c>
      <c r="X62" s="12">
        <v>184</v>
      </c>
      <c r="Y62" s="12" t="s">
        <v>6639</v>
      </c>
      <c r="Z62" s="12" t="s">
        <v>6639</v>
      </c>
      <c r="AD62" s="63"/>
      <c r="AE62" s="63"/>
      <c r="AF62" s="63"/>
      <c r="AG62" s="63"/>
      <c r="AH62" s="63"/>
      <c r="AI62" s="63"/>
      <c r="AJ62" s="63"/>
      <c r="AK62" s="63"/>
      <c r="AL62" s="63"/>
      <c r="AM62" s="63"/>
    </row>
    <row r="63" spans="1:39" s="12" customFormat="1" x14ac:dyDescent="0.2">
      <c r="A63" s="12" t="s">
        <v>5641</v>
      </c>
      <c r="B63" s="12" t="s">
        <v>4235</v>
      </c>
      <c r="C63" s="12" t="s">
        <v>8127</v>
      </c>
      <c r="D63" s="12" t="s">
        <v>7159</v>
      </c>
      <c r="E63" s="12" t="s">
        <v>8031</v>
      </c>
      <c r="F63" s="12" t="s">
        <v>7230</v>
      </c>
      <c r="G63" s="12" t="s">
        <v>7651</v>
      </c>
      <c r="H63" s="12">
        <v>22</v>
      </c>
      <c r="I63" s="12" t="s">
        <v>7647</v>
      </c>
      <c r="J63" s="80">
        <v>4.9499999999999993</v>
      </c>
      <c r="K63" s="12" t="s">
        <v>7161</v>
      </c>
      <c r="L63" s="12" t="s">
        <v>21</v>
      </c>
      <c r="M63" s="12" t="s">
        <v>8110</v>
      </c>
      <c r="N63" s="12">
        <v>407</v>
      </c>
      <c r="O63" s="12">
        <v>7.5999999999999998E-2</v>
      </c>
      <c r="P63" s="12">
        <v>1</v>
      </c>
      <c r="Q63" s="12" t="s">
        <v>7189</v>
      </c>
      <c r="R63" s="12">
        <v>0.128</v>
      </c>
      <c r="S63" s="12">
        <v>0.29213800000000001</v>
      </c>
      <c r="T63" s="12">
        <v>293462</v>
      </c>
      <c r="U63" s="12">
        <v>8.7999999999999995E-2</v>
      </c>
      <c r="V63" s="12" t="s">
        <v>7661</v>
      </c>
      <c r="W63" s="12" t="s">
        <v>25</v>
      </c>
      <c r="X63" s="12">
        <v>654</v>
      </c>
      <c r="Y63" s="12" t="s">
        <v>6639</v>
      </c>
      <c r="Z63" s="12" t="s">
        <v>6639</v>
      </c>
      <c r="AD63" s="63"/>
      <c r="AE63" s="63"/>
      <c r="AF63" s="63"/>
      <c r="AG63" s="63"/>
      <c r="AH63" s="63"/>
      <c r="AI63" s="63"/>
      <c r="AJ63" s="63"/>
      <c r="AK63" s="63"/>
      <c r="AL63" s="63"/>
      <c r="AM63" s="63"/>
    </row>
    <row r="64" spans="1:39" s="12" customFormat="1" x14ac:dyDescent="0.2">
      <c r="A64" s="12" t="s">
        <v>5596</v>
      </c>
      <c r="B64" s="12" t="s">
        <v>5065</v>
      </c>
      <c r="C64" s="12" t="s">
        <v>8127</v>
      </c>
      <c r="D64" s="12" t="s">
        <v>7159</v>
      </c>
      <c r="E64" s="12" t="s">
        <v>8031</v>
      </c>
      <c r="F64" s="12" t="s">
        <v>7230</v>
      </c>
      <c r="G64" s="12" t="s">
        <v>7651</v>
      </c>
      <c r="H64" s="12">
        <v>28</v>
      </c>
      <c r="I64" s="12" t="s">
        <v>7647</v>
      </c>
      <c r="J64" s="80">
        <v>2.1</v>
      </c>
      <c r="K64" s="12" t="s">
        <v>7161</v>
      </c>
      <c r="L64" s="12" t="s">
        <v>21</v>
      </c>
      <c r="M64" s="12" t="s">
        <v>8110</v>
      </c>
      <c r="N64" s="12">
        <v>54.7</v>
      </c>
      <c r="O64" s="12">
        <v>7.9000000000000001E-2</v>
      </c>
      <c r="P64" s="12">
        <v>0.999</v>
      </c>
      <c r="Q64" s="12" t="s">
        <v>7196</v>
      </c>
      <c r="R64" s="12">
        <v>3.5999999999999997E-2</v>
      </c>
      <c r="S64" s="12">
        <v>0.132189</v>
      </c>
      <c r="T64" s="12">
        <v>148803</v>
      </c>
      <c r="U64" s="12">
        <v>6.4000000000000001E-2</v>
      </c>
      <c r="V64" s="12" t="s">
        <v>7661</v>
      </c>
      <c r="W64" s="12" t="s">
        <v>11</v>
      </c>
      <c r="X64" s="12">
        <v>47</v>
      </c>
      <c r="Y64" s="12" t="s">
        <v>8052</v>
      </c>
      <c r="Z64" s="12" t="s">
        <v>8052</v>
      </c>
      <c r="AD64" s="63"/>
      <c r="AE64" s="63"/>
      <c r="AF64" s="63"/>
      <c r="AG64" s="63"/>
      <c r="AH64" s="63"/>
      <c r="AI64" s="63"/>
      <c r="AJ64" s="63"/>
      <c r="AK64" s="63"/>
      <c r="AL64" s="63"/>
      <c r="AM64" s="63"/>
    </row>
    <row r="65" spans="1:56" s="12" customFormat="1" x14ac:dyDescent="0.2">
      <c r="A65" s="12" t="s">
        <v>5594</v>
      </c>
      <c r="B65" s="12" t="s">
        <v>5065</v>
      </c>
      <c r="C65" s="12" t="s">
        <v>8127</v>
      </c>
      <c r="D65" s="12" t="s">
        <v>7159</v>
      </c>
      <c r="E65" s="12" t="s">
        <v>8031</v>
      </c>
      <c r="F65" s="12" t="s">
        <v>7230</v>
      </c>
      <c r="G65" s="12" t="s">
        <v>7651</v>
      </c>
      <c r="H65" s="12">
        <v>28</v>
      </c>
      <c r="I65" s="12" t="s">
        <v>7647</v>
      </c>
      <c r="J65" s="80">
        <v>6.3000000000000007</v>
      </c>
      <c r="K65" s="12" t="s">
        <v>7161</v>
      </c>
      <c r="L65" s="12" t="s">
        <v>21</v>
      </c>
      <c r="M65" s="12" t="s">
        <v>8110</v>
      </c>
      <c r="N65" s="12">
        <v>160</v>
      </c>
      <c r="O65" s="12">
        <v>0.08</v>
      </c>
      <c r="P65" s="12">
        <v>1</v>
      </c>
      <c r="Q65" s="12" t="s">
        <v>7165</v>
      </c>
      <c r="R65" s="12">
        <v>4.4999999999999998E-2</v>
      </c>
      <c r="S65" s="12">
        <v>0.30999300000000002</v>
      </c>
      <c r="T65" s="12">
        <v>310130</v>
      </c>
      <c r="U65" s="12">
        <v>6.9000000000000006E-2</v>
      </c>
      <c r="V65" s="12" t="s">
        <v>7661</v>
      </c>
      <c r="W65" s="12" t="s">
        <v>11</v>
      </c>
      <c r="X65" s="12">
        <v>207</v>
      </c>
      <c r="Y65" s="12">
        <v>-2.3180000000000002E-3</v>
      </c>
      <c r="Z65" s="12">
        <v>-1.7334975594179098</v>
      </c>
      <c r="AD65" s="63"/>
      <c r="AE65" s="63"/>
      <c r="AF65" s="63"/>
      <c r="AG65" s="63"/>
      <c r="AH65" s="63"/>
      <c r="AI65" s="63"/>
      <c r="AJ65" s="63"/>
      <c r="AK65" s="63"/>
      <c r="AL65" s="63"/>
      <c r="AM65" s="63"/>
    </row>
    <row r="66" spans="1:56" s="12" customFormat="1" x14ac:dyDescent="0.2">
      <c r="A66" s="12" t="s">
        <v>5595</v>
      </c>
      <c r="B66" s="12" t="s">
        <v>5065</v>
      </c>
      <c r="C66" s="12" t="s">
        <v>8127</v>
      </c>
      <c r="D66" s="12" t="s">
        <v>7159</v>
      </c>
      <c r="E66" s="12" t="s">
        <v>8031</v>
      </c>
      <c r="F66" s="12" t="s">
        <v>7160</v>
      </c>
      <c r="G66" s="12" t="s">
        <v>7649</v>
      </c>
      <c r="H66" s="12">
        <v>72</v>
      </c>
      <c r="I66" s="12" t="s">
        <v>7646</v>
      </c>
      <c r="J66" s="80">
        <v>24</v>
      </c>
      <c r="K66" s="12" t="s">
        <v>7161</v>
      </c>
      <c r="L66" s="12" t="s">
        <v>21</v>
      </c>
      <c r="M66" s="12" t="s">
        <v>8110</v>
      </c>
      <c r="N66" s="12">
        <v>384</v>
      </c>
      <c r="O66" s="12">
        <v>8.2000000000000003E-2</v>
      </c>
      <c r="P66" s="12">
        <v>1</v>
      </c>
      <c r="Q66" s="12" t="s">
        <v>7165</v>
      </c>
      <c r="R66" s="12">
        <v>8.1000000000000003E-2</v>
      </c>
      <c r="S66" s="12">
        <v>0.49399999999999999</v>
      </c>
      <c r="T66" s="12">
        <v>439775</v>
      </c>
      <c r="U66" s="12">
        <v>8.8999999999999996E-2</v>
      </c>
      <c r="V66" s="12" t="s">
        <v>7661</v>
      </c>
      <c r="W66" s="12" t="s">
        <v>11</v>
      </c>
      <c r="X66" s="12">
        <v>310</v>
      </c>
      <c r="Y66" s="12">
        <v>5.2810000000000001E-3</v>
      </c>
      <c r="Z66" s="12">
        <v>0.8354275709132627</v>
      </c>
      <c r="AD66" s="63"/>
      <c r="AE66" s="63"/>
      <c r="AF66" s="63"/>
      <c r="AG66" s="63"/>
      <c r="AH66" s="63"/>
      <c r="AI66" s="63"/>
      <c r="AJ66" s="63"/>
      <c r="AK66" s="63"/>
      <c r="AL66" s="63"/>
      <c r="AM66" s="63"/>
    </row>
    <row r="67" spans="1:56" s="12" customFormat="1" x14ac:dyDescent="0.2">
      <c r="A67" s="12" t="s">
        <v>5638</v>
      </c>
      <c r="B67" s="12" t="s">
        <v>5391</v>
      </c>
      <c r="C67" s="12" t="s">
        <v>8127</v>
      </c>
      <c r="D67" s="12" t="s">
        <v>7159</v>
      </c>
      <c r="E67" s="12" t="s">
        <v>8031</v>
      </c>
      <c r="F67" s="12" t="s">
        <v>7230</v>
      </c>
      <c r="G67" s="12" t="s">
        <v>7651</v>
      </c>
      <c r="H67" s="12">
        <v>14</v>
      </c>
      <c r="I67" s="12" t="s">
        <v>7647</v>
      </c>
      <c r="J67" s="80">
        <v>1.05</v>
      </c>
      <c r="K67" s="12" t="s">
        <v>7161</v>
      </c>
      <c r="L67" s="12" t="s">
        <v>21</v>
      </c>
      <c r="M67" s="12" t="s">
        <v>8110</v>
      </c>
      <c r="N67" s="12">
        <v>13</v>
      </c>
      <c r="O67" s="12">
        <v>7.0000000000000007E-2</v>
      </c>
      <c r="P67" s="12">
        <v>0.99099999999999999</v>
      </c>
      <c r="Q67" s="12" t="s">
        <v>7360</v>
      </c>
      <c r="R67" s="12">
        <v>5.1000000000000004E-3</v>
      </c>
      <c r="S67" s="12">
        <v>1.8443000000000001E-2</v>
      </c>
      <c r="T67" s="12">
        <v>22255</v>
      </c>
      <c r="U67" s="12">
        <v>4.9000000000000002E-2</v>
      </c>
      <c r="V67" s="12" t="s">
        <v>7661</v>
      </c>
      <c r="W67" s="12" t="s">
        <v>25</v>
      </c>
      <c r="X67" s="12">
        <v>5</v>
      </c>
      <c r="Y67" s="12" t="s">
        <v>6639</v>
      </c>
      <c r="Z67" s="12" t="s">
        <v>6639</v>
      </c>
      <c r="AD67" s="63"/>
      <c r="AE67" s="63"/>
      <c r="AF67" s="63"/>
      <c r="AG67" s="63"/>
      <c r="AH67" s="63"/>
      <c r="AI67" s="63"/>
      <c r="AJ67" s="63"/>
      <c r="AK67" s="63"/>
      <c r="AL67" s="63"/>
      <c r="AM67" s="63"/>
    </row>
    <row r="68" spans="1:56" s="12" customFormat="1" x14ac:dyDescent="0.2">
      <c r="A68" s="12" t="s">
        <v>5637</v>
      </c>
      <c r="B68" s="12" t="s">
        <v>5391</v>
      </c>
      <c r="C68" s="12" t="s">
        <v>8127</v>
      </c>
      <c r="D68" s="12" t="s">
        <v>7159</v>
      </c>
      <c r="E68" s="12" t="s">
        <v>8031</v>
      </c>
      <c r="F68" s="12" t="s">
        <v>7230</v>
      </c>
      <c r="G68" s="12" t="s">
        <v>7651</v>
      </c>
      <c r="H68" s="12">
        <v>14</v>
      </c>
      <c r="I68" s="12" t="s">
        <v>7647</v>
      </c>
      <c r="J68" s="80">
        <v>3.1500000000000004</v>
      </c>
      <c r="K68" s="12" t="s">
        <v>7161</v>
      </c>
      <c r="L68" s="12" t="s">
        <v>21</v>
      </c>
      <c r="M68" s="12" t="s">
        <v>8110</v>
      </c>
      <c r="N68" s="12">
        <v>27.6</v>
      </c>
      <c r="O68" s="12">
        <v>6.9000000000000006E-2</v>
      </c>
      <c r="P68" s="12">
        <v>0.98699999999999999</v>
      </c>
      <c r="Q68" s="12" t="s">
        <v>7205</v>
      </c>
      <c r="R68" s="12">
        <v>6.3E-3</v>
      </c>
      <c r="S68" s="12">
        <v>3.7754000000000003E-2</v>
      </c>
      <c r="T68" s="12">
        <v>43543</v>
      </c>
      <c r="U68" s="12">
        <v>5.6000000000000001E-2</v>
      </c>
      <c r="V68" s="12" t="s">
        <v>7661</v>
      </c>
      <c r="W68" s="12" t="s">
        <v>25</v>
      </c>
      <c r="X68" s="12">
        <v>15</v>
      </c>
      <c r="Y68" s="12" t="s">
        <v>6639</v>
      </c>
      <c r="Z68" s="12" t="s">
        <v>6639</v>
      </c>
      <c r="AD68" s="63"/>
      <c r="AE68" s="63"/>
      <c r="AF68" s="63"/>
      <c r="AG68" s="63"/>
      <c r="AH68" s="63"/>
      <c r="AI68" s="63"/>
      <c r="AJ68" s="63"/>
      <c r="AK68" s="63"/>
      <c r="AL68" s="63"/>
      <c r="AM68" s="63"/>
    </row>
    <row r="69" spans="1:56" s="12" customFormat="1" x14ac:dyDescent="0.2">
      <c r="A69" s="12" t="s">
        <v>5611</v>
      </c>
      <c r="B69" s="12" t="s">
        <v>5199</v>
      </c>
      <c r="C69" s="12" t="s">
        <v>8127</v>
      </c>
      <c r="D69" s="12" t="s">
        <v>7159</v>
      </c>
      <c r="E69" s="12" t="s">
        <v>8031</v>
      </c>
      <c r="F69" s="12" t="s">
        <v>7230</v>
      </c>
      <c r="G69" s="12" t="s">
        <v>7651</v>
      </c>
      <c r="H69" s="12">
        <v>26</v>
      </c>
      <c r="I69" s="12" t="s">
        <v>7647</v>
      </c>
      <c r="J69" s="80">
        <v>1.95</v>
      </c>
      <c r="K69" s="12" t="s">
        <v>7161</v>
      </c>
      <c r="L69" s="12" t="s">
        <v>21</v>
      </c>
      <c r="M69" s="12" t="s">
        <v>8110</v>
      </c>
      <c r="N69" s="12">
        <v>23.1</v>
      </c>
      <c r="O69" s="12">
        <v>6.3E-2</v>
      </c>
      <c r="P69" s="12">
        <v>1</v>
      </c>
      <c r="Q69" s="12" t="s">
        <v>7165</v>
      </c>
      <c r="R69" s="12">
        <v>8.8000000000000005E-3</v>
      </c>
      <c r="S69" s="12">
        <v>2.7413E-2</v>
      </c>
      <c r="T69" s="12">
        <v>32699</v>
      </c>
      <c r="U69" s="12">
        <v>4.4999999999999998E-2</v>
      </c>
      <c r="V69" s="12" t="s">
        <v>7661</v>
      </c>
      <c r="W69" s="12" t="s">
        <v>11</v>
      </c>
      <c r="X69" s="12">
        <v>19</v>
      </c>
      <c r="Y69" s="12" t="s">
        <v>8052</v>
      </c>
      <c r="Z69" s="12" t="s">
        <v>8052</v>
      </c>
      <c r="AD69" s="63"/>
      <c r="AE69" s="63"/>
      <c r="AF69" s="63"/>
      <c r="AG69" s="63"/>
      <c r="AH69" s="63"/>
      <c r="AI69" s="63"/>
      <c r="AJ69" s="63"/>
      <c r="AK69" s="63"/>
      <c r="AL69" s="63"/>
      <c r="AM69" s="63"/>
    </row>
    <row r="70" spans="1:56" s="12" customFormat="1" x14ac:dyDescent="0.2">
      <c r="A70" s="12" t="s">
        <v>5610</v>
      </c>
      <c r="B70" s="12" t="s">
        <v>5199</v>
      </c>
      <c r="C70" s="12" t="s">
        <v>8127</v>
      </c>
      <c r="D70" s="12" t="s">
        <v>7159</v>
      </c>
      <c r="E70" s="12" t="s">
        <v>8031</v>
      </c>
      <c r="F70" s="12" t="s">
        <v>7230</v>
      </c>
      <c r="G70" s="12" t="s">
        <v>7651</v>
      </c>
      <c r="H70" s="12">
        <v>26</v>
      </c>
      <c r="I70" s="12" t="s">
        <v>7647</v>
      </c>
      <c r="J70" s="80">
        <v>5.85</v>
      </c>
      <c r="K70" s="12" t="s">
        <v>7161</v>
      </c>
      <c r="L70" s="12" t="s">
        <v>21</v>
      </c>
      <c r="M70" s="12" t="s">
        <v>8110</v>
      </c>
      <c r="N70" s="12">
        <v>78.5</v>
      </c>
      <c r="O70" s="12">
        <v>6.6000000000000003E-2</v>
      </c>
      <c r="P70" s="12">
        <v>0.999</v>
      </c>
      <c r="Q70" s="12" t="s">
        <v>7206</v>
      </c>
      <c r="R70" s="12">
        <v>1.0999999999999999E-2</v>
      </c>
      <c r="S70" s="12">
        <v>8.9657000000000001E-2</v>
      </c>
      <c r="T70" s="12">
        <v>102178</v>
      </c>
      <c r="U70" s="12">
        <v>6.2E-2</v>
      </c>
      <c r="V70" s="12" t="s">
        <v>7661</v>
      </c>
      <c r="W70" s="12" t="s">
        <v>11</v>
      </c>
      <c r="X70" s="12">
        <v>20</v>
      </c>
      <c r="Y70" s="12" t="s">
        <v>8052</v>
      </c>
      <c r="Z70" s="12" t="s">
        <v>8052</v>
      </c>
      <c r="AD70" s="63"/>
      <c r="AE70" s="63"/>
      <c r="AF70" s="63"/>
      <c r="AG70" s="63"/>
      <c r="AH70" s="63"/>
      <c r="AI70" s="63"/>
      <c r="AJ70" s="63"/>
      <c r="AK70" s="63"/>
      <c r="AL70" s="63"/>
      <c r="AM70" s="63"/>
    </row>
    <row r="71" spans="1:56" s="12" customFormat="1" x14ac:dyDescent="0.2">
      <c r="A71" s="12" t="s">
        <v>5592</v>
      </c>
      <c r="B71" s="12" t="s">
        <v>5263</v>
      </c>
      <c r="C71" s="12" t="s">
        <v>8127</v>
      </c>
      <c r="D71" s="12" t="s">
        <v>7159</v>
      </c>
      <c r="E71" s="12" t="s">
        <v>8031</v>
      </c>
      <c r="F71" s="12" t="s">
        <v>7230</v>
      </c>
      <c r="G71" s="12" t="s">
        <v>7651</v>
      </c>
      <c r="H71" s="12">
        <v>20</v>
      </c>
      <c r="I71" s="12" t="s">
        <v>7647</v>
      </c>
      <c r="J71" s="80">
        <v>4.5</v>
      </c>
      <c r="K71" s="12" t="s">
        <v>7161</v>
      </c>
      <c r="L71" s="12" t="s">
        <v>21</v>
      </c>
      <c r="M71" s="12" t="s">
        <v>8110</v>
      </c>
      <c r="N71" s="12">
        <v>97.3</v>
      </c>
      <c r="O71" s="12">
        <v>4.2000000000000003E-2</v>
      </c>
      <c r="P71" s="12">
        <v>1</v>
      </c>
      <c r="Q71" s="12" t="s">
        <v>7165</v>
      </c>
      <c r="R71" s="12">
        <v>2.1999999999999999E-2</v>
      </c>
      <c r="S71" s="12">
        <v>8.1642999999999993E-2</v>
      </c>
      <c r="T71" s="12">
        <v>94966</v>
      </c>
      <c r="U71" s="12">
        <v>6.3E-2</v>
      </c>
      <c r="V71" s="12" t="s">
        <v>7661</v>
      </c>
      <c r="W71" s="12" t="s">
        <v>11</v>
      </c>
      <c r="X71" s="12">
        <v>13</v>
      </c>
      <c r="Y71" s="12" t="s">
        <v>8052</v>
      </c>
      <c r="Z71" s="12" t="s">
        <v>8052</v>
      </c>
      <c r="AD71" s="63"/>
      <c r="AE71" s="63"/>
      <c r="AF71" s="63"/>
      <c r="AG71" s="63"/>
      <c r="AH71" s="63"/>
      <c r="AI71" s="63"/>
      <c r="AJ71" s="63"/>
      <c r="AK71" s="63"/>
      <c r="AL71" s="63"/>
      <c r="AM71" s="63"/>
    </row>
    <row r="72" spans="1:56" s="12" customFormat="1" x14ac:dyDescent="0.2">
      <c r="A72" s="12" t="s">
        <v>5593</v>
      </c>
      <c r="B72" s="12" t="s">
        <v>5263</v>
      </c>
      <c r="C72" s="12" t="s">
        <v>8127</v>
      </c>
      <c r="D72" s="12" t="s">
        <v>7159</v>
      </c>
      <c r="E72" s="12" t="s">
        <v>8031</v>
      </c>
      <c r="F72" s="12" t="s">
        <v>7230</v>
      </c>
      <c r="G72" s="12" t="s">
        <v>7651</v>
      </c>
      <c r="H72" s="12">
        <v>30</v>
      </c>
      <c r="I72" s="12" t="s">
        <v>7647</v>
      </c>
      <c r="J72" s="80">
        <v>6.75</v>
      </c>
      <c r="K72" s="12" t="s">
        <v>7161</v>
      </c>
      <c r="L72" s="12" t="s">
        <v>21</v>
      </c>
      <c r="M72" s="12" t="s">
        <v>8110</v>
      </c>
      <c r="N72" s="12">
        <v>124</v>
      </c>
      <c r="O72" s="12">
        <v>5.7000000000000002E-2</v>
      </c>
      <c r="P72" s="12">
        <v>1</v>
      </c>
      <c r="Q72" s="12" t="s">
        <v>7165</v>
      </c>
      <c r="R72" s="12">
        <v>0.03</v>
      </c>
      <c r="S72" s="12">
        <v>0.28054200000000001</v>
      </c>
      <c r="T72" s="12">
        <v>282808</v>
      </c>
      <c r="U72" s="12">
        <v>4.3999999999999997E-2</v>
      </c>
      <c r="V72" s="12" t="s">
        <v>7661</v>
      </c>
      <c r="W72" s="12" t="s">
        <v>11</v>
      </c>
      <c r="X72" s="12">
        <v>200</v>
      </c>
      <c r="Y72" s="12">
        <v>-4.9030000000000002E-3</v>
      </c>
      <c r="Z72" s="12">
        <v>-2.4093318735491431</v>
      </c>
      <c r="AD72" s="63"/>
      <c r="AE72" s="63"/>
      <c r="AF72" s="63"/>
      <c r="AG72" s="63"/>
      <c r="AH72" s="63"/>
      <c r="AI72" s="63"/>
      <c r="AJ72" s="63"/>
      <c r="AK72" s="63"/>
      <c r="AL72" s="63"/>
      <c r="AM72" s="63"/>
    </row>
    <row r="73" spans="1:56" s="12" customFormat="1" x14ac:dyDescent="0.2">
      <c r="A73" s="12" t="s">
        <v>5613</v>
      </c>
      <c r="B73" s="12" t="s">
        <v>5201</v>
      </c>
      <c r="C73" s="12" t="s">
        <v>8127</v>
      </c>
      <c r="D73" s="12" t="s">
        <v>7159</v>
      </c>
      <c r="E73" s="12" t="s">
        <v>8031</v>
      </c>
      <c r="F73" s="12" t="s">
        <v>7230</v>
      </c>
      <c r="G73" s="12" t="s">
        <v>7651</v>
      </c>
      <c r="H73" s="12">
        <v>24</v>
      </c>
      <c r="I73" s="12" t="s">
        <v>7647</v>
      </c>
      <c r="J73" s="80">
        <v>1.7999999999999998</v>
      </c>
      <c r="K73" s="12" t="s">
        <v>7161</v>
      </c>
      <c r="L73" s="12" t="s">
        <v>21</v>
      </c>
      <c r="M73" s="12" t="s">
        <v>8110</v>
      </c>
      <c r="N73" s="12">
        <v>96.6</v>
      </c>
      <c r="O73" s="12">
        <v>4.4999999999999998E-2</v>
      </c>
      <c r="P73" s="12">
        <v>1</v>
      </c>
      <c r="Q73" s="12" t="s">
        <v>7165</v>
      </c>
      <c r="R73" s="12">
        <v>4.3999999999999997E-2</v>
      </c>
      <c r="S73" s="12">
        <v>7.4014999999999997E-2</v>
      </c>
      <c r="T73" s="12">
        <v>86182</v>
      </c>
      <c r="U73" s="12">
        <v>6.8000000000000005E-2</v>
      </c>
      <c r="V73" s="12" t="s">
        <v>7661</v>
      </c>
      <c r="W73" s="12" t="s">
        <v>11</v>
      </c>
      <c r="X73" s="12">
        <v>18</v>
      </c>
      <c r="Y73" s="12" t="s">
        <v>8052</v>
      </c>
      <c r="Z73" s="12" t="s">
        <v>8052</v>
      </c>
      <c r="AD73" s="63"/>
      <c r="AE73" s="63"/>
      <c r="AF73" s="63"/>
      <c r="AG73" s="63"/>
      <c r="AH73" s="63"/>
      <c r="AI73" s="63"/>
      <c r="AJ73" s="63"/>
      <c r="AK73" s="63"/>
      <c r="AL73" s="63"/>
      <c r="AM73" s="63"/>
    </row>
    <row r="74" spans="1:56" s="12" customFormat="1" x14ac:dyDescent="0.2">
      <c r="A74" s="12" t="s">
        <v>5612</v>
      </c>
      <c r="B74" s="12" t="s">
        <v>5201</v>
      </c>
      <c r="C74" s="12" t="s">
        <v>8127</v>
      </c>
      <c r="D74" s="12" t="s">
        <v>7159</v>
      </c>
      <c r="E74" s="12" t="s">
        <v>8031</v>
      </c>
      <c r="F74" s="12" t="s">
        <v>7230</v>
      </c>
      <c r="G74" s="12" t="s">
        <v>7651</v>
      </c>
      <c r="H74" s="12">
        <v>24</v>
      </c>
      <c r="I74" s="12" t="s">
        <v>7647</v>
      </c>
      <c r="J74" s="80">
        <v>5.3999999999999995</v>
      </c>
      <c r="K74" s="12" t="s">
        <v>7161</v>
      </c>
      <c r="L74" s="12" t="s">
        <v>21</v>
      </c>
      <c r="M74" s="12" t="s">
        <v>8110</v>
      </c>
      <c r="N74" s="12">
        <v>193</v>
      </c>
      <c r="O74" s="12">
        <v>4.9000000000000002E-2</v>
      </c>
      <c r="P74" s="12">
        <v>1</v>
      </c>
      <c r="Q74" s="12" t="s">
        <v>7169</v>
      </c>
      <c r="R74" s="12">
        <v>5.2999999999999999E-2</v>
      </c>
      <c r="S74" s="12">
        <v>0.13758600000000001</v>
      </c>
      <c r="T74" s="12">
        <v>151838</v>
      </c>
      <c r="U74" s="12">
        <v>7.3999999999999996E-2</v>
      </c>
      <c r="V74" s="12" t="s">
        <v>7661</v>
      </c>
      <c r="W74" s="12" t="s">
        <v>11</v>
      </c>
      <c r="X74" s="12">
        <v>42</v>
      </c>
      <c r="Y74" s="12" t="s">
        <v>8052</v>
      </c>
      <c r="Z74" s="12" t="s">
        <v>8052</v>
      </c>
      <c r="AD74" s="63"/>
      <c r="AE74" s="63"/>
      <c r="AF74" s="63"/>
      <c r="AG74" s="63"/>
      <c r="AH74" s="63"/>
      <c r="AI74" s="63"/>
      <c r="AJ74" s="63"/>
      <c r="AK74" s="63"/>
      <c r="AL74" s="63"/>
      <c r="AM74" s="63"/>
    </row>
    <row r="75" spans="1:56" s="12" customFormat="1" x14ac:dyDescent="0.2">
      <c r="A75" s="12" t="s">
        <v>4010</v>
      </c>
      <c r="B75" s="12" t="s">
        <v>4009</v>
      </c>
      <c r="C75" s="12" t="s">
        <v>13</v>
      </c>
      <c r="D75" s="12" t="s">
        <v>7210</v>
      </c>
      <c r="E75" s="12" t="s">
        <v>8124</v>
      </c>
      <c r="F75" s="12" t="s">
        <v>7160</v>
      </c>
      <c r="G75" s="12" t="s">
        <v>7649</v>
      </c>
      <c r="H75" s="12">
        <v>75</v>
      </c>
      <c r="I75" s="12" t="s">
        <v>7647</v>
      </c>
      <c r="J75" s="80">
        <v>8.3333333333333321</v>
      </c>
      <c r="K75" s="12" t="s">
        <v>7161</v>
      </c>
      <c r="L75" s="12" t="s">
        <v>21</v>
      </c>
      <c r="M75" s="12" t="s">
        <v>8110</v>
      </c>
      <c r="N75" s="12">
        <v>44.2</v>
      </c>
      <c r="O75" s="12">
        <v>0.14000000000000001</v>
      </c>
      <c r="P75" s="12">
        <v>0.98899999999999999</v>
      </c>
      <c r="Q75" s="12" t="s">
        <v>7971</v>
      </c>
      <c r="R75" s="12">
        <v>0.13200000000000001</v>
      </c>
      <c r="S75" s="12">
        <v>1.6810050000000001</v>
      </c>
      <c r="T75" s="12">
        <v>766731</v>
      </c>
      <c r="U75" s="12">
        <v>0.11700000000000001</v>
      </c>
      <c r="V75" s="12" t="s">
        <v>7661</v>
      </c>
      <c r="W75" s="12" t="s">
        <v>11</v>
      </c>
      <c r="X75" s="12">
        <v>2640</v>
      </c>
      <c r="Y75" s="12">
        <v>1.013E-3</v>
      </c>
      <c r="Z75" s="12">
        <v>0.75708543780165705</v>
      </c>
      <c r="AD75" s="63"/>
      <c r="AE75" s="63"/>
      <c r="AF75" s="63"/>
      <c r="AG75" s="63"/>
      <c r="AH75" s="63"/>
      <c r="AI75" s="63"/>
      <c r="AJ75" s="63"/>
      <c r="AK75" s="63"/>
      <c r="AL75" s="63"/>
      <c r="AM75" s="63"/>
    </row>
    <row r="76" spans="1:56" s="12" customFormat="1" x14ac:dyDescent="0.2">
      <c r="A76" s="12" t="s">
        <v>4012</v>
      </c>
      <c r="B76" s="12" t="s">
        <v>4011</v>
      </c>
      <c r="C76" s="12" t="s">
        <v>13</v>
      </c>
      <c r="D76" s="12" t="s">
        <v>7210</v>
      </c>
      <c r="E76" s="12" t="s">
        <v>8124</v>
      </c>
      <c r="F76" s="12" t="s">
        <v>7160</v>
      </c>
      <c r="G76" s="12" t="s">
        <v>7649</v>
      </c>
      <c r="H76" s="12">
        <v>75</v>
      </c>
      <c r="I76" s="12" t="s">
        <v>7647</v>
      </c>
      <c r="J76" s="80">
        <v>8.3333333333333321</v>
      </c>
      <c r="K76" s="12" t="s">
        <v>7161</v>
      </c>
      <c r="L76" s="12" t="s">
        <v>21</v>
      </c>
      <c r="M76" s="12" t="s">
        <v>8110</v>
      </c>
      <c r="N76" s="12">
        <v>74.3</v>
      </c>
      <c r="O76" s="12">
        <v>0.129</v>
      </c>
      <c r="P76" s="12">
        <v>0.99</v>
      </c>
      <c r="Q76" s="12" t="s">
        <v>7333</v>
      </c>
      <c r="R76" s="12">
        <v>0.53100000000000003</v>
      </c>
      <c r="S76" s="12">
        <v>3.3665219999999998</v>
      </c>
      <c r="T76" s="12">
        <v>866802</v>
      </c>
      <c r="U76" s="12">
        <v>0.12</v>
      </c>
      <c r="V76" s="12" t="s">
        <v>7661</v>
      </c>
      <c r="W76" s="12" t="s">
        <v>11</v>
      </c>
      <c r="X76" s="12">
        <v>5093</v>
      </c>
      <c r="Y76" s="12">
        <v>4.7780000000000001E-3</v>
      </c>
      <c r="Z76" s="12">
        <v>3.9290630607220334</v>
      </c>
      <c r="AD76" s="63"/>
      <c r="AE76" s="63"/>
      <c r="AF76" s="63"/>
      <c r="AG76" s="63"/>
      <c r="AH76" s="63"/>
      <c r="AI76" s="63"/>
      <c r="AJ76" s="63"/>
      <c r="AK76" s="63"/>
      <c r="AL76" s="63"/>
      <c r="AM76" s="63"/>
    </row>
    <row r="77" spans="1:56" s="12" customFormat="1" x14ac:dyDescent="0.2">
      <c r="A77" s="12" t="s">
        <v>5615</v>
      </c>
      <c r="B77" s="12" t="s">
        <v>5203</v>
      </c>
      <c r="C77" s="12" t="s">
        <v>8127</v>
      </c>
      <c r="D77" s="12" t="s">
        <v>7159</v>
      </c>
      <c r="E77" s="12" t="s">
        <v>8031</v>
      </c>
      <c r="F77" s="12" t="s">
        <v>7230</v>
      </c>
      <c r="G77" s="12" t="s">
        <v>7651</v>
      </c>
      <c r="H77" s="12">
        <v>22</v>
      </c>
      <c r="I77" s="12" t="s">
        <v>7647</v>
      </c>
      <c r="J77" s="80">
        <v>1.65</v>
      </c>
      <c r="K77" s="12" t="s">
        <v>7161</v>
      </c>
      <c r="L77" s="12" t="s">
        <v>21</v>
      </c>
      <c r="M77" s="12" t="s">
        <v>8110</v>
      </c>
      <c r="N77" s="12">
        <v>14</v>
      </c>
      <c r="O77" s="12">
        <v>5.8999999999999997E-2</v>
      </c>
      <c r="P77" s="12">
        <v>1</v>
      </c>
      <c r="Q77" s="12" t="s">
        <v>7206</v>
      </c>
      <c r="R77" s="12">
        <v>1.6999999999999999E-3</v>
      </c>
      <c r="S77" s="12">
        <v>1.8128999999999999E-2</v>
      </c>
      <c r="T77" s="12">
        <v>21793</v>
      </c>
      <c r="U77" s="12">
        <v>4.7E-2</v>
      </c>
      <c r="V77" s="12" t="s">
        <v>7661</v>
      </c>
      <c r="W77" s="12" t="s">
        <v>11</v>
      </c>
      <c r="X77" s="12">
        <v>6</v>
      </c>
      <c r="Y77" s="12" t="s">
        <v>8052</v>
      </c>
      <c r="Z77" s="12" t="s">
        <v>8052</v>
      </c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P77" s="12" t="s">
        <v>3244</v>
      </c>
      <c r="AQ77" s="12" t="s">
        <v>8050</v>
      </c>
      <c r="AR77" s="12" t="s">
        <v>8051</v>
      </c>
      <c r="AS77" s="12">
        <v>23.69</v>
      </c>
      <c r="AT77" s="12">
        <v>0.14249999999999999</v>
      </c>
      <c r="AU77" s="12" t="s">
        <v>4036</v>
      </c>
      <c r="AV77" s="12">
        <v>0.98393699999999995</v>
      </c>
      <c r="AW77" s="12">
        <v>0.963754</v>
      </c>
      <c r="AX77" s="12">
        <v>0.994197</v>
      </c>
      <c r="AY77" s="12">
        <v>3703</v>
      </c>
      <c r="AZ77" s="12">
        <v>2400</v>
      </c>
      <c r="BA77" s="12">
        <v>0.1575</v>
      </c>
      <c r="BB77" s="12">
        <v>100</v>
      </c>
      <c r="BC77" s="12">
        <v>-1.4142857142857099</v>
      </c>
      <c r="BD77" s="12">
        <v>-2.97E-3</v>
      </c>
    </row>
    <row r="78" spans="1:56" s="12" customFormat="1" x14ac:dyDescent="0.2">
      <c r="A78" s="12" t="s">
        <v>5614</v>
      </c>
      <c r="B78" s="12" t="s">
        <v>5203</v>
      </c>
      <c r="C78" s="12" t="s">
        <v>8127</v>
      </c>
      <c r="D78" s="12" t="s">
        <v>7159</v>
      </c>
      <c r="E78" s="12" t="s">
        <v>8031</v>
      </c>
      <c r="F78" s="12" t="s">
        <v>7230</v>
      </c>
      <c r="G78" s="12" t="s">
        <v>7651</v>
      </c>
      <c r="H78" s="12">
        <v>22</v>
      </c>
      <c r="I78" s="12" t="s">
        <v>7647</v>
      </c>
      <c r="J78" s="80">
        <v>4.9499999999999993</v>
      </c>
      <c r="K78" s="12" t="s">
        <v>7161</v>
      </c>
      <c r="L78" s="12" t="s">
        <v>21</v>
      </c>
      <c r="M78" s="12" t="s">
        <v>8110</v>
      </c>
      <c r="N78" s="12">
        <v>27.4</v>
      </c>
      <c r="O78" s="12">
        <v>6.4000000000000001E-2</v>
      </c>
      <c r="P78" s="12">
        <v>1</v>
      </c>
      <c r="Q78" s="12" t="s">
        <v>7179</v>
      </c>
      <c r="R78" s="12">
        <v>2.3999999999999998E-3</v>
      </c>
      <c r="S78" s="12">
        <v>3.6047000000000003E-2</v>
      </c>
      <c r="T78" s="12">
        <v>43142</v>
      </c>
      <c r="U78" s="12">
        <v>5.6000000000000001E-2</v>
      </c>
      <c r="V78" s="12" t="s">
        <v>7661</v>
      </c>
      <c r="W78" s="12" t="s">
        <v>11</v>
      </c>
      <c r="X78" s="12">
        <v>6</v>
      </c>
      <c r="Y78" s="12" t="s">
        <v>8052</v>
      </c>
      <c r="Z78" s="12" t="s">
        <v>8052</v>
      </c>
      <c r="AD78" s="63"/>
      <c r="AE78" s="63"/>
      <c r="AF78" s="63"/>
      <c r="AG78" s="63"/>
      <c r="AH78" s="63"/>
      <c r="AI78" s="63"/>
      <c r="AJ78" s="63"/>
      <c r="AK78" s="63"/>
      <c r="AL78" s="63"/>
      <c r="AM78" s="63"/>
    </row>
    <row r="79" spans="1:56" s="12" customFormat="1" x14ac:dyDescent="0.2">
      <c r="A79" s="12" t="s">
        <v>5617</v>
      </c>
      <c r="B79" s="12" t="s">
        <v>5205</v>
      </c>
      <c r="C79" s="12" t="s">
        <v>8127</v>
      </c>
      <c r="D79" s="12" t="s">
        <v>7159</v>
      </c>
      <c r="E79" s="12" t="s">
        <v>8031</v>
      </c>
      <c r="F79" s="12" t="s">
        <v>7230</v>
      </c>
      <c r="G79" s="12" t="s">
        <v>7651</v>
      </c>
      <c r="H79" s="12">
        <v>21</v>
      </c>
      <c r="I79" s="12" t="s">
        <v>7647</v>
      </c>
      <c r="J79" s="80">
        <v>1.575</v>
      </c>
      <c r="K79" s="12" t="s">
        <v>7161</v>
      </c>
      <c r="L79" s="12" t="s">
        <v>21</v>
      </c>
      <c r="M79" s="12" t="s">
        <v>8110</v>
      </c>
      <c r="N79" s="12">
        <v>32.5</v>
      </c>
      <c r="O79" s="12">
        <v>6.5000000000000002E-2</v>
      </c>
      <c r="P79" s="12">
        <v>1</v>
      </c>
      <c r="Q79" s="12" t="s">
        <v>7179</v>
      </c>
      <c r="R79" s="12">
        <v>5.8999999999999999E-3</v>
      </c>
      <c r="S79" s="12">
        <v>1.8450000000000001E-2</v>
      </c>
      <c r="T79" s="12">
        <v>21966</v>
      </c>
      <c r="U79" s="12">
        <v>5.2999999999999999E-2</v>
      </c>
      <c r="V79" s="12" t="s">
        <v>7661</v>
      </c>
      <c r="W79" s="12" t="s">
        <v>11</v>
      </c>
      <c r="X79" s="12">
        <v>7</v>
      </c>
      <c r="Y79" s="12" t="s">
        <v>8052</v>
      </c>
      <c r="Z79" s="12" t="s">
        <v>8052</v>
      </c>
      <c r="AD79" s="63"/>
      <c r="AE79" s="63"/>
      <c r="AF79" s="63"/>
      <c r="AG79" s="63"/>
      <c r="AH79" s="63"/>
      <c r="AI79" s="63"/>
      <c r="AJ79" s="63"/>
      <c r="AK79" s="63"/>
      <c r="AL79" s="63"/>
      <c r="AM79" s="63"/>
    </row>
    <row r="80" spans="1:56" s="12" customFormat="1" x14ac:dyDescent="0.2">
      <c r="A80" s="12" t="s">
        <v>5616</v>
      </c>
      <c r="B80" s="12" t="s">
        <v>5205</v>
      </c>
      <c r="C80" s="12" t="s">
        <v>8127</v>
      </c>
      <c r="D80" s="12" t="s">
        <v>7159</v>
      </c>
      <c r="E80" s="12" t="s">
        <v>8031</v>
      </c>
      <c r="F80" s="12" t="s">
        <v>7230</v>
      </c>
      <c r="G80" s="12" t="s">
        <v>7651</v>
      </c>
      <c r="H80" s="12">
        <v>21</v>
      </c>
      <c r="I80" s="12" t="s">
        <v>7647</v>
      </c>
      <c r="J80" s="80">
        <v>4.7249999999999996</v>
      </c>
      <c r="K80" s="12" t="s">
        <v>7161</v>
      </c>
      <c r="L80" s="12" t="s">
        <v>21</v>
      </c>
      <c r="M80" s="12" t="s">
        <v>8110</v>
      </c>
      <c r="N80" s="12">
        <v>92.3</v>
      </c>
      <c r="O80" s="12">
        <v>6.7000000000000004E-2</v>
      </c>
      <c r="P80" s="12">
        <v>1</v>
      </c>
      <c r="Q80" s="12" t="s">
        <v>7165</v>
      </c>
      <c r="R80" s="12">
        <v>7.6E-3</v>
      </c>
      <c r="S80" s="12">
        <v>5.0736000000000003E-2</v>
      </c>
      <c r="T80" s="12">
        <v>59031</v>
      </c>
      <c r="U80" s="12">
        <v>7.1999999999999995E-2</v>
      </c>
      <c r="V80" s="12" t="s">
        <v>7661</v>
      </c>
      <c r="W80" s="12" t="s">
        <v>11</v>
      </c>
      <c r="X80" s="12">
        <v>10</v>
      </c>
      <c r="Y80" s="12" t="s">
        <v>8052</v>
      </c>
      <c r="Z80" s="12" t="s">
        <v>8052</v>
      </c>
      <c r="AD80" s="63"/>
      <c r="AE80" s="63"/>
      <c r="AF80" s="63"/>
      <c r="AG80" s="63"/>
      <c r="AH80" s="63"/>
      <c r="AI80" s="63"/>
      <c r="AJ80" s="63"/>
      <c r="AK80" s="63"/>
      <c r="AL80" s="63"/>
      <c r="AM80" s="63"/>
    </row>
    <row r="81" spans="1:39" s="12" customFormat="1" x14ac:dyDescent="0.2">
      <c r="A81" s="12" t="s">
        <v>5644</v>
      </c>
      <c r="B81" s="12" t="s">
        <v>4237</v>
      </c>
      <c r="C81" s="12" t="s">
        <v>8127</v>
      </c>
      <c r="D81" s="12" t="s">
        <v>7159</v>
      </c>
      <c r="E81" s="12" t="s">
        <v>8031</v>
      </c>
      <c r="F81" s="12" t="s">
        <v>7230</v>
      </c>
      <c r="G81" s="12" t="s">
        <v>7651</v>
      </c>
      <c r="H81" s="12">
        <v>20</v>
      </c>
      <c r="I81" s="12" t="s">
        <v>7647</v>
      </c>
      <c r="J81" s="80">
        <v>1.5</v>
      </c>
      <c r="K81" s="12" t="s">
        <v>7161</v>
      </c>
      <c r="L81" s="12" t="s">
        <v>21</v>
      </c>
      <c r="M81" s="12" t="s">
        <v>8110</v>
      </c>
      <c r="N81" s="12">
        <v>23.5</v>
      </c>
      <c r="O81" s="12">
        <v>5.1999999999999998E-2</v>
      </c>
      <c r="P81" s="12">
        <v>0.98899999999999999</v>
      </c>
      <c r="Q81" s="12" t="s">
        <v>7316</v>
      </c>
      <c r="R81" s="12">
        <v>1.4999999999999999E-2</v>
      </c>
      <c r="S81" s="12">
        <v>2.7311999999999999E-2</v>
      </c>
      <c r="T81" s="12">
        <v>32284</v>
      </c>
      <c r="U81" s="12">
        <v>5.8999999999999997E-2</v>
      </c>
      <c r="V81" s="12" t="s">
        <v>7661</v>
      </c>
      <c r="W81" s="12" t="s">
        <v>11</v>
      </c>
      <c r="X81" s="12">
        <v>13</v>
      </c>
      <c r="Y81" s="12" t="s">
        <v>8052</v>
      </c>
      <c r="Z81" s="12" t="s">
        <v>8052</v>
      </c>
      <c r="AD81" s="63"/>
      <c r="AE81" s="63"/>
      <c r="AF81" s="63"/>
      <c r="AG81" s="63"/>
      <c r="AH81" s="63"/>
      <c r="AI81" s="63"/>
      <c r="AJ81" s="63"/>
      <c r="AK81" s="63"/>
      <c r="AL81" s="63"/>
      <c r="AM81" s="63"/>
    </row>
    <row r="82" spans="1:39" s="12" customFormat="1" x14ac:dyDescent="0.2">
      <c r="A82" s="12" t="s">
        <v>5643</v>
      </c>
      <c r="B82" s="12" t="s">
        <v>4237</v>
      </c>
      <c r="C82" s="12" t="s">
        <v>8127</v>
      </c>
      <c r="D82" s="12" t="s">
        <v>7159</v>
      </c>
      <c r="E82" s="12" t="s">
        <v>8031</v>
      </c>
      <c r="F82" s="12" t="s">
        <v>7230</v>
      </c>
      <c r="G82" s="12" t="s">
        <v>7651</v>
      </c>
      <c r="H82" s="12">
        <v>20</v>
      </c>
      <c r="I82" s="12" t="s">
        <v>7647</v>
      </c>
      <c r="J82" s="80">
        <v>4.5</v>
      </c>
      <c r="K82" s="12" t="s">
        <v>7161</v>
      </c>
      <c r="L82" s="12" t="s">
        <v>21</v>
      </c>
      <c r="M82" s="12" t="s">
        <v>8110</v>
      </c>
      <c r="N82" s="12">
        <v>74.599999999999994</v>
      </c>
      <c r="O82" s="12">
        <v>6.2E-2</v>
      </c>
      <c r="P82" s="12">
        <v>0.999</v>
      </c>
      <c r="Q82" s="12" t="s">
        <v>7169</v>
      </c>
      <c r="R82" s="12">
        <v>1.9E-2</v>
      </c>
      <c r="S82" s="12">
        <v>8.1684000000000007E-2</v>
      </c>
      <c r="T82" s="12">
        <v>93186</v>
      </c>
      <c r="U82" s="12">
        <v>7.8E-2</v>
      </c>
      <c r="V82" s="12" t="s">
        <v>7661</v>
      </c>
      <c r="W82" s="12" t="s">
        <v>11</v>
      </c>
      <c r="X82" s="12">
        <v>21</v>
      </c>
      <c r="Y82" s="12" t="s">
        <v>8052</v>
      </c>
      <c r="Z82" s="12" t="s">
        <v>8052</v>
      </c>
      <c r="AD82" s="63"/>
      <c r="AE82" s="63"/>
      <c r="AF82" s="63"/>
      <c r="AG82" s="63"/>
      <c r="AH82" s="63"/>
      <c r="AI82" s="63"/>
      <c r="AJ82" s="63"/>
      <c r="AK82" s="63"/>
      <c r="AL82" s="63"/>
      <c r="AM82" s="63"/>
    </row>
    <row r="83" spans="1:39" s="12" customFormat="1" x14ac:dyDescent="0.2">
      <c r="A83" s="12" t="s">
        <v>5619</v>
      </c>
      <c r="B83" s="12" t="s">
        <v>5207</v>
      </c>
      <c r="C83" s="12" t="s">
        <v>8127</v>
      </c>
      <c r="D83" s="12" t="s">
        <v>7159</v>
      </c>
      <c r="E83" s="12" t="s">
        <v>8031</v>
      </c>
      <c r="F83" s="12" t="s">
        <v>7230</v>
      </c>
      <c r="G83" s="12" t="s">
        <v>7651</v>
      </c>
      <c r="H83" s="12">
        <v>22</v>
      </c>
      <c r="I83" s="12" t="s">
        <v>7647</v>
      </c>
      <c r="J83" s="80">
        <v>1.65</v>
      </c>
      <c r="K83" s="12" t="s">
        <v>7161</v>
      </c>
      <c r="L83" s="12" t="s">
        <v>21</v>
      </c>
      <c r="M83" s="12" t="s">
        <v>8110</v>
      </c>
      <c r="N83" s="12">
        <v>34.5</v>
      </c>
      <c r="O83" s="12">
        <v>5.7000000000000002E-2</v>
      </c>
      <c r="P83" s="12">
        <v>1</v>
      </c>
      <c r="Q83" s="12" t="s">
        <v>7169</v>
      </c>
      <c r="R83" s="12">
        <v>4.2000000000000003E-2</v>
      </c>
      <c r="S83" s="12">
        <v>7.4349999999999999E-2</v>
      </c>
      <c r="T83" s="12">
        <v>86737</v>
      </c>
      <c r="U83" s="12">
        <v>5.3999999999999999E-2</v>
      </c>
      <c r="V83" s="12" t="s">
        <v>7661</v>
      </c>
      <c r="W83" s="12" t="s">
        <v>11</v>
      </c>
      <c r="X83" s="12">
        <v>28</v>
      </c>
      <c r="Y83" s="12" t="s">
        <v>8052</v>
      </c>
      <c r="Z83" s="12" t="s">
        <v>8052</v>
      </c>
      <c r="AD83" s="63"/>
      <c r="AE83" s="63"/>
      <c r="AF83" s="63"/>
      <c r="AG83" s="63"/>
      <c r="AH83" s="63"/>
      <c r="AI83" s="63"/>
      <c r="AJ83" s="63"/>
      <c r="AK83" s="63"/>
      <c r="AL83" s="63"/>
      <c r="AM83" s="63"/>
    </row>
    <row r="84" spans="1:39" s="12" customFormat="1" x14ac:dyDescent="0.2">
      <c r="A84" s="12" t="s">
        <v>5618</v>
      </c>
      <c r="B84" s="12" t="s">
        <v>5207</v>
      </c>
      <c r="C84" s="12" t="s">
        <v>8127</v>
      </c>
      <c r="D84" s="12" t="s">
        <v>7159</v>
      </c>
      <c r="E84" s="12" t="s">
        <v>8031</v>
      </c>
      <c r="F84" s="12" t="s">
        <v>7230</v>
      </c>
      <c r="G84" s="12" t="s">
        <v>7651</v>
      </c>
      <c r="H84" s="12">
        <v>22</v>
      </c>
      <c r="I84" s="12" t="s">
        <v>7647</v>
      </c>
      <c r="J84" s="80">
        <v>4.9499999999999993</v>
      </c>
      <c r="K84" s="12" t="s">
        <v>7161</v>
      </c>
      <c r="L84" s="12" t="s">
        <v>21</v>
      </c>
      <c r="M84" s="12" t="s">
        <v>8110</v>
      </c>
      <c r="N84" s="12">
        <v>96.2</v>
      </c>
      <c r="O84" s="12">
        <v>0.06</v>
      </c>
      <c r="P84" s="12">
        <v>1</v>
      </c>
      <c r="Q84" s="12" t="s">
        <v>7165</v>
      </c>
      <c r="R84" s="12">
        <v>4.3999999999999997E-2</v>
      </c>
      <c r="S84" s="12">
        <v>0.23949799999999999</v>
      </c>
      <c r="T84" s="12">
        <v>251321</v>
      </c>
      <c r="U84" s="12">
        <v>6.0999999999999999E-2</v>
      </c>
      <c r="V84" s="12" t="s">
        <v>7661</v>
      </c>
      <c r="W84" s="12" t="s">
        <v>11</v>
      </c>
      <c r="X84" s="12">
        <v>90</v>
      </c>
      <c r="Y84" s="12" t="s">
        <v>8052</v>
      </c>
      <c r="Z84" s="12" t="s">
        <v>8052</v>
      </c>
      <c r="AD84" s="63"/>
      <c r="AE84" s="63"/>
      <c r="AF84" s="63"/>
      <c r="AG84" s="63"/>
      <c r="AH84" s="63"/>
      <c r="AI84" s="63"/>
      <c r="AJ84" s="63"/>
      <c r="AK84" s="63"/>
      <c r="AL84" s="63"/>
      <c r="AM84" s="63"/>
    </row>
    <row r="85" spans="1:39" s="12" customFormat="1" x14ac:dyDescent="0.2">
      <c r="A85" s="12" t="s">
        <v>5634</v>
      </c>
      <c r="B85" s="12" t="s">
        <v>5386</v>
      </c>
      <c r="C85" s="12" t="s">
        <v>8127</v>
      </c>
      <c r="D85" s="12" t="s">
        <v>7159</v>
      </c>
      <c r="E85" s="12" t="s">
        <v>8031</v>
      </c>
      <c r="F85" s="12" t="s">
        <v>7230</v>
      </c>
      <c r="G85" s="12" t="s">
        <v>7651</v>
      </c>
      <c r="H85" s="12">
        <v>18</v>
      </c>
      <c r="I85" s="12" t="s">
        <v>7647</v>
      </c>
      <c r="J85" s="80">
        <v>1.3499999999999999</v>
      </c>
      <c r="K85" s="12" t="s">
        <v>7161</v>
      </c>
      <c r="L85" s="12" t="s">
        <v>21</v>
      </c>
      <c r="M85" s="12" t="s">
        <v>8110</v>
      </c>
      <c r="N85" s="12">
        <v>12.4</v>
      </c>
      <c r="O85" s="12">
        <v>6.5000000000000002E-2</v>
      </c>
      <c r="P85" s="12">
        <v>1</v>
      </c>
      <c r="Q85" s="12" t="s">
        <v>7165</v>
      </c>
      <c r="R85" s="12">
        <v>4.4000000000000003E-3</v>
      </c>
      <c r="S85" s="12">
        <v>1.4742E-2</v>
      </c>
      <c r="T85" s="12">
        <v>17507</v>
      </c>
      <c r="U85" s="12">
        <v>4.9000000000000002E-2</v>
      </c>
      <c r="V85" s="12" t="s">
        <v>7661</v>
      </c>
      <c r="W85" s="12" t="s">
        <v>11</v>
      </c>
      <c r="X85" s="12">
        <v>9</v>
      </c>
      <c r="Y85" s="12" t="s">
        <v>8052</v>
      </c>
      <c r="Z85" s="12" t="s">
        <v>8052</v>
      </c>
      <c r="AD85" s="63"/>
      <c r="AE85" s="63"/>
      <c r="AF85" s="63"/>
      <c r="AG85" s="63"/>
      <c r="AH85" s="63"/>
      <c r="AI85" s="63"/>
      <c r="AJ85" s="63"/>
      <c r="AK85" s="63"/>
      <c r="AL85" s="63"/>
      <c r="AM85" s="63"/>
    </row>
    <row r="86" spans="1:39" s="12" customFormat="1" x14ac:dyDescent="0.2">
      <c r="A86" s="12" t="s">
        <v>5633</v>
      </c>
      <c r="B86" s="12" t="s">
        <v>5386</v>
      </c>
      <c r="C86" s="12" t="s">
        <v>8127</v>
      </c>
      <c r="D86" s="12" t="s">
        <v>7159</v>
      </c>
      <c r="E86" s="12" t="s">
        <v>8031</v>
      </c>
      <c r="F86" s="12" t="s">
        <v>7230</v>
      </c>
      <c r="G86" s="12" t="s">
        <v>7651</v>
      </c>
      <c r="H86" s="12">
        <v>18</v>
      </c>
      <c r="I86" s="12" t="s">
        <v>7647</v>
      </c>
      <c r="J86" s="80">
        <v>4.05</v>
      </c>
      <c r="K86" s="12" t="s">
        <v>7161</v>
      </c>
      <c r="L86" s="12" t="s">
        <v>21</v>
      </c>
      <c r="M86" s="12" t="s">
        <v>8110</v>
      </c>
      <c r="N86" s="12">
        <v>37.799999999999997</v>
      </c>
      <c r="O86" s="12">
        <v>7.2999999999999995E-2</v>
      </c>
      <c r="P86" s="12">
        <v>1</v>
      </c>
      <c r="Q86" s="12" t="s">
        <v>7165</v>
      </c>
      <c r="R86" s="12">
        <v>4.8999999999999998E-3</v>
      </c>
      <c r="S86" s="12">
        <v>4.7349000000000002E-2</v>
      </c>
      <c r="T86" s="12">
        <v>56241</v>
      </c>
      <c r="U86" s="12">
        <v>7.5999999999999998E-2</v>
      </c>
      <c r="V86" s="12" t="s">
        <v>7661</v>
      </c>
      <c r="W86" s="12" t="s">
        <v>11</v>
      </c>
      <c r="X86" s="12">
        <v>11</v>
      </c>
      <c r="Y86" s="12" t="s">
        <v>8052</v>
      </c>
      <c r="Z86" s="12" t="s">
        <v>8052</v>
      </c>
      <c r="AD86" s="63"/>
      <c r="AE86" s="63"/>
      <c r="AF86" s="63"/>
      <c r="AG86" s="63"/>
      <c r="AH86" s="63"/>
      <c r="AI86" s="63"/>
      <c r="AJ86" s="63"/>
      <c r="AK86" s="63"/>
      <c r="AL86" s="63"/>
      <c r="AM86" s="63"/>
    </row>
    <row r="87" spans="1:39" s="12" customFormat="1" x14ac:dyDescent="0.2">
      <c r="A87" s="12" t="s">
        <v>5622</v>
      </c>
      <c r="B87" s="12" t="s">
        <v>5209</v>
      </c>
      <c r="C87" s="12" t="s">
        <v>8127</v>
      </c>
      <c r="D87" s="12" t="s">
        <v>7159</v>
      </c>
      <c r="E87" s="12" t="s">
        <v>8031</v>
      </c>
      <c r="F87" s="12" t="s">
        <v>7230</v>
      </c>
      <c r="G87" s="12" t="s">
        <v>7651</v>
      </c>
      <c r="H87" s="12">
        <v>21</v>
      </c>
      <c r="I87" s="12" t="s">
        <v>7647</v>
      </c>
      <c r="J87" s="80">
        <v>1.575</v>
      </c>
      <c r="K87" s="12" t="s">
        <v>7161</v>
      </c>
      <c r="L87" s="12" t="s">
        <v>21</v>
      </c>
      <c r="M87" s="12" t="s">
        <v>8110</v>
      </c>
      <c r="N87" s="12">
        <v>85.8</v>
      </c>
      <c r="O87" s="12">
        <v>5.6000000000000001E-2</v>
      </c>
      <c r="P87" s="12">
        <v>1</v>
      </c>
      <c r="Q87" s="12" t="s">
        <v>7165</v>
      </c>
      <c r="R87" s="12">
        <v>6.8000000000000005E-2</v>
      </c>
      <c r="S87" s="12">
        <v>0.115951</v>
      </c>
      <c r="T87" s="12">
        <v>131615</v>
      </c>
      <c r="U87" s="12">
        <v>0.05</v>
      </c>
      <c r="V87" s="12" t="s">
        <v>7661</v>
      </c>
      <c r="W87" s="12" t="s">
        <v>11</v>
      </c>
      <c r="X87" s="12">
        <v>34</v>
      </c>
      <c r="Y87" s="12" t="s">
        <v>8052</v>
      </c>
      <c r="Z87" s="12" t="s">
        <v>8052</v>
      </c>
      <c r="AD87" s="63"/>
      <c r="AE87" s="63"/>
      <c r="AF87" s="63"/>
      <c r="AG87" s="63"/>
      <c r="AH87" s="63"/>
      <c r="AI87" s="63"/>
      <c r="AJ87" s="63"/>
      <c r="AK87" s="63"/>
      <c r="AL87" s="63"/>
      <c r="AM87" s="63"/>
    </row>
    <row r="88" spans="1:39" s="12" customFormat="1" x14ac:dyDescent="0.2">
      <c r="A88" s="12" t="s">
        <v>5620</v>
      </c>
      <c r="B88" s="12" t="s">
        <v>5209</v>
      </c>
      <c r="C88" s="12" t="s">
        <v>8127</v>
      </c>
      <c r="D88" s="12" t="s">
        <v>7159</v>
      </c>
      <c r="E88" s="12" t="s">
        <v>8031</v>
      </c>
      <c r="F88" s="12" t="s">
        <v>7230</v>
      </c>
      <c r="G88" s="12" t="s">
        <v>7651</v>
      </c>
      <c r="H88" s="12">
        <v>21</v>
      </c>
      <c r="I88" s="12" t="s">
        <v>7647</v>
      </c>
      <c r="J88" s="80">
        <v>4.7249999999999996</v>
      </c>
      <c r="K88" s="12" t="s">
        <v>7161</v>
      </c>
      <c r="L88" s="12" t="s">
        <v>21</v>
      </c>
      <c r="M88" s="12" t="s">
        <v>8110</v>
      </c>
      <c r="N88" s="12">
        <v>174</v>
      </c>
      <c r="O88" s="12">
        <v>0.06</v>
      </c>
      <c r="P88" s="12">
        <v>1</v>
      </c>
      <c r="Q88" s="12" t="s">
        <v>7169</v>
      </c>
      <c r="R88" s="12">
        <v>6.9000000000000006E-2</v>
      </c>
      <c r="S88" s="12">
        <v>0.24206800000000001</v>
      </c>
      <c r="T88" s="12">
        <v>255308</v>
      </c>
      <c r="U88" s="12">
        <v>5.6000000000000001E-2</v>
      </c>
      <c r="V88" s="12" t="s">
        <v>7661</v>
      </c>
      <c r="W88" s="12" t="s">
        <v>11</v>
      </c>
      <c r="X88" s="12">
        <v>116</v>
      </c>
      <c r="Y88" s="12" t="s">
        <v>8052</v>
      </c>
      <c r="Z88" s="12" t="s">
        <v>8052</v>
      </c>
      <c r="AD88" s="63"/>
      <c r="AE88" s="63"/>
      <c r="AF88" s="63"/>
      <c r="AG88" s="63"/>
      <c r="AH88" s="63"/>
      <c r="AI88" s="63"/>
      <c r="AJ88" s="63"/>
      <c r="AK88" s="63"/>
      <c r="AL88" s="63"/>
      <c r="AM88" s="63"/>
    </row>
    <row r="89" spans="1:39" s="12" customFormat="1" x14ac:dyDescent="0.2">
      <c r="A89" s="12" t="s">
        <v>5621</v>
      </c>
      <c r="B89" s="12" t="s">
        <v>5209</v>
      </c>
      <c r="C89" s="12" t="s">
        <v>8127</v>
      </c>
      <c r="D89" s="12" t="s">
        <v>7159</v>
      </c>
      <c r="E89" s="12" t="s">
        <v>8031</v>
      </c>
      <c r="F89" s="12" t="s">
        <v>7160</v>
      </c>
      <c r="G89" s="12" t="s">
        <v>7649</v>
      </c>
      <c r="H89" s="12">
        <v>82</v>
      </c>
      <c r="I89" s="12" t="s">
        <v>7646</v>
      </c>
      <c r="J89" s="80">
        <v>27.333333333333332</v>
      </c>
      <c r="K89" s="12" t="s">
        <v>7161</v>
      </c>
      <c r="L89" s="12" t="s">
        <v>21</v>
      </c>
      <c r="M89" s="12" t="s">
        <v>8110</v>
      </c>
      <c r="N89" s="12">
        <v>709</v>
      </c>
      <c r="O89" s="12">
        <v>5.8000000000000003E-2</v>
      </c>
      <c r="P89" s="12">
        <v>0.999</v>
      </c>
      <c r="Q89" s="12" t="s">
        <v>7169</v>
      </c>
      <c r="R89" s="12">
        <v>0.252</v>
      </c>
      <c r="S89" s="12">
        <v>1.585</v>
      </c>
      <c r="T89" s="12">
        <v>804146</v>
      </c>
      <c r="U89" s="12">
        <v>4.8000000000000001E-2</v>
      </c>
      <c r="V89" s="12" t="s">
        <v>7661</v>
      </c>
      <c r="W89" s="12" t="s">
        <v>11</v>
      </c>
      <c r="X89" s="12">
        <v>2289</v>
      </c>
      <c r="Y89" s="12">
        <v>1.0217E-2</v>
      </c>
      <c r="Z89" s="12">
        <v>4.2391270974696349</v>
      </c>
      <c r="AD89" s="63"/>
      <c r="AE89" s="63"/>
      <c r="AF89" s="63"/>
      <c r="AG89" s="63"/>
      <c r="AH89" s="63"/>
      <c r="AI89" s="63"/>
      <c r="AJ89" s="63"/>
      <c r="AK89" s="63"/>
      <c r="AL89" s="63"/>
      <c r="AM89" s="63"/>
    </row>
    <row r="90" spans="1:39" s="12" customFormat="1" x14ac:dyDescent="0.2">
      <c r="A90" s="12" t="s">
        <v>1367</v>
      </c>
      <c r="B90" s="12" t="s">
        <v>1366</v>
      </c>
      <c r="C90" s="12" t="s">
        <v>13</v>
      </c>
      <c r="D90" s="12" t="s">
        <v>7210</v>
      </c>
      <c r="E90" s="12" t="s">
        <v>8124</v>
      </c>
      <c r="F90" s="12" t="s">
        <v>7160</v>
      </c>
      <c r="G90" s="12" t="s">
        <v>7649</v>
      </c>
      <c r="H90" s="12">
        <v>75</v>
      </c>
      <c r="I90" s="12" t="s">
        <v>7647</v>
      </c>
      <c r="J90" s="80">
        <v>8.3333333333333321</v>
      </c>
      <c r="K90" s="12" t="s">
        <v>7161</v>
      </c>
      <c r="L90" s="12" t="s">
        <v>21</v>
      </c>
      <c r="M90" s="12" t="s">
        <v>8110</v>
      </c>
      <c r="N90" s="12">
        <v>277</v>
      </c>
      <c r="O90" s="12">
        <v>0.14299999999999999</v>
      </c>
      <c r="P90" s="12">
        <v>0.99099999999999999</v>
      </c>
      <c r="Q90" s="12" t="s">
        <v>7191</v>
      </c>
      <c r="R90" s="12">
        <v>0.66600000000000004</v>
      </c>
      <c r="S90" s="12">
        <v>3.756894</v>
      </c>
      <c r="T90" s="12">
        <v>814690</v>
      </c>
      <c r="U90" s="12">
        <v>0.11899999999999999</v>
      </c>
      <c r="V90" s="12" t="s">
        <v>7661</v>
      </c>
      <c r="W90" s="12" t="s">
        <v>25</v>
      </c>
      <c r="X90" s="12">
        <v>8601</v>
      </c>
      <c r="Y90" s="12" t="s">
        <v>6639</v>
      </c>
      <c r="Z90" s="12" t="s">
        <v>6639</v>
      </c>
      <c r="AD90" s="63"/>
      <c r="AE90" s="63"/>
      <c r="AF90" s="63"/>
      <c r="AG90" s="63"/>
      <c r="AH90" s="63"/>
      <c r="AI90" s="63"/>
      <c r="AJ90" s="63"/>
      <c r="AK90" s="63"/>
      <c r="AL90" s="63"/>
      <c r="AM90" s="63"/>
    </row>
    <row r="91" spans="1:39" s="12" customFormat="1" x14ac:dyDescent="0.2">
      <c r="A91" s="12" t="s">
        <v>1370</v>
      </c>
      <c r="B91" s="12" t="s">
        <v>1369</v>
      </c>
      <c r="C91" s="12" t="s">
        <v>13</v>
      </c>
      <c r="D91" s="12" t="s">
        <v>7210</v>
      </c>
      <c r="E91" s="12" t="s">
        <v>8124</v>
      </c>
      <c r="F91" s="12" t="s">
        <v>7160</v>
      </c>
      <c r="G91" s="12" t="s">
        <v>7649</v>
      </c>
      <c r="H91" s="12">
        <v>75</v>
      </c>
      <c r="I91" s="12" t="s">
        <v>7647</v>
      </c>
      <c r="J91" s="80">
        <v>8.3333333333333321</v>
      </c>
      <c r="K91" s="12" t="s">
        <v>7161</v>
      </c>
      <c r="L91" s="12" t="s">
        <v>21</v>
      </c>
      <c r="M91" s="12" t="s">
        <v>8110</v>
      </c>
      <c r="N91" s="12">
        <v>199</v>
      </c>
      <c r="O91" s="12">
        <v>0.14499999999999999</v>
      </c>
      <c r="P91" s="12">
        <v>0.995</v>
      </c>
      <c r="Q91" s="12" t="s">
        <v>7202</v>
      </c>
      <c r="R91" s="12">
        <v>0.81100000000000005</v>
      </c>
      <c r="S91" s="12">
        <v>4.6696160000000004</v>
      </c>
      <c r="T91" s="12">
        <v>838551</v>
      </c>
      <c r="U91" s="12">
        <v>0.124</v>
      </c>
      <c r="V91" s="12" t="s">
        <v>7661</v>
      </c>
      <c r="W91" s="12" t="s">
        <v>11</v>
      </c>
      <c r="X91" s="12">
        <v>5680</v>
      </c>
      <c r="Y91" s="12">
        <v>4.1879999999999999E-3</v>
      </c>
      <c r="Z91" s="12">
        <v>4.7769125928791834</v>
      </c>
      <c r="AD91" s="63"/>
      <c r="AE91" s="63"/>
      <c r="AF91" s="63"/>
      <c r="AG91" s="63"/>
      <c r="AH91" s="63"/>
      <c r="AI91" s="63"/>
      <c r="AJ91" s="63"/>
      <c r="AK91" s="63"/>
      <c r="AL91" s="63"/>
      <c r="AM91" s="63"/>
    </row>
    <row r="92" spans="1:39" s="12" customFormat="1" x14ac:dyDescent="0.2">
      <c r="A92" s="12" t="s">
        <v>1336</v>
      </c>
      <c r="B92" s="12" t="s">
        <v>1335</v>
      </c>
      <c r="C92" s="12" t="s">
        <v>13</v>
      </c>
      <c r="D92" s="12" t="s">
        <v>7210</v>
      </c>
      <c r="E92" s="12" t="s">
        <v>8124</v>
      </c>
      <c r="F92" s="12" t="s">
        <v>7160</v>
      </c>
      <c r="G92" s="12" t="s">
        <v>7649</v>
      </c>
      <c r="H92" s="12">
        <v>75</v>
      </c>
      <c r="I92" s="12" t="s">
        <v>7647</v>
      </c>
      <c r="J92" s="80">
        <v>8.3333333333333321</v>
      </c>
      <c r="K92" s="12" t="s">
        <v>7161</v>
      </c>
      <c r="L92" s="12" t="s">
        <v>21</v>
      </c>
      <c r="M92" s="12" t="s">
        <v>8110</v>
      </c>
      <c r="N92" s="12">
        <v>432</v>
      </c>
      <c r="O92" s="12">
        <v>0.10199999999999999</v>
      </c>
      <c r="P92" s="12">
        <v>1</v>
      </c>
      <c r="Q92" s="12" t="s">
        <v>7169</v>
      </c>
      <c r="R92" s="12">
        <v>0.83599999999999997</v>
      </c>
      <c r="S92" s="12">
        <v>4.7611819999999998</v>
      </c>
      <c r="T92" s="12">
        <v>844185</v>
      </c>
      <c r="U92" s="12">
        <v>0.09</v>
      </c>
      <c r="V92" s="12" t="s">
        <v>7661</v>
      </c>
      <c r="W92" s="12" t="s">
        <v>11</v>
      </c>
      <c r="X92" s="12">
        <v>5787</v>
      </c>
      <c r="Y92" s="12">
        <v>5.535E-3</v>
      </c>
      <c r="Z92" s="12">
        <v>5.5658436793333932</v>
      </c>
      <c r="AD92" s="63"/>
      <c r="AE92" s="63"/>
      <c r="AF92" s="63"/>
      <c r="AG92" s="63"/>
      <c r="AH92" s="63"/>
      <c r="AI92" s="63"/>
      <c r="AJ92" s="63"/>
      <c r="AK92" s="63"/>
      <c r="AL92" s="63"/>
      <c r="AM92" s="63"/>
    </row>
    <row r="93" spans="1:39" s="12" customFormat="1" x14ac:dyDescent="0.2">
      <c r="A93" s="12" t="s">
        <v>5625</v>
      </c>
      <c r="B93" s="12" t="s">
        <v>5210</v>
      </c>
      <c r="C93" s="12" t="s">
        <v>8127</v>
      </c>
      <c r="D93" s="12" t="s">
        <v>7159</v>
      </c>
      <c r="E93" s="12" t="s">
        <v>8031</v>
      </c>
      <c r="F93" s="12" t="s">
        <v>7230</v>
      </c>
      <c r="G93" s="12" t="s">
        <v>7651</v>
      </c>
      <c r="H93" s="12">
        <v>24</v>
      </c>
      <c r="I93" s="12" t="s">
        <v>7647</v>
      </c>
      <c r="J93" s="80">
        <v>1.7999999999999998</v>
      </c>
      <c r="K93" s="12" t="s">
        <v>7161</v>
      </c>
      <c r="L93" s="12" t="s">
        <v>21</v>
      </c>
      <c r="M93" s="12" t="s">
        <v>8110</v>
      </c>
      <c r="N93" s="12">
        <v>19.7</v>
      </c>
      <c r="O93" s="12">
        <v>5.8000000000000003E-2</v>
      </c>
      <c r="P93" s="12">
        <v>1</v>
      </c>
      <c r="Q93" s="12" t="s">
        <v>7165</v>
      </c>
      <c r="R93" s="12">
        <v>7.9000000000000008E-3</v>
      </c>
      <c r="S93" s="12">
        <v>1.0761E-2</v>
      </c>
      <c r="T93" s="12">
        <v>12762</v>
      </c>
      <c r="U93" s="12">
        <v>3.7999999999999999E-2</v>
      </c>
      <c r="V93" s="12" t="s">
        <v>7661</v>
      </c>
      <c r="W93" s="12" t="s">
        <v>11</v>
      </c>
      <c r="X93" s="12">
        <v>6</v>
      </c>
      <c r="Y93" s="12" t="s">
        <v>8052</v>
      </c>
      <c r="Z93" s="12" t="s">
        <v>8052</v>
      </c>
      <c r="AD93" s="63"/>
      <c r="AE93" s="63"/>
      <c r="AF93" s="63"/>
      <c r="AG93" s="63"/>
      <c r="AH93" s="63"/>
      <c r="AI93" s="63"/>
      <c r="AJ93" s="63"/>
      <c r="AK93" s="63"/>
      <c r="AL93" s="63"/>
      <c r="AM93" s="63"/>
    </row>
    <row r="94" spans="1:39" s="12" customFormat="1" x14ac:dyDescent="0.2">
      <c r="A94" s="12" t="s">
        <v>5623</v>
      </c>
      <c r="B94" s="12" t="s">
        <v>5210</v>
      </c>
      <c r="C94" s="12" t="s">
        <v>8127</v>
      </c>
      <c r="D94" s="12" t="s">
        <v>7159</v>
      </c>
      <c r="E94" s="12" t="s">
        <v>8031</v>
      </c>
      <c r="F94" s="12" t="s">
        <v>7230</v>
      </c>
      <c r="G94" s="12" t="s">
        <v>7651</v>
      </c>
      <c r="H94" s="12">
        <v>24</v>
      </c>
      <c r="I94" s="12" t="s">
        <v>7647</v>
      </c>
      <c r="J94" s="80">
        <v>5.3999999999999995</v>
      </c>
      <c r="K94" s="12" t="s">
        <v>7161</v>
      </c>
      <c r="L94" s="12" t="s">
        <v>21</v>
      </c>
      <c r="M94" s="12" t="s">
        <v>8110</v>
      </c>
      <c r="N94" s="12">
        <v>43.3</v>
      </c>
      <c r="O94" s="12">
        <v>0.06</v>
      </c>
      <c r="P94" s="12">
        <v>1</v>
      </c>
      <c r="Q94" s="12" t="s">
        <v>7165</v>
      </c>
      <c r="R94" s="12">
        <v>8.5000000000000006E-3</v>
      </c>
      <c r="S94" s="12">
        <v>2.2554000000000001E-2</v>
      </c>
      <c r="T94" s="12">
        <v>27028</v>
      </c>
      <c r="U94" s="12">
        <v>4.4999999999999998E-2</v>
      </c>
      <c r="V94" s="12" t="s">
        <v>7661</v>
      </c>
      <c r="W94" s="12" t="s">
        <v>11</v>
      </c>
      <c r="X94" s="12">
        <v>8</v>
      </c>
      <c r="Y94" s="12" t="s">
        <v>8052</v>
      </c>
      <c r="Z94" s="12" t="s">
        <v>8052</v>
      </c>
      <c r="AD94" s="63"/>
      <c r="AE94" s="63"/>
      <c r="AF94" s="63"/>
      <c r="AG94" s="63"/>
      <c r="AH94" s="63"/>
      <c r="AI94" s="63"/>
      <c r="AJ94" s="63"/>
      <c r="AK94" s="63"/>
      <c r="AL94" s="63"/>
      <c r="AM94" s="63"/>
    </row>
    <row r="95" spans="1:39" s="12" customFormat="1" x14ac:dyDescent="0.2">
      <c r="A95" s="12" t="s">
        <v>5265</v>
      </c>
      <c r="B95" s="12" t="s">
        <v>5210</v>
      </c>
      <c r="C95" s="12" t="s">
        <v>8127</v>
      </c>
      <c r="D95" s="12" t="s">
        <v>7159</v>
      </c>
      <c r="E95" s="12" t="s">
        <v>8031</v>
      </c>
      <c r="F95" s="12" t="s">
        <v>7230</v>
      </c>
      <c r="G95" s="12" t="s">
        <v>7651</v>
      </c>
      <c r="H95" s="12">
        <v>30</v>
      </c>
      <c r="I95" s="12" t="s">
        <v>7647</v>
      </c>
      <c r="J95" s="80">
        <v>2.25</v>
      </c>
      <c r="K95" s="12" t="s">
        <v>7161</v>
      </c>
      <c r="L95" s="12" t="s">
        <v>21</v>
      </c>
      <c r="M95" s="12" t="s">
        <v>8110</v>
      </c>
      <c r="N95" s="12">
        <v>104</v>
      </c>
      <c r="O95" s="12">
        <v>5.8000000000000003E-2</v>
      </c>
      <c r="P95" s="12">
        <v>0.999</v>
      </c>
      <c r="Q95" s="12" t="s">
        <v>7179</v>
      </c>
      <c r="R95" s="12">
        <v>7.9000000000000001E-2</v>
      </c>
      <c r="S95" s="12">
        <v>7.8054999999999999E-2</v>
      </c>
      <c r="T95" s="12">
        <v>89281</v>
      </c>
      <c r="U95" s="12">
        <v>4.7E-2</v>
      </c>
      <c r="V95" s="12" t="s">
        <v>7661</v>
      </c>
      <c r="W95" s="12" t="s">
        <v>11</v>
      </c>
      <c r="X95" s="12">
        <v>29</v>
      </c>
      <c r="Y95" s="12" t="s">
        <v>8052</v>
      </c>
      <c r="Z95" s="12" t="s">
        <v>8052</v>
      </c>
      <c r="AD95" s="63"/>
      <c r="AE95" s="63"/>
      <c r="AF95" s="63"/>
      <c r="AG95" s="63"/>
      <c r="AH95" s="63"/>
      <c r="AI95" s="63"/>
      <c r="AJ95" s="63"/>
      <c r="AK95" s="63"/>
      <c r="AL95" s="63"/>
      <c r="AM95" s="63"/>
    </row>
    <row r="96" spans="1:39" s="12" customFormat="1" x14ac:dyDescent="0.2">
      <c r="A96" s="12" t="s">
        <v>5624</v>
      </c>
      <c r="B96" s="12" t="s">
        <v>5210</v>
      </c>
      <c r="C96" s="12" t="s">
        <v>8127</v>
      </c>
      <c r="D96" s="12" t="s">
        <v>7159</v>
      </c>
      <c r="E96" s="12" t="s">
        <v>8031</v>
      </c>
      <c r="F96" s="12" t="s">
        <v>7230</v>
      </c>
      <c r="G96" s="12" t="s">
        <v>7651</v>
      </c>
      <c r="H96" s="12">
        <v>30</v>
      </c>
      <c r="I96" s="12" t="s">
        <v>7647</v>
      </c>
      <c r="J96" s="80">
        <v>6.75</v>
      </c>
      <c r="K96" s="12" t="s">
        <v>7161</v>
      </c>
      <c r="L96" s="12" t="s">
        <v>21</v>
      </c>
      <c r="M96" s="12" t="s">
        <v>8110</v>
      </c>
      <c r="N96" s="12">
        <v>263</v>
      </c>
      <c r="O96" s="12">
        <v>5.8999999999999997E-2</v>
      </c>
      <c r="P96" s="12">
        <v>1</v>
      </c>
      <c r="Q96" s="12" t="s">
        <v>7169</v>
      </c>
      <c r="R96" s="12">
        <v>8.6999999999999994E-2</v>
      </c>
      <c r="S96" s="12">
        <v>0.22231200000000001</v>
      </c>
      <c r="T96" s="12">
        <v>234373</v>
      </c>
      <c r="U96" s="12">
        <v>5.1999999999999998E-2</v>
      </c>
      <c r="V96" s="12" t="s">
        <v>7661</v>
      </c>
      <c r="W96" s="12" t="s">
        <v>11</v>
      </c>
      <c r="X96" s="12">
        <v>120</v>
      </c>
      <c r="Y96" s="12" t="s">
        <v>8052</v>
      </c>
      <c r="Z96" s="12" t="s">
        <v>8052</v>
      </c>
      <c r="AD96" s="63"/>
      <c r="AE96" s="63"/>
      <c r="AF96" s="63"/>
      <c r="AG96" s="63"/>
      <c r="AH96" s="63"/>
      <c r="AI96" s="63"/>
      <c r="AJ96" s="63"/>
      <c r="AK96" s="63"/>
      <c r="AL96" s="63"/>
      <c r="AM96" s="63"/>
    </row>
    <row r="97" spans="1:56" s="12" customFormat="1" x14ac:dyDescent="0.2">
      <c r="A97" s="12" t="s">
        <v>5627</v>
      </c>
      <c r="B97" s="12" t="s">
        <v>5211</v>
      </c>
      <c r="C97" s="12" t="s">
        <v>8127</v>
      </c>
      <c r="D97" s="12" t="s">
        <v>7159</v>
      </c>
      <c r="E97" s="12" t="s">
        <v>8031</v>
      </c>
      <c r="F97" s="12" t="s">
        <v>7230</v>
      </c>
      <c r="G97" s="12" t="s">
        <v>7651</v>
      </c>
      <c r="H97" s="12">
        <v>26</v>
      </c>
      <c r="I97" s="12" t="s">
        <v>7647</v>
      </c>
      <c r="J97" s="80">
        <v>1.95</v>
      </c>
      <c r="K97" s="12" t="s">
        <v>7161</v>
      </c>
      <c r="L97" s="12" t="s">
        <v>21</v>
      </c>
      <c r="M97" s="12" t="s">
        <v>8110</v>
      </c>
      <c r="N97" s="12">
        <v>12.3</v>
      </c>
      <c r="O97" s="12">
        <v>5.1999999999999998E-2</v>
      </c>
      <c r="P97" s="12">
        <v>0.999</v>
      </c>
      <c r="Q97" s="12" t="s">
        <v>7231</v>
      </c>
      <c r="R97" s="12">
        <v>3.8999999999999998E-3</v>
      </c>
      <c r="S97" s="12">
        <v>1.6229E-2</v>
      </c>
      <c r="T97" s="12">
        <v>19648</v>
      </c>
      <c r="U97" s="12">
        <v>5.0999999999999997E-2</v>
      </c>
      <c r="V97" s="12" t="s">
        <v>7661</v>
      </c>
      <c r="W97" s="12" t="s">
        <v>25</v>
      </c>
      <c r="X97" s="12">
        <v>4</v>
      </c>
      <c r="Y97" s="12" t="s">
        <v>6639</v>
      </c>
      <c r="Z97" s="12" t="s">
        <v>6639</v>
      </c>
      <c r="AD97" s="63"/>
      <c r="AE97" s="63"/>
      <c r="AF97" s="63"/>
      <c r="AG97" s="63"/>
      <c r="AH97" s="63"/>
      <c r="AI97" s="63"/>
      <c r="AJ97" s="63"/>
      <c r="AK97" s="63"/>
      <c r="AL97" s="63"/>
      <c r="AM97" s="63"/>
    </row>
    <row r="98" spans="1:56" s="12" customFormat="1" x14ac:dyDescent="0.2">
      <c r="A98" s="12" t="s">
        <v>5626</v>
      </c>
      <c r="B98" s="12" t="s">
        <v>5211</v>
      </c>
      <c r="C98" s="12" t="s">
        <v>8127</v>
      </c>
      <c r="D98" s="12" t="s">
        <v>7159</v>
      </c>
      <c r="E98" s="12" t="s">
        <v>8031</v>
      </c>
      <c r="F98" s="12" t="s">
        <v>7230</v>
      </c>
      <c r="G98" s="12" t="s">
        <v>7651</v>
      </c>
      <c r="H98" s="12">
        <v>26</v>
      </c>
      <c r="I98" s="12" t="s">
        <v>7647</v>
      </c>
      <c r="J98" s="80">
        <v>5.85</v>
      </c>
      <c r="K98" s="12" t="s">
        <v>7161</v>
      </c>
      <c r="L98" s="12" t="s">
        <v>21</v>
      </c>
      <c r="M98" s="12" t="s">
        <v>8110</v>
      </c>
      <c r="N98" s="12">
        <v>24</v>
      </c>
      <c r="O98" s="12">
        <v>6.3E-2</v>
      </c>
      <c r="P98" s="12">
        <v>0.996</v>
      </c>
      <c r="Q98" s="12" t="s">
        <v>7207</v>
      </c>
      <c r="R98" s="12">
        <v>6.0000000000000001E-3</v>
      </c>
      <c r="S98" s="12">
        <v>3.0294999999999999E-2</v>
      </c>
      <c r="T98" s="12">
        <v>36337</v>
      </c>
      <c r="U98" s="12">
        <v>6.3E-2</v>
      </c>
      <c r="V98" s="12" t="s">
        <v>7661</v>
      </c>
      <c r="W98" s="12" t="s">
        <v>25</v>
      </c>
      <c r="X98" s="12">
        <v>7</v>
      </c>
      <c r="Y98" s="12" t="s">
        <v>6639</v>
      </c>
      <c r="Z98" s="12" t="s">
        <v>6639</v>
      </c>
      <c r="AD98" s="63"/>
      <c r="AE98" s="63"/>
      <c r="AF98" s="63"/>
      <c r="AG98" s="63"/>
      <c r="AH98" s="63"/>
      <c r="AI98" s="63"/>
      <c r="AJ98" s="63"/>
      <c r="AK98" s="63"/>
      <c r="AL98" s="63"/>
      <c r="AM98" s="63"/>
    </row>
    <row r="99" spans="1:56" s="12" customFormat="1" x14ac:dyDescent="0.2">
      <c r="A99" s="12" t="s">
        <v>5275</v>
      </c>
      <c r="B99" s="12" t="s">
        <v>5274</v>
      </c>
      <c r="C99" s="12" t="s">
        <v>143</v>
      </c>
      <c r="D99" s="12" t="s">
        <v>8125</v>
      </c>
      <c r="E99" s="12" t="s">
        <v>8124</v>
      </c>
      <c r="F99" s="12" t="s">
        <v>7160</v>
      </c>
      <c r="G99" s="12" t="s">
        <v>7649</v>
      </c>
      <c r="H99" s="12">
        <v>75</v>
      </c>
      <c r="I99" s="12" t="s">
        <v>7647</v>
      </c>
      <c r="J99" s="80">
        <v>8.3333333333333321</v>
      </c>
      <c r="K99" s="12" t="s">
        <v>7161</v>
      </c>
      <c r="L99" s="12" t="s">
        <v>21</v>
      </c>
      <c r="M99" s="12" t="s">
        <v>8110</v>
      </c>
      <c r="N99" s="12">
        <v>212</v>
      </c>
      <c r="O99" s="12">
        <v>7.3999999999999996E-2</v>
      </c>
      <c r="P99" s="12">
        <v>0.99299999999999999</v>
      </c>
      <c r="Q99" s="12" t="s">
        <v>7244</v>
      </c>
      <c r="R99" s="12">
        <v>8.6999999999999994E-2</v>
      </c>
      <c r="S99" s="12">
        <v>1.0376300000000001</v>
      </c>
      <c r="T99" s="12">
        <v>597074</v>
      </c>
      <c r="U99" s="12">
        <v>4.5999999999999999E-2</v>
      </c>
      <c r="V99" s="12" t="s">
        <v>7661</v>
      </c>
      <c r="W99" s="12" t="s">
        <v>11</v>
      </c>
      <c r="X99" s="12">
        <v>1616</v>
      </c>
      <c r="Y99" s="12">
        <v>6.195E-3</v>
      </c>
      <c r="Z99" s="12">
        <v>2.5075459119715786</v>
      </c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P99" s="12" t="s">
        <v>3244</v>
      </c>
      <c r="AQ99" s="12" t="s">
        <v>8048</v>
      </c>
      <c r="AR99" s="12" t="s">
        <v>8051</v>
      </c>
      <c r="AS99" s="12">
        <v>23.69</v>
      </c>
      <c r="AT99" s="12">
        <v>0.14249999999999999</v>
      </c>
      <c r="AU99" s="12" t="s">
        <v>4036</v>
      </c>
      <c r="AV99" s="12">
        <v>0.98393699999999995</v>
      </c>
      <c r="AW99" s="12">
        <v>0.963754</v>
      </c>
      <c r="AX99" s="12">
        <v>0.994197</v>
      </c>
      <c r="AY99" s="12">
        <v>3703</v>
      </c>
      <c r="AZ99" s="12">
        <v>2400</v>
      </c>
      <c r="BA99" s="12">
        <v>0.1575</v>
      </c>
      <c r="BB99" s="12">
        <v>100</v>
      </c>
      <c r="BC99" s="12">
        <v>-1.4142857142857099</v>
      </c>
      <c r="BD99" s="12">
        <v>-2.97E-3</v>
      </c>
    </row>
    <row r="100" spans="1:56" s="12" customFormat="1" x14ac:dyDescent="0.2">
      <c r="A100" s="12" t="s">
        <v>3912</v>
      </c>
      <c r="B100" s="12" t="s">
        <v>3910</v>
      </c>
      <c r="C100" s="12" t="s">
        <v>8127</v>
      </c>
      <c r="D100" s="12" t="s">
        <v>7159</v>
      </c>
      <c r="E100" s="12" t="s">
        <v>8031</v>
      </c>
      <c r="F100" s="12" t="s">
        <v>7230</v>
      </c>
      <c r="G100" s="12" t="s">
        <v>7651</v>
      </c>
      <c r="H100" s="12">
        <v>18</v>
      </c>
      <c r="I100" s="12" t="s">
        <v>7647</v>
      </c>
      <c r="J100" s="80">
        <v>1.3499999999999999</v>
      </c>
      <c r="K100" s="12" t="s">
        <v>7161</v>
      </c>
      <c r="L100" s="12" t="s">
        <v>21</v>
      </c>
      <c r="M100" s="12" t="s">
        <v>8110</v>
      </c>
      <c r="N100" s="12">
        <v>46.2</v>
      </c>
      <c r="O100" s="12">
        <v>5.3999999999999999E-2</v>
      </c>
      <c r="P100" s="12">
        <v>0.99</v>
      </c>
      <c r="Q100" s="12" t="s">
        <v>7253</v>
      </c>
      <c r="R100" s="12">
        <v>8.0999999999999996E-3</v>
      </c>
      <c r="S100" s="12">
        <v>2.8173E-2</v>
      </c>
      <c r="T100" s="12">
        <v>33008</v>
      </c>
      <c r="U100" s="12">
        <v>4.3999999999999997E-2</v>
      </c>
      <c r="V100" s="12" t="s">
        <v>7661</v>
      </c>
      <c r="W100" s="12" t="s">
        <v>11</v>
      </c>
      <c r="X100" s="12">
        <v>11</v>
      </c>
      <c r="Y100" s="12" t="s">
        <v>8052</v>
      </c>
      <c r="Z100" s="12" t="s">
        <v>8052</v>
      </c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</row>
    <row r="101" spans="1:56" s="12" customFormat="1" x14ac:dyDescent="0.2">
      <c r="A101" s="12" t="s">
        <v>4201</v>
      </c>
      <c r="B101" s="12" t="s">
        <v>4198</v>
      </c>
      <c r="C101" s="12" t="s">
        <v>8127</v>
      </c>
      <c r="D101" s="12" t="s">
        <v>7159</v>
      </c>
      <c r="E101" s="12" t="s">
        <v>8031</v>
      </c>
      <c r="F101" s="12" t="s">
        <v>7160</v>
      </c>
      <c r="G101" s="12" t="s">
        <v>7649</v>
      </c>
      <c r="H101" s="12">
        <v>79</v>
      </c>
      <c r="I101" s="12" t="s">
        <v>7646</v>
      </c>
      <c r="J101" s="80">
        <v>26.333333333333332</v>
      </c>
      <c r="K101" s="12" t="s">
        <v>7161</v>
      </c>
      <c r="L101" s="12" t="s">
        <v>21</v>
      </c>
      <c r="M101" s="12" t="s">
        <v>8110</v>
      </c>
      <c r="N101" s="12">
        <v>199</v>
      </c>
      <c r="O101" s="12">
        <v>5.1999999999999998E-2</v>
      </c>
      <c r="P101" s="12">
        <v>1</v>
      </c>
      <c r="Q101" s="12" t="s">
        <v>7165</v>
      </c>
      <c r="R101" s="12">
        <v>2.3E-2</v>
      </c>
      <c r="S101" s="12">
        <v>0.36</v>
      </c>
      <c r="T101" s="12">
        <v>340109</v>
      </c>
      <c r="U101" s="12">
        <v>6.3E-2</v>
      </c>
      <c r="V101" s="12" t="s">
        <v>7661</v>
      </c>
      <c r="W101" s="12" t="s">
        <v>11</v>
      </c>
      <c r="X101" s="12">
        <v>190</v>
      </c>
      <c r="Y101" s="12" t="s">
        <v>8052</v>
      </c>
      <c r="Z101" s="12" t="s">
        <v>8052</v>
      </c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</row>
    <row r="102" spans="1:56" s="12" customFormat="1" x14ac:dyDescent="0.2">
      <c r="A102" s="12" t="s">
        <v>5215</v>
      </c>
      <c r="B102" s="12" t="s">
        <v>5213</v>
      </c>
      <c r="C102" s="12" t="s">
        <v>8127</v>
      </c>
      <c r="D102" s="12" t="s">
        <v>7159</v>
      </c>
      <c r="E102" s="12" t="s">
        <v>8031</v>
      </c>
      <c r="F102" s="12" t="s">
        <v>7160</v>
      </c>
      <c r="G102" s="12" t="s">
        <v>7649</v>
      </c>
      <c r="H102" s="12">
        <v>72</v>
      </c>
      <c r="I102" s="12" t="s">
        <v>7646</v>
      </c>
      <c r="J102" s="80">
        <v>24</v>
      </c>
      <c r="K102" s="12" t="s">
        <v>7161</v>
      </c>
      <c r="L102" s="12" t="s">
        <v>21</v>
      </c>
      <c r="M102" s="12" t="s">
        <v>8110</v>
      </c>
      <c r="N102" s="12">
        <v>450</v>
      </c>
      <c r="O102" s="12">
        <v>4.3999999999999997E-2</v>
      </c>
      <c r="P102" s="12">
        <v>1</v>
      </c>
      <c r="Q102" s="12" t="s">
        <v>7189</v>
      </c>
      <c r="R102" s="12">
        <v>5.6000000000000001E-2</v>
      </c>
      <c r="S102" s="12">
        <v>0.34699999999999998</v>
      </c>
      <c r="T102" s="12">
        <v>334801</v>
      </c>
      <c r="U102" s="12">
        <v>5.5E-2</v>
      </c>
      <c r="V102" s="12" t="s">
        <v>7661</v>
      </c>
      <c r="W102" s="12" t="s">
        <v>11</v>
      </c>
      <c r="X102" s="12">
        <v>180</v>
      </c>
      <c r="Y102" s="12" t="s">
        <v>8052</v>
      </c>
      <c r="Z102" s="12" t="s">
        <v>8052</v>
      </c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</row>
    <row r="103" spans="1:56" s="12" customFormat="1" x14ac:dyDescent="0.2">
      <c r="A103" s="12" t="s">
        <v>5218</v>
      </c>
      <c r="B103" s="12" t="s">
        <v>5216</v>
      </c>
      <c r="C103" s="12" t="s">
        <v>8127</v>
      </c>
      <c r="D103" s="12" t="s">
        <v>7159</v>
      </c>
      <c r="E103" s="12" t="s">
        <v>8031</v>
      </c>
      <c r="F103" s="12" t="s">
        <v>7160</v>
      </c>
      <c r="G103" s="12" t="s">
        <v>7649</v>
      </c>
      <c r="H103" s="12">
        <v>74</v>
      </c>
      <c r="I103" s="12" t="s">
        <v>7646</v>
      </c>
      <c r="J103" s="80">
        <v>24.666666666666664</v>
      </c>
      <c r="K103" s="12" t="s">
        <v>7161</v>
      </c>
      <c r="L103" s="12" t="s">
        <v>21</v>
      </c>
      <c r="M103" s="12" t="s">
        <v>8110</v>
      </c>
      <c r="N103" s="12">
        <v>138</v>
      </c>
      <c r="O103" s="12">
        <v>7.1999999999999995E-2</v>
      </c>
      <c r="P103" s="12">
        <v>0.999</v>
      </c>
      <c r="Q103" s="12" t="s">
        <v>7179</v>
      </c>
      <c r="R103" s="12">
        <v>4.3999999999999997E-2</v>
      </c>
      <c r="S103" s="12">
        <v>0.42699999999999999</v>
      </c>
      <c r="T103" s="12">
        <v>393073</v>
      </c>
      <c r="U103" s="12">
        <v>4.8000000000000001E-2</v>
      </c>
      <c r="V103" s="12" t="s">
        <v>7661</v>
      </c>
      <c r="W103" s="12" t="s">
        <v>11</v>
      </c>
      <c r="X103" s="12">
        <v>238</v>
      </c>
      <c r="Y103" s="12">
        <v>3.1203999999999999E-2</v>
      </c>
      <c r="Z103" s="12">
        <v>2.2483049809422937</v>
      </c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</row>
    <row r="104" spans="1:56" s="12" customFormat="1" x14ac:dyDescent="0.2">
      <c r="A104" s="12" t="s">
        <v>4195</v>
      </c>
      <c r="B104" s="12" t="s">
        <v>4193</v>
      </c>
      <c r="C104" s="12" t="s">
        <v>8127</v>
      </c>
      <c r="D104" s="12" t="s">
        <v>7159</v>
      </c>
      <c r="E104" s="12" t="s">
        <v>8031</v>
      </c>
      <c r="F104" s="12" t="s">
        <v>7160</v>
      </c>
      <c r="G104" s="12" t="s">
        <v>7649</v>
      </c>
      <c r="H104" s="12">
        <v>77</v>
      </c>
      <c r="I104" s="12" t="s">
        <v>7646</v>
      </c>
      <c r="J104" s="80">
        <v>25.666666666666664</v>
      </c>
      <c r="K104" s="12" t="s">
        <v>7161</v>
      </c>
      <c r="L104" s="12" t="s">
        <v>21</v>
      </c>
      <c r="M104" s="12" t="s">
        <v>8110</v>
      </c>
      <c r="N104" s="12">
        <v>369</v>
      </c>
      <c r="O104" s="12">
        <v>5.5E-2</v>
      </c>
      <c r="P104" s="12">
        <v>0.999</v>
      </c>
      <c r="Q104" s="12" t="s">
        <v>7169</v>
      </c>
      <c r="R104" s="12">
        <v>7.8E-2</v>
      </c>
      <c r="S104" s="12">
        <v>0.91400000000000003</v>
      </c>
      <c r="T104" s="12">
        <v>640687</v>
      </c>
      <c r="U104" s="12">
        <v>7.2999999999999995E-2</v>
      </c>
      <c r="V104" s="12" t="s">
        <v>7661</v>
      </c>
      <c r="W104" s="12" t="s">
        <v>11</v>
      </c>
      <c r="X104" s="12">
        <v>901</v>
      </c>
      <c r="Y104" s="12">
        <v>6.0720000000000001E-3</v>
      </c>
      <c r="Z104" s="12">
        <v>1.5935807460172948</v>
      </c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</row>
    <row r="105" spans="1:56" s="12" customFormat="1" x14ac:dyDescent="0.2">
      <c r="A105" s="12" t="s">
        <v>5221</v>
      </c>
      <c r="B105" s="12" t="s">
        <v>5219</v>
      </c>
      <c r="C105" s="12" t="s">
        <v>8127</v>
      </c>
      <c r="D105" s="12" t="s">
        <v>7159</v>
      </c>
      <c r="E105" s="12" t="s">
        <v>8031</v>
      </c>
      <c r="F105" s="12" t="s">
        <v>7160</v>
      </c>
      <c r="G105" s="12" t="s">
        <v>7649</v>
      </c>
      <c r="H105" s="12">
        <v>72</v>
      </c>
      <c r="I105" s="12" t="s">
        <v>7646</v>
      </c>
      <c r="J105" s="80">
        <v>24</v>
      </c>
      <c r="K105" s="12" t="s">
        <v>7161</v>
      </c>
      <c r="L105" s="12" t="s">
        <v>21</v>
      </c>
      <c r="M105" s="12" t="s">
        <v>8110</v>
      </c>
      <c r="N105" s="12">
        <v>224</v>
      </c>
      <c r="O105" s="12">
        <v>7.0000000000000007E-2</v>
      </c>
      <c r="P105" s="12">
        <v>0.995</v>
      </c>
      <c r="Q105" s="12" t="s">
        <v>7243</v>
      </c>
      <c r="R105" s="12">
        <v>1.7000000000000001E-2</v>
      </c>
      <c r="S105" s="12">
        <v>0.215</v>
      </c>
      <c r="T105" s="12">
        <v>217646</v>
      </c>
      <c r="U105" s="12">
        <v>7.6999999999999999E-2</v>
      </c>
      <c r="V105" s="12" t="s">
        <v>7661</v>
      </c>
      <c r="W105" s="12" t="s">
        <v>25</v>
      </c>
      <c r="X105" s="12">
        <v>233</v>
      </c>
      <c r="Y105" s="12" t="s">
        <v>6639</v>
      </c>
      <c r="Z105" s="12" t="s">
        <v>6639</v>
      </c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</row>
    <row r="106" spans="1:56" s="12" customFormat="1" x14ac:dyDescent="0.2">
      <c r="A106" s="12" t="s">
        <v>5628</v>
      </c>
      <c r="B106" s="12" t="s">
        <v>5222</v>
      </c>
      <c r="C106" s="12" t="s">
        <v>8127</v>
      </c>
      <c r="D106" s="12" t="s">
        <v>7159</v>
      </c>
      <c r="E106" s="12" t="s">
        <v>8031</v>
      </c>
      <c r="F106" s="12" t="s">
        <v>7160</v>
      </c>
      <c r="G106" s="12" t="s">
        <v>7649</v>
      </c>
      <c r="H106" s="12">
        <v>67</v>
      </c>
      <c r="I106" s="12" t="s">
        <v>7646</v>
      </c>
      <c r="J106" s="80">
        <v>22.333333333333332</v>
      </c>
      <c r="K106" s="12" t="s">
        <v>7161</v>
      </c>
      <c r="L106" s="12" t="s">
        <v>21</v>
      </c>
      <c r="M106" s="12" t="s">
        <v>8110</v>
      </c>
      <c r="N106" s="12">
        <v>51.9</v>
      </c>
      <c r="O106" s="12">
        <v>7.9000000000000001E-2</v>
      </c>
      <c r="P106" s="12">
        <v>0.999</v>
      </c>
      <c r="Q106" s="12" t="s">
        <v>7196</v>
      </c>
      <c r="R106" s="12">
        <v>1.4E-2</v>
      </c>
      <c r="S106" s="12">
        <v>0.11</v>
      </c>
      <c r="T106" s="12" t="s">
        <v>17</v>
      </c>
      <c r="U106" s="12">
        <v>8.1000000000000003E-2</v>
      </c>
      <c r="V106" s="12" t="s">
        <v>7661</v>
      </c>
      <c r="W106" s="12" t="s">
        <v>25</v>
      </c>
      <c r="X106" s="12">
        <v>54</v>
      </c>
      <c r="Y106" s="12" t="s">
        <v>6639</v>
      </c>
      <c r="Z106" s="12" t="s">
        <v>6639</v>
      </c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</row>
    <row r="107" spans="1:56" s="12" customFormat="1" x14ac:dyDescent="0.2">
      <c r="A107" s="12" t="s">
        <v>5629</v>
      </c>
      <c r="B107" s="12" t="s">
        <v>5222</v>
      </c>
      <c r="C107" s="12" t="s">
        <v>8127</v>
      </c>
      <c r="D107" s="12" t="s">
        <v>7159</v>
      </c>
      <c r="E107" s="12" t="s">
        <v>8031</v>
      </c>
      <c r="F107" s="12" t="s">
        <v>7160</v>
      </c>
      <c r="G107" s="12" t="s">
        <v>7649</v>
      </c>
      <c r="H107" s="12">
        <v>70</v>
      </c>
      <c r="I107" s="12" t="s">
        <v>7646</v>
      </c>
      <c r="J107" s="80">
        <v>23.333333333333332</v>
      </c>
      <c r="K107" s="12" t="s">
        <v>7161</v>
      </c>
      <c r="L107" s="12" t="s">
        <v>21</v>
      </c>
      <c r="M107" s="12" t="s">
        <v>8110</v>
      </c>
      <c r="N107" s="12">
        <v>43.5</v>
      </c>
      <c r="O107" s="12">
        <v>4.8000000000000001E-2</v>
      </c>
      <c r="P107" s="12">
        <v>0.99199999999999999</v>
      </c>
      <c r="Q107" s="12" t="s">
        <v>7361</v>
      </c>
      <c r="R107" s="12">
        <v>3.7999999999999999E-2</v>
      </c>
      <c r="S107" s="12">
        <v>0.496</v>
      </c>
      <c r="T107" s="12" t="s">
        <v>17</v>
      </c>
      <c r="U107" s="12">
        <v>5.8000000000000003E-2</v>
      </c>
      <c r="V107" s="12" t="s">
        <v>7661</v>
      </c>
      <c r="W107" s="12" t="s">
        <v>25</v>
      </c>
      <c r="X107" s="12">
        <v>1020</v>
      </c>
      <c r="Y107" s="12" t="s">
        <v>6639</v>
      </c>
      <c r="Z107" s="12" t="s">
        <v>6639</v>
      </c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</row>
    <row r="108" spans="1:56" s="12" customFormat="1" x14ac:dyDescent="0.2">
      <c r="A108" s="12" t="s">
        <v>5598</v>
      </c>
      <c r="B108" s="12" t="s">
        <v>5169</v>
      </c>
      <c r="C108" s="12" t="s">
        <v>8127</v>
      </c>
      <c r="D108" s="12" t="s">
        <v>7159</v>
      </c>
      <c r="E108" s="12" t="s">
        <v>8031</v>
      </c>
      <c r="F108" s="12" t="s">
        <v>7160</v>
      </c>
      <c r="G108" s="12" t="s">
        <v>7649</v>
      </c>
      <c r="H108" s="12">
        <v>66</v>
      </c>
      <c r="I108" s="12" t="s">
        <v>7646</v>
      </c>
      <c r="J108" s="80">
        <v>22</v>
      </c>
      <c r="K108" s="12" t="s">
        <v>7161</v>
      </c>
      <c r="L108" s="12" t="s">
        <v>21</v>
      </c>
      <c r="M108" s="12" t="s">
        <v>8110</v>
      </c>
      <c r="N108" s="12">
        <v>362</v>
      </c>
      <c r="O108" s="12">
        <v>6.4000000000000001E-2</v>
      </c>
      <c r="P108" s="12">
        <v>1</v>
      </c>
      <c r="Q108" s="12" t="s">
        <v>7165</v>
      </c>
      <c r="R108" s="12">
        <v>0.128</v>
      </c>
      <c r="S108" s="12">
        <v>1.3160000000000001</v>
      </c>
      <c r="T108" s="12" t="s">
        <v>17</v>
      </c>
      <c r="U108" s="12">
        <v>6.0999999999999999E-2</v>
      </c>
      <c r="V108" s="12" t="s">
        <v>7661</v>
      </c>
      <c r="W108" s="12" t="s">
        <v>11</v>
      </c>
      <c r="X108" s="12">
        <v>1683</v>
      </c>
      <c r="Y108" s="12">
        <v>5.0520000000000001E-3</v>
      </c>
      <c r="Z108" s="12">
        <v>2.2181759586080991</v>
      </c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</row>
    <row r="109" spans="1:56" s="12" customFormat="1" x14ac:dyDescent="0.2">
      <c r="A109" s="12" t="s">
        <v>5597</v>
      </c>
      <c r="B109" s="12" t="s">
        <v>5169</v>
      </c>
      <c r="C109" s="12" t="s">
        <v>8127</v>
      </c>
      <c r="D109" s="12" t="s">
        <v>7159</v>
      </c>
      <c r="E109" s="12" t="s">
        <v>8031</v>
      </c>
      <c r="F109" s="12" t="s">
        <v>7160</v>
      </c>
      <c r="G109" s="12" t="s">
        <v>7649</v>
      </c>
      <c r="H109" s="12">
        <v>73</v>
      </c>
      <c r="I109" s="12" t="s">
        <v>7646</v>
      </c>
      <c r="J109" s="80">
        <v>24.333333333333332</v>
      </c>
      <c r="K109" s="12" t="s">
        <v>7161</v>
      </c>
      <c r="L109" s="12" t="s">
        <v>21</v>
      </c>
      <c r="M109" s="12" t="s">
        <v>8110</v>
      </c>
      <c r="N109" s="12">
        <v>88.7</v>
      </c>
      <c r="O109" s="12">
        <v>5.7000000000000002E-2</v>
      </c>
      <c r="P109" s="12">
        <v>0.99399999999999999</v>
      </c>
      <c r="Q109" s="12" t="s">
        <v>7171</v>
      </c>
      <c r="R109" s="12">
        <v>0.188</v>
      </c>
      <c r="S109" s="12">
        <v>0.247</v>
      </c>
      <c r="T109" s="12" t="s">
        <v>17</v>
      </c>
      <c r="U109" s="12">
        <v>4.2999999999999997E-2</v>
      </c>
      <c r="V109" s="12" t="s">
        <v>7661</v>
      </c>
      <c r="W109" s="12" t="s">
        <v>11</v>
      </c>
      <c r="X109" s="12">
        <v>97</v>
      </c>
      <c r="Y109" s="12" t="s">
        <v>8052</v>
      </c>
      <c r="Z109" s="12" t="s">
        <v>8052</v>
      </c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</row>
    <row r="110" spans="1:56" s="12" customFormat="1" x14ac:dyDescent="0.2">
      <c r="A110" s="12" t="s">
        <v>5599</v>
      </c>
      <c r="B110" s="12" t="s">
        <v>5169</v>
      </c>
      <c r="C110" s="12" t="s">
        <v>8127</v>
      </c>
      <c r="D110" s="12" t="s">
        <v>7159</v>
      </c>
      <c r="E110" s="12" t="s">
        <v>8031</v>
      </c>
      <c r="F110" s="12" t="s">
        <v>7160</v>
      </c>
      <c r="G110" s="12" t="s">
        <v>7649</v>
      </c>
      <c r="H110" s="12">
        <v>73</v>
      </c>
      <c r="I110" s="12" t="s">
        <v>7646</v>
      </c>
      <c r="J110" s="80">
        <v>24.333333333333332</v>
      </c>
      <c r="K110" s="12" t="s">
        <v>7161</v>
      </c>
      <c r="L110" s="12" t="s">
        <v>21</v>
      </c>
      <c r="M110" s="12" t="s">
        <v>8110</v>
      </c>
      <c r="N110" s="12">
        <v>595</v>
      </c>
      <c r="O110" s="12">
        <v>6.6000000000000003E-2</v>
      </c>
      <c r="P110" s="12">
        <v>1</v>
      </c>
      <c r="Q110" s="12" t="s">
        <v>7169</v>
      </c>
      <c r="R110" s="12">
        <v>0.59499999999999997</v>
      </c>
      <c r="S110" s="12">
        <v>2.181</v>
      </c>
      <c r="T110" s="12" t="s">
        <v>17</v>
      </c>
      <c r="U110" s="12">
        <v>6.2E-2</v>
      </c>
      <c r="V110" s="12" t="s">
        <v>7661</v>
      </c>
      <c r="W110" s="12" t="s">
        <v>11</v>
      </c>
      <c r="X110" s="12">
        <v>3618</v>
      </c>
      <c r="Y110" s="12">
        <v>7.8700000000000003E-3</v>
      </c>
      <c r="Z110" s="12">
        <v>4.6040919671758083</v>
      </c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</row>
    <row r="111" spans="1:56" s="12" customFormat="1" x14ac:dyDescent="0.2">
      <c r="A111" s="12" t="s">
        <v>5646</v>
      </c>
      <c r="B111" s="12" t="s">
        <v>3914</v>
      </c>
      <c r="C111" s="12" t="s">
        <v>8127</v>
      </c>
      <c r="D111" s="12" t="s">
        <v>7159</v>
      </c>
      <c r="E111" s="12" t="s">
        <v>8031</v>
      </c>
      <c r="F111" s="12" t="s">
        <v>7160</v>
      </c>
      <c r="G111" s="12" t="s">
        <v>7649</v>
      </c>
      <c r="H111" s="12">
        <v>69</v>
      </c>
      <c r="I111" s="12" t="s">
        <v>7646</v>
      </c>
      <c r="J111" s="80">
        <v>23</v>
      </c>
      <c r="K111" s="12" t="s">
        <v>7161</v>
      </c>
      <c r="L111" s="12" t="s">
        <v>21</v>
      </c>
      <c r="M111" s="12" t="s">
        <v>8110</v>
      </c>
      <c r="N111" s="12">
        <v>349</v>
      </c>
      <c r="O111" s="12">
        <v>6.8000000000000005E-2</v>
      </c>
      <c r="P111" s="12">
        <v>1</v>
      </c>
      <c r="Q111" s="12" t="s">
        <v>7165</v>
      </c>
      <c r="R111" s="12">
        <v>6.7000000000000004E-2</v>
      </c>
      <c r="S111" s="12">
        <v>0.78400000000000003</v>
      </c>
      <c r="T111" s="12" t="s">
        <v>17</v>
      </c>
      <c r="U111" s="12">
        <v>8.2000000000000003E-2</v>
      </c>
      <c r="V111" s="12" t="s">
        <v>7661</v>
      </c>
      <c r="W111" s="12" t="s">
        <v>11</v>
      </c>
      <c r="X111" s="12">
        <v>694</v>
      </c>
      <c r="Y111" s="12">
        <v>5.1929999999999997E-3</v>
      </c>
      <c r="Z111" s="12">
        <v>1.4257854380988648</v>
      </c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</row>
    <row r="112" spans="1:56" s="12" customFormat="1" x14ac:dyDescent="0.2">
      <c r="A112" s="12" t="s">
        <v>5645</v>
      </c>
      <c r="B112" s="12" t="s">
        <v>3914</v>
      </c>
      <c r="C112" s="12" t="s">
        <v>8127</v>
      </c>
      <c r="D112" s="12" t="s">
        <v>7159</v>
      </c>
      <c r="E112" s="12" t="s">
        <v>8031</v>
      </c>
      <c r="F112" s="12" t="s">
        <v>7160</v>
      </c>
      <c r="G112" s="12" t="s">
        <v>7649</v>
      </c>
      <c r="H112" s="12">
        <v>74</v>
      </c>
      <c r="I112" s="12" t="s">
        <v>7646</v>
      </c>
      <c r="J112" s="80">
        <v>24.666666666666664</v>
      </c>
      <c r="K112" s="12" t="s">
        <v>7161</v>
      </c>
      <c r="L112" s="12" t="s">
        <v>21</v>
      </c>
      <c r="M112" s="12" t="s">
        <v>8110</v>
      </c>
      <c r="N112" s="12">
        <v>212</v>
      </c>
      <c r="O112" s="12">
        <v>8.8999999999999996E-2</v>
      </c>
      <c r="P112" s="12">
        <v>0.998</v>
      </c>
      <c r="Q112" s="12" t="s">
        <v>7194</v>
      </c>
      <c r="R112" s="12">
        <v>7.6999999999999999E-2</v>
      </c>
      <c r="S112" s="12" t="s">
        <v>17</v>
      </c>
      <c r="T112" s="12" t="s">
        <v>17</v>
      </c>
      <c r="U112" s="12" t="s">
        <v>17</v>
      </c>
      <c r="V112" s="12" t="s">
        <v>7661</v>
      </c>
      <c r="W112" s="12" t="s">
        <v>11</v>
      </c>
      <c r="X112" s="12">
        <v>115</v>
      </c>
      <c r="Y112" s="12" t="s">
        <v>8052</v>
      </c>
      <c r="Z112" s="12" t="s">
        <v>8052</v>
      </c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</row>
    <row r="113" spans="1:56" s="12" customFormat="1" x14ac:dyDescent="0.2">
      <c r="A113" s="12" t="s">
        <v>5062</v>
      </c>
      <c r="B113" s="12" t="s">
        <v>5058</v>
      </c>
      <c r="C113" s="12" t="s">
        <v>8127</v>
      </c>
      <c r="D113" s="12" t="s">
        <v>7159</v>
      </c>
      <c r="E113" s="12" t="s">
        <v>8031</v>
      </c>
      <c r="F113" s="12" t="s">
        <v>7160</v>
      </c>
      <c r="G113" s="12" t="s">
        <v>7649</v>
      </c>
      <c r="H113" s="12">
        <v>77</v>
      </c>
      <c r="I113" s="12" t="s">
        <v>7646</v>
      </c>
      <c r="J113" s="80">
        <v>25.666666666666664</v>
      </c>
      <c r="K113" s="12" t="s">
        <v>7161</v>
      </c>
      <c r="L113" s="12" t="s">
        <v>21</v>
      </c>
      <c r="M113" s="12" t="s">
        <v>8110</v>
      </c>
      <c r="N113" s="12">
        <v>357</v>
      </c>
      <c r="O113" s="12">
        <v>5.5E-2</v>
      </c>
      <c r="P113" s="12">
        <v>0.998</v>
      </c>
      <c r="Q113" s="12" t="s">
        <v>7179</v>
      </c>
      <c r="R113" s="12">
        <v>5.8999999999999997E-2</v>
      </c>
      <c r="S113" s="12">
        <v>0.82599999999999996</v>
      </c>
      <c r="T113" s="12">
        <v>580946</v>
      </c>
      <c r="U113" s="12">
        <v>5.3999999999999999E-2</v>
      </c>
      <c r="V113" s="12" t="s">
        <v>7661</v>
      </c>
      <c r="W113" s="12" t="s">
        <v>25</v>
      </c>
      <c r="X113" s="12">
        <v>2444</v>
      </c>
      <c r="Y113" s="12" t="s">
        <v>6639</v>
      </c>
      <c r="Z113" s="12" t="s">
        <v>6639</v>
      </c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</row>
    <row r="114" spans="1:56" s="12" customFormat="1" x14ac:dyDescent="0.2">
      <c r="A114" s="12" t="s">
        <v>2057</v>
      </c>
      <c r="B114" s="12" t="s">
        <v>2058</v>
      </c>
      <c r="C114" s="12" t="s">
        <v>143</v>
      </c>
      <c r="D114" s="12" t="s">
        <v>7159</v>
      </c>
      <c r="E114" s="12" t="s">
        <v>8031</v>
      </c>
      <c r="F114" s="12" t="s">
        <v>7160</v>
      </c>
      <c r="G114" s="12" t="s">
        <v>7649</v>
      </c>
      <c r="H114" s="12">
        <v>80</v>
      </c>
      <c r="I114" s="12" t="s">
        <v>7647</v>
      </c>
      <c r="J114" s="80">
        <v>8.8888888888888893</v>
      </c>
      <c r="K114" s="12" t="s">
        <v>7161</v>
      </c>
      <c r="L114" s="12" t="s">
        <v>21</v>
      </c>
      <c r="M114" s="12" t="s">
        <v>8108</v>
      </c>
      <c r="N114" s="12">
        <v>66.53</v>
      </c>
      <c r="O114" s="12">
        <v>0.151</v>
      </c>
      <c r="P114" s="12">
        <v>0.995</v>
      </c>
      <c r="Q114" s="12" t="s">
        <v>7221</v>
      </c>
      <c r="R114" s="12">
        <v>1.1000000000000001E-3</v>
      </c>
      <c r="S114" s="12">
        <v>9.7282999999999994E-2</v>
      </c>
      <c r="T114" s="12">
        <v>107688</v>
      </c>
      <c r="U114" s="12">
        <v>0.13200000000000001</v>
      </c>
      <c r="V114" s="12" t="s">
        <v>7662</v>
      </c>
      <c r="W114" s="12" t="s">
        <v>11</v>
      </c>
      <c r="X114" s="12">
        <v>32</v>
      </c>
      <c r="Y114" s="12" t="s">
        <v>8052</v>
      </c>
      <c r="Z114" s="12" t="s">
        <v>8052</v>
      </c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</row>
    <row r="115" spans="1:56" s="12" customFormat="1" x14ac:dyDescent="0.2">
      <c r="A115" s="12" t="s">
        <v>1036</v>
      </c>
      <c r="B115" s="12" t="s">
        <v>1037</v>
      </c>
      <c r="C115" s="12" t="s">
        <v>143</v>
      </c>
      <c r="D115" s="12" t="s">
        <v>7159</v>
      </c>
      <c r="E115" s="12" t="s">
        <v>8031</v>
      </c>
      <c r="F115" s="12" t="s">
        <v>7160</v>
      </c>
      <c r="G115" s="12" t="s">
        <v>7649</v>
      </c>
      <c r="H115" s="12">
        <v>78</v>
      </c>
      <c r="I115" s="12" t="s">
        <v>7647</v>
      </c>
      <c r="J115" s="80">
        <v>8.6666666666666661</v>
      </c>
      <c r="K115" s="12" t="s">
        <v>7161</v>
      </c>
      <c r="L115" s="12" t="s">
        <v>21</v>
      </c>
      <c r="M115" s="12" t="s">
        <v>8108</v>
      </c>
      <c r="N115" s="12">
        <v>191.6</v>
      </c>
      <c r="O115" s="12">
        <v>0.115</v>
      </c>
      <c r="P115" s="12">
        <v>0.997</v>
      </c>
      <c r="Q115" s="12" t="s">
        <v>7237</v>
      </c>
      <c r="R115" s="12">
        <v>2.7000000000000001E-3</v>
      </c>
      <c r="S115" s="12">
        <v>0.25648300000000002</v>
      </c>
      <c r="T115" s="12">
        <v>249248</v>
      </c>
      <c r="U115" s="12">
        <v>0.107</v>
      </c>
      <c r="V115" s="12" t="s">
        <v>7662</v>
      </c>
      <c r="W115" s="12" t="s">
        <v>25</v>
      </c>
      <c r="X115" s="12">
        <v>520</v>
      </c>
      <c r="Y115" s="12" t="s">
        <v>6639</v>
      </c>
      <c r="Z115" s="12" t="s">
        <v>6639</v>
      </c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</row>
    <row r="116" spans="1:56" s="12" customFormat="1" x14ac:dyDescent="0.2">
      <c r="A116" s="12" t="s">
        <v>1039</v>
      </c>
      <c r="B116" s="12" t="s">
        <v>1040</v>
      </c>
      <c r="C116" s="12" t="s">
        <v>143</v>
      </c>
      <c r="D116" s="12" t="s">
        <v>7159</v>
      </c>
      <c r="E116" s="12" t="s">
        <v>8031</v>
      </c>
      <c r="F116" s="12" t="s">
        <v>7160</v>
      </c>
      <c r="G116" s="12" t="s">
        <v>7649</v>
      </c>
      <c r="H116" s="12">
        <v>54</v>
      </c>
      <c r="I116" s="12" t="s">
        <v>7647</v>
      </c>
      <c r="J116" s="80">
        <v>6</v>
      </c>
      <c r="K116" s="12" t="s">
        <v>7161</v>
      </c>
      <c r="L116" s="12" t="s">
        <v>21</v>
      </c>
      <c r="M116" s="12" t="s">
        <v>8108</v>
      </c>
      <c r="N116" s="12">
        <v>66.63</v>
      </c>
      <c r="O116" s="12">
        <v>8.5999999999999993E-2</v>
      </c>
      <c r="P116" s="12">
        <v>0.97799999999999998</v>
      </c>
      <c r="Q116" s="12" t="s">
        <v>7964</v>
      </c>
      <c r="R116" s="12">
        <v>2.4E-2</v>
      </c>
      <c r="S116" s="12">
        <v>0.22458500000000001</v>
      </c>
      <c r="T116" s="12">
        <v>233376</v>
      </c>
      <c r="U116" s="12">
        <v>7.5999999999999998E-2</v>
      </c>
      <c r="V116" s="12" t="s">
        <v>7662</v>
      </c>
      <c r="W116" s="12" t="s">
        <v>11</v>
      </c>
      <c r="X116" s="12">
        <v>92</v>
      </c>
      <c r="Y116" s="12" t="s">
        <v>8052</v>
      </c>
      <c r="Z116" s="12" t="s">
        <v>8052</v>
      </c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</row>
    <row r="117" spans="1:56" s="12" customFormat="1" x14ac:dyDescent="0.2">
      <c r="A117" s="12" t="s">
        <v>4013</v>
      </c>
      <c r="B117" s="12" t="s">
        <v>4014</v>
      </c>
      <c r="C117" s="12" t="s">
        <v>13</v>
      </c>
      <c r="D117" s="12" t="s">
        <v>7210</v>
      </c>
      <c r="E117" s="12" t="s">
        <v>8124</v>
      </c>
      <c r="F117" s="12" t="s">
        <v>7160</v>
      </c>
      <c r="G117" s="12" t="s">
        <v>7649</v>
      </c>
      <c r="H117" s="12">
        <v>75</v>
      </c>
      <c r="I117" s="12" t="s">
        <v>7647</v>
      </c>
      <c r="J117" s="80">
        <v>8.3333333333333321</v>
      </c>
      <c r="K117" s="12" t="s">
        <v>7161</v>
      </c>
      <c r="L117" s="12" t="s">
        <v>21</v>
      </c>
      <c r="M117" s="12" t="s">
        <v>8108</v>
      </c>
      <c r="N117" s="12">
        <v>324.39999999999998</v>
      </c>
      <c r="O117" s="12">
        <v>0.155</v>
      </c>
      <c r="P117" s="12">
        <v>0.97939399999999999</v>
      </c>
      <c r="Q117" s="12" t="s">
        <v>7965</v>
      </c>
      <c r="R117" s="12">
        <v>0.128</v>
      </c>
      <c r="S117" s="12">
        <v>1.5399750000000001</v>
      </c>
      <c r="T117" s="12">
        <v>691959</v>
      </c>
      <c r="U117" s="12">
        <v>0.157</v>
      </c>
      <c r="V117" s="12" t="s">
        <v>7662</v>
      </c>
      <c r="W117" s="12" t="s">
        <v>11</v>
      </c>
      <c r="X117" s="12">
        <v>2548</v>
      </c>
      <c r="Y117" s="12">
        <v>5.2760000000000003E-3</v>
      </c>
      <c r="Z117" s="12">
        <v>2.6343540539892794</v>
      </c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</row>
    <row r="118" spans="1:56" s="12" customFormat="1" x14ac:dyDescent="0.2">
      <c r="A118" s="12" t="s">
        <v>5164</v>
      </c>
      <c r="B118" s="12" t="s">
        <v>5163</v>
      </c>
      <c r="C118" s="12" t="s">
        <v>8127</v>
      </c>
      <c r="D118" s="12" t="s">
        <v>7159</v>
      </c>
      <c r="E118" s="12" t="s">
        <v>8031</v>
      </c>
      <c r="F118" s="12" t="s">
        <v>7160</v>
      </c>
      <c r="G118" s="12" t="s">
        <v>7649</v>
      </c>
      <c r="H118" s="12">
        <v>77</v>
      </c>
      <c r="I118" s="12" t="s">
        <v>7646</v>
      </c>
      <c r="J118" s="80">
        <v>25.666666666666664</v>
      </c>
      <c r="K118" s="12" t="s">
        <v>7161</v>
      </c>
      <c r="L118" s="12" t="s">
        <v>21</v>
      </c>
      <c r="M118" s="12" t="s">
        <v>8110</v>
      </c>
      <c r="N118" s="12">
        <v>738</v>
      </c>
      <c r="O118" s="12">
        <v>0.06</v>
      </c>
      <c r="P118" s="12">
        <v>0.98899999999999999</v>
      </c>
      <c r="Q118" s="12" t="s">
        <v>7284</v>
      </c>
      <c r="R118" s="12">
        <v>0.64600000000000002</v>
      </c>
      <c r="S118" s="12">
        <v>3.59</v>
      </c>
      <c r="T118" s="12">
        <v>867057</v>
      </c>
      <c r="U118" s="12">
        <v>0.06</v>
      </c>
      <c r="V118" s="12" t="s">
        <v>7661</v>
      </c>
      <c r="W118" s="12" t="s">
        <v>11</v>
      </c>
      <c r="X118" s="12">
        <v>4940</v>
      </c>
      <c r="Y118" s="12">
        <v>3.0240000000000002E-3</v>
      </c>
      <c r="Z118" s="12">
        <v>3.1887590338945899</v>
      </c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</row>
    <row r="119" spans="1:56" s="12" customFormat="1" x14ac:dyDescent="0.2">
      <c r="A119" s="12" t="s">
        <v>5395</v>
      </c>
      <c r="B119" s="12" t="s">
        <v>5393</v>
      </c>
      <c r="C119" s="12" t="s">
        <v>8127</v>
      </c>
      <c r="D119" s="12" t="s">
        <v>7159</v>
      </c>
      <c r="E119" s="12" t="s">
        <v>8031</v>
      </c>
      <c r="F119" s="12" t="s">
        <v>7160</v>
      </c>
      <c r="G119" s="12" t="s">
        <v>7649</v>
      </c>
      <c r="H119" s="12">
        <v>78</v>
      </c>
      <c r="I119" s="12" t="s">
        <v>7646</v>
      </c>
      <c r="J119" s="80">
        <v>26</v>
      </c>
      <c r="K119" s="12" t="s">
        <v>7161</v>
      </c>
      <c r="L119" s="12" t="s">
        <v>21</v>
      </c>
      <c r="M119" s="12" t="s">
        <v>8110</v>
      </c>
      <c r="N119" s="12">
        <v>113</v>
      </c>
      <c r="O119" s="12">
        <v>6.0999999999999999E-2</v>
      </c>
      <c r="P119" s="12">
        <v>0.996</v>
      </c>
      <c r="Q119" s="12" t="s">
        <v>7202</v>
      </c>
      <c r="R119" s="12">
        <v>0.14599999999999999</v>
      </c>
      <c r="S119" s="12">
        <v>2.4630000000000001</v>
      </c>
      <c r="T119" s="12">
        <v>846364</v>
      </c>
      <c r="U119" s="12">
        <v>4.2000000000000003E-2</v>
      </c>
      <c r="V119" s="12" t="s">
        <v>7661</v>
      </c>
      <c r="W119" s="12" t="s">
        <v>11</v>
      </c>
      <c r="X119" s="12">
        <v>3935</v>
      </c>
      <c r="Y119" s="12">
        <v>2.5370000000000002E-3</v>
      </c>
      <c r="Z119" s="12">
        <v>2.1758464746055477</v>
      </c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</row>
    <row r="120" spans="1:56" s="12" customFormat="1" x14ac:dyDescent="0.2">
      <c r="A120" s="12" t="s">
        <v>5226</v>
      </c>
      <c r="B120" s="12" t="s">
        <v>5224</v>
      </c>
      <c r="C120" s="12" t="s">
        <v>8127</v>
      </c>
      <c r="D120" s="12" t="s">
        <v>7159</v>
      </c>
      <c r="E120" s="12" t="s">
        <v>8031</v>
      </c>
      <c r="F120" s="12" t="s">
        <v>7160</v>
      </c>
      <c r="G120" s="12" t="s">
        <v>7649</v>
      </c>
      <c r="H120" s="12">
        <v>70</v>
      </c>
      <c r="I120" s="12" t="s">
        <v>7646</v>
      </c>
      <c r="J120" s="80">
        <v>23.333333333333332</v>
      </c>
      <c r="K120" s="12" t="s">
        <v>7161</v>
      </c>
      <c r="L120" s="12" t="s">
        <v>21</v>
      </c>
      <c r="M120" s="12" t="s">
        <v>8110</v>
      </c>
      <c r="N120" s="12">
        <v>316</v>
      </c>
      <c r="O120" s="12">
        <v>7.3999999999999996E-2</v>
      </c>
      <c r="P120" s="12">
        <v>0.999</v>
      </c>
      <c r="Q120" s="12" t="s">
        <v>7179</v>
      </c>
      <c r="R120" s="12">
        <v>3.6999999999999998E-2</v>
      </c>
      <c r="S120" s="12">
        <v>0.33500000000000002</v>
      </c>
      <c r="T120" s="12">
        <v>323869</v>
      </c>
      <c r="U120" s="12">
        <v>8.4000000000000005E-2</v>
      </c>
      <c r="V120" s="12" t="s">
        <v>7661</v>
      </c>
      <c r="W120" s="12" t="s">
        <v>11</v>
      </c>
      <c r="X120" s="12">
        <v>169</v>
      </c>
      <c r="Y120" s="12" t="s">
        <v>8052</v>
      </c>
      <c r="Z120" s="12" t="s">
        <v>8052</v>
      </c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</row>
    <row r="121" spans="1:56" s="12" customFormat="1" x14ac:dyDescent="0.2">
      <c r="A121" s="12" t="s">
        <v>4164</v>
      </c>
      <c r="B121" s="12" t="s">
        <v>4165</v>
      </c>
      <c r="C121" s="12" t="s">
        <v>13</v>
      </c>
      <c r="D121" s="12" t="s">
        <v>7210</v>
      </c>
      <c r="E121" s="12" t="s">
        <v>8031</v>
      </c>
      <c r="F121" s="12" t="s">
        <v>7160</v>
      </c>
      <c r="G121" s="12" t="s">
        <v>7649</v>
      </c>
      <c r="H121" s="12">
        <v>73</v>
      </c>
      <c r="I121" s="12" t="s">
        <v>7647</v>
      </c>
      <c r="J121" s="80">
        <v>8.1111111111111107</v>
      </c>
      <c r="K121" s="12" t="s">
        <v>7161</v>
      </c>
      <c r="L121" s="12" t="s">
        <v>21</v>
      </c>
      <c r="M121" s="12" t="s">
        <v>8108</v>
      </c>
      <c r="N121" s="12">
        <v>1.629</v>
      </c>
      <c r="O121" s="12" t="s">
        <v>7796</v>
      </c>
      <c r="P121" s="12" t="s">
        <v>7796</v>
      </c>
      <c r="Q121" s="12" t="s">
        <v>7796</v>
      </c>
      <c r="R121" s="12">
        <v>9.1E-4</v>
      </c>
      <c r="S121" s="12">
        <v>1.0293E-2</v>
      </c>
      <c r="T121" s="12">
        <v>12221</v>
      </c>
      <c r="U121" s="12">
        <v>1.2999999999999999E-2</v>
      </c>
      <c r="V121" s="12" t="s">
        <v>7662</v>
      </c>
      <c r="W121" s="12" t="s">
        <v>11</v>
      </c>
      <c r="X121" s="12">
        <v>2</v>
      </c>
      <c r="Y121" s="12" t="s">
        <v>8052</v>
      </c>
      <c r="Z121" s="12" t="s">
        <v>8052</v>
      </c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</row>
    <row r="122" spans="1:56" s="12" customFormat="1" x14ac:dyDescent="0.2">
      <c r="A122" s="12" t="s">
        <v>4267</v>
      </c>
      <c r="B122" s="12" t="s">
        <v>4265</v>
      </c>
      <c r="C122" s="12" t="s">
        <v>8127</v>
      </c>
      <c r="D122" s="12" t="s">
        <v>7159</v>
      </c>
      <c r="E122" s="12" t="s">
        <v>8031</v>
      </c>
      <c r="F122" s="12" t="s">
        <v>7160</v>
      </c>
      <c r="G122" s="12" t="s">
        <v>7649</v>
      </c>
      <c r="H122" s="12">
        <v>74</v>
      </c>
      <c r="I122" s="12" t="s">
        <v>7646</v>
      </c>
      <c r="J122" s="80">
        <v>24.666666666666664</v>
      </c>
      <c r="K122" s="12" t="s">
        <v>7161</v>
      </c>
      <c r="L122" s="12" t="s">
        <v>21</v>
      </c>
      <c r="M122" s="12" t="s">
        <v>8110</v>
      </c>
      <c r="N122" s="12">
        <v>117</v>
      </c>
      <c r="O122" s="12">
        <v>7.0999999999999994E-2</v>
      </c>
      <c r="P122" s="12">
        <v>1</v>
      </c>
      <c r="Q122" s="12" t="s">
        <v>7169</v>
      </c>
      <c r="R122" s="12">
        <v>2.5999999999999999E-2</v>
      </c>
      <c r="S122" s="12">
        <v>0.45400000000000001</v>
      </c>
      <c r="T122" s="12">
        <v>401817</v>
      </c>
      <c r="U122" s="12">
        <v>6.9000000000000006E-2</v>
      </c>
      <c r="V122" s="12" t="s">
        <v>7661</v>
      </c>
      <c r="W122" s="12" t="s">
        <v>11</v>
      </c>
      <c r="X122" s="12">
        <v>276</v>
      </c>
      <c r="Y122" s="12">
        <v>3.3639999999999998E-3</v>
      </c>
      <c r="Z122" s="12">
        <v>0.64940705892345918</v>
      </c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P122" s="12" t="s">
        <v>3201</v>
      </c>
      <c r="AQ122" s="12" t="s">
        <v>8048</v>
      </c>
      <c r="AR122" s="12" t="s">
        <v>8051</v>
      </c>
      <c r="AS122" s="12">
        <v>228.6</v>
      </c>
      <c r="AT122" s="12">
        <v>0.1555</v>
      </c>
      <c r="AU122" s="12" t="s">
        <v>174</v>
      </c>
      <c r="AV122" s="12">
        <v>0.99848599999999998</v>
      </c>
      <c r="AW122" s="12">
        <v>0.99063800000000002</v>
      </c>
      <c r="AX122" s="12">
        <v>0.99969600000000003</v>
      </c>
      <c r="AY122" s="12">
        <v>65144</v>
      </c>
      <c r="AZ122" s="12">
        <v>560</v>
      </c>
      <c r="BA122" s="12">
        <v>0.16449999999999901</v>
      </c>
      <c r="BB122" s="12">
        <v>5998</v>
      </c>
      <c r="BC122" s="12">
        <v>44.821428571428498</v>
      </c>
      <c r="BD122" s="12">
        <v>0.251</v>
      </c>
    </row>
    <row r="123" spans="1:56" s="12" customFormat="1" x14ac:dyDescent="0.2">
      <c r="A123" s="12" t="s">
        <v>130</v>
      </c>
      <c r="B123" s="12" t="s">
        <v>131</v>
      </c>
      <c r="C123" s="12" t="s">
        <v>8127</v>
      </c>
      <c r="D123" s="12" t="s">
        <v>8125</v>
      </c>
      <c r="E123" s="12" t="s">
        <v>8124</v>
      </c>
      <c r="F123" s="12" t="s">
        <v>7160</v>
      </c>
      <c r="G123" s="12" t="s">
        <v>7649</v>
      </c>
      <c r="H123" s="12">
        <v>70</v>
      </c>
      <c r="I123" s="12" t="s">
        <v>7647</v>
      </c>
      <c r="J123" s="80">
        <v>7.7777777777777777</v>
      </c>
      <c r="K123" s="12" t="s">
        <v>7161</v>
      </c>
      <c r="L123" s="12" t="s">
        <v>21</v>
      </c>
      <c r="M123" s="12" t="s">
        <v>8108</v>
      </c>
      <c r="N123" s="12">
        <v>172.7</v>
      </c>
      <c r="O123" s="12">
        <v>8.1000000000000003E-2</v>
      </c>
      <c r="P123" s="12">
        <v>0.96099999999999997</v>
      </c>
      <c r="Q123" s="12" t="s">
        <v>7958</v>
      </c>
      <c r="R123" s="12">
        <v>0.02</v>
      </c>
      <c r="S123" s="12">
        <v>0.36958299999999999</v>
      </c>
      <c r="T123" s="12">
        <v>339219</v>
      </c>
      <c r="U123" s="12">
        <v>0.05</v>
      </c>
      <c r="V123" s="12" t="s">
        <v>7662</v>
      </c>
      <c r="W123" s="12" t="s">
        <v>25</v>
      </c>
      <c r="X123" s="12">
        <v>885</v>
      </c>
      <c r="Y123" s="12" t="s">
        <v>6639</v>
      </c>
      <c r="Z123" s="12" t="s">
        <v>6639</v>
      </c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</row>
    <row r="124" spans="1:56" s="12" customFormat="1" x14ac:dyDescent="0.2">
      <c r="A124" s="12" t="s">
        <v>121</v>
      </c>
      <c r="B124" s="12" t="s">
        <v>122</v>
      </c>
      <c r="C124" s="12" t="s">
        <v>13</v>
      </c>
      <c r="D124" s="12" t="s">
        <v>7210</v>
      </c>
      <c r="E124" s="12" t="s">
        <v>8124</v>
      </c>
      <c r="F124" s="12" t="s">
        <v>7160</v>
      </c>
      <c r="G124" s="12" t="s">
        <v>7649</v>
      </c>
      <c r="H124" s="12">
        <v>74</v>
      </c>
      <c r="I124" s="12" t="s">
        <v>7647</v>
      </c>
      <c r="J124" s="80">
        <v>8.2222222222222214</v>
      </c>
      <c r="K124" s="12" t="s">
        <v>7161</v>
      </c>
      <c r="L124" s="12" t="s">
        <v>21</v>
      </c>
      <c r="M124" s="12" t="s">
        <v>8108</v>
      </c>
      <c r="N124" s="12">
        <v>1150</v>
      </c>
      <c r="O124" s="12">
        <v>0.1</v>
      </c>
      <c r="P124" s="12">
        <v>0.998</v>
      </c>
      <c r="Q124" s="12" t="s">
        <v>7235</v>
      </c>
      <c r="R124" s="12">
        <v>0.71599999999999997</v>
      </c>
      <c r="S124" s="12">
        <v>3.78748</v>
      </c>
      <c r="T124" s="12">
        <v>735620</v>
      </c>
      <c r="U124" s="12">
        <v>0.09</v>
      </c>
      <c r="V124" s="12" t="s">
        <v>7662</v>
      </c>
      <c r="W124" s="12" t="s">
        <v>25</v>
      </c>
      <c r="X124" s="12">
        <v>7384</v>
      </c>
      <c r="Y124" s="12" t="s">
        <v>6639</v>
      </c>
      <c r="Z124" s="12" t="s">
        <v>6639</v>
      </c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</row>
    <row r="125" spans="1:56" s="12" customFormat="1" x14ac:dyDescent="0.2">
      <c r="A125" s="12" t="s">
        <v>4229</v>
      </c>
      <c r="B125" s="12" t="s">
        <v>4227</v>
      </c>
      <c r="C125" s="12" t="s">
        <v>8127</v>
      </c>
      <c r="D125" s="12" t="s">
        <v>7159</v>
      </c>
      <c r="E125" s="12" t="s">
        <v>8031</v>
      </c>
      <c r="F125" s="12" t="s">
        <v>7160</v>
      </c>
      <c r="G125" s="12" t="s">
        <v>7649</v>
      </c>
      <c r="H125" s="12">
        <v>75</v>
      </c>
      <c r="I125" s="12" t="s">
        <v>7646</v>
      </c>
      <c r="J125" s="80">
        <v>25</v>
      </c>
      <c r="K125" s="12" t="s">
        <v>7161</v>
      </c>
      <c r="L125" s="12" t="s">
        <v>21</v>
      </c>
      <c r="M125" s="12" t="s">
        <v>8110</v>
      </c>
      <c r="N125" s="12">
        <v>12.2</v>
      </c>
      <c r="O125" s="12">
        <v>4.9000000000000002E-2</v>
      </c>
      <c r="P125" s="12">
        <v>0.999</v>
      </c>
      <c r="Q125" s="12" t="s">
        <v>7249</v>
      </c>
      <c r="R125" s="12">
        <v>0.26900000000000002</v>
      </c>
      <c r="S125" s="12">
        <v>2.1309999999999998</v>
      </c>
      <c r="T125" s="12">
        <v>829685</v>
      </c>
      <c r="U125" s="12">
        <v>5.6000000000000001E-2</v>
      </c>
      <c r="V125" s="12" t="s">
        <v>7661</v>
      </c>
      <c r="W125" s="12" t="s">
        <v>11</v>
      </c>
      <c r="X125" s="12">
        <v>3474</v>
      </c>
      <c r="Y125" s="12">
        <v>7.3699999999999998E-3</v>
      </c>
      <c r="Z125" s="12">
        <v>4.3626659973693771</v>
      </c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</row>
    <row r="126" spans="1:56" s="12" customFormat="1" x14ac:dyDescent="0.2">
      <c r="A126" s="12" t="s">
        <v>4263</v>
      </c>
      <c r="B126" s="12" t="s">
        <v>4261</v>
      </c>
      <c r="C126" s="12" t="s">
        <v>8127</v>
      </c>
      <c r="D126" s="12" t="s">
        <v>7159</v>
      </c>
      <c r="E126" s="12" t="s">
        <v>8031</v>
      </c>
      <c r="F126" s="12" t="s">
        <v>7160</v>
      </c>
      <c r="G126" s="12" t="s">
        <v>7649</v>
      </c>
      <c r="H126" s="12">
        <v>78</v>
      </c>
      <c r="I126" s="12" t="s">
        <v>7646</v>
      </c>
      <c r="J126" s="80">
        <v>26</v>
      </c>
      <c r="K126" s="12" t="s">
        <v>7161</v>
      </c>
      <c r="L126" s="12" t="s">
        <v>21</v>
      </c>
      <c r="M126" s="12" t="s">
        <v>8110</v>
      </c>
      <c r="N126" s="12">
        <v>218</v>
      </c>
      <c r="O126" s="12">
        <v>0.06</v>
      </c>
      <c r="P126" s="12">
        <v>0.999</v>
      </c>
      <c r="Q126" s="12" t="s">
        <v>7169</v>
      </c>
      <c r="R126" s="12">
        <v>3.3000000000000002E-2</v>
      </c>
      <c r="S126" s="12">
        <v>0.69099999999999995</v>
      </c>
      <c r="T126" s="12">
        <v>531481</v>
      </c>
      <c r="U126" s="12">
        <v>5.8999999999999997E-2</v>
      </c>
      <c r="V126" s="12" t="s">
        <v>7661</v>
      </c>
      <c r="W126" s="12" t="s">
        <v>11</v>
      </c>
      <c r="X126" s="12">
        <v>638</v>
      </c>
      <c r="Y126" s="12">
        <v>6.7400000000000003E-3</v>
      </c>
      <c r="Z126" s="12">
        <v>1.5329808083994612</v>
      </c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</row>
    <row r="127" spans="1:56" s="12" customFormat="1" x14ac:dyDescent="0.2">
      <c r="A127" s="12" t="s">
        <v>5229</v>
      </c>
      <c r="B127" s="12" t="s">
        <v>5227</v>
      </c>
      <c r="C127" s="12" t="s">
        <v>8127</v>
      </c>
      <c r="D127" s="12" t="s">
        <v>7159</v>
      </c>
      <c r="E127" s="12" t="s">
        <v>8031</v>
      </c>
      <c r="F127" s="12" t="s">
        <v>7160</v>
      </c>
      <c r="G127" s="12" t="s">
        <v>7649</v>
      </c>
      <c r="H127" s="12">
        <v>75</v>
      </c>
      <c r="I127" s="12" t="s">
        <v>7646</v>
      </c>
      <c r="J127" s="80">
        <v>25</v>
      </c>
      <c r="K127" s="12" t="s">
        <v>7161</v>
      </c>
      <c r="L127" s="12" t="s">
        <v>21</v>
      </c>
      <c r="M127" s="12" t="s">
        <v>8110</v>
      </c>
      <c r="N127" s="12">
        <v>43</v>
      </c>
      <c r="O127" s="12">
        <v>5.6000000000000001E-2</v>
      </c>
      <c r="P127" s="12">
        <v>0.997</v>
      </c>
      <c r="Q127" s="12" t="s">
        <v>7237</v>
      </c>
      <c r="R127" s="12">
        <v>1.6E-2</v>
      </c>
      <c r="S127" s="12">
        <v>0.158</v>
      </c>
      <c r="T127" s="12">
        <v>159380</v>
      </c>
      <c r="U127" s="12">
        <v>4.4999999999999998E-2</v>
      </c>
      <c r="V127" s="12" t="s">
        <v>7661</v>
      </c>
      <c r="W127" s="12" t="s">
        <v>25</v>
      </c>
      <c r="X127" s="12">
        <v>193</v>
      </c>
      <c r="Y127" s="12" t="s">
        <v>6639</v>
      </c>
      <c r="Z127" s="12" t="s">
        <v>6639</v>
      </c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</row>
    <row r="128" spans="1:56" s="12" customFormat="1" x14ac:dyDescent="0.2">
      <c r="A128" s="12" t="s">
        <v>5630</v>
      </c>
      <c r="B128" s="12" t="s">
        <v>5230</v>
      </c>
      <c r="C128" s="12" t="s">
        <v>8127</v>
      </c>
      <c r="D128" s="12" t="s">
        <v>7159</v>
      </c>
      <c r="E128" s="12" t="s">
        <v>8031</v>
      </c>
      <c r="F128" s="12" t="s">
        <v>7160</v>
      </c>
      <c r="G128" s="12" t="s">
        <v>7649</v>
      </c>
      <c r="H128" s="12">
        <v>79</v>
      </c>
      <c r="I128" s="12" t="s">
        <v>7646</v>
      </c>
      <c r="J128" s="80">
        <v>26.333333333333332</v>
      </c>
      <c r="K128" s="12" t="s">
        <v>7161</v>
      </c>
      <c r="L128" s="12" t="s">
        <v>21</v>
      </c>
      <c r="M128" s="12" t="s">
        <v>8110</v>
      </c>
      <c r="N128" s="12">
        <v>27</v>
      </c>
      <c r="O128" s="12">
        <v>7.4999999999999997E-2</v>
      </c>
      <c r="P128" s="12">
        <v>0.996</v>
      </c>
      <c r="Q128" s="12" t="s">
        <v>7170</v>
      </c>
      <c r="R128" s="12">
        <v>1.6E-2</v>
      </c>
      <c r="S128" s="12">
        <v>7.3999999999999996E-2</v>
      </c>
      <c r="T128" s="12">
        <v>83603</v>
      </c>
      <c r="U128" s="12">
        <v>4.9000000000000002E-2</v>
      </c>
      <c r="V128" s="12" t="s">
        <v>7661</v>
      </c>
      <c r="W128" s="12" t="s">
        <v>25</v>
      </c>
      <c r="X128" s="12">
        <v>33</v>
      </c>
      <c r="Y128" s="12" t="s">
        <v>6639</v>
      </c>
      <c r="Z128" s="12" t="s">
        <v>6639</v>
      </c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</row>
    <row r="129" spans="1:56" s="12" customFormat="1" x14ac:dyDescent="0.2">
      <c r="A129" s="12" t="s">
        <v>5631</v>
      </c>
      <c r="B129" s="12" t="s">
        <v>5230</v>
      </c>
      <c r="C129" s="12" t="s">
        <v>8127</v>
      </c>
      <c r="D129" s="12" t="s">
        <v>7159</v>
      </c>
      <c r="E129" s="12" t="s">
        <v>8031</v>
      </c>
      <c r="F129" s="12" t="s">
        <v>7160</v>
      </c>
      <c r="G129" s="12" t="s">
        <v>7649</v>
      </c>
      <c r="H129" s="12">
        <v>79</v>
      </c>
      <c r="I129" s="12" t="s">
        <v>7647</v>
      </c>
      <c r="J129" s="80">
        <v>8.7777777777777768</v>
      </c>
      <c r="K129" s="12" t="s">
        <v>7161</v>
      </c>
      <c r="L129" s="12" t="s">
        <v>21</v>
      </c>
      <c r="M129" s="12" t="s">
        <v>8110</v>
      </c>
      <c r="N129" s="12">
        <v>26</v>
      </c>
      <c r="O129" s="12">
        <v>5.8000000000000003E-2</v>
      </c>
      <c r="P129" s="12">
        <v>0.99299999999999999</v>
      </c>
      <c r="Q129" s="12" t="s">
        <v>7339</v>
      </c>
      <c r="R129" s="12">
        <v>1.4999999999999999E-2</v>
      </c>
      <c r="S129" s="12">
        <v>6.7700999999999997E-2</v>
      </c>
      <c r="T129" s="12">
        <v>78278</v>
      </c>
      <c r="U129" s="12">
        <v>5.5E-2</v>
      </c>
      <c r="V129" s="12" t="s">
        <v>7661</v>
      </c>
      <c r="W129" s="12" t="s">
        <v>25</v>
      </c>
      <c r="X129" s="12">
        <v>49</v>
      </c>
      <c r="Y129" s="12" t="s">
        <v>6639</v>
      </c>
      <c r="Z129" s="12" t="s">
        <v>6639</v>
      </c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</row>
    <row r="130" spans="1:56" s="12" customFormat="1" x14ac:dyDescent="0.2">
      <c r="A130" s="12" t="s">
        <v>5632</v>
      </c>
      <c r="B130" s="12" t="s">
        <v>5230</v>
      </c>
      <c r="C130" s="12" t="s">
        <v>8127</v>
      </c>
      <c r="D130" s="12" t="s">
        <v>7159</v>
      </c>
      <c r="E130" s="12" t="s">
        <v>8031</v>
      </c>
      <c r="F130" s="12" t="s">
        <v>7160</v>
      </c>
      <c r="G130" s="12" t="s">
        <v>7649</v>
      </c>
      <c r="H130" s="12">
        <v>79</v>
      </c>
      <c r="I130" s="12" t="s">
        <v>7647</v>
      </c>
      <c r="J130" s="80">
        <v>8.7777777777777768</v>
      </c>
      <c r="K130" s="12" t="s">
        <v>7161</v>
      </c>
      <c r="L130" s="12" t="s">
        <v>21</v>
      </c>
      <c r="M130" s="12" t="s">
        <v>8110</v>
      </c>
      <c r="N130" s="12">
        <v>26.7</v>
      </c>
      <c r="O130" s="12">
        <v>5.7000000000000002E-2</v>
      </c>
      <c r="P130" s="12">
        <v>0.996</v>
      </c>
      <c r="Q130" s="12" t="s">
        <v>7291</v>
      </c>
      <c r="R130" s="12">
        <v>1.7000000000000001E-2</v>
      </c>
      <c r="S130" s="12">
        <v>8.2559999999999995E-2</v>
      </c>
      <c r="T130" s="12">
        <v>94639</v>
      </c>
      <c r="U130" s="12">
        <v>5.0999999999999997E-2</v>
      </c>
      <c r="V130" s="12" t="s">
        <v>7661</v>
      </c>
      <c r="W130" s="12" t="s">
        <v>25</v>
      </c>
      <c r="X130" s="12">
        <v>64</v>
      </c>
      <c r="Y130" s="12" t="s">
        <v>6639</v>
      </c>
      <c r="Z130" s="12" t="s">
        <v>6639</v>
      </c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</row>
    <row r="131" spans="1:56" s="12" customFormat="1" x14ac:dyDescent="0.2">
      <c r="A131" s="12" t="s">
        <v>5234</v>
      </c>
      <c r="B131" s="12" t="s">
        <v>5232</v>
      </c>
      <c r="C131" s="12" t="s">
        <v>8127</v>
      </c>
      <c r="D131" s="12" t="s">
        <v>7159</v>
      </c>
      <c r="E131" s="12" t="s">
        <v>8031</v>
      </c>
      <c r="F131" s="12" t="s">
        <v>7160</v>
      </c>
      <c r="G131" s="12" t="s">
        <v>7649</v>
      </c>
      <c r="H131" s="12">
        <v>80</v>
      </c>
      <c r="I131" s="12" t="s">
        <v>7646</v>
      </c>
      <c r="J131" s="80">
        <v>26.666666666666664</v>
      </c>
      <c r="K131" s="12" t="s">
        <v>7161</v>
      </c>
      <c r="L131" s="12" t="s">
        <v>21</v>
      </c>
      <c r="M131" s="12" t="s">
        <v>8110</v>
      </c>
      <c r="N131" s="12">
        <v>168</v>
      </c>
      <c r="O131" s="12">
        <v>8.6999999999999994E-2</v>
      </c>
      <c r="P131" s="12">
        <v>0.98799999999999999</v>
      </c>
      <c r="Q131" s="12" t="s">
        <v>7284</v>
      </c>
      <c r="R131" s="12">
        <v>3.9E-2</v>
      </c>
      <c r="S131" s="12">
        <v>0.16</v>
      </c>
      <c r="T131" s="12">
        <v>170522</v>
      </c>
      <c r="U131" s="12">
        <v>7.0999999999999994E-2</v>
      </c>
      <c r="V131" s="12" t="s">
        <v>7661</v>
      </c>
      <c r="W131" s="12" t="s">
        <v>25</v>
      </c>
      <c r="X131" s="12">
        <v>135</v>
      </c>
      <c r="Y131" s="12" t="s">
        <v>6639</v>
      </c>
      <c r="Z131" s="12" t="s">
        <v>6639</v>
      </c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P131" s="12" t="s">
        <v>3201</v>
      </c>
      <c r="AQ131" s="12" t="s">
        <v>8049</v>
      </c>
      <c r="AR131" s="12" t="s">
        <v>8051</v>
      </c>
      <c r="AS131" s="12">
        <v>228.6</v>
      </c>
      <c r="AT131" s="12">
        <v>0.1555</v>
      </c>
      <c r="AU131" s="12" t="s">
        <v>174</v>
      </c>
      <c r="AV131" s="12">
        <v>0.99848599999999998</v>
      </c>
      <c r="AW131" s="12">
        <v>0.99063800000000002</v>
      </c>
      <c r="AX131" s="12">
        <v>0.99969600000000003</v>
      </c>
      <c r="AY131" s="12">
        <v>65144</v>
      </c>
      <c r="AZ131" s="12">
        <v>560</v>
      </c>
      <c r="BA131" s="12">
        <v>0.16449999999999901</v>
      </c>
      <c r="BB131" s="12">
        <v>5998</v>
      </c>
      <c r="BC131" s="12">
        <v>44.821428571428498</v>
      </c>
      <c r="BD131" s="12">
        <v>0.251</v>
      </c>
    </row>
    <row r="132" spans="1:56" s="12" customFormat="1" x14ac:dyDescent="0.2">
      <c r="A132" s="12" t="s">
        <v>5237</v>
      </c>
      <c r="B132" s="12" t="s">
        <v>5235</v>
      </c>
      <c r="C132" s="12" t="s">
        <v>8127</v>
      </c>
      <c r="D132" s="12" t="s">
        <v>7159</v>
      </c>
      <c r="E132" s="12" t="s">
        <v>8031</v>
      </c>
      <c r="F132" s="12" t="s">
        <v>7160</v>
      </c>
      <c r="G132" s="12" t="s">
        <v>7649</v>
      </c>
      <c r="H132" s="12">
        <v>75</v>
      </c>
      <c r="I132" s="12" t="s">
        <v>7646</v>
      </c>
      <c r="J132" s="80">
        <v>25</v>
      </c>
      <c r="K132" s="12" t="s">
        <v>7161</v>
      </c>
      <c r="L132" s="12" t="s">
        <v>21</v>
      </c>
      <c r="M132" s="12" t="s">
        <v>8110</v>
      </c>
      <c r="N132" s="12">
        <v>292</v>
      </c>
      <c r="O132" s="12">
        <v>6.8000000000000005E-2</v>
      </c>
      <c r="P132" s="12">
        <v>0.99299999999999999</v>
      </c>
      <c r="Q132" s="12" t="s">
        <v>7228</v>
      </c>
      <c r="R132" s="12">
        <v>0.10100000000000001</v>
      </c>
      <c r="S132" s="12">
        <v>0.60099999999999998</v>
      </c>
      <c r="T132" s="12">
        <v>496480</v>
      </c>
      <c r="U132" s="12">
        <v>5.8999999999999997E-2</v>
      </c>
      <c r="V132" s="12" t="s">
        <v>7661</v>
      </c>
      <c r="W132" s="12" t="s">
        <v>25</v>
      </c>
      <c r="X132" s="12">
        <v>1461</v>
      </c>
      <c r="Y132" s="12" t="s">
        <v>6639</v>
      </c>
      <c r="Z132" s="12" t="s">
        <v>6639</v>
      </c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</row>
    <row r="133" spans="1:56" s="12" customFormat="1" x14ac:dyDescent="0.2">
      <c r="A133" s="12" t="s">
        <v>5155</v>
      </c>
      <c r="B133" s="12" t="s">
        <v>5153</v>
      </c>
      <c r="C133" s="12" t="s">
        <v>8127</v>
      </c>
      <c r="D133" s="12" t="s">
        <v>7159</v>
      </c>
      <c r="E133" s="12" t="s">
        <v>8031</v>
      </c>
      <c r="F133" s="12" t="s">
        <v>7160</v>
      </c>
      <c r="G133" s="12" t="s">
        <v>7649</v>
      </c>
      <c r="H133" s="12">
        <v>77</v>
      </c>
      <c r="I133" s="12" t="s">
        <v>7646</v>
      </c>
      <c r="J133" s="80">
        <v>25.666666666666664</v>
      </c>
      <c r="K133" s="12" t="s">
        <v>7161</v>
      </c>
      <c r="L133" s="12" t="s">
        <v>21</v>
      </c>
      <c r="M133" s="12" t="s">
        <v>8110</v>
      </c>
      <c r="N133" s="12">
        <v>733</v>
      </c>
      <c r="O133" s="12">
        <v>4.8000000000000001E-2</v>
      </c>
      <c r="P133" s="12">
        <v>0.999</v>
      </c>
      <c r="Q133" s="12" t="s">
        <v>7179</v>
      </c>
      <c r="R133" s="12">
        <v>0.44400000000000001</v>
      </c>
      <c r="S133" s="12">
        <v>2.08</v>
      </c>
      <c r="T133" s="12">
        <v>840965</v>
      </c>
      <c r="U133" s="12">
        <v>0.05</v>
      </c>
      <c r="V133" s="12" t="s">
        <v>7661</v>
      </c>
      <c r="W133" s="12" t="s">
        <v>11</v>
      </c>
      <c r="X133" s="12">
        <v>3412</v>
      </c>
      <c r="Y133" s="12">
        <v>9.8300000000000002E-3</v>
      </c>
      <c r="Z133" s="12">
        <v>5.0820968017946058</v>
      </c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</row>
    <row r="134" spans="1:56" s="12" customFormat="1" x14ac:dyDescent="0.2">
      <c r="A134" s="12" t="s">
        <v>5240</v>
      </c>
      <c r="B134" s="12" t="s">
        <v>5238</v>
      </c>
      <c r="C134" s="12" t="s">
        <v>8127</v>
      </c>
      <c r="D134" s="12" t="s">
        <v>7159</v>
      </c>
      <c r="E134" s="12" t="s">
        <v>8031</v>
      </c>
      <c r="F134" s="12" t="s">
        <v>7160</v>
      </c>
      <c r="G134" s="12" t="s">
        <v>7649</v>
      </c>
      <c r="H134" s="12">
        <v>75</v>
      </c>
      <c r="I134" s="12" t="s">
        <v>7646</v>
      </c>
      <c r="J134" s="80">
        <v>25</v>
      </c>
      <c r="K134" s="12" t="s">
        <v>7161</v>
      </c>
      <c r="L134" s="12" t="s">
        <v>21</v>
      </c>
      <c r="M134" s="12" t="s">
        <v>8110</v>
      </c>
      <c r="N134" s="12">
        <v>160</v>
      </c>
      <c r="O134" s="12">
        <v>7.3999999999999996E-2</v>
      </c>
      <c r="P134" s="12">
        <v>0.98799999999999999</v>
      </c>
      <c r="Q134" s="12" t="s">
        <v>7286</v>
      </c>
      <c r="R134" s="12">
        <v>4.2000000000000003E-2</v>
      </c>
      <c r="S134" s="12">
        <v>0.16400000000000001</v>
      </c>
      <c r="T134" s="12">
        <v>171501</v>
      </c>
      <c r="U134" s="12">
        <v>5.0999999999999997E-2</v>
      </c>
      <c r="V134" s="12" t="s">
        <v>7661</v>
      </c>
      <c r="W134" s="12" t="s">
        <v>11</v>
      </c>
      <c r="X134" s="12">
        <v>50</v>
      </c>
      <c r="Y134" s="12" t="s">
        <v>8052</v>
      </c>
      <c r="Z134" s="12" t="s">
        <v>8052</v>
      </c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</row>
    <row r="135" spans="1:56" s="12" customFormat="1" x14ac:dyDescent="0.2">
      <c r="A135" s="12" t="s">
        <v>5243</v>
      </c>
      <c r="B135" s="12" t="s">
        <v>5241</v>
      </c>
      <c r="C135" s="12" t="s">
        <v>8127</v>
      </c>
      <c r="D135" s="12" t="s">
        <v>7159</v>
      </c>
      <c r="E135" s="12" t="s">
        <v>8031</v>
      </c>
      <c r="F135" s="12" t="s">
        <v>7160</v>
      </c>
      <c r="G135" s="12" t="s">
        <v>7649</v>
      </c>
      <c r="H135" s="12">
        <v>75</v>
      </c>
      <c r="I135" s="12" t="s">
        <v>7646</v>
      </c>
      <c r="J135" s="80">
        <v>25</v>
      </c>
      <c r="K135" s="12" t="s">
        <v>7161</v>
      </c>
      <c r="L135" s="12" t="s">
        <v>21</v>
      </c>
      <c r="M135" s="12" t="s">
        <v>8110</v>
      </c>
      <c r="N135" s="12">
        <v>98.5</v>
      </c>
      <c r="O135" s="12">
        <v>0.107</v>
      </c>
      <c r="P135" s="12">
        <v>0.99299999999999999</v>
      </c>
      <c r="Q135" s="12" t="s">
        <v>7240</v>
      </c>
      <c r="R135" s="12">
        <v>1.7000000000000001E-2</v>
      </c>
      <c r="S135" s="12">
        <v>0.30399999999999999</v>
      </c>
      <c r="T135" s="12">
        <v>294612</v>
      </c>
      <c r="U135" s="12">
        <v>9.0999999999999998E-2</v>
      </c>
      <c r="V135" s="12" t="s">
        <v>7661</v>
      </c>
      <c r="W135" s="12" t="s">
        <v>11</v>
      </c>
      <c r="X135" s="12">
        <v>166</v>
      </c>
      <c r="Y135" s="12" t="s">
        <v>8052</v>
      </c>
      <c r="Z135" s="12" t="s">
        <v>8052</v>
      </c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</row>
    <row r="136" spans="1:56" s="12" customFormat="1" x14ac:dyDescent="0.2">
      <c r="A136" s="12" t="s">
        <v>5246</v>
      </c>
      <c r="B136" s="12" t="s">
        <v>5244</v>
      </c>
      <c r="C136" s="12" t="s">
        <v>8127</v>
      </c>
      <c r="D136" s="12" t="s">
        <v>7159</v>
      </c>
      <c r="E136" s="12" t="s">
        <v>8031</v>
      </c>
      <c r="F136" s="12" t="s">
        <v>7160</v>
      </c>
      <c r="G136" s="12" t="s">
        <v>7649</v>
      </c>
      <c r="H136" s="12">
        <v>77</v>
      </c>
      <c r="I136" s="12" t="s">
        <v>7646</v>
      </c>
      <c r="J136" s="80">
        <v>25.666666666666664</v>
      </c>
      <c r="K136" s="12" t="s">
        <v>7161</v>
      </c>
      <c r="L136" s="12" t="s">
        <v>21</v>
      </c>
      <c r="M136" s="12" t="s">
        <v>8110</v>
      </c>
      <c r="N136" s="12">
        <v>184</v>
      </c>
      <c r="O136" s="12">
        <v>9.8000000000000004E-2</v>
      </c>
      <c r="P136" s="12">
        <v>0.999</v>
      </c>
      <c r="Q136" s="12" t="s">
        <v>7169</v>
      </c>
      <c r="R136" s="12">
        <v>2.5000000000000001E-2</v>
      </c>
      <c r="S136" s="12">
        <v>0.26200000000000001</v>
      </c>
      <c r="T136" s="12">
        <v>267387</v>
      </c>
      <c r="U136" s="12">
        <v>8.1000000000000003E-2</v>
      </c>
      <c r="V136" s="12" t="s">
        <v>7661</v>
      </c>
      <c r="W136" s="12" t="s">
        <v>11</v>
      </c>
      <c r="X136" s="12">
        <v>92</v>
      </c>
      <c r="Y136" s="12" t="s">
        <v>8052</v>
      </c>
      <c r="Z136" s="12" t="s">
        <v>8052</v>
      </c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</row>
    <row r="137" spans="1:56" s="12" customFormat="1" x14ac:dyDescent="0.2">
      <c r="A137" s="12" t="s">
        <v>5250</v>
      </c>
      <c r="B137" s="12" t="s">
        <v>5248</v>
      </c>
      <c r="C137" s="12" t="s">
        <v>8127</v>
      </c>
      <c r="D137" s="12" t="s">
        <v>7159</v>
      </c>
      <c r="E137" s="12" t="s">
        <v>8031</v>
      </c>
      <c r="F137" s="12" t="s">
        <v>7160</v>
      </c>
      <c r="G137" s="12" t="s">
        <v>7649</v>
      </c>
      <c r="H137" s="12">
        <v>75</v>
      </c>
      <c r="I137" s="12" t="s">
        <v>7646</v>
      </c>
      <c r="J137" s="80">
        <v>25</v>
      </c>
      <c r="K137" s="12" t="s">
        <v>7161</v>
      </c>
      <c r="L137" s="12" t="s">
        <v>21</v>
      </c>
      <c r="M137" s="12" t="s">
        <v>8110</v>
      </c>
      <c r="N137" s="12">
        <v>228</v>
      </c>
      <c r="O137" s="12">
        <v>7.6999999999999999E-2</v>
      </c>
      <c r="P137" s="12">
        <v>0.99099999999999999</v>
      </c>
      <c r="Q137" s="12" t="s">
        <v>7234</v>
      </c>
      <c r="R137" s="12">
        <v>3.6999999999999998E-2</v>
      </c>
      <c r="S137" s="12">
        <v>0.55500000000000005</v>
      </c>
      <c r="T137" s="12">
        <v>464910</v>
      </c>
      <c r="U137" s="12">
        <v>7.3999999999999996E-2</v>
      </c>
      <c r="V137" s="12" t="s">
        <v>7661</v>
      </c>
      <c r="W137" s="12" t="s">
        <v>11</v>
      </c>
      <c r="X137" s="12">
        <v>380</v>
      </c>
      <c r="Y137" s="12">
        <v>2.2341E-2</v>
      </c>
      <c r="Z137" s="12">
        <v>2.2829741386577997</v>
      </c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</row>
    <row r="138" spans="1:56" s="12" customFormat="1" x14ac:dyDescent="0.2">
      <c r="A138" s="12" t="s">
        <v>5253</v>
      </c>
      <c r="B138" s="12" t="s">
        <v>5251</v>
      </c>
      <c r="C138" s="12" t="s">
        <v>8127</v>
      </c>
      <c r="D138" s="12" t="s">
        <v>7159</v>
      </c>
      <c r="E138" s="12" t="s">
        <v>8031</v>
      </c>
      <c r="F138" s="12" t="s">
        <v>7160</v>
      </c>
      <c r="G138" s="12" t="s">
        <v>7649</v>
      </c>
      <c r="H138" s="12">
        <v>71</v>
      </c>
      <c r="I138" s="12" t="s">
        <v>7646</v>
      </c>
      <c r="J138" s="80">
        <v>23.666666666666664</v>
      </c>
      <c r="K138" s="12" t="s">
        <v>7161</v>
      </c>
      <c r="L138" s="12" t="s">
        <v>21</v>
      </c>
      <c r="M138" s="12" t="s">
        <v>8110</v>
      </c>
      <c r="N138" s="12">
        <v>114</v>
      </c>
      <c r="O138" s="12">
        <v>7.8E-2</v>
      </c>
      <c r="P138" s="12">
        <v>0.997</v>
      </c>
      <c r="Q138" s="12" t="s">
        <v>7194</v>
      </c>
      <c r="R138" s="12">
        <v>2.1000000000000001E-2</v>
      </c>
      <c r="S138" s="12">
        <v>0.25700000000000001</v>
      </c>
      <c r="T138" s="12">
        <v>257272</v>
      </c>
      <c r="U138" s="12">
        <v>0.06</v>
      </c>
      <c r="V138" s="12" t="s">
        <v>7661</v>
      </c>
      <c r="W138" s="12" t="s">
        <v>25</v>
      </c>
      <c r="X138" s="12">
        <v>311</v>
      </c>
      <c r="Y138" s="12" t="s">
        <v>6639</v>
      </c>
      <c r="Z138" s="12" t="s">
        <v>6639</v>
      </c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</row>
    <row r="139" spans="1:56" s="12" customFormat="1" x14ac:dyDescent="0.2">
      <c r="A139" s="12" t="s">
        <v>5256</v>
      </c>
      <c r="B139" s="12" t="s">
        <v>5254</v>
      </c>
      <c r="C139" s="12" t="s">
        <v>8127</v>
      </c>
      <c r="D139" s="12" t="s">
        <v>7159</v>
      </c>
      <c r="E139" s="12" t="s">
        <v>8031</v>
      </c>
      <c r="F139" s="12" t="s">
        <v>7160</v>
      </c>
      <c r="G139" s="12" t="s">
        <v>7649</v>
      </c>
      <c r="H139" s="12">
        <v>73</v>
      </c>
      <c r="I139" s="12" t="s">
        <v>7646</v>
      </c>
      <c r="J139" s="80">
        <v>24.333333333333332</v>
      </c>
      <c r="K139" s="12" t="s">
        <v>7161</v>
      </c>
      <c r="L139" s="12" t="s">
        <v>21</v>
      </c>
      <c r="M139" s="12" t="s">
        <v>8110</v>
      </c>
      <c r="N139" s="12">
        <v>227</v>
      </c>
      <c r="O139" s="12">
        <v>6.7000000000000004E-2</v>
      </c>
      <c r="P139" s="12">
        <v>1</v>
      </c>
      <c r="Q139" s="12" t="s">
        <v>7189</v>
      </c>
      <c r="R139" s="12">
        <v>0.22600000000000001</v>
      </c>
      <c r="S139" s="12">
        <v>2.097</v>
      </c>
      <c r="T139" s="12">
        <v>830398</v>
      </c>
      <c r="U139" s="12">
        <v>6.4000000000000001E-2</v>
      </c>
      <c r="V139" s="12" t="s">
        <v>7661</v>
      </c>
      <c r="W139" s="12" t="s">
        <v>25</v>
      </c>
      <c r="X139" s="12">
        <v>7462</v>
      </c>
      <c r="Y139" s="12" t="s">
        <v>6639</v>
      </c>
      <c r="Z139" s="12" t="s">
        <v>6639</v>
      </c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</row>
    <row r="140" spans="1:56" s="12" customFormat="1" x14ac:dyDescent="0.2">
      <c r="A140" s="12" t="s">
        <v>5259</v>
      </c>
      <c r="B140" s="12" t="s">
        <v>5257</v>
      </c>
      <c r="C140" s="12" t="s">
        <v>8127</v>
      </c>
      <c r="D140" s="12" t="s">
        <v>7159</v>
      </c>
      <c r="E140" s="12" t="s">
        <v>8031</v>
      </c>
      <c r="F140" s="12" t="s">
        <v>7160</v>
      </c>
      <c r="G140" s="12" t="s">
        <v>7649</v>
      </c>
      <c r="H140" s="12">
        <v>71</v>
      </c>
      <c r="I140" s="12" t="s">
        <v>7646</v>
      </c>
      <c r="J140" s="80">
        <v>23.666666666666664</v>
      </c>
      <c r="K140" s="12" t="s">
        <v>7161</v>
      </c>
      <c r="L140" s="12" t="s">
        <v>21</v>
      </c>
      <c r="M140" s="12" t="s">
        <v>8110</v>
      </c>
      <c r="N140" s="12">
        <v>306</v>
      </c>
      <c r="O140" s="12">
        <v>6.6000000000000003E-2</v>
      </c>
      <c r="P140" s="12">
        <v>1</v>
      </c>
      <c r="Q140" s="12" t="s">
        <v>7165</v>
      </c>
      <c r="R140" s="12">
        <v>8.5999999999999993E-2</v>
      </c>
      <c r="S140" s="12">
        <v>0.58199999999999996</v>
      </c>
      <c r="T140" s="12">
        <v>488454</v>
      </c>
      <c r="U140" s="12">
        <v>7.3999999999999996E-2</v>
      </c>
      <c r="V140" s="12" t="s">
        <v>7661</v>
      </c>
      <c r="W140" s="12" t="s">
        <v>25</v>
      </c>
      <c r="X140" s="12">
        <v>1424</v>
      </c>
      <c r="Y140" s="12" t="s">
        <v>6639</v>
      </c>
      <c r="Z140" s="12" t="s">
        <v>6639</v>
      </c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</row>
    <row r="141" spans="1:56" s="12" customFormat="1" x14ac:dyDescent="0.2">
      <c r="A141" s="12" t="s">
        <v>3922</v>
      </c>
      <c r="B141" s="12" t="s">
        <v>3919</v>
      </c>
      <c r="C141" s="12" t="s">
        <v>13</v>
      </c>
      <c r="D141" s="12" t="s">
        <v>7210</v>
      </c>
      <c r="E141" s="12" t="s">
        <v>8124</v>
      </c>
      <c r="F141" s="12" t="s">
        <v>7230</v>
      </c>
      <c r="G141" s="12" t="s">
        <v>7651</v>
      </c>
      <c r="H141" s="12">
        <v>76</v>
      </c>
      <c r="I141" s="12" t="s">
        <v>7647</v>
      </c>
      <c r="J141" s="80">
        <v>7.6000000000000005</v>
      </c>
      <c r="K141" s="12" t="s">
        <v>7161</v>
      </c>
      <c r="L141" s="12" t="s">
        <v>21</v>
      </c>
      <c r="M141" s="12" t="s">
        <v>8110</v>
      </c>
      <c r="N141" s="12">
        <v>157</v>
      </c>
      <c r="O141" s="12">
        <v>0.17</v>
      </c>
      <c r="P141" s="12">
        <v>0.99299999999999999</v>
      </c>
      <c r="Q141" s="12" t="s">
        <v>7184</v>
      </c>
      <c r="R141" s="12">
        <v>0.14000000000000001</v>
      </c>
      <c r="S141" s="12">
        <v>1.229949</v>
      </c>
      <c r="T141" s="12">
        <v>568563</v>
      </c>
      <c r="U141" s="12">
        <v>0.124</v>
      </c>
      <c r="V141" s="12" t="s">
        <v>7661</v>
      </c>
      <c r="W141" s="12" t="s">
        <v>11</v>
      </c>
      <c r="X141" s="12">
        <v>1741</v>
      </c>
      <c r="Y141" s="12">
        <v>4.4510000000000001E-3</v>
      </c>
      <c r="Z141" s="12">
        <v>2.10714882549295</v>
      </c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</row>
    <row r="142" spans="1:56" s="12" customFormat="1" x14ac:dyDescent="0.2">
      <c r="A142" s="12" t="s">
        <v>999</v>
      </c>
      <c r="B142" s="12" t="s">
        <v>1000</v>
      </c>
      <c r="C142" s="12" t="s">
        <v>13</v>
      </c>
      <c r="D142" s="12" t="s">
        <v>7210</v>
      </c>
      <c r="E142" s="12" t="s">
        <v>8031</v>
      </c>
      <c r="F142" s="12" t="s">
        <v>7160</v>
      </c>
      <c r="G142" s="12" t="s">
        <v>7649</v>
      </c>
      <c r="H142" s="12">
        <v>68</v>
      </c>
      <c r="I142" s="12" t="s">
        <v>7647</v>
      </c>
      <c r="J142" s="80">
        <v>7.5555555555555554</v>
      </c>
      <c r="K142" s="12" t="s">
        <v>7161</v>
      </c>
      <c r="L142" s="12" t="s">
        <v>21</v>
      </c>
      <c r="M142" s="12" t="s">
        <v>8108</v>
      </c>
      <c r="N142" s="12">
        <v>5.1349999999999998</v>
      </c>
      <c r="O142" s="12">
        <v>0.224</v>
      </c>
      <c r="P142" s="12">
        <v>0.91900000000000004</v>
      </c>
      <c r="Q142" s="12" t="s">
        <v>7956</v>
      </c>
      <c r="R142" s="12">
        <v>1.7000000000000001E-2</v>
      </c>
      <c r="S142" s="12">
        <v>2.3061999999999999E-2</v>
      </c>
      <c r="T142" s="12">
        <v>26490</v>
      </c>
      <c r="U142" s="12">
        <v>0.25600000000000001</v>
      </c>
      <c r="V142" s="12" t="s">
        <v>7662</v>
      </c>
      <c r="W142" s="12" t="s">
        <v>25</v>
      </c>
      <c r="X142" s="12">
        <v>7</v>
      </c>
      <c r="Y142" s="12" t="s">
        <v>6639</v>
      </c>
      <c r="Z142" s="12" t="s">
        <v>6639</v>
      </c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</row>
    <row r="143" spans="1:56" s="12" customFormat="1" x14ac:dyDescent="0.2">
      <c r="A143" s="12" t="s">
        <v>1003</v>
      </c>
      <c r="B143" s="12" t="s">
        <v>1004</v>
      </c>
      <c r="C143" s="12" t="s">
        <v>13</v>
      </c>
      <c r="D143" s="12" t="s">
        <v>7210</v>
      </c>
      <c r="E143" s="12" t="s">
        <v>8031</v>
      </c>
      <c r="F143" s="12" t="s">
        <v>7160</v>
      </c>
      <c r="G143" s="12" t="s">
        <v>7649</v>
      </c>
      <c r="H143" s="12">
        <v>69</v>
      </c>
      <c r="I143" s="12" t="s">
        <v>7647</v>
      </c>
      <c r="J143" s="80">
        <v>7.6666666666666661</v>
      </c>
      <c r="K143" s="12" t="s">
        <v>7161</v>
      </c>
      <c r="L143" s="12" t="s">
        <v>21</v>
      </c>
      <c r="M143" s="12" t="s">
        <v>8108</v>
      </c>
      <c r="N143" s="12">
        <v>78.510000000000005</v>
      </c>
      <c r="O143" s="12">
        <v>0.20100000000000001</v>
      </c>
      <c r="P143" s="12">
        <v>0.99399999999999999</v>
      </c>
      <c r="Q143" s="12" t="s">
        <v>7337</v>
      </c>
      <c r="R143" s="12">
        <v>1.9E-2</v>
      </c>
      <c r="S143" s="12">
        <v>0.32536999999999999</v>
      </c>
      <c r="T143" s="12">
        <v>290796</v>
      </c>
      <c r="U143" s="12">
        <v>0.22</v>
      </c>
      <c r="V143" s="12" t="s">
        <v>7662</v>
      </c>
      <c r="W143" s="12" t="s">
        <v>25</v>
      </c>
      <c r="X143" s="12">
        <v>722</v>
      </c>
      <c r="Y143" s="12" t="s">
        <v>6639</v>
      </c>
      <c r="Z143" s="12" t="s">
        <v>6639</v>
      </c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</row>
    <row r="144" spans="1:56" s="12" customFormat="1" x14ac:dyDescent="0.2">
      <c r="A144" s="12" t="s">
        <v>1006</v>
      </c>
      <c r="B144" s="12" t="s">
        <v>1007</v>
      </c>
      <c r="C144" s="12" t="s">
        <v>13</v>
      </c>
      <c r="D144" s="12" t="s">
        <v>7210</v>
      </c>
      <c r="E144" s="12" t="s">
        <v>8031</v>
      </c>
      <c r="F144" s="12" t="s">
        <v>7160</v>
      </c>
      <c r="G144" s="12" t="s">
        <v>7649</v>
      </c>
      <c r="H144" s="12">
        <v>76</v>
      </c>
      <c r="I144" s="12" t="s">
        <v>7647</v>
      </c>
      <c r="J144" s="80">
        <v>8.4444444444444446</v>
      </c>
      <c r="K144" s="12" t="s">
        <v>7161</v>
      </c>
      <c r="L144" s="12" t="s">
        <v>21</v>
      </c>
      <c r="M144" s="12" t="s">
        <v>8108</v>
      </c>
      <c r="N144" s="12">
        <v>409.3</v>
      </c>
      <c r="O144" s="12">
        <v>0.18099999999999999</v>
      </c>
      <c r="P144" s="12">
        <v>0.99099999999999999</v>
      </c>
      <c r="Q144" s="12" t="s">
        <v>7973</v>
      </c>
      <c r="R144" s="12">
        <v>0.47899999999999998</v>
      </c>
      <c r="S144" s="12">
        <v>2.4148420000000002</v>
      </c>
      <c r="T144" s="12">
        <v>757100</v>
      </c>
      <c r="U144" s="12">
        <v>0.188</v>
      </c>
      <c r="V144" s="12" t="s">
        <v>7662</v>
      </c>
      <c r="W144" s="12" t="s">
        <v>11</v>
      </c>
      <c r="X144" s="12">
        <v>4063</v>
      </c>
      <c r="Y144" s="12">
        <v>3.5609999999999999E-3</v>
      </c>
      <c r="Z144" s="12">
        <v>3.1004714701772258</v>
      </c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</row>
    <row r="145" spans="1:39" s="12" customFormat="1" x14ac:dyDescent="0.2">
      <c r="A145" s="12" t="s">
        <v>1192</v>
      </c>
      <c r="B145" s="12" t="s">
        <v>1193</v>
      </c>
      <c r="C145" s="12" t="s">
        <v>13</v>
      </c>
      <c r="D145" s="12" t="s">
        <v>7210</v>
      </c>
      <c r="E145" s="12" t="s">
        <v>8031</v>
      </c>
      <c r="F145" s="12" t="s">
        <v>7160</v>
      </c>
      <c r="G145" s="12" t="s">
        <v>7649</v>
      </c>
      <c r="H145" s="12">
        <v>67</v>
      </c>
      <c r="I145" s="12" t="s">
        <v>7647</v>
      </c>
      <c r="J145" s="80">
        <v>7.4444444444444438</v>
      </c>
      <c r="K145" s="12" t="s">
        <v>7161</v>
      </c>
      <c r="L145" s="12" t="s">
        <v>21</v>
      </c>
      <c r="M145" s="12" t="s">
        <v>8108</v>
      </c>
      <c r="N145" s="12">
        <v>177.3</v>
      </c>
      <c r="O145" s="12">
        <v>0.19600000000000001</v>
      </c>
      <c r="P145" s="12">
        <v>0.96699999999999997</v>
      </c>
      <c r="Q145" s="12" t="s">
        <v>7960</v>
      </c>
      <c r="R145" s="12">
        <v>0.34599999999999997</v>
      </c>
      <c r="S145" s="12">
        <v>1.127197</v>
      </c>
      <c r="T145" s="12">
        <v>644891</v>
      </c>
      <c r="U145" s="12">
        <v>0.19800000000000001</v>
      </c>
      <c r="V145" s="12" t="s">
        <v>7662</v>
      </c>
      <c r="W145" s="12" t="s">
        <v>11</v>
      </c>
      <c r="X145" s="12">
        <v>1577</v>
      </c>
      <c r="Y145" s="12">
        <v>3.8570000000000002E-3</v>
      </c>
      <c r="Z145" s="12">
        <v>1.9332432122211849</v>
      </c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</row>
    <row r="146" spans="1:39" s="12" customFormat="1" x14ac:dyDescent="0.2">
      <c r="A146" s="12" t="s">
        <v>1962</v>
      </c>
      <c r="B146" s="12" t="s">
        <v>1963</v>
      </c>
      <c r="C146" s="12" t="s">
        <v>8127</v>
      </c>
      <c r="D146" s="12" t="s">
        <v>7159</v>
      </c>
      <c r="E146" s="12" t="s">
        <v>8031</v>
      </c>
      <c r="F146" s="12" t="s">
        <v>7160</v>
      </c>
      <c r="G146" s="12" t="s">
        <v>7649</v>
      </c>
      <c r="H146" s="12">
        <v>75</v>
      </c>
      <c r="I146" s="12" t="s">
        <v>7647</v>
      </c>
      <c r="J146" s="80">
        <v>8.3333333333333321</v>
      </c>
      <c r="K146" s="12" t="s">
        <v>7161</v>
      </c>
      <c r="L146" s="12" t="s">
        <v>21</v>
      </c>
      <c r="M146" s="12" t="s">
        <v>8108</v>
      </c>
      <c r="N146" s="12">
        <v>11.06</v>
      </c>
      <c r="O146" s="12">
        <v>8.8999999999999996E-2</v>
      </c>
      <c r="P146" s="12">
        <v>0.94099999999999995</v>
      </c>
      <c r="Q146" s="12" t="s">
        <v>7957</v>
      </c>
      <c r="R146" s="12">
        <v>1.2999999999999999E-2</v>
      </c>
      <c r="S146" s="12">
        <v>9.7674999999999998E-2</v>
      </c>
      <c r="T146" s="12">
        <v>105057</v>
      </c>
      <c r="U146" s="12">
        <v>0.1</v>
      </c>
      <c r="V146" s="12" t="s">
        <v>7662</v>
      </c>
      <c r="W146" s="12" t="s">
        <v>25</v>
      </c>
      <c r="X146" s="12">
        <v>106</v>
      </c>
      <c r="Y146" s="12" t="s">
        <v>6639</v>
      </c>
      <c r="Z146" s="12" t="s">
        <v>6639</v>
      </c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</row>
    <row r="147" spans="1:39" s="12" customFormat="1" x14ac:dyDescent="0.2">
      <c r="A147" s="12" t="s">
        <v>1098</v>
      </c>
      <c r="B147" s="12" t="s">
        <v>1099</v>
      </c>
      <c r="C147" s="12" t="s">
        <v>143</v>
      </c>
      <c r="D147" s="12" t="s">
        <v>7159</v>
      </c>
      <c r="E147" s="12" t="s">
        <v>8031</v>
      </c>
      <c r="F147" s="12" t="s">
        <v>7160</v>
      </c>
      <c r="G147" s="12" t="s">
        <v>7649</v>
      </c>
      <c r="H147" s="12">
        <v>60</v>
      </c>
      <c r="I147" s="12" t="s">
        <v>7647</v>
      </c>
      <c r="J147" s="80">
        <v>6.6666666666666661</v>
      </c>
      <c r="K147" s="12" t="s">
        <v>7161</v>
      </c>
      <c r="L147" s="12" t="s">
        <v>21</v>
      </c>
      <c r="M147" s="12" t="s">
        <v>8108</v>
      </c>
      <c r="N147" s="12">
        <v>6.6580000000000004</v>
      </c>
      <c r="O147" s="12">
        <v>0.16</v>
      </c>
      <c r="P147" s="12">
        <v>0.97099999999999997</v>
      </c>
      <c r="Q147" s="12" t="s">
        <v>7962</v>
      </c>
      <c r="R147" s="12">
        <v>3.8999999999999999E-4</v>
      </c>
      <c r="S147" s="12">
        <v>2.689E-3</v>
      </c>
      <c r="T147" s="12">
        <v>3175</v>
      </c>
      <c r="U147" s="12">
        <v>0.16700000000000001</v>
      </c>
      <c r="V147" s="12" t="s">
        <v>7662</v>
      </c>
      <c r="W147" s="12" t="s">
        <v>25</v>
      </c>
      <c r="X147" s="12">
        <v>0</v>
      </c>
      <c r="Y147" s="12" t="s">
        <v>6639</v>
      </c>
      <c r="Z147" s="12" t="s">
        <v>6639</v>
      </c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</row>
    <row r="148" spans="1:39" s="12" customFormat="1" x14ac:dyDescent="0.2">
      <c r="A148" s="12" t="s">
        <v>2062</v>
      </c>
      <c r="B148" s="12" t="s">
        <v>2063</v>
      </c>
      <c r="C148" s="12" t="s">
        <v>143</v>
      </c>
      <c r="D148" s="12" t="s">
        <v>7159</v>
      </c>
      <c r="E148" s="12" t="s">
        <v>8031</v>
      </c>
      <c r="F148" s="12" t="s">
        <v>7160</v>
      </c>
      <c r="G148" s="12" t="s">
        <v>7649</v>
      </c>
      <c r="H148" s="12">
        <v>62</v>
      </c>
      <c r="I148" s="12" t="s">
        <v>7647</v>
      </c>
      <c r="J148" s="80">
        <v>6.8888888888888884</v>
      </c>
      <c r="K148" s="12" t="s">
        <v>7161</v>
      </c>
      <c r="L148" s="12" t="s">
        <v>21</v>
      </c>
      <c r="M148" s="12" t="s">
        <v>8108</v>
      </c>
      <c r="N148" s="12">
        <v>33.71</v>
      </c>
      <c r="O148" s="12">
        <v>0.125</v>
      </c>
      <c r="P148" s="12">
        <v>0.98499999999999999</v>
      </c>
      <c r="Q148" s="12" t="s">
        <v>7323</v>
      </c>
      <c r="R148" s="12">
        <v>2.8E-3</v>
      </c>
      <c r="S148" s="12">
        <v>0.11593100000000001</v>
      </c>
      <c r="T148" s="12">
        <v>128105</v>
      </c>
      <c r="U148" s="12">
        <v>0.113</v>
      </c>
      <c r="V148" s="12" t="s">
        <v>7662</v>
      </c>
      <c r="W148" s="12" t="s">
        <v>11</v>
      </c>
      <c r="X148" s="12">
        <v>32</v>
      </c>
      <c r="Y148" s="12" t="s">
        <v>8052</v>
      </c>
      <c r="Z148" s="12" t="s">
        <v>8052</v>
      </c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</row>
    <row r="149" spans="1:39" s="12" customFormat="1" x14ac:dyDescent="0.2">
      <c r="A149" s="12" t="s">
        <v>1042</v>
      </c>
      <c r="B149" s="12" t="s">
        <v>1043</v>
      </c>
      <c r="C149" s="12" t="s">
        <v>143</v>
      </c>
      <c r="D149" s="12" t="s">
        <v>7159</v>
      </c>
      <c r="E149" s="12" t="s">
        <v>8031</v>
      </c>
      <c r="F149" s="12" t="s">
        <v>7160</v>
      </c>
      <c r="G149" s="12" t="s">
        <v>7649</v>
      </c>
      <c r="H149" s="12">
        <v>61</v>
      </c>
      <c r="I149" s="12" t="s">
        <v>7647</v>
      </c>
      <c r="J149" s="80">
        <v>6.7777777777777777</v>
      </c>
      <c r="K149" s="12" t="s">
        <v>7161</v>
      </c>
      <c r="L149" s="12" t="s">
        <v>21</v>
      </c>
      <c r="M149" s="12" t="s">
        <v>8108</v>
      </c>
      <c r="N149" s="12">
        <v>30.05</v>
      </c>
      <c r="O149" s="12">
        <v>0.126</v>
      </c>
      <c r="P149" s="12">
        <v>0.99399999999999999</v>
      </c>
      <c r="Q149" s="12" t="s">
        <v>7976</v>
      </c>
      <c r="R149" s="12">
        <v>4.1999999999999997E-3</v>
      </c>
      <c r="S149" s="12">
        <v>1.6220999999999999E-2</v>
      </c>
      <c r="T149" s="12">
        <v>19125</v>
      </c>
      <c r="U149" s="12">
        <v>0.13900000000000001</v>
      </c>
      <c r="V149" s="12" t="s">
        <v>7662</v>
      </c>
      <c r="W149" s="12" t="s">
        <v>11</v>
      </c>
      <c r="X149" s="12">
        <v>1</v>
      </c>
      <c r="Y149" s="12" t="s">
        <v>8052</v>
      </c>
      <c r="Z149" s="12" t="s">
        <v>8052</v>
      </c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</row>
    <row r="150" spans="1:39" s="12" customFormat="1" x14ac:dyDescent="0.2">
      <c r="A150" s="12" t="s">
        <v>4168</v>
      </c>
      <c r="B150" s="12" t="s">
        <v>4169</v>
      </c>
      <c r="C150" s="12" t="s">
        <v>8127</v>
      </c>
      <c r="D150" s="12" t="s">
        <v>7159</v>
      </c>
      <c r="E150" s="12" t="s">
        <v>8031</v>
      </c>
      <c r="F150" s="12" t="s">
        <v>7160</v>
      </c>
      <c r="G150" s="12" t="s">
        <v>7649</v>
      </c>
      <c r="H150" s="12">
        <v>68</v>
      </c>
      <c r="I150" s="12" t="s">
        <v>7647</v>
      </c>
      <c r="J150" s="80">
        <v>7.5555555555555554</v>
      </c>
      <c r="K150" s="12" t="s">
        <v>7161</v>
      </c>
      <c r="L150" s="12" t="s">
        <v>21</v>
      </c>
      <c r="M150" s="12" t="s">
        <v>8108</v>
      </c>
      <c r="N150" s="12">
        <v>0.85499999999999998</v>
      </c>
      <c r="O150" s="12" t="s">
        <v>7796</v>
      </c>
      <c r="P150" s="12" t="s">
        <v>7796</v>
      </c>
      <c r="Q150" s="12" t="s">
        <v>7796</v>
      </c>
      <c r="R150" s="12">
        <v>2.5999999999999998E-4</v>
      </c>
      <c r="S150" s="12">
        <v>3.5140000000000002E-3</v>
      </c>
      <c r="T150" s="12">
        <v>4172</v>
      </c>
      <c r="U150" s="12">
        <v>0.11</v>
      </c>
      <c r="V150" s="12" t="s">
        <v>7662</v>
      </c>
      <c r="W150" s="12" t="s">
        <v>1126</v>
      </c>
      <c r="X150" s="12">
        <v>0</v>
      </c>
      <c r="Y150" s="12" t="s">
        <v>6638</v>
      </c>
      <c r="Z150" s="12" t="s">
        <v>6638</v>
      </c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</row>
    <row r="151" spans="1:39" s="12" customFormat="1" x14ac:dyDescent="0.2">
      <c r="A151" s="12" t="s">
        <v>115</v>
      </c>
      <c r="B151" s="12" t="s">
        <v>116</v>
      </c>
      <c r="C151" s="12" t="s">
        <v>8127</v>
      </c>
      <c r="D151" s="12" t="s">
        <v>7159</v>
      </c>
      <c r="E151" s="12" t="s">
        <v>8031</v>
      </c>
      <c r="F151" s="12" t="s">
        <v>7160</v>
      </c>
      <c r="G151" s="12" t="s">
        <v>7649</v>
      </c>
      <c r="H151" s="12">
        <v>40</v>
      </c>
      <c r="I151" s="12" t="s">
        <v>7647</v>
      </c>
      <c r="J151" s="80">
        <v>4.4444444444444446</v>
      </c>
      <c r="K151" s="12" t="s">
        <v>7161</v>
      </c>
      <c r="L151" s="12" t="s">
        <v>21</v>
      </c>
      <c r="M151" s="12" t="s">
        <v>8108</v>
      </c>
      <c r="N151" s="12">
        <v>224.4</v>
      </c>
      <c r="O151" s="12">
        <v>5.3999999999999999E-2</v>
      </c>
      <c r="P151" s="12">
        <v>0.96856799999999998</v>
      </c>
      <c r="Q151" s="12" t="s">
        <v>7961</v>
      </c>
      <c r="R151" s="12">
        <v>8.7999999999999995E-2</v>
      </c>
      <c r="S151" s="12">
        <v>0.88999200000000001</v>
      </c>
      <c r="T151" s="12">
        <v>599959</v>
      </c>
      <c r="U151" s="12">
        <v>4.5999999999999999E-2</v>
      </c>
      <c r="V151" s="12" t="s">
        <v>7662</v>
      </c>
      <c r="W151" s="12" t="s">
        <v>11</v>
      </c>
      <c r="X151" s="12">
        <v>1287</v>
      </c>
      <c r="Y151" s="12">
        <v>1.3826E-2</v>
      </c>
      <c r="Z151" s="12">
        <v>3.4662131959282898</v>
      </c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</row>
    <row r="152" spans="1:39" s="12" customFormat="1" x14ac:dyDescent="0.2">
      <c r="A152" s="12" t="s">
        <v>1377</v>
      </c>
      <c r="B152" s="12" t="s">
        <v>1376</v>
      </c>
      <c r="C152" s="12" t="s">
        <v>13</v>
      </c>
      <c r="D152" s="12" t="s">
        <v>7210</v>
      </c>
      <c r="E152" s="12" t="s">
        <v>8123</v>
      </c>
      <c r="F152" s="12" t="s">
        <v>7230</v>
      </c>
      <c r="G152" s="12" t="s">
        <v>7651</v>
      </c>
      <c r="H152" s="12">
        <v>74</v>
      </c>
      <c r="I152" s="12" t="s">
        <v>7647</v>
      </c>
      <c r="J152" s="80">
        <v>7.4</v>
      </c>
      <c r="K152" s="12" t="s">
        <v>7161</v>
      </c>
      <c r="L152" s="12" t="s">
        <v>21</v>
      </c>
      <c r="M152" s="12" t="s">
        <v>8110</v>
      </c>
      <c r="N152" s="12" t="s">
        <v>17</v>
      </c>
      <c r="O152" s="12" t="s">
        <v>17</v>
      </c>
      <c r="P152" s="12" t="s">
        <v>17</v>
      </c>
      <c r="Q152" s="12" t="s">
        <v>17</v>
      </c>
      <c r="R152" s="12">
        <v>0.54</v>
      </c>
      <c r="S152" s="12">
        <v>8.8377999999999998E-2</v>
      </c>
      <c r="T152" s="12">
        <v>97901</v>
      </c>
      <c r="U152" s="12">
        <v>0.04</v>
      </c>
      <c r="V152" s="12" t="s">
        <v>7661</v>
      </c>
      <c r="W152" s="12" t="s">
        <v>25</v>
      </c>
      <c r="X152" s="12">
        <v>70</v>
      </c>
      <c r="Y152" s="12" t="s">
        <v>6639</v>
      </c>
      <c r="Z152" s="12" t="s">
        <v>6639</v>
      </c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</row>
    <row r="153" spans="1:39" s="12" customFormat="1" x14ac:dyDescent="0.2">
      <c r="A153" s="12" t="s">
        <v>2077</v>
      </c>
      <c r="B153" s="12" t="s">
        <v>2076</v>
      </c>
      <c r="C153" s="12" t="s">
        <v>13</v>
      </c>
      <c r="D153" s="12" t="s">
        <v>7210</v>
      </c>
      <c r="E153" s="12" t="s">
        <v>8123</v>
      </c>
      <c r="F153" s="12" t="s">
        <v>7230</v>
      </c>
      <c r="G153" s="12" t="s">
        <v>7651</v>
      </c>
      <c r="H153" s="12">
        <v>74</v>
      </c>
      <c r="I153" s="12" t="s">
        <v>7647</v>
      </c>
      <c r="J153" s="80">
        <v>7.4</v>
      </c>
      <c r="K153" s="12" t="s">
        <v>7161</v>
      </c>
      <c r="L153" s="12" t="s">
        <v>21</v>
      </c>
      <c r="M153" s="12" t="s">
        <v>8108</v>
      </c>
      <c r="N153" s="12" t="s">
        <v>17</v>
      </c>
      <c r="O153" s="12" t="s">
        <v>17</v>
      </c>
      <c r="P153" s="12" t="s">
        <v>17</v>
      </c>
      <c r="Q153" s="12" t="s">
        <v>17</v>
      </c>
      <c r="R153" s="12">
        <v>0.74</v>
      </c>
      <c r="S153" s="12">
        <v>1.7064170000000001</v>
      </c>
      <c r="T153" s="12">
        <v>633905</v>
      </c>
      <c r="U153" s="12">
        <v>0.15</v>
      </c>
      <c r="V153" s="12" t="s">
        <v>7661</v>
      </c>
      <c r="W153" s="12" t="s">
        <v>25</v>
      </c>
      <c r="X153" s="12">
        <v>4902</v>
      </c>
      <c r="Y153" s="12" t="s">
        <v>6639</v>
      </c>
      <c r="Z153" s="12" t="s">
        <v>6639</v>
      </c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</row>
    <row r="154" spans="1:39" s="12" customFormat="1" x14ac:dyDescent="0.2">
      <c r="A154" s="12" t="s">
        <v>2099</v>
      </c>
      <c r="B154" s="12" t="s">
        <v>2100</v>
      </c>
      <c r="C154" s="12" t="s">
        <v>13</v>
      </c>
      <c r="D154" s="12" t="s">
        <v>7210</v>
      </c>
      <c r="E154" s="12" t="s">
        <v>8123</v>
      </c>
      <c r="F154" s="12" t="s">
        <v>7230</v>
      </c>
      <c r="G154" s="12" t="s">
        <v>7651</v>
      </c>
      <c r="H154" s="12">
        <v>76</v>
      </c>
      <c r="I154" s="12" t="s">
        <v>7647</v>
      </c>
      <c r="J154" s="80">
        <v>7.6000000000000005</v>
      </c>
      <c r="K154" s="12" t="s">
        <v>7161</v>
      </c>
      <c r="L154" s="12" t="s">
        <v>21</v>
      </c>
      <c r="M154" s="12" t="s">
        <v>8108</v>
      </c>
      <c r="N154" s="12" t="s">
        <v>17</v>
      </c>
      <c r="O154" s="12" t="s">
        <v>17</v>
      </c>
      <c r="P154" s="12" t="s">
        <v>17</v>
      </c>
      <c r="Q154" s="12" t="s">
        <v>17</v>
      </c>
      <c r="R154" s="12">
        <v>2.2000000000000001E-3</v>
      </c>
      <c r="S154" s="12">
        <v>2.5536E-2</v>
      </c>
      <c r="T154" s="12">
        <v>30098</v>
      </c>
      <c r="U154" s="12">
        <v>0.191</v>
      </c>
      <c r="V154" s="12" t="s">
        <v>7661</v>
      </c>
      <c r="W154" s="12" t="s">
        <v>11</v>
      </c>
      <c r="X154" s="12">
        <v>5</v>
      </c>
      <c r="Y154" s="12" t="s">
        <v>8052</v>
      </c>
      <c r="Z154" s="12" t="s">
        <v>8052</v>
      </c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</row>
    <row r="155" spans="1:39" s="12" customFormat="1" x14ac:dyDescent="0.2">
      <c r="A155" s="12" t="s">
        <v>2074</v>
      </c>
      <c r="B155" s="12" t="s">
        <v>2073</v>
      </c>
      <c r="C155" s="12" t="s">
        <v>13</v>
      </c>
      <c r="D155" s="12" t="s">
        <v>7210</v>
      </c>
      <c r="E155" s="12" t="s">
        <v>8123</v>
      </c>
      <c r="F155" s="12" t="s">
        <v>7230</v>
      </c>
      <c r="G155" s="12" t="s">
        <v>7651</v>
      </c>
      <c r="H155" s="12">
        <v>74</v>
      </c>
      <c r="I155" s="12" t="s">
        <v>7647</v>
      </c>
      <c r="J155" s="80">
        <v>7.4</v>
      </c>
      <c r="K155" s="12" t="s">
        <v>7161</v>
      </c>
      <c r="L155" s="12" t="s">
        <v>21</v>
      </c>
      <c r="M155" s="12" t="s">
        <v>8108</v>
      </c>
      <c r="N155" s="12" t="s">
        <v>17</v>
      </c>
      <c r="O155" s="12" t="s">
        <v>17</v>
      </c>
      <c r="P155" s="12" t="s">
        <v>17</v>
      </c>
      <c r="Q155" s="12" t="s">
        <v>17</v>
      </c>
      <c r="R155" s="12">
        <v>0.27</v>
      </c>
      <c r="S155" s="12">
        <v>0.38644299999999998</v>
      </c>
      <c r="T155" s="12">
        <v>325684</v>
      </c>
      <c r="U155" s="12">
        <v>0.13400000000000001</v>
      </c>
      <c r="V155" s="12" t="s">
        <v>7661</v>
      </c>
      <c r="W155" s="12" t="s">
        <v>11</v>
      </c>
      <c r="X155" s="12">
        <v>210</v>
      </c>
      <c r="Y155" s="12">
        <v>6.1879999999999999E-3</v>
      </c>
      <c r="Z155" s="12">
        <v>0.88257640425992867</v>
      </c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</row>
    <row r="156" spans="1:39" s="12" customFormat="1" x14ac:dyDescent="0.2">
      <c r="A156" s="12" t="s">
        <v>2092</v>
      </c>
      <c r="B156" s="12" t="s">
        <v>2090</v>
      </c>
      <c r="C156" s="12" t="s">
        <v>13</v>
      </c>
      <c r="D156" s="12" t="s">
        <v>7210</v>
      </c>
      <c r="E156" s="12" t="s">
        <v>8123</v>
      </c>
      <c r="F156" s="12" t="s">
        <v>7230</v>
      </c>
      <c r="G156" s="12" t="s">
        <v>7651</v>
      </c>
      <c r="H156" s="12">
        <v>77</v>
      </c>
      <c r="I156" s="12" t="s">
        <v>7647</v>
      </c>
      <c r="J156" s="80">
        <v>7.7</v>
      </c>
      <c r="K156" s="12" t="s">
        <v>7161</v>
      </c>
      <c r="L156" s="12" t="s">
        <v>21</v>
      </c>
      <c r="M156" s="12" t="s">
        <v>8108</v>
      </c>
      <c r="N156" s="12" t="s">
        <v>17</v>
      </c>
      <c r="O156" s="12" t="s">
        <v>17</v>
      </c>
      <c r="P156" s="12" t="s">
        <v>17</v>
      </c>
      <c r="Q156" s="12" t="s">
        <v>17</v>
      </c>
      <c r="R156" s="12">
        <v>1.2999999999999999E-2</v>
      </c>
      <c r="S156" s="12">
        <v>4.6080000000000001E-3</v>
      </c>
      <c r="T156" s="12">
        <v>5481</v>
      </c>
      <c r="U156" s="12">
        <v>5.2999999999999999E-2</v>
      </c>
      <c r="V156" s="12" t="s">
        <v>7661</v>
      </c>
      <c r="W156" s="12" t="s">
        <v>11</v>
      </c>
      <c r="X156" s="12">
        <v>1</v>
      </c>
      <c r="Y156" s="12" t="s">
        <v>8052</v>
      </c>
      <c r="Z156" s="12" t="s">
        <v>8052</v>
      </c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</row>
    <row r="157" spans="1:39" s="12" customFormat="1" x14ac:dyDescent="0.2">
      <c r="A157" s="12" t="s">
        <v>3856</v>
      </c>
      <c r="B157" s="12" t="s">
        <v>3854</v>
      </c>
      <c r="C157" s="12" t="s">
        <v>13</v>
      </c>
      <c r="D157" s="12" t="s">
        <v>7210</v>
      </c>
      <c r="E157" s="12" t="s">
        <v>8123</v>
      </c>
      <c r="F157" s="12" t="s">
        <v>7230</v>
      </c>
      <c r="G157" s="12" t="s">
        <v>7651</v>
      </c>
      <c r="H157" s="12">
        <v>76</v>
      </c>
      <c r="I157" s="12" t="s">
        <v>7647</v>
      </c>
      <c r="J157" s="80">
        <v>7.6000000000000005</v>
      </c>
      <c r="K157" s="12" t="s">
        <v>7161</v>
      </c>
      <c r="L157" s="12" t="s">
        <v>21</v>
      </c>
      <c r="M157" s="12" t="s">
        <v>8108</v>
      </c>
      <c r="N157" s="12" t="s">
        <v>17</v>
      </c>
      <c r="O157" s="12" t="s">
        <v>17</v>
      </c>
      <c r="P157" s="12" t="s">
        <v>17</v>
      </c>
      <c r="Q157" s="12" t="s">
        <v>17</v>
      </c>
      <c r="R157" s="12">
        <v>1.7999999999999999E-2</v>
      </c>
      <c r="S157" s="12">
        <v>2.3909999999999999E-3</v>
      </c>
      <c r="T157" s="12">
        <v>2854</v>
      </c>
      <c r="U157" s="12">
        <v>4.9000000000000002E-2</v>
      </c>
      <c r="V157" s="12" t="s">
        <v>7661</v>
      </c>
      <c r="W157" s="12" t="s">
        <v>11</v>
      </c>
      <c r="X157" s="12">
        <v>0</v>
      </c>
      <c r="Y157" s="12" t="s">
        <v>8052</v>
      </c>
      <c r="Z157" s="12" t="s">
        <v>8052</v>
      </c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</row>
    <row r="158" spans="1:39" s="12" customFormat="1" x14ac:dyDescent="0.2">
      <c r="A158" s="12" t="s">
        <v>3833</v>
      </c>
      <c r="B158" s="12" t="s">
        <v>3831</v>
      </c>
      <c r="C158" s="12" t="s">
        <v>13</v>
      </c>
      <c r="D158" s="12" t="s">
        <v>7210</v>
      </c>
      <c r="E158" s="12" t="s">
        <v>8123</v>
      </c>
      <c r="F158" s="12" t="s">
        <v>7230</v>
      </c>
      <c r="G158" s="12" t="s">
        <v>7651</v>
      </c>
      <c r="H158" s="12">
        <v>76</v>
      </c>
      <c r="I158" s="12" t="s">
        <v>7647</v>
      </c>
      <c r="J158" s="80">
        <v>7.6000000000000005</v>
      </c>
      <c r="K158" s="12" t="s">
        <v>7161</v>
      </c>
      <c r="L158" s="12" t="s">
        <v>21</v>
      </c>
      <c r="M158" s="12" t="s">
        <v>8108</v>
      </c>
      <c r="N158" s="12" t="s">
        <v>17</v>
      </c>
      <c r="O158" s="12" t="s">
        <v>17</v>
      </c>
      <c r="P158" s="12" t="s">
        <v>17</v>
      </c>
      <c r="Q158" s="12" t="s">
        <v>17</v>
      </c>
      <c r="R158" s="12">
        <v>0.76</v>
      </c>
      <c r="S158" s="12">
        <v>1.8795409999999999</v>
      </c>
      <c r="T158" s="12">
        <v>656926</v>
      </c>
      <c r="U158" s="12">
        <v>0.14899999999999999</v>
      </c>
      <c r="V158" s="12" t="s">
        <v>7661</v>
      </c>
      <c r="W158" s="12" t="s">
        <v>11</v>
      </c>
      <c r="X158" s="12">
        <v>2754</v>
      </c>
      <c r="Y158" s="12">
        <v>3.333E-3</v>
      </c>
      <c r="Z158" s="12">
        <v>2.2829079850408909</v>
      </c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</row>
    <row r="159" spans="1:39" s="12" customFormat="1" x14ac:dyDescent="0.2">
      <c r="A159" s="12" t="s">
        <v>2070</v>
      </c>
      <c r="B159" s="12" t="s">
        <v>2068</v>
      </c>
      <c r="C159" s="12" t="s">
        <v>13</v>
      </c>
      <c r="D159" s="12" t="s">
        <v>7210</v>
      </c>
      <c r="E159" s="12" t="s">
        <v>8123</v>
      </c>
      <c r="F159" s="12" t="s">
        <v>7230</v>
      </c>
      <c r="G159" s="12" t="s">
        <v>7651</v>
      </c>
      <c r="H159" s="12">
        <v>75</v>
      </c>
      <c r="I159" s="12" t="s">
        <v>7647</v>
      </c>
      <c r="J159" s="80">
        <v>7.5</v>
      </c>
      <c r="K159" s="12" t="s">
        <v>7161</v>
      </c>
      <c r="L159" s="12" t="s">
        <v>21</v>
      </c>
      <c r="M159" s="12" t="s">
        <v>8108</v>
      </c>
      <c r="N159" s="12" t="s">
        <v>17</v>
      </c>
      <c r="O159" s="12" t="s">
        <v>17</v>
      </c>
      <c r="P159" s="12" t="s">
        <v>17</v>
      </c>
      <c r="Q159" s="12" t="s">
        <v>17</v>
      </c>
      <c r="R159" s="12">
        <v>0.06</v>
      </c>
      <c r="S159" s="12">
        <v>0.13783799999999999</v>
      </c>
      <c r="T159" s="12">
        <v>140447</v>
      </c>
      <c r="U159" s="12">
        <v>0.11799999999999999</v>
      </c>
      <c r="V159" s="12" t="s">
        <v>7661</v>
      </c>
      <c r="W159" s="12" t="s">
        <v>25</v>
      </c>
      <c r="X159" s="12">
        <v>125</v>
      </c>
      <c r="Y159" s="12" t="s">
        <v>6639</v>
      </c>
      <c r="Z159" s="12" t="s">
        <v>6639</v>
      </c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</row>
    <row r="160" spans="1:39" s="12" customFormat="1" x14ac:dyDescent="0.2">
      <c r="A160" s="12" t="s">
        <v>3864</v>
      </c>
      <c r="B160" s="12" t="s">
        <v>3862</v>
      </c>
      <c r="C160" s="12" t="s">
        <v>13</v>
      </c>
      <c r="D160" s="12" t="s">
        <v>7210</v>
      </c>
      <c r="E160" s="12" t="s">
        <v>8123</v>
      </c>
      <c r="F160" s="12" t="s">
        <v>7230</v>
      </c>
      <c r="G160" s="12" t="s">
        <v>7651</v>
      </c>
      <c r="H160" s="12">
        <v>75</v>
      </c>
      <c r="I160" s="12" t="s">
        <v>7647</v>
      </c>
      <c r="J160" s="80">
        <v>7.5</v>
      </c>
      <c r="K160" s="12" t="s">
        <v>7161</v>
      </c>
      <c r="L160" s="12" t="s">
        <v>21</v>
      </c>
      <c r="M160" s="12" t="s">
        <v>8108</v>
      </c>
      <c r="N160" s="12" t="s">
        <v>17</v>
      </c>
      <c r="O160" s="12" t="s">
        <v>17</v>
      </c>
      <c r="P160" s="12" t="s">
        <v>17</v>
      </c>
      <c r="Q160" s="12" t="s">
        <v>17</v>
      </c>
      <c r="R160" s="12">
        <v>3.3000000000000002E-2</v>
      </c>
      <c r="S160" s="12">
        <v>4.4898E-2</v>
      </c>
      <c r="T160" s="12">
        <v>50196</v>
      </c>
      <c r="U160" s="12">
        <v>9.8000000000000004E-2</v>
      </c>
      <c r="V160" s="12" t="s">
        <v>7661</v>
      </c>
      <c r="W160" s="12" t="s">
        <v>25</v>
      </c>
      <c r="X160" s="12">
        <v>18</v>
      </c>
      <c r="Y160" s="12" t="s">
        <v>6639</v>
      </c>
      <c r="Z160" s="12" t="s">
        <v>6639</v>
      </c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</row>
    <row r="161" spans="1:39" s="12" customFormat="1" x14ac:dyDescent="0.2">
      <c r="A161" s="12" t="s">
        <v>3860</v>
      </c>
      <c r="B161" s="12" t="s">
        <v>3859</v>
      </c>
      <c r="C161" s="12" t="s">
        <v>13</v>
      </c>
      <c r="D161" s="12" t="s">
        <v>7210</v>
      </c>
      <c r="E161" s="12" t="s">
        <v>8123</v>
      </c>
      <c r="F161" s="12" t="s">
        <v>7230</v>
      </c>
      <c r="G161" s="12" t="s">
        <v>7651</v>
      </c>
      <c r="H161" s="12">
        <v>76</v>
      </c>
      <c r="I161" s="12" t="s">
        <v>7647</v>
      </c>
      <c r="J161" s="80">
        <v>7.6000000000000005</v>
      </c>
      <c r="K161" s="12" t="s">
        <v>7161</v>
      </c>
      <c r="L161" s="12" t="s">
        <v>21</v>
      </c>
      <c r="M161" s="12" t="s">
        <v>8108</v>
      </c>
      <c r="N161" s="12" t="s">
        <v>17</v>
      </c>
      <c r="O161" s="12" t="s">
        <v>17</v>
      </c>
      <c r="P161" s="12" t="s">
        <v>17</v>
      </c>
      <c r="Q161" s="12" t="s">
        <v>17</v>
      </c>
      <c r="R161" s="12">
        <v>8.0000000000000002E-3</v>
      </c>
      <c r="S161" s="12">
        <v>3.0660000000000001E-3</v>
      </c>
      <c r="T161" s="12">
        <v>3630</v>
      </c>
      <c r="U161" s="12">
        <v>7.3999999999999996E-2</v>
      </c>
      <c r="V161" s="12" t="s">
        <v>7661</v>
      </c>
      <c r="W161" s="12" t="s">
        <v>25</v>
      </c>
      <c r="X161" s="12">
        <v>0</v>
      </c>
      <c r="Y161" s="12" t="s">
        <v>6639</v>
      </c>
      <c r="Z161" s="12" t="s">
        <v>6639</v>
      </c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</row>
    <row r="162" spans="1:39" s="12" customFormat="1" x14ac:dyDescent="0.2">
      <c r="A162" s="12" t="s">
        <v>2088</v>
      </c>
      <c r="B162" s="12" t="s">
        <v>2087</v>
      </c>
      <c r="C162" s="12" t="s">
        <v>13</v>
      </c>
      <c r="D162" s="12" t="s">
        <v>7210</v>
      </c>
      <c r="E162" s="12" t="s">
        <v>8123</v>
      </c>
      <c r="F162" s="12" t="s">
        <v>7230</v>
      </c>
      <c r="G162" s="12" t="s">
        <v>7651</v>
      </c>
      <c r="H162" s="12">
        <v>76</v>
      </c>
      <c r="I162" s="12" t="s">
        <v>7647</v>
      </c>
      <c r="J162" s="80">
        <v>7.6000000000000005</v>
      </c>
      <c r="K162" s="12" t="s">
        <v>7161</v>
      </c>
      <c r="L162" s="12" t="s">
        <v>21</v>
      </c>
      <c r="M162" s="12" t="s">
        <v>8108</v>
      </c>
      <c r="N162" s="12" t="s">
        <v>17</v>
      </c>
      <c r="O162" s="12" t="s">
        <v>17</v>
      </c>
      <c r="P162" s="12" t="s">
        <v>17</v>
      </c>
      <c r="Q162" s="12" t="s">
        <v>17</v>
      </c>
      <c r="R162" s="12">
        <v>1.7999999999999999E-2</v>
      </c>
      <c r="S162" s="12">
        <v>2.4888E-2</v>
      </c>
      <c r="T162" s="12">
        <v>28567</v>
      </c>
      <c r="U162" s="12">
        <v>0.108</v>
      </c>
      <c r="V162" s="12" t="s">
        <v>7661</v>
      </c>
      <c r="W162" s="12" t="s">
        <v>25</v>
      </c>
      <c r="X162" s="12">
        <v>1</v>
      </c>
      <c r="Y162" s="12" t="s">
        <v>6639</v>
      </c>
      <c r="Z162" s="12" t="s">
        <v>6639</v>
      </c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</row>
    <row r="163" spans="1:39" s="12" customFormat="1" x14ac:dyDescent="0.2">
      <c r="A163" s="12" t="s">
        <v>3867</v>
      </c>
      <c r="B163" s="12" t="s">
        <v>3865</v>
      </c>
      <c r="C163" s="12" t="s">
        <v>13</v>
      </c>
      <c r="D163" s="12" t="s">
        <v>7210</v>
      </c>
      <c r="E163" s="12" t="s">
        <v>8123</v>
      </c>
      <c r="F163" s="12" t="s">
        <v>7230</v>
      </c>
      <c r="G163" s="12" t="s">
        <v>7651</v>
      </c>
      <c r="H163" s="12">
        <v>73</v>
      </c>
      <c r="I163" s="12" t="s">
        <v>7647</v>
      </c>
      <c r="J163" s="80">
        <v>7.3000000000000007</v>
      </c>
      <c r="K163" s="12" t="s">
        <v>7161</v>
      </c>
      <c r="L163" s="12" t="s">
        <v>21</v>
      </c>
      <c r="M163" s="12" t="s">
        <v>8108</v>
      </c>
      <c r="N163" s="12" t="s">
        <v>17</v>
      </c>
      <c r="O163" s="12" t="s">
        <v>17</v>
      </c>
      <c r="P163" s="12" t="s">
        <v>17</v>
      </c>
      <c r="Q163" s="12" t="s">
        <v>17</v>
      </c>
      <c r="R163" s="12">
        <v>1.9E-2</v>
      </c>
      <c r="S163" s="12">
        <v>6.3969999999999999E-2</v>
      </c>
      <c r="T163" s="12">
        <v>69792</v>
      </c>
      <c r="U163" s="12">
        <v>0.113</v>
      </c>
      <c r="V163" s="12" t="s">
        <v>7661</v>
      </c>
      <c r="W163" s="12" t="s">
        <v>25</v>
      </c>
      <c r="X163" s="12">
        <v>29</v>
      </c>
      <c r="Y163" s="12" t="s">
        <v>6639</v>
      </c>
      <c r="Z163" s="12" t="s">
        <v>6639</v>
      </c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</row>
    <row r="164" spans="1:39" s="12" customFormat="1" x14ac:dyDescent="0.2">
      <c r="A164" s="12" t="s">
        <v>3845</v>
      </c>
      <c r="B164" s="12" t="s">
        <v>3844</v>
      </c>
      <c r="C164" s="12" t="s">
        <v>13</v>
      </c>
      <c r="D164" s="12" t="s">
        <v>7210</v>
      </c>
      <c r="E164" s="12" t="s">
        <v>8123</v>
      </c>
      <c r="F164" s="12" t="s">
        <v>7230</v>
      </c>
      <c r="G164" s="12" t="s">
        <v>7651</v>
      </c>
      <c r="H164" s="12">
        <v>74</v>
      </c>
      <c r="I164" s="12" t="s">
        <v>7647</v>
      </c>
      <c r="J164" s="80">
        <v>7.4</v>
      </c>
      <c r="K164" s="12" t="s">
        <v>7161</v>
      </c>
      <c r="L164" s="12" t="s">
        <v>21</v>
      </c>
      <c r="M164" s="12" t="s">
        <v>8108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>
        <v>0.44</v>
      </c>
      <c r="S164" s="12">
        <v>0.89073100000000005</v>
      </c>
      <c r="T164" s="12">
        <v>516701</v>
      </c>
      <c r="U164" s="12">
        <v>0.14099999999999999</v>
      </c>
      <c r="V164" s="12" t="s">
        <v>7661</v>
      </c>
      <c r="W164" s="12" t="s">
        <v>11</v>
      </c>
      <c r="X164" s="12">
        <v>988</v>
      </c>
      <c r="Y164" s="12">
        <v>6.8389999999999996E-3</v>
      </c>
      <c r="Z164" s="12">
        <v>1.9852045799909144</v>
      </c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</row>
    <row r="165" spans="1:39" s="12" customFormat="1" x14ac:dyDescent="0.2">
      <c r="A165" s="12" t="s">
        <v>3847</v>
      </c>
      <c r="B165" s="12" t="s">
        <v>3846</v>
      </c>
      <c r="C165" s="12" t="s">
        <v>13</v>
      </c>
      <c r="D165" s="12" t="s">
        <v>7210</v>
      </c>
      <c r="E165" s="12" t="s">
        <v>8123</v>
      </c>
      <c r="F165" s="12" t="s">
        <v>7230</v>
      </c>
      <c r="G165" s="12" t="s">
        <v>7651</v>
      </c>
      <c r="H165" s="12">
        <v>74</v>
      </c>
      <c r="I165" s="12" t="s">
        <v>7647</v>
      </c>
      <c r="J165" s="80">
        <v>7.4</v>
      </c>
      <c r="K165" s="12" t="s">
        <v>7161</v>
      </c>
      <c r="L165" s="12" t="s">
        <v>21</v>
      </c>
      <c r="M165" s="12" t="s">
        <v>8108</v>
      </c>
      <c r="N165" s="12" t="s">
        <v>17</v>
      </c>
      <c r="O165" s="12" t="s">
        <v>17</v>
      </c>
      <c r="P165" s="12" t="s">
        <v>17</v>
      </c>
      <c r="Q165" s="12" t="s">
        <v>17</v>
      </c>
      <c r="R165" s="12">
        <v>0.6</v>
      </c>
      <c r="S165" s="12">
        <v>2.055129</v>
      </c>
      <c r="T165" s="12">
        <v>658230</v>
      </c>
      <c r="U165" s="12">
        <v>0.13300000000000001</v>
      </c>
      <c r="V165" s="12" t="s">
        <v>7661</v>
      </c>
      <c r="W165" s="12" t="s">
        <v>25</v>
      </c>
      <c r="X165" s="12">
        <v>5552</v>
      </c>
      <c r="Y165" s="12" t="s">
        <v>6639</v>
      </c>
      <c r="Z165" s="12" t="s">
        <v>6639</v>
      </c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</row>
    <row r="166" spans="1:39" s="12" customFormat="1" x14ac:dyDescent="0.2">
      <c r="A166" s="12" t="s">
        <v>3850</v>
      </c>
      <c r="B166" s="12" t="s">
        <v>3849</v>
      </c>
      <c r="C166" s="12" t="s">
        <v>13</v>
      </c>
      <c r="D166" s="12" t="s">
        <v>7210</v>
      </c>
      <c r="E166" s="12" t="s">
        <v>8123</v>
      </c>
      <c r="F166" s="12" t="s">
        <v>7230</v>
      </c>
      <c r="G166" s="12" t="s">
        <v>7651</v>
      </c>
      <c r="H166" s="12">
        <v>73</v>
      </c>
      <c r="I166" s="12" t="s">
        <v>7647</v>
      </c>
      <c r="J166" s="80">
        <v>7.3000000000000007</v>
      </c>
      <c r="K166" s="12" t="s">
        <v>7161</v>
      </c>
      <c r="L166" s="12" t="s">
        <v>21</v>
      </c>
      <c r="M166" s="12" t="s">
        <v>8108</v>
      </c>
      <c r="N166" s="12" t="s">
        <v>17</v>
      </c>
      <c r="O166" s="12" t="s">
        <v>17</v>
      </c>
      <c r="P166" s="12" t="s">
        <v>17</v>
      </c>
      <c r="Q166" s="12" t="s">
        <v>17</v>
      </c>
      <c r="R166" s="12">
        <v>0.55000000000000004</v>
      </c>
      <c r="S166" s="12">
        <v>1.9856069999999999</v>
      </c>
      <c r="T166" s="12">
        <v>667006</v>
      </c>
      <c r="U166" s="12">
        <v>0.14599999999999999</v>
      </c>
      <c r="V166" s="12" t="s">
        <v>7661</v>
      </c>
      <c r="W166" s="12" t="s">
        <v>11</v>
      </c>
      <c r="X166" s="12">
        <v>2875</v>
      </c>
      <c r="Y166" s="12">
        <v>3.3279999999999998E-3</v>
      </c>
      <c r="Z166" s="12">
        <v>2.2870085817797983</v>
      </c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</row>
    <row r="167" spans="1:39" s="12" customFormat="1" x14ac:dyDescent="0.2">
      <c r="A167" s="12" t="s">
        <v>3837</v>
      </c>
      <c r="B167" s="12" t="s">
        <v>3836</v>
      </c>
      <c r="C167" s="12" t="s">
        <v>13</v>
      </c>
      <c r="D167" s="12" t="s">
        <v>7210</v>
      </c>
      <c r="E167" s="12" t="s">
        <v>8123</v>
      </c>
      <c r="F167" s="12" t="s">
        <v>7230</v>
      </c>
      <c r="G167" s="12" t="s">
        <v>7651</v>
      </c>
      <c r="H167" s="12">
        <v>73</v>
      </c>
      <c r="I167" s="12" t="s">
        <v>7647</v>
      </c>
      <c r="J167" s="80">
        <v>7.3000000000000007</v>
      </c>
      <c r="K167" s="12" t="s">
        <v>7161</v>
      </c>
      <c r="L167" s="12" t="s">
        <v>21</v>
      </c>
      <c r="M167" s="12" t="s">
        <v>8108</v>
      </c>
      <c r="N167" s="12" t="s">
        <v>17</v>
      </c>
      <c r="O167" s="12" t="s">
        <v>17</v>
      </c>
      <c r="P167" s="12" t="s">
        <v>17</v>
      </c>
      <c r="Q167" s="12" t="s">
        <v>17</v>
      </c>
      <c r="R167" s="12">
        <v>3.7999999999999999E-2</v>
      </c>
      <c r="S167" s="12">
        <v>8.8300000000000003E-2</v>
      </c>
      <c r="T167" s="12">
        <v>94223</v>
      </c>
      <c r="U167" s="12">
        <v>0.111</v>
      </c>
      <c r="V167" s="12" t="s">
        <v>7661</v>
      </c>
      <c r="W167" s="12" t="s">
        <v>25</v>
      </c>
      <c r="X167" s="12">
        <v>71</v>
      </c>
      <c r="Y167" s="12" t="s">
        <v>6639</v>
      </c>
      <c r="Z167" s="12" t="s">
        <v>6639</v>
      </c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</row>
    <row r="168" spans="1:39" s="12" customFormat="1" x14ac:dyDescent="0.2">
      <c r="A168" s="12" t="s">
        <v>2097</v>
      </c>
      <c r="B168" s="12" t="s">
        <v>2096</v>
      </c>
      <c r="C168" s="12" t="s">
        <v>13</v>
      </c>
      <c r="D168" s="12" t="s">
        <v>7210</v>
      </c>
      <c r="E168" s="12" t="s">
        <v>8123</v>
      </c>
      <c r="F168" s="12" t="s">
        <v>7230</v>
      </c>
      <c r="G168" s="12" t="s">
        <v>7651</v>
      </c>
      <c r="H168" s="12">
        <v>77</v>
      </c>
      <c r="I168" s="12" t="s">
        <v>7647</v>
      </c>
      <c r="J168" s="80">
        <v>7.7</v>
      </c>
      <c r="K168" s="12" t="s">
        <v>7161</v>
      </c>
      <c r="L168" s="12" t="s">
        <v>21</v>
      </c>
      <c r="M168" s="12" t="s">
        <v>8108</v>
      </c>
      <c r="N168" s="12" t="s">
        <v>17</v>
      </c>
      <c r="O168" s="12" t="s">
        <v>17</v>
      </c>
      <c r="P168" s="12" t="s">
        <v>17</v>
      </c>
      <c r="Q168" s="12" t="s">
        <v>17</v>
      </c>
      <c r="R168" s="12">
        <v>1.7999999999999999E-2</v>
      </c>
      <c r="S168" s="12">
        <v>1.7204000000000001E-2</v>
      </c>
      <c r="T168" s="12">
        <v>20314</v>
      </c>
      <c r="U168" s="12">
        <v>7.0999999999999994E-2</v>
      </c>
      <c r="V168" s="12" t="s">
        <v>7661</v>
      </c>
      <c r="W168" s="12" t="s">
        <v>11</v>
      </c>
      <c r="X168" s="12">
        <v>1</v>
      </c>
      <c r="Y168" s="12" t="s">
        <v>8052</v>
      </c>
      <c r="Z168" s="12" t="s">
        <v>8052</v>
      </c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</row>
    <row r="169" spans="1:39" s="12" customFormat="1" x14ac:dyDescent="0.2">
      <c r="A169" s="12" t="s">
        <v>3852</v>
      </c>
      <c r="B169" s="12" t="s">
        <v>3851</v>
      </c>
      <c r="C169" s="12" t="s">
        <v>13</v>
      </c>
      <c r="D169" s="12" t="s">
        <v>7210</v>
      </c>
      <c r="E169" s="12" t="s">
        <v>8123</v>
      </c>
      <c r="F169" s="12" t="s">
        <v>7230</v>
      </c>
      <c r="G169" s="12" t="s">
        <v>7651</v>
      </c>
      <c r="H169" s="12">
        <v>75</v>
      </c>
      <c r="I169" s="12" t="s">
        <v>7647</v>
      </c>
      <c r="J169" s="80">
        <v>7.5</v>
      </c>
      <c r="K169" s="12" t="s">
        <v>7161</v>
      </c>
      <c r="L169" s="12" t="s">
        <v>21</v>
      </c>
      <c r="M169" s="12" t="s">
        <v>8108</v>
      </c>
      <c r="N169" s="12" t="s">
        <v>17</v>
      </c>
      <c r="O169" s="12" t="s">
        <v>17</v>
      </c>
      <c r="P169" s="12" t="s">
        <v>17</v>
      </c>
      <c r="Q169" s="12" t="s">
        <v>17</v>
      </c>
      <c r="R169" s="12">
        <v>0.3</v>
      </c>
      <c r="S169" s="12">
        <v>5.8539000000000001E-2</v>
      </c>
      <c r="T169" s="12">
        <v>65767</v>
      </c>
      <c r="U169" s="12">
        <v>3.9E-2</v>
      </c>
      <c r="V169" s="12" t="s">
        <v>7661</v>
      </c>
      <c r="W169" s="12" t="s">
        <v>25</v>
      </c>
      <c r="X169" s="12">
        <v>19</v>
      </c>
      <c r="Y169" s="12" t="s">
        <v>6639</v>
      </c>
      <c r="Z169" s="12" t="s">
        <v>6639</v>
      </c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</row>
    <row r="170" spans="1:39" s="12" customFormat="1" x14ac:dyDescent="0.2">
      <c r="A170" s="12" t="s">
        <v>2095</v>
      </c>
      <c r="B170" s="12" t="s">
        <v>2094</v>
      </c>
      <c r="C170" s="12" t="s">
        <v>13</v>
      </c>
      <c r="D170" s="12" t="s">
        <v>7210</v>
      </c>
      <c r="E170" s="12" t="s">
        <v>8123</v>
      </c>
      <c r="F170" s="12" t="s">
        <v>7230</v>
      </c>
      <c r="G170" s="12" t="s">
        <v>7651</v>
      </c>
      <c r="H170" s="12">
        <v>76</v>
      </c>
      <c r="I170" s="12" t="s">
        <v>7647</v>
      </c>
      <c r="J170" s="80">
        <v>7.6000000000000005</v>
      </c>
      <c r="K170" s="12" t="s">
        <v>7161</v>
      </c>
      <c r="L170" s="12" t="s">
        <v>21</v>
      </c>
      <c r="M170" s="12" t="s">
        <v>8108</v>
      </c>
      <c r="N170" s="12" t="s">
        <v>17</v>
      </c>
      <c r="O170" s="12" t="s">
        <v>17</v>
      </c>
      <c r="P170" s="12" t="s">
        <v>17</v>
      </c>
      <c r="Q170" s="12" t="s">
        <v>17</v>
      </c>
      <c r="R170" s="12">
        <v>6.1000000000000004E-3</v>
      </c>
      <c r="S170" s="12">
        <v>4.7720000000000002E-3</v>
      </c>
      <c r="T170" s="12">
        <v>5623</v>
      </c>
      <c r="U170" s="12">
        <v>8.5000000000000006E-2</v>
      </c>
      <c r="V170" s="12" t="s">
        <v>7661</v>
      </c>
      <c r="W170" s="12" t="s">
        <v>25</v>
      </c>
      <c r="X170" s="12">
        <v>0</v>
      </c>
      <c r="Y170" s="12" t="s">
        <v>6639</v>
      </c>
      <c r="Z170" s="12" t="s">
        <v>6639</v>
      </c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</row>
    <row r="171" spans="1:39" s="12" customFormat="1" x14ac:dyDescent="0.2">
      <c r="A171" s="12" t="s">
        <v>1221</v>
      </c>
      <c r="B171" s="12" t="s">
        <v>1222</v>
      </c>
      <c r="C171" s="12" t="s">
        <v>143</v>
      </c>
      <c r="D171" s="12" t="s">
        <v>7159</v>
      </c>
      <c r="E171" s="12" t="s">
        <v>8031</v>
      </c>
      <c r="F171" s="12" t="s">
        <v>7160</v>
      </c>
      <c r="G171" s="12" t="s">
        <v>7649</v>
      </c>
      <c r="H171" s="12">
        <v>63</v>
      </c>
      <c r="I171" s="12" t="s">
        <v>7647</v>
      </c>
      <c r="J171" s="80">
        <v>7</v>
      </c>
      <c r="K171" s="12" t="s">
        <v>7161</v>
      </c>
      <c r="L171" s="12" t="s">
        <v>21</v>
      </c>
      <c r="M171" s="12" t="s">
        <v>8108</v>
      </c>
      <c r="N171" s="12">
        <v>280.10000000000002</v>
      </c>
      <c r="O171" s="12">
        <v>0.1</v>
      </c>
      <c r="P171" s="12">
        <v>0.98458100000000004</v>
      </c>
      <c r="Q171" s="12" t="s">
        <v>7967</v>
      </c>
      <c r="R171" s="12">
        <v>0.128</v>
      </c>
      <c r="S171" s="12">
        <v>1.116814</v>
      </c>
      <c r="T171" s="12">
        <v>656063</v>
      </c>
      <c r="U171" s="12">
        <v>7.5999999999999998E-2</v>
      </c>
      <c r="V171" s="12" t="s">
        <v>7662</v>
      </c>
      <c r="W171" s="12" t="s">
        <v>25</v>
      </c>
      <c r="X171" s="12">
        <v>4662</v>
      </c>
      <c r="Y171" s="12" t="s">
        <v>6639</v>
      </c>
      <c r="Z171" s="12" t="s">
        <v>6639</v>
      </c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</row>
    <row r="172" spans="1:39" s="12" customFormat="1" x14ac:dyDescent="0.2">
      <c r="A172" s="12" t="s">
        <v>1009</v>
      </c>
      <c r="B172" s="12" t="s">
        <v>1010</v>
      </c>
      <c r="C172" s="12" t="s">
        <v>13</v>
      </c>
      <c r="D172" s="12" t="s">
        <v>7210</v>
      </c>
      <c r="E172" s="12" t="s">
        <v>8031</v>
      </c>
      <c r="F172" s="12" t="s">
        <v>7160</v>
      </c>
      <c r="G172" s="12" t="s">
        <v>7649</v>
      </c>
      <c r="H172" s="12">
        <v>74</v>
      </c>
      <c r="I172" s="12" t="s">
        <v>7647</v>
      </c>
      <c r="J172" s="80">
        <v>8.2222222222222214</v>
      </c>
      <c r="K172" s="12" t="s">
        <v>7161</v>
      </c>
      <c r="L172" s="12" t="s">
        <v>21</v>
      </c>
      <c r="M172" s="12" t="s">
        <v>8108</v>
      </c>
      <c r="N172" s="12">
        <v>26.7</v>
      </c>
      <c r="O172" s="12">
        <v>0.23199999999999998</v>
      </c>
      <c r="P172" s="12">
        <v>0.99826999999999999</v>
      </c>
      <c r="Q172" s="12" t="s">
        <v>7231</v>
      </c>
      <c r="R172" s="12">
        <v>9.4000000000000004E-3</v>
      </c>
      <c r="S172" s="12">
        <v>7.936E-2</v>
      </c>
      <c r="T172" s="12">
        <v>86645</v>
      </c>
      <c r="U172" s="12">
        <v>0.23499999999999999</v>
      </c>
      <c r="V172" s="12" t="s">
        <v>7662</v>
      </c>
      <c r="W172" s="12" t="s">
        <v>25</v>
      </c>
      <c r="X172" s="12">
        <v>58</v>
      </c>
      <c r="Y172" s="12" t="s">
        <v>6639</v>
      </c>
      <c r="Z172" s="12" t="s">
        <v>6639</v>
      </c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</row>
    <row r="173" spans="1:39" s="12" customFormat="1" x14ac:dyDescent="0.2">
      <c r="A173" s="12" t="s">
        <v>1186</v>
      </c>
      <c r="B173" s="12" t="s">
        <v>1187</v>
      </c>
      <c r="C173" s="12" t="s">
        <v>13</v>
      </c>
      <c r="D173" s="12" t="s">
        <v>7210</v>
      </c>
      <c r="E173" s="12" t="s">
        <v>8031</v>
      </c>
      <c r="F173" s="12" t="s">
        <v>7160</v>
      </c>
      <c r="G173" s="12" t="s">
        <v>7649</v>
      </c>
      <c r="H173" s="12">
        <v>73</v>
      </c>
      <c r="I173" s="12" t="s">
        <v>7647</v>
      </c>
      <c r="J173" s="80">
        <v>8.1111111111111107</v>
      </c>
      <c r="K173" s="12" t="s">
        <v>7161</v>
      </c>
      <c r="L173" s="12" t="s">
        <v>21</v>
      </c>
      <c r="M173" s="12" t="s">
        <v>8108</v>
      </c>
      <c r="N173" s="12">
        <v>853.9</v>
      </c>
      <c r="O173" s="12">
        <v>0.111</v>
      </c>
      <c r="P173" s="12">
        <v>0.992344</v>
      </c>
      <c r="Q173" s="12" t="s">
        <v>7974</v>
      </c>
      <c r="R173" s="12">
        <v>0.61299999999999999</v>
      </c>
      <c r="S173" s="12">
        <v>3.6489099999999999</v>
      </c>
      <c r="T173" s="12">
        <v>783715</v>
      </c>
      <c r="U173" s="12">
        <v>0.115</v>
      </c>
      <c r="V173" s="12" t="s">
        <v>7662</v>
      </c>
      <c r="W173" s="12" t="s">
        <v>11</v>
      </c>
      <c r="X173" s="12">
        <v>5244</v>
      </c>
      <c r="Y173" s="12">
        <v>3.9839999999999997E-3</v>
      </c>
      <c r="Z173" s="12">
        <v>4.0494879135897826</v>
      </c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</row>
    <row r="174" spans="1:39" s="12" customFormat="1" x14ac:dyDescent="0.2">
      <c r="A174" s="12" t="s">
        <v>1183</v>
      </c>
      <c r="B174" s="12" t="s">
        <v>1184</v>
      </c>
      <c r="C174" s="12" t="s">
        <v>13</v>
      </c>
      <c r="D174" s="12" t="s">
        <v>7210</v>
      </c>
      <c r="E174" s="12" t="s">
        <v>8031</v>
      </c>
      <c r="F174" s="12" t="s">
        <v>7160</v>
      </c>
      <c r="G174" s="12" t="s">
        <v>7649</v>
      </c>
      <c r="H174" s="12">
        <v>72</v>
      </c>
      <c r="I174" s="12" t="s">
        <v>7647</v>
      </c>
      <c r="J174" s="80">
        <v>8</v>
      </c>
      <c r="K174" s="12" t="s">
        <v>7161</v>
      </c>
      <c r="L174" s="12" t="s">
        <v>21</v>
      </c>
      <c r="M174" s="12" t="s">
        <v>8108</v>
      </c>
      <c r="N174" s="12">
        <v>285.39999999999998</v>
      </c>
      <c r="O174" s="12">
        <v>0.17699999999999999</v>
      </c>
      <c r="P174" s="12">
        <v>0.98537200000000003</v>
      </c>
      <c r="Q174" s="12" t="s">
        <v>7323</v>
      </c>
      <c r="R174" s="12">
        <v>0.39300000000000002</v>
      </c>
      <c r="S174" s="12">
        <v>1.541477</v>
      </c>
      <c r="T174" s="12">
        <v>683196</v>
      </c>
      <c r="U174" s="12">
        <v>0.183</v>
      </c>
      <c r="V174" s="12" t="s">
        <v>7662</v>
      </c>
      <c r="W174" s="12" t="s">
        <v>25</v>
      </c>
      <c r="X174" s="12">
        <v>5583</v>
      </c>
      <c r="Y174" s="12" t="s">
        <v>6639</v>
      </c>
      <c r="Z174" s="12" t="s">
        <v>6639</v>
      </c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</row>
    <row r="175" spans="1:39" s="12" customFormat="1" x14ac:dyDescent="0.2">
      <c r="A175" s="12" t="s">
        <v>508</v>
      </c>
      <c r="B175" s="12" t="s">
        <v>509</v>
      </c>
      <c r="C175" s="12" t="s">
        <v>13</v>
      </c>
      <c r="D175" s="12" t="s">
        <v>7210</v>
      </c>
      <c r="E175" s="12" t="s">
        <v>8031</v>
      </c>
      <c r="F175" s="12" t="s">
        <v>7160</v>
      </c>
      <c r="G175" s="12" t="s">
        <v>7649</v>
      </c>
      <c r="H175" s="12">
        <v>72</v>
      </c>
      <c r="I175" s="12" t="s">
        <v>7647</v>
      </c>
      <c r="J175" s="80">
        <v>8</v>
      </c>
      <c r="K175" s="12" t="s">
        <v>7161</v>
      </c>
      <c r="L175" s="12" t="s">
        <v>21</v>
      </c>
      <c r="M175" s="12" t="s">
        <v>8108</v>
      </c>
      <c r="N175" s="12">
        <v>431.7</v>
      </c>
      <c r="O175" s="12">
        <v>0.11699999999999999</v>
      </c>
      <c r="P175" s="12">
        <v>0.99045099999999997</v>
      </c>
      <c r="Q175" s="12" t="s">
        <v>7972</v>
      </c>
      <c r="R175" s="12">
        <v>0.60899999999999999</v>
      </c>
      <c r="S175" s="12">
        <v>1.507304</v>
      </c>
      <c r="T175" s="12">
        <v>540241</v>
      </c>
      <c r="U175" s="12">
        <v>0.1115</v>
      </c>
      <c r="V175" s="12" t="s">
        <v>7662</v>
      </c>
      <c r="W175" s="12" t="s">
        <v>11</v>
      </c>
      <c r="X175" s="12">
        <v>2258</v>
      </c>
      <c r="Y175" s="12">
        <v>3.212E-3</v>
      </c>
      <c r="Z175" s="12">
        <v>1.9864326403289116</v>
      </c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</row>
    <row r="176" spans="1:39" s="12" customFormat="1" x14ac:dyDescent="0.2">
      <c r="A176" s="12" t="s">
        <v>513</v>
      </c>
      <c r="B176" s="12" t="s">
        <v>514</v>
      </c>
      <c r="C176" s="12" t="s">
        <v>13</v>
      </c>
      <c r="D176" s="12" t="s">
        <v>7210</v>
      </c>
      <c r="E176" s="12" t="s">
        <v>8031</v>
      </c>
      <c r="F176" s="12" t="s">
        <v>7160</v>
      </c>
      <c r="G176" s="12" t="s">
        <v>7649</v>
      </c>
      <c r="H176" s="12">
        <v>78</v>
      </c>
      <c r="I176" s="12" t="s">
        <v>7647</v>
      </c>
      <c r="J176" s="80">
        <v>8.6666666666666661</v>
      </c>
      <c r="K176" s="12" t="s">
        <v>7161</v>
      </c>
      <c r="L176" s="12" t="s">
        <v>21</v>
      </c>
      <c r="M176" s="12" t="s">
        <v>8108</v>
      </c>
      <c r="N176" s="12">
        <v>1368</v>
      </c>
      <c r="O176" s="12">
        <v>9.2999999999999999E-2</v>
      </c>
      <c r="P176" s="12">
        <v>0.99519100000000005</v>
      </c>
      <c r="Q176" s="12" t="s">
        <v>7207</v>
      </c>
      <c r="R176" s="12">
        <v>0.51700000000000002</v>
      </c>
      <c r="S176" s="12">
        <v>4.0671530000000002</v>
      </c>
      <c r="T176" s="12">
        <v>779712</v>
      </c>
      <c r="U176" s="12">
        <v>9.2999999999999999E-2</v>
      </c>
      <c r="V176" s="12" t="s">
        <v>7662</v>
      </c>
      <c r="W176" s="12" t="s">
        <v>11</v>
      </c>
      <c r="X176" s="12">
        <v>5449</v>
      </c>
      <c r="Y176" s="12">
        <v>6.6499999999999997E-3</v>
      </c>
      <c r="Z176" s="12">
        <v>5.670461754654041</v>
      </c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</row>
    <row r="177" spans="1:56" s="12" customFormat="1" x14ac:dyDescent="0.2">
      <c r="A177" s="12" t="s">
        <v>1206</v>
      </c>
      <c r="B177" s="12" t="s">
        <v>1207</v>
      </c>
      <c r="C177" s="12" t="s">
        <v>13</v>
      </c>
      <c r="D177" s="12" t="s">
        <v>7210</v>
      </c>
      <c r="E177" s="12" t="s">
        <v>8031</v>
      </c>
      <c r="F177" s="12" t="s">
        <v>7160</v>
      </c>
      <c r="G177" s="12" t="s">
        <v>7649</v>
      </c>
      <c r="H177" s="12">
        <v>75</v>
      </c>
      <c r="I177" s="12" t="s">
        <v>7647</v>
      </c>
      <c r="J177" s="80">
        <v>8.3333333333333321</v>
      </c>
      <c r="K177" s="12" t="s">
        <v>7161</v>
      </c>
      <c r="L177" s="12" t="s">
        <v>21</v>
      </c>
      <c r="M177" s="12" t="s">
        <v>8108</v>
      </c>
      <c r="N177" s="12">
        <v>473.4</v>
      </c>
      <c r="O177" s="12">
        <v>0.17499999999999999</v>
      </c>
      <c r="P177" s="12">
        <v>0.99094300000000002</v>
      </c>
      <c r="Q177" s="12" t="s">
        <v>7327</v>
      </c>
      <c r="R177" s="12">
        <v>0.11700000000000001</v>
      </c>
      <c r="S177" s="12">
        <v>1.998885</v>
      </c>
      <c r="T177" s="12">
        <v>697923</v>
      </c>
      <c r="U177" s="12">
        <v>0.17099999999999999</v>
      </c>
      <c r="V177" s="12" t="s">
        <v>7662</v>
      </c>
      <c r="W177" s="12" t="s">
        <v>25</v>
      </c>
      <c r="X177" s="12">
        <v>6493</v>
      </c>
      <c r="Y177" s="12" t="s">
        <v>6639</v>
      </c>
      <c r="Z177" s="12" t="s">
        <v>6639</v>
      </c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</row>
    <row r="178" spans="1:56" s="12" customFormat="1" x14ac:dyDescent="0.2">
      <c r="A178" s="12" t="s">
        <v>4123</v>
      </c>
      <c r="B178" s="12" t="s">
        <v>4124</v>
      </c>
      <c r="C178" s="12" t="s">
        <v>13</v>
      </c>
      <c r="D178" s="12" t="s">
        <v>7210</v>
      </c>
      <c r="E178" s="12" t="s">
        <v>8031</v>
      </c>
      <c r="F178" s="12" t="s">
        <v>7160</v>
      </c>
      <c r="G178" s="12" t="s">
        <v>7649</v>
      </c>
      <c r="H178" s="12">
        <v>70</v>
      </c>
      <c r="I178" s="12" t="s">
        <v>7647</v>
      </c>
      <c r="J178" s="80">
        <v>7.7777777777777777</v>
      </c>
      <c r="K178" s="12" t="s">
        <v>7161</v>
      </c>
      <c r="L178" s="12" t="s">
        <v>21</v>
      </c>
      <c r="M178" s="12" t="s">
        <v>8108</v>
      </c>
      <c r="N178" s="12">
        <v>1043</v>
      </c>
      <c r="O178" s="12">
        <v>0.151</v>
      </c>
      <c r="P178" s="12">
        <v>0.99299999999999999</v>
      </c>
      <c r="Q178" s="12" t="s">
        <v>7975</v>
      </c>
      <c r="R178" s="12">
        <v>0.50900000000000001</v>
      </c>
      <c r="S178" s="12">
        <v>2.65204</v>
      </c>
      <c r="T178" s="12">
        <v>725111</v>
      </c>
      <c r="U178" s="12">
        <v>0.13700000000000001</v>
      </c>
      <c r="V178" s="12" t="s">
        <v>7662</v>
      </c>
      <c r="W178" s="12" t="s">
        <v>11</v>
      </c>
      <c r="X178" s="12">
        <v>4623</v>
      </c>
      <c r="Y178" s="12">
        <v>6.6639999999999998E-3</v>
      </c>
      <c r="Z178" s="12">
        <v>5.2747350165943603</v>
      </c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</row>
    <row r="179" spans="1:56" s="12" customFormat="1" x14ac:dyDescent="0.2">
      <c r="A179" s="12" t="s">
        <v>1395</v>
      </c>
      <c r="B179" s="12" t="s">
        <v>1396</v>
      </c>
      <c r="C179" s="12" t="s">
        <v>13</v>
      </c>
      <c r="D179" s="12" t="s">
        <v>7210</v>
      </c>
      <c r="E179" s="12" t="s">
        <v>8031</v>
      </c>
      <c r="F179" s="12" t="s">
        <v>7160</v>
      </c>
      <c r="G179" s="12" t="s">
        <v>7649</v>
      </c>
      <c r="H179" s="12">
        <v>76</v>
      </c>
      <c r="I179" s="12" t="s">
        <v>7647</v>
      </c>
      <c r="J179" s="80">
        <v>8.4444444444444446</v>
      </c>
      <c r="K179" s="12" t="s">
        <v>7161</v>
      </c>
      <c r="L179" s="12" t="s">
        <v>21</v>
      </c>
      <c r="M179" s="12" t="s">
        <v>8108</v>
      </c>
      <c r="N179" s="12">
        <v>913.9</v>
      </c>
      <c r="O179" s="12">
        <v>0.127</v>
      </c>
      <c r="P179" s="12">
        <v>0.99099999999999999</v>
      </c>
      <c r="Q179" s="12" t="s">
        <v>7981</v>
      </c>
      <c r="R179" s="12">
        <v>0.71499999999999997</v>
      </c>
      <c r="S179" s="12">
        <v>3.5683549999999999</v>
      </c>
      <c r="T179" s="12">
        <v>733397</v>
      </c>
      <c r="U179" s="12">
        <v>0.126</v>
      </c>
      <c r="V179" s="12" t="s">
        <v>7662</v>
      </c>
      <c r="W179" s="12" t="s">
        <v>25</v>
      </c>
      <c r="X179" s="12">
        <v>7706</v>
      </c>
      <c r="Y179" s="12" t="s">
        <v>6639</v>
      </c>
      <c r="Z179" s="12" t="s">
        <v>6639</v>
      </c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</row>
    <row r="180" spans="1:56" s="12" customFormat="1" x14ac:dyDescent="0.2">
      <c r="A180" s="12" t="s">
        <v>4127</v>
      </c>
      <c r="B180" s="12" t="s">
        <v>4128</v>
      </c>
      <c r="C180" s="12" t="s">
        <v>13</v>
      </c>
      <c r="D180" s="12" t="s">
        <v>7210</v>
      </c>
      <c r="E180" s="12" t="s">
        <v>8031</v>
      </c>
      <c r="F180" s="12" t="s">
        <v>7160</v>
      </c>
      <c r="G180" s="12" t="s">
        <v>7649</v>
      </c>
      <c r="H180" s="12">
        <v>77</v>
      </c>
      <c r="I180" s="12" t="s">
        <v>7647</v>
      </c>
      <c r="J180" s="80">
        <v>8.5555555555555554</v>
      </c>
      <c r="K180" s="12" t="s">
        <v>7161</v>
      </c>
      <c r="L180" s="12" t="s">
        <v>21</v>
      </c>
      <c r="M180" s="12" t="s">
        <v>8108</v>
      </c>
      <c r="N180" s="12">
        <v>983.4</v>
      </c>
      <c r="O180" s="12">
        <v>9.4E-2</v>
      </c>
      <c r="P180" s="12">
        <v>0.98899999999999999</v>
      </c>
      <c r="Q180" s="12" t="s">
        <v>7971</v>
      </c>
      <c r="R180" s="12">
        <v>0.34799999999999998</v>
      </c>
      <c r="S180" s="12">
        <v>2.7988550000000001</v>
      </c>
      <c r="T180" s="12">
        <v>736318</v>
      </c>
      <c r="U180" s="12">
        <v>0.09</v>
      </c>
      <c r="V180" s="12" t="s">
        <v>7662</v>
      </c>
      <c r="W180" s="12" t="s">
        <v>11</v>
      </c>
      <c r="X180" s="12">
        <v>4791</v>
      </c>
      <c r="Y180" s="12">
        <v>4.7980000000000002E-3</v>
      </c>
      <c r="Z180" s="12">
        <v>4.5572582743967196</v>
      </c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</row>
    <row r="181" spans="1:56" s="12" customFormat="1" x14ac:dyDescent="0.2">
      <c r="A181" s="12" t="s">
        <v>1371</v>
      </c>
      <c r="B181" s="12" t="s">
        <v>1372</v>
      </c>
      <c r="C181" s="12" t="s">
        <v>13</v>
      </c>
      <c r="D181" s="12" t="s">
        <v>7210</v>
      </c>
      <c r="E181" s="12" t="s">
        <v>8031</v>
      </c>
      <c r="F181" s="12" t="s">
        <v>7160</v>
      </c>
      <c r="G181" s="12" t="s">
        <v>7649</v>
      </c>
      <c r="H181" s="12">
        <v>71</v>
      </c>
      <c r="I181" s="12" t="s">
        <v>7647</v>
      </c>
      <c r="J181" s="80">
        <v>7.8888888888888884</v>
      </c>
      <c r="K181" s="12" t="s">
        <v>7161</v>
      </c>
      <c r="L181" s="12" t="s">
        <v>21</v>
      </c>
      <c r="M181" s="12" t="s">
        <v>8108</v>
      </c>
      <c r="N181" s="12">
        <v>610.70000000000005</v>
      </c>
      <c r="O181" s="12">
        <v>0.105</v>
      </c>
      <c r="P181" s="12">
        <v>0.98699999999999999</v>
      </c>
      <c r="Q181" s="12" t="s">
        <v>7968</v>
      </c>
      <c r="R181" s="12">
        <v>0.40400000000000003</v>
      </c>
      <c r="S181" s="12">
        <v>1.1197649999999999</v>
      </c>
      <c r="T181" s="12">
        <v>621186</v>
      </c>
      <c r="U181" s="12">
        <v>0.112</v>
      </c>
      <c r="V181" s="12" t="s">
        <v>7662</v>
      </c>
      <c r="W181" s="12" t="s">
        <v>11</v>
      </c>
      <c r="X181" s="12">
        <v>2332</v>
      </c>
      <c r="Y181" s="12">
        <v>7.7060000000000002E-3</v>
      </c>
      <c r="Z181" s="12">
        <v>3.4758196885835155</v>
      </c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</row>
    <row r="182" spans="1:56" s="12" customFormat="1" x14ac:dyDescent="0.2">
      <c r="A182" s="12" t="s">
        <v>5277</v>
      </c>
      <c r="B182" s="12" t="s">
        <v>5278</v>
      </c>
      <c r="C182" s="12" t="s">
        <v>13</v>
      </c>
      <c r="D182" s="12" t="s">
        <v>7210</v>
      </c>
      <c r="E182" s="12" t="s">
        <v>8031</v>
      </c>
      <c r="F182" s="12" t="s">
        <v>7160</v>
      </c>
      <c r="G182" s="12" t="s">
        <v>7649</v>
      </c>
      <c r="H182" s="12">
        <v>72</v>
      </c>
      <c r="I182" s="12" t="s">
        <v>7647</v>
      </c>
      <c r="J182" s="80">
        <v>8</v>
      </c>
      <c r="K182" s="12" t="s">
        <v>7161</v>
      </c>
      <c r="L182" s="12" t="s">
        <v>21</v>
      </c>
      <c r="M182" s="12" t="s">
        <v>8108</v>
      </c>
      <c r="N182" s="12">
        <v>5.0460000000000003</v>
      </c>
      <c r="O182" s="12">
        <v>0.32700000000000001</v>
      </c>
      <c r="P182" s="12">
        <v>0.89200000000000002</v>
      </c>
      <c r="Q182" s="12" t="s">
        <v>7980</v>
      </c>
      <c r="R182" s="12">
        <v>8.0000000000000004E-4</v>
      </c>
      <c r="S182" s="12">
        <v>1.4345999999999999E-2</v>
      </c>
      <c r="T182" s="12">
        <v>21104</v>
      </c>
      <c r="U182" s="12">
        <v>0.32800000000000001</v>
      </c>
      <c r="V182" s="12" t="s">
        <v>7662</v>
      </c>
      <c r="W182" s="12" t="s">
        <v>25</v>
      </c>
      <c r="X182" s="12">
        <v>5</v>
      </c>
      <c r="Y182" s="12" t="s">
        <v>6639</v>
      </c>
      <c r="Z182" s="12" t="s">
        <v>6639</v>
      </c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</row>
    <row r="183" spans="1:56" s="12" customFormat="1" x14ac:dyDescent="0.2">
      <c r="A183" s="12" t="s">
        <v>3208</v>
      </c>
      <c r="B183" s="12" t="s">
        <v>3209</v>
      </c>
      <c r="C183" s="12" t="s">
        <v>8127</v>
      </c>
      <c r="D183" s="12" t="s">
        <v>7159</v>
      </c>
      <c r="E183" s="12" t="s">
        <v>8031</v>
      </c>
      <c r="F183" s="12" t="s">
        <v>7160</v>
      </c>
      <c r="G183" s="12" t="s">
        <v>7649</v>
      </c>
      <c r="H183" s="12">
        <v>80</v>
      </c>
      <c r="I183" s="12" t="s">
        <v>7647</v>
      </c>
      <c r="J183" s="80">
        <v>8.8888888888888893</v>
      </c>
      <c r="K183" s="12" t="s">
        <v>7161</v>
      </c>
      <c r="L183" s="12" t="s">
        <v>21</v>
      </c>
      <c r="M183" s="12" t="s">
        <v>8109</v>
      </c>
      <c r="N183" s="12">
        <v>0.72560000000000002</v>
      </c>
      <c r="O183" s="12" t="s">
        <v>7796</v>
      </c>
      <c r="P183" s="12" t="s">
        <v>7796</v>
      </c>
      <c r="Q183" s="12" t="s">
        <v>7796</v>
      </c>
      <c r="R183" s="12">
        <v>1.4999999999999999E-4</v>
      </c>
      <c r="S183" s="12">
        <v>1.503E-3</v>
      </c>
      <c r="T183" s="12">
        <v>1794</v>
      </c>
      <c r="U183" s="12">
        <v>5.0999999999999997E-2</v>
      </c>
      <c r="V183" s="12" t="s">
        <v>7662</v>
      </c>
      <c r="W183" s="12" t="s">
        <v>11</v>
      </c>
      <c r="X183" s="12">
        <v>0</v>
      </c>
      <c r="Y183" s="12" t="s">
        <v>8052</v>
      </c>
      <c r="Z183" s="12" t="s">
        <v>8052</v>
      </c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</row>
    <row r="184" spans="1:56" s="12" customFormat="1" x14ac:dyDescent="0.2">
      <c r="A184" s="12" t="s">
        <v>3211</v>
      </c>
      <c r="B184" s="12" t="s">
        <v>3212</v>
      </c>
      <c r="C184" s="12" t="s">
        <v>8127</v>
      </c>
      <c r="D184" s="12" t="s">
        <v>7159</v>
      </c>
      <c r="E184" s="12" t="s">
        <v>8031</v>
      </c>
      <c r="F184" s="12" t="s">
        <v>7160</v>
      </c>
      <c r="G184" s="12" t="s">
        <v>7649</v>
      </c>
      <c r="H184" s="12">
        <v>78</v>
      </c>
      <c r="I184" s="12" t="s">
        <v>7647</v>
      </c>
      <c r="J184" s="80">
        <v>8.6666666666666661</v>
      </c>
      <c r="K184" s="12" t="s">
        <v>7161</v>
      </c>
      <c r="L184" s="12" t="s">
        <v>21</v>
      </c>
      <c r="M184" s="12" t="s">
        <v>8109</v>
      </c>
      <c r="N184" s="12">
        <v>2.2799999999999998</v>
      </c>
      <c r="O184" s="12">
        <v>8.5999999999999993E-2</v>
      </c>
      <c r="P184" s="12">
        <v>0.93718900000000005</v>
      </c>
      <c r="Q184" s="12" t="s">
        <v>7982</v>
      </c>
      <c r="R184" s="12">
        <v>6.0999999999999997E-4</v>
      </c>
      <c r="S184" s="12">
        <v>8.8730000000000007E-3</v>
      </c>
      <c r="T184" s="12">
        <v>10550</v>
      </c>
      <c r="U184" s="12">
        <v>8.2000000000000003E-2</v>
      </c>
      <c r="V184" s="12" t="s">
        <v>7662</v>
      </c>
      <c r="W184" s="12" t="s">
        <v>11</v>
      </c>
      <c r="X184" s="12">
        <v>3</v>
      </c>
      <c r="Y184" s="12" t="s">
        <v>8052</v>
      </c>
      <c r="Z184" s="12" t="s">
        <v>8052</v>
      </c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</row>
    <row r="185" spans="1:56" s="12" customFormat="1" x14ac:dyDescent="0.2">
      <c r="A185" s="12" t="s">
        <v>1202</v>
      </c>
      <c r="B185" s="12" t="s">
        <v>1203</v>
      </c>
      <c r="C185" s="12" t="s">
        <v>13</v>
      </c>
      <c r="D185" s="12" t="s">
        <v>7210</v>
      </c>
      <c r="E185" s="12" t="s">
        <v>8031</v>
      </c>
      <c r="F185" s="12" t="s">
        <v>7160</v>
      </c>
      <c r="G185" s="12" t="s">
        <v>7649</v>
      </c>
      <c r="H185" s="12">
        <v>68</v>
      </c>
      <c r="I185" s="12" t="s">
        <v>7647</v>
      </c>
      <c r="J185" s="80">
        <v>7.5555555555555554</v>
      </c>
      <c r="K185" s="12" t="s">
        <v>7161</v>
      </c>
      <c r="L185" s="12" t="s">
        <v>21</v>
      </c>
      <c r="M185" s="12" t="s">
        <v>8108</v>
      </c>
      <c r="N185" s="12">
        <v>593.5</v>
      </c>
      <c r="O185" s="12">
        <v>0.13950000000000001</v>
      </c>
      <c r="P185" s="12">
        <v>0.98891300000000004</v>
      </c>
      <c r="Q185" s="12" t="s">
        <v>7970</v>
      </c>
      <c r="R185" s="12">
        <v>0.315</v>
      </c>
      <c r="S185" s="12">
        <v>2.7971159999999999</v>
      </c>
      <c r="T185" s="12">
        <v>762379</v>
      </c>
      <c r="U185" s="12">
        <v>0.14850000000000002</v>
      </c>
      <c r="V185" s="12" t="s">
        <v>7662</v>
      </c>
      <c r="W185" s="12" t="s">
        <v>25</v>
      </c>
      <c r="X185" s="12">
        <v>4981</v>
      </c>
      <c r="Y185" s="12" t="s">
        <v>6639</v>
      </c>
      <c r="Z185" s="12" t="s">
        <v>6639</v>
      </c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</row>
    <row r="186" spans="1:56" s="12" customFormat="1" x14ac:dyDescent="0.2">
      <c r="A186" s="12" t="s">
        <v>1196</v>
      </c>
      <c r="B186" s="12" t="s">
        <v>1197</v>
      </c>
      <c r="C186" s="12" t="s">
        <v>13</v>
      </c>
      <c r="D186" s="12" t="s">
        <v>7210</v>
      </c>
      <c r="E186" s="12" t="s">
        <v>8031</v>
      </c>
      <c r="F186" s="12" t="s">
        <v>7160</v>
      </c>
      <c r="G186" s="12" t="s">
        <v>7649</v>
      </c>
      <c r="H186" s="12">
        <v>67</v>
      </c>
      <c r="I186" s="12" t="s">
        <v>7647</v>
      </c>
      <c r="J186" s="80">
        <v>7.4444444444444438</v>
      </c>
      <c r="K186" s="12" t="s">
        <v>7161</v>
      </c>
      <c r="L186" s="12" t="s">
        <v>21</v>
      </c>
      <c r="M186" s="12" t="s">
        <v>8108</v>
      </c>
      <c r="N186" s="12">
        <v>290</v>
      </c>
      <c r="O186" s="12">
        <v>0.14699999999999999</v>
      </c>
      <c r="P186" s="12">
        <v>0.97696700000000003</v>
      </c>
      <c r="Q186" s="12" t="s">
        <v>7963</v>
      </c>
      <c r="R186" s="12">
        <v>7.0999999999999994E-2</v>
      </c>
      <c r="S186" s="12">
        <v>0.87890900000000005</v>
      </c>
      <c r="T186" s="12">
        <v>579048</v>
      </c>
      <c r="U186" s="12">
        <v>0.15</v>
      </c>
      <c r="V186" s="12" t="s">
        <v>7662</v>
      </c>
      <c r="W186" s="12" t="s">
        <v>11</v>
      </c>
      <c r="X186" s="12">
        <v>1101</v>
      </c>
      <c r="Y186" s="12">
        <v>9.7509999999999993E-3</v>
      </c>
      <c r="Z186" s="12">
        <v>2.4624782061461192</v>
      </c>
      <c r="AD186" s="63"/>
      <c r="AE186" s="63"/>
      <c r="AF186" s="70"/>
      <c r="AG186" s="63"/>
      <c r="AH186" s="63"/>
      <c r="AI186" s="70"/>
      <c r="AJ186" s="70"/>
      <c r="AK186" s="70"/>
      <c r="AL186" s="63"/>
      <c r="AM186" s="63"/>
      <c r="AN186" s="63"/>
      <c r="AP186" s="12" t="s">
        <v>3257</v>
      </c>
      <c r="AQ186" s="12" t="s">
        <v>8050</v>
      </c>
      <c r="AR186" s="12" t="s">
        <v>8051</v>
      </c>
      <c r="AS186" s="12">
        <v>5.9720000000000004</v>
      </c>
      <c r="AT186" s="12">
        <v>0.14699999999999999</v>
      </c>
      <c r="AU186" s="12" t="s">
        <v>5771</v>
      </c>
      <c r="AV186" s="12">
        <v>0.94532499999999997</v>
      </c>
      <c r="AW186" s="12">
        <v>0.89464399999999999</v>
      </c>
      <c r="AX186" s="12">
        <v>0.97219699999999998</v>
      </c>
      <c r="AY186" s="12">
        <v>993</v>
      </c>
      <c r="AZ186" s="12">
        <v>655</v>
      </c>
      <c r="BA186" s="12">
        <v>0.16649999999999901</v>
      </c>
      <c r="BB186" s="12">
        <v>10</v>
      </c>
      <c r="BC186" s="12">
        <v>0</v>
      </c>
      <c r="BD186" s="12">
        <v>-1</v>
      </c>
    </row>
    <row r="187" spans="1:56" s="12" customFormat="1" x14ac:dyDescent="0.2">
      <c r="A187" s="12" t="s">
        <v>1217</v>
      </c>
      <c r="B187" s="12" t="s">
        <v>1218</v>
      </c>
      <c r="C187" s="12" t="s">
        <v>13</v>
      </c>
      <c r="D187" s="12" t="s">
        <v>7210</v>
      </c>
      <c r="E187" s="12" t="s">
        <v>8031</v>
      </c>
      <c r="F187" s="12" t="s">
        <v>7160</v>
      </c>
      <c r="G187" s="12" t="s">
        <v>7649</v>
      </c>
      <c r="H187" s="12">
        <v>67</v>
      </c>
      <c r="I187" s="12" t="s">
        <v>7647</v>
      </c>
      <c r="J187" s="80">
        <v>7.4444444444444438</v>
      </c>
      <c r="K187" s="12" t="s">
        <v>7161</v>
      </c>
      <c r="L187" s="12" t="s">
        <v>21</v>
      </c>
      <c r="M187" s="12" t="s">
        <v>8108</v>
      </c>
      <c r="N187" s="12">
        <v>1193</v>
      </c>
      <c r="O187" s="12">
        <v>9.1499999999999998E-2</v>
      </c>
      <c r="P187" s="12">
        <v>0.997919</v>
      </c>
      <c r="Q187" s="12" t="s">
        <v>7236</v>
      </c>
      <c r="R187" s="12">
        <v>0.72599999999999998</v>
      </c>
      <c r="S187" s="12">
        <v>4.7249189999999999</v>
      </c>
      <c r="T187" s="12">
        <v>801518</v>
      </c>
      <c r="U187" s="12">
        <v>9.1499999999999998E-2</v>
      </c>
      <c r="V187" s="12" t="s">
        <v>7662</v>
      </c>
      <c r="W187" s="12" t="s">
        <v>11</v>
      </c>
      <c r="X187" s="12">
        <v>5698</v>
      </c>
      <c r="Y187" s="12">
        <v>5.4660000000000004E-3</v>
      </c>
      <c r="Z187" s="12">
        <v>5.6358115094282821</v>
      </c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</row>
    <row r="188" spans="1:56" s="12" customFormat="1" x14ac:dyDescent="0.2">
      <c r="A188" s="12" t="s">
        <v>1224</v>
      </c>
      <c r="B188" s="12" t="s">
        <v>1225</v>
      </c>
      <c r="C188" s="12" t="s">
        <v>13</v>
      </c>
      <c r="D188" s="12" t="s">
        <v>7210</v>
      </c>
      <c r="E188" s="12" t="s">
        <v>8031</v>
      </c>
      <c r="F188" s="12" t="s">
        <v>7160</v>
      </c>
      <c r="G188" s="12" t="s">
        <v>7649</v>
      </c>
      <c r="H188" s="12">
        <v>70</v>
      </c>
      <c r="I188" s="12" t="s">
        <v>7647</v>
      </c>
      <c r="J188" s="80">
        <v>7.7777777777777777</v>
      </c>
      <c r="K188" s="12" t="s">
        <v>7161</v>
      </c>
      <c r="L188" s="12" t="s">
        <v>21</v>
      </c>
      <c r="M188" s="12" t="s">
        <v>8108</v>
      </c>
      <c r="N188" s="12">
        <v>1597</v>
      </c>
      <c r="O188" s="12">
        <v>7.8499999999999986E-2</v>
      </c>
      <c r="P188" s="12">
        <v>0.99648599999999998</v>
      </c>
      <c r="Q188" s="12" t="s">
        <v>7263</v>
      </c>
      <c r="R188" s="12">
        <v>0.72099999999999997</v>
      </c>
      <c r="S188" s="12">
        <v>4.8554510000000004</v>
      </c>
      <c r="T188" s="12">
        <v>800284</v>
      </c>
      <c r="U188" s="12">
        <v>7.6000000000000012E-2</v>
      </c>
      <c r="V188" s="12" t="s">
        <v>7662</v>
      </c>
      <c r="W188" s="12" t="s">
        <v>25</v>
      </c>
      <c r="X188" s="12">
        <v>8879</v>
      </c>
      <c r="Y188" s="12" t="s">
        <v>6639</v>
      </c>
      <c r="Z188" s="12" t="s">
        <v>6639</v>
      </c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</row>
    <row r="189" spans="1:56" s="12" customFormat="1" x14ac:dyDescent="0.2">
      <c r="A189" s="12" t="s">
        <v>1210</v>
      </c>
      <c r="B189" s="12" t="s">
        <v>1211</v>
      </c>
      <c r="C189" s="12" t="s">
        <v>13</v>
      </c>
      <c r="D189" s="12" t="s">
        <v>7210</v>
      </c>
      <c r="E189" s="12" t="s">
        <v>8031</v>
      </c>
      <c r="F189" s="12" t="s">
        <v>7160</v>
      </c>
      <c r="G189" s="12" t="s">
        <v>7649</v>
      </c>
      <c r="H189" s="12">
        <v>68</v>
      </c>
      <c r="I189" s="12" t="s">
        <v>7647</v>
      </c>
      <c r="J189" s="80">
        <v>7.5555555555555554</v>
      </c>
      <c r="K189" s="12" t="s">
        <v>7161</v>
      </c>
      <c r="L189" s="12" t="s">
        <v>21</v>
      </c>
      <c r="M189" s="12" t="s">
        <v>8108</v>
      </c>
      <c r="N189" s="12">
        <v>1430</v>
      </c>
      <c r="O189" s="12">
        <v>0.109</v>
      </c>
      <c r="P189" s="12">
        <v>0.99465300000000001</v>
      </c>
      <c r="Q189" s="12" t="s">
        <v>7977</v>
      </c>
      <c r="R189" s="12">
        <v>0.67900000000000005</v>
      </c>
      <c r="S189" s="12">
        <v>4.010802</v>
      </c>
      <c r="T189" s="12">
        <v>767737</v>
      </c>
      <c r="U189" s="12">
        <v>0.106</v>
      </c>
      <c r="V189" s="12" t="s">
        <v>7662</v>
      </c>
      <c r="W189" s="12" t="s">
        <v>11</v>
      </c>
      <c r="X189" s="12">
        <v>5191</v>
      </c>
      <c r="Y189" s="12">
        <v>3.8960000000000002E-3</v>
      </c>
      <c r="Z189" s="12">
        <v>4.3337523220503007</v>
      </c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</row>
    <row r="190" spans="1:56" s="12" customFormat="1" x14ac:dyDescent="0.2">
      <c r="A190" s="12" t="s">
        <v>125</v>
      </c>
      <c r="B190" s="12" t="s">
        <v>126</v>
      </c>
      <c r="C190" s="12" t="s">
        <v>13</v>
      </c>
      <c r="D190" s="12" t="s">
        <v>8032</v>
      </c>
      <c r="E190" s="12" t="s">
        <v>8031</v>
      </c>
      <c r="F190" s="12" t="s">
        <v>7230</v>
      </c>
      <c r="G190" s="12" t="s">
        <v>7651</v>
      </c>
      <c r="H190" s="12">
        <v>75</v>
      </c>
      <c r="I190" s="12" t="s">
        <v>7647</v>
      </c>
      <c r="J190" s="80">
        <v>7.5</v>
      </c>
      <c r="K190" s="12" t="s">
        <v>7161</v>
      </c>
      <c r="L190" s="12" t="s">
        <v>21</v>
      </c>
      <c r="M190" s="12" t="s">
        <v>8108</v>
      </c>
      <c r="N190" s="12">
        <v>910.9</v>
      </c>
      <c r="O190" s="12">
        <v>0.13950000000000001</v>
      </c>
      <c r="P190" s="12">
        <v>0.99460000000000004</v>
      </c>
      <c r="Q190" s="12" t="s">
        <v>7977</v>
      </c>
      <c r="R190" s="12">
        <v>0.23899999999999999</v>
      </c>
      <c r="S190" s="12">
        <v>2.630007</v>
      </c>
      <c r="T190" s="12">
        <v>697749</v>
      </c>
      <c r="U190" s="12">
        <v>0.13550000000000001</v>
      </c>
      <c r="V190" s="12" t="s">
        <v>7662</v>
      </c>
      <c r="W190" s="12" t="s">
        <v>25</v>
      </c>
      <c r="X190" s="12">
        <v>6665</v>
      </c>
      <c r="Y190" s="12" t="s">
        <v>6639</v>
      </c>
      <c r="Z190" s="12" t="s">
        <v>6639</v>
      </c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</row>
    <row r="191" spans="1:56" s="12" customFormat="1" x14ac:dyDescent="0.2">
      <c r="A191" s="12" t="s">
        <v>4017</v>
      </c>
      <c r="B191" s="12" t="s">
        <v>4018</v>
      </c>
      <c r="C191" s="12" t="s">
        <v>13</v>
      </c>
      <c r="D191" s="12" t="s">
        <v>7210</v>
      </c>
      <c r="E191" s="12" t="s">
        <v>8123</v>
      </c>
      <c r="F191" s="12" t="s">
        <v>7230</v>
      </c>
      <c r="G191" s="12" t="s">
        <v>7651</v>
      </c>
      <c r="H191" s="12">
        <v>76</v>
      </c>
      <c r="I191" s="12" t="s">
        <v>7647</v>
      </c>
      <c r="J191" s="80">
        <v>7.6000000000000005</v>
      </c>
      <c r="K191" s="12" t="s">
        <v>7161</v>
      </c>
      <c r="L191" s="12" t="s">
        <v>21</v>
      </c>
      <c r="M191" s="12" t="s">
        <v>8108</v>
      </c>
      <c r="N191" s="12">
        <v>744</v>
      </c>
      <c r="O191" s="12">
        <v>0.14699999999999999</v>
      </c>
      <c r="P191" s="12">
        <v>0.98399999999999999</v>
      </c>
      <c r="Q191" s="12" t="s">
        <v>7966</v>
      </c>
      <c r="R191" s="12">
        <v>0.30399999999999999</v>
      </c>
      <c r="S191" s="12">
        <v>2.354609</v>
      </c>
      <c r="T191" s="12">
        <v>693958</v>
      </c>
      <c r="U191" s="12">
        <v>0.151</v>
      </c>
      <c r="V191" s="12" t="s">
        <v>7662</v>
      </c>
      <c r="W191" s="12" t="s">
        <v>11</v>
      </c>
      <c r="X191" s="12">
        <v>3663</v>
      </c>
      <c r="Y191" s="12">
        <v>3.0799999999999998E-3</v>
      </c>
      <c r="Z191" s="12">
        <v>2.6990837136587658</v>
      </c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</row>
    <row r="192" spans="1:56" s="12" customFormat="1" x14ac:dyDescent="0.2">
      <c r="A192" s="12" t="s">
        <v>4020</v>
      </c>
      <c r="B192" s="12" t="s">
        <v>4021</v>
      </c>
      <c r="C192" s="12" t="s">
        <v>13</v>
      </c>
      <c r="D192" s="12" t="s">
        <v>7210</v>
      </c>
      <c r="E192" s="12" t="s">
        <v>8123</v>
      </c>
      <c r="F192" s="12" t="s">
        <v>7230</v>
      </c>
      <c r="G192" s="12" t="s">
        <v>7651</v>
      </c>
      <c r="H192" s="12">
        <v>77</v>
      </c>
      <c r="I192" s="12" t="s">
        <v>7647</v>
      </c>
      <c r="J192" s="80">
        <v>7.7</v>
      </c>
      <c r="K192" s="12" t="s">
        <v>7161</v>
      </c>
      <c r="L192" s="12" t="s">
        <v>21</v>
      </c>
      <c r="M192" s="12" t="s">
        <v>8108</v>
      </c>
      <c r="N192" s="12">
        <v>611.5</v>
      </c>
      <c r="O192" s="12">
        <v>0.156</v>
      </c>
      <c r="P192" s="12">
        <v>0.99099999999999999</v>
      </c>
      <c r="Q192" s="12" t="s">
        <v>7361</v>
      </c>
      <c r="R192" s="12">
        <v>0.14099999999999999</v>
      </c>
      <c r="S192" s="12">
        <v>2.0810080000000002</v>
      </c>
      <c r="T192" s="12">
        <v>662397</v>
      </c>
      <c r="U192" s="12">
        <v>0.157</v>
      </c>
      <c r="V192" s="12" t="s">
        <v>7662</v>
      </c>
      <c r="W192" s="12" t="s">
        <v>25</v>
      </c>
      <c r="X192" s="12">
        <v>5948</v>
      </c>
      <c r="Y192" s="12" t="s">
        <v>6639</v>
      </c>
      <c r="Z192" s="12" t="s">
        <v>6639</v>
      </c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</row>
    <row r="193" spans="1:39" s="12" customFormat="1" x14ac:dyDescent="0.2">
      <c r="A193" s="12" t="s">
        <v>4022</v>
      </c>
      <c r="B193" s="12" t="s">
        <v>4023</v>
      </c>
      <c r="C193" s="12" t="s">
        <v>13</v>
      </c>
      <c r="D193" s="12" t="s">
        <v>7210</v>
      </c>
      <c r="E193" s="12" t="s">
        <v>8123</v>
      </c>
      <c r="F193" s="12" t="s">
        <v>7230</v>
      </c>
      <c r="G193" s="12" t="s">
        <v>7651</v>
      </c>
      <c r="H193" s="12">
        <v>75</v>
      </c>
      <c r="I193" s="12" t="s">
        <v>7647</v>
      </c>
      <c r="J193" s="80">
        <v>7.5</v>
      </c>
      <c r="K193" s="12" t="s">
        <v>7161</v>
      </c>
      <c r="L193" s="12" t="s">
        <v>21</v>
      </c>
      <c r="M193" s="12" t="s">
        <v>8108</v>
      </c>
      <c r="N193" s="12">
        <v>631</v>
      </c>
      <c r="O193" s="12">
        <v>0.161</v>
      </c>
      <c r="P193" s="12">
        <v>0.997</v>
      </c>
      <c r="Q193" s="12" t="s">
        <v>7237</v>
      </c>
      <c r="R193" s="12">
        <v>0.39400000000000002</v>
      </c>
      <c r="S193" s="12">
        <v>2.2158060000000002</v>
      </c>
      <c r="T193" s="12">
        <v>668321</v>
      </c>
      <c r="U193" s="12">
        <v>0.16900000000000001</v>
      </c>
      <c r="V193" s="12" t="s">
        <v>7662</v>
      </c>
      <c r="W193" s="12" t="s">
        <v>25</v>
      </c>
      <c r="X193" s="12">
        <v>5971</v>
      </c>
      <c r="Y193" s="12" t="s">
        <v>6639</v>
      </c>
      <c r="Z193" s="12" t="s">
        <v>6639</v>
      </c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</row>
    <row r="194" spans="1:39" s="12" customFormat="1" x14ac:dyDescent="0.2">
      <c r="A194" s="12" t="s">
        <v>4064</v>
      </c>
      <c r="B194" s="12" t="s">
        <v>4065</v>
      </c>
      <c r="C194" s="12" t="s">
        <v>13</v>
      </c>
      <c r="D194" s="12" t="s">
        <v>7210</v>
      </c>
      <c r="E194" s="12" t="s">
        <v>8123</v>
      </c>
      <c r="F194" s="12" t="s">
        <v>7230</v>
      </c>
      <c r="G194" s="12" t="s">
        <v>7651</v>
      </c>
      <c r="H194" s="12">
        <v>74</v>
      </c>
      <c r="I194" s="12" t="s">
        <v>7647</v>
      </c>
      <c r="J194" s="80">
        <v>7.4</v>
      </c>
      <c r="K194" s="12" t="s">
        <v>7161</v>
      </c>
      <c r="L194" s="12" t="s">
        <v>21</v>
      </c>
      <c r="M194" s="12" t="s">
        <v>8108</v>
      </c>
      <c r="N194" s="12">
        <v>582</v>
      </c>
      <c r="O194" s="12">
        <v>0.127</v>
      </c>
      <c r="P194" s="12">
        <v>0.996</v>
      </c>
      <c r="Q194" s="12" t="s">
        <v>7260</v>
      </c>
      <c r="R194" s="12">
        <v>0.152</v>
      </c>
      <c r="S194" s="12">
        <v>2.2097980000000002</v>
      </c>
      <c r="T194" s="12">
        <v>666810</v>
      </c>
      <c r="U194" s="12">
        <v>0.13</v>
      </c>
      <c r="V194" s="12" t="s">
        <v>7662</v>
      </c>
      <c r="W194" s="12" t="s">
        <v>25</v>
      </c>
      <c r="X194" s="12">
        <v>6041</v>
      </c>
      <c r="Y194" s="12" t="s">
        <v>6639</v>
      </c>
      <c r="Z194" s="12" t="s">
        <v>6639</v>
      </c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</row>
    <row r="195" spans="1:39" s="12" customFormat="1" x14ac:dyDescent="0.2">
      <c r="A195" s="12" t="s">
        <v>4078</v>
      </c>
      <c r="B195" s="12" t="s">
        <v>3256</v>
      </c>
      <c r="C195" s="12" t="s">
        <v>13</v>
      </c>
      <c r="D195" s="12" t="s">
        <v>7210</v>
      </c>
      <c r="E195" s="12" t="s">
        <v>8123</v>
      </c>
      <c r="F195" s="12" t="s">
        <v>7230</v>
      </c>
      <c r="G195" s="12" t="s">
        <v>7651</v>
      </c>
      <c r="H195" s="12">
        <v>74</v>
      </c>
      <c r="I195" s="12" t="s">
        <v>7647</v>
      </c>
      <c r="J195" s="80">
        <v>7.4</v>
      </c>
      <c r="K195" s="12" t="s">
        <v>7161</v>
      </c>
      <c r="L195" s="12" t="s">
        <v>21</v>
      </c>
      <c r="M195" s="12" t="s">
        <v>8108</v>
      </c>
      <c r="N195" s="12">
        <v>41.48</v>
      </c>
      <c r="O195" s="12">
        <v>0.193</v>
      </c>
      <c r="P195" s="12">
        <v>1</v>
      </c>
      <c r="Q195" s="12" t="s">
        <v>7203</v>
      </c>
      <c r="R195" s="12">
        <v>6.8999999999999999E-3</v>
      </c>
      <c r="S195" s="12">
        <v>0.112635</v>
      </c>
      <c r="T195" s="12">
        <v>131887</v>
      </c>
      <c r="U195" s="12">
        <v>0.19900000000000001</v>
      </c>
      <c r="V195" s="12" t="s">
        <v>7662</v>
      </c>
      <c r="W195" s="12" t="s">
        <v>11</v>
      </c>
      <c r="X195" s="12">
        <v>46</v>
      </c>
      <c r="Y195" s="12" t="s">
        <v>8052</v>
      </c>
      <c r="Z195" s="12" t="s">
        <v>8052</v>
      </c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</row>
    <row r="196" spans="1:39" s="12" customFormat="1" x14ac:dyDescent="0.2">
      <c r="A196" s="12" t="s">
        <v>3255</v>
      </c>
      <c r="B196" s="12" t="s">
        <v>3256</v>
      </c>
      <c r="C196" s="12" t="s">
        <v>13</v>
      </c>
      <c r="D196" s="12" t="s">
        <v>7210</v>
      </c>
      <c r="E196" s="12" t="s">
        <v>8123</v>
      </c>
      <c r="F196" s="12" t="s">
        <v>7230</v>
      </c>
      <c r="G196" s="12" t="s">
        <v>7651</v>
      </c>
      <c r="H196" s="12">
        <v>74</v>
      </c>
      <c r="I196" s="12" t="s">
        <v>7647</v>
      </c>
      <c r="J196" s="80">
        <v>7.4</v>
      </c>
      <c r="K196" s="12" t="s">
        <v>7161</v>
      </c>
      <c r="L196" s="12" t="s">
        <v>21</v>
      </c>
      <c r="M196" s="12" t="s">
        <v>8109</v>
      </c>
      <c r="N196" s="12">
        <v>38.130000000000003</v>
      </c>
      <c r="O196" s="12">
        <v>0.19900000000000001</v>
      </c>
      <c r="P196" s="12">
        <v>0.99802800000000003</v>
      </c>
      <c r="Q196" s="12" t="s">
        <v>7203</v>
      </c>
      <c r="R196" s="12">
        <v>7.4999999999999997E-3</v>
      </c>
      <c r="S196" s="12">
        <v>0.12984299999999999</v>
      </c>
      <c r="T196" s="12">
        <v>136826</v>
      </c>
      <c r="U196" s="12">
        <v>0.22800000000000001</v>
      </c>
      <c r="V196" s="12" t="s">
        <v>7662</v>
      </c>
      <c r="W196" s="12" t="s">
        <v>11</v>
      </c>
      <c r="X196" s="12">
        <v>34</v>
      </c>
      <c r="Y196" s="12" t="s">
        <v>8052</v>
      </c>
      <c r="Z196" s="12" t="s">
        <v>8052</v>
      </c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</row>
    <row r="197" spans="1:39" s="12" customFormat="1" x14ac:dyDescent="0.2">
      <c r="A197" s="12" t="s">
        <v>4038</v>
      </c>
      <c r="B197" s="12" t="s">
        <v>4039</v>
      </c>
      <c r="C197" s="12" t="s">
        <v>13</v>
      </c>
      <c r="D197" s="12" t="s">
        <v>7210</v>
      </c>
      <c r="E197" s="12" t="s">
        <v>8123</v>
      </c>
      <c r="F197" s="12" t="s">
        <v>7230</v>
      </c>
      <c r="G197" s="12" t="s">
        <v>7651</v>
      </c>
      <c r="H197" s="12">
        <v>74</v>
      </c>
      <c r="I197" s="12" t="s">
        <v>7647</v>
      </c>
      <c r="J197" s="80">
        <v>7.4</v>
      </c>
      <c r="K197" s="12" t="s">
        <v>7161</v>
      </c>
      <c r="L197" s="12" t="s">
        <v>21</v>
      </c>
      <c r="M197" s="12" t="s">
        <v>8108</v>
      </c>
      <c r="N197" s="12">
        <v>1.393</v>
      </c>
      <c r="O197" s="12" t="s">
        <v>7796</v>
      </c>
      <c r="P197" s="12" t="s">
        <v>7796</v>
      </c>
      <c r="Q197" s="12" t="s">
        <v>7796</v>
      </c>
      <c r="R197" s="12">
        <v>1.4E-2</v>
      </c>
      <c r="S197" s="12">
        <v>9.7370000000000009E-3</v>
      </c>
      <c r="T197" s="12">
        <v>12681</v>
      </c>
      <c r="U197" s="12">
        <v>0.30299999999999999</v>
      </c>
      <c r="V197" s="12" t="s">
        <v>7662</v>
      </c>
      <c r="W197" s="12" t="s">
        <v>11</v>
      </c>
      <c r="X197" s="12">
        <v>3</v>
      </c>
      <c r="Y197" s="12" t="s">
        <v>8052</v>
      </c>
      <c r="Z197" s="12" t="s">
        <v>8052</v>
      </c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</row>
    <row r="198" spans="1:39" s="12" customFormat="1" x14ac:dyDescent="0.2">
      <c r="A198" s="12" t="s">
        <v>4024</v>
      </c>
      <c r="B198" s="12" t="s">
        <v>4025</v>
      </c>
      <c r="C198" s="12" t="s">
        <v>13</v>
      </c>
      <c r="D198" s="12" t="s">
        <v>7210</v>
      </c>
      <c r="E198" s="12" t="s">
        <v>8123</v>
      </c>
      <c r="F198" s="12" t="s">
        <v>7230</v>
      </c>
      <c r="G198" s="12" t="s">
        <v>7651</v>
      </c>
      <c r="H198" s="12">
        <v>73</v>
      </c>
      <c r="I198" s="12" t="s">
        <v>7647</v>
      </c>
      <c r="J198" s="80">
        <v>7.3000000000000007</v>
      </c>
      <c r="K198" s="12" t="s">
        <v>7161</v>
      </c>
      <c r="L198" s="12" t="s">
        <v>21</v>
      </c>
      <c r="M198" s="12" t="s">
        <v>8108</v>
      </c>
      <c r="N198" s="12">
        <v>34.630000000000003</v>
      </c>
      <c r="O198" s="12">
        <v>0.29199999999999998</v>
      </c>
      <c r="P198" s="12">
        <v>0.997</v>
      </c>
      <c r="Q198" s="12" t="s">
        <v>7979</v>
      </c>
      <c r="R198" s="12">
        <v>0.02</v>
      </c>
      <c r="S198" s="12">
        <v>0.17471300000000001</v>
      </c>
      <c r="T198" s="12">
        <v>190382</v>
      </c>
      <c r="U198" s="12">
        <v>0.30099999999999999</v>
      </c>
      <c r="V198" s="12" t="s">
        <v>7662</v>
      </c>
      <c r="W198" s="12" t="s">
        <v>25</v>
      </c>
      <c r="X198" s="12">
        <v>241</v>
      </c>
      <c r="Y198" s="12" t="s">
        <v>6639</v>
      </c>
      <c r="Z198" s="12" t="s">
        <v>6639</v>
      </c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</row>
    <row r="199" spans="1:39" s="12" customFormat="1" x14ac:dyDescent="0.2">
      <c r="A199" s="12" t="s">
        <v>4027</v>
      </c>
      <c r="B199" s="12" t="s">
        <v>4028</v>
      </c>
      <c r="C199" s="12" t="s">
        <v>13</v>
      </c>
      <c r="D199" s="12" t="s">
        <v>7210</v>
      </c>
      <c r="E199" s="12" t="s">
        <v>8123</v>
      </c>
      <c r="F199" s="12" t="s">
        <v>7230</v>
      </c>
      <c r="G199" s="12" t="s">
        <v>7651</v>
      </c>
      <c r="H199" s="12">
        <v>76</v>
      </c>
      <c r="I199" s="12" t="s">
        <v>7647</v>
      </c>
      <c r="J199" s="80">
        <v>7.6000000000000005</v>
      </c>
      <c r="K199" s="12" t="s">
        <v>7161</v>
      </c>
      <c r="L199" s="12" t="s">
        <v>21</v>
      </c>
      <c r="M199" s="12" t="s">
        <v>8108</v>
      </c>
      <c r="N199" s="12">
        <v>151.6</v>
      </c>
      <c r="O199" s="12">
        <v>0.17</v>
      </c>
      <c r="P199" s="12">
        <v>0.96699999999999997</v>
      </c>
      <c r="Q199" s="12" t="s">
        <v>7959</v>
      </c>
      <c r="R199" s="12">
        <v>2.4E-2</v>
      </c>
      <c r="S199" s="12">
        <v>0.682392</v>
      </c>
      <c r="T199" s="12">
        <v>473073</v>
      </c>
      <c r="U199" s="12">
        <v>0.185</v>
      </c>
      <c r="V199" s="12" t="s">
        <v>7662</v>
      </c>
      <c r="W199" s="12" t="s">
        <v>25</v>
      </c>
      <c r="X199" s="12">
        <v>2180</v>
      </c>
      <c r="Y199" s="12" t="s">
        <v>6639</v>
      </c>
      <c r="Z199" s="12" t="s">
        <v>6639</v>
      </c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</row>
    <row r="200" spans="1:39" s="12" customFormat="1" x14ac:dyDescent="0.2">
      <c r="A200" s="12" t="s">
        <v>4029</v>
      </c>
      <c r="B200" s="12" t="s">
        <v>4030</v>
      </c>
      <c r="C200" s="12" t="s">
        <v>13</v>
      </c>
      <c r="D200" s="12" t="s">
        <v>7210</v>
      </c>
      <c r="E200" s="12" t="s">
        <v>8123</v>
      </c>
      <c r="F200" s="12" t="s">
        <v>7230</v>
      </c>
      <c r="G200" s="12" t="s">
        <v>7651</v>
      </c>
      <c r="H200" s="12">
        <v>78</v>
      </c>
      <c r="I200" s="12" t="s">
        <v>7647</v>
      </c>
      <c r="J200" s="80">
        <v>7.8000000000000007</v>
      </c>
      <c r="K200" s="12" t="s">
        <v>7161</v>
      </c>
      <c r="L200" s="12" t="s">
        <v>21</v>
      </c>
      <c r="M200" s="12" t="s">
        <v>8108</v>
      </c>
      <c r="N200" s="12">
        <v>165.4</v>
      </c>
      <c r="O200" s="12">
        <v>0.19400000000000001</v>
      </c>
      <c r="P200" s="12">
        <v>0.999</v>
      </c>
      <c r="Q200" s="12" t="s">
        <v>7343</v>
      </c>
      <c r="R200" s="12">
        <v>3.7999999999999999E-2</v>
      </c>
      <c r="S200" s="12">
        <v>0.62156400000000001</v>
      </c>
      <c r="T200" s="12">
        <v>469049</v>
      </c>
      <c r="U200" s="12">
        <v>0.20200000000000001</v>
      </c>
      <c r="V200" s="12" t="s">
        <v>7662</v>
      </c>
      <c r="W200" s="12" t="s">
        <v>11</v>
      </c>
      <c r="X200" s="12">
        <v>676</v>
      </c>
      <c r="Y200" s="12">
        <v>6.7130000000000002E-3</v>
      </c>
      <c r="Z200" s="12">
        <v>1.5872524218426551</v>
      </c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</row>
    <row r="201" spans="1:39" s="12" customFormat="1" x14ac:dyDescent="0.2">
      <c r="A201" s="12" t="s">
        <v>4031</v>
      </c>
      <c r="B201" s="12" t="s">
        <v>4032</v>
      </c>
      <c r="C201" s="12" t="s">
        <v>13</v>
      </c>
      <c r="D201" s="12" t="s">
        <v>7210</v>
      </c>
      <c r="E201" s="12" t="s">
        <v>8123</v>
      </c>
      <c r="F201" s="12" t="s">
        <v>7230</v>
      </c>
      <c r="G201" s="12" t="s">
        <v>7651</v>
      </c>
      <c r="H201" s="12">
        <v>76</v>
      </c>
      <c r="I201" s="12" t="s">
        <v>7647</v>
      </c>
      <c r="J201" s="80">
        <v>7.6000000000000005</v>
      </c>
      <c r="K201" s="12" t="s">
        <v>7161</v>
      </c>
      <c r="L201" s="12" t="s">
        <v>21</v>
      </c>
      <c r="M201" s="12" t="s">
        <v>8108</v>
      </c>
      <c r="N201" s="12">
        <v>16.97</v>
      </c>
      <c r="O201" s="12">
        <v>0.215</v>
      </c>
      <c r="P201" s="12">
        <v>0.98799999999999999</v>
      </c>
      <c r="Q201" s="12" t="s">
        <v>7969</v>
      </c>
      <c r="R201" s="12">
        <v>5.4000000000000003E-3</v>
      </c>
      <c r="S201" s="12">
        <v>7.6340000000000005E-2</v>
      </c>
      <c r="T201" s="12">
        <v>91557</v>
      </c>
      <c r="U201" s="12">
        <v>0.23599999999999999</v>
      </c>
      <c r="V201" s="12" t="s">
        <v>7662</v>
      </c>
      <c r="W201" s="12" t="s">
        <v>25</v>
      </c>
      <c r="X201" s="12">
        <v>63</v>
      </c>
      <c r="Y201" s="12" t="s">
        <v>6639</v>
      </c>
      <c r="Z201" s="12" t="s">
        <v>6639</v>
      </c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</row>
    <row r="202" spans="1:39" s="12" customFormat="1" x14ac:dyDescent="0.2">
      <c r="A202" s="12" t="s">
        <v>3206</v>
      </c>
      <c r="B202" s="12" t="s">
        <v>3207</v>
      </c>
      <c r="C202" s="12" t="s">
        <v>13</v>
      </c>
      <c r="D202" s="12" t="s">
        <v>7210</v>
      </c>
      <c r="E202" s="12" t="s">
        <v>8123</v>
      </c>
      <c r="F202" s="12" t="s">
        <v>7230</v>
      </c>
      <c r="G202" s="12" t="s">
        <v>7651</v>
      </c>
      <c r="H202" s="12">
        <v>73</v>
      </c>
      <c r="I202" s="12" t="s">
        <v>7647</v>
      </c>
      <c r="J202" s="80">
        <v>7.3000000000000007</v>
      </c>
      <c r="K202" s="12" t="s">
        <v>7161</v>
      </c>
      <c r="L202" s="12" t="s">
        <v>21</v>
      </c>
      <c r="M202" s="12" t="s">
        <v>8108</v>
      </c>
      <c r="N202" s="12">
        <v>383.2</v>
      </c>
      <c r="O202" s="12">
        <v>0.186</v>
      </c>
      <c r="P202" s="12">
        <v>0.99299999999999999</v>
      </c>
      <c r="Q202" s="12" t="s">
        <v>7339</v>
      </c>
      <c r="R202" s="12">
        <v>0.108</v>
      </c>
      <c r="S202" s="12">
        <v>1.2693099999999999</v>
      </c>
      <c r="T202" s="12">
        <v>609366</v>
      </c>
      <c r="U202" s="12">
        <v>0.20799999999999999</v>
      </c>
      <c r="V202" s="12" t="s">
        <v>7662</v>
      </c>
      <c r="W202" s="12" t="s">
        <v>25</v>
      </c>
      <c r="X202" s="12">
        <v>4437</v>
      </c>
      <c r="Y202" s="12" t="s">
        <v>6639</v>
      </c>
      <c r="Z202" s="12" t="s">
        <v>6639</v>
      </c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</row>
    <row r="203" spans="1:39" s="12" customFormat="1" x14ac:dyDescent="0.2">
      <c r="A203" s="12" t="s">
        <v>4034</v>
      </c>
      <c r="B203" s="12" t="s">
        <v>4035</v>
      </c>
      <c r="C203" s="12" t="s">
        <v>13</v>
      </c>
      <c r="D203" s="12" t="s">
        <v>7210</v>
      </c>
      <c r="E203" s="12" t="s">
        <v>8123</v>
      </c>
      <c r="F203" s="12" t="s">
        <v>7230</v>
      </c>
      <c r="G203" s="12" t="s">
        <v>7651</v>
      </c>
      <c r="H203" s="12">
        <v>76</v>
      </c>
      <c r="I203" s="12" t="s">
        <v>7647</v>
      </c>
      <c r="J203" s="80">
        <v>7.6000000000000005</v>
      </c>
      <c r="K203" s="12" t="s">
        <v>7161</v>
      </c>
      <c r="L203" s="12" t="s">
        <v>21</v>
      </c>
      <c r="M203" s="12" t="s">
        <v>8108</v>
      </c>
      <c r="N203" s="12">
        <v>147.5</v>
      </c>
      <c r="O203" s="12">
        <v>0.188</v>
      </c>
      <c r="P203" s="12">
        <v>0.996</v>
      </c>
      <c r="Q203" s="12" t="s">
        <v>7263</v>
      </c>
      <c r="R203" s="12">
        <v>8.6999999999999994E-2</v>
      </c>
      <c r="S203" s="12">
        <v>0.54534800000000005</v>
      </c>
      <c r="T203" s="12">
        <v>430947</v>
      </c>
      <c r="U203" s="12">
        <v>0.20699999999999999</v>
      </c>
      <c r="V203" s="12" t="s">
        <v>7662</v>
      </c>
      <c r="W203" s="12" t="s">
        <v>11</v>
      </c>
      <c r="X203" s="12">
        <v>483</v>
      </c>
      <c r="Y203" s="12">
        <v>8.5269999999999999E-3</v>
      </c>
      <c r="Z203" s="12">
        <v>1.6816135759679336</v>
      </c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</row>
    <row r="204" spans="1:39" s="12" customFormat="1" x14ac:dyDescent="0.2">
      <c r="A204" s="12" t="s">
        <v>4037</v>
      </c>
      <c r="B204" s="12" t="s">
        <v>3265</v>
      </c>
      <c r="C204" s="12" t="s">
        <v>13</v>
      </c>
      <c r="D204" s="12" t="s">
        <v>7210</v>
      </c>
      <c r="E204" s="12" t="s">
        <v>8123</v>
      </c>
      <c r="F204" s="12" t="s">
        <v>7230</v>
      </c>
      <c r="G204" s="12" t="s">
        <v>7651</v>
      </c>
      <c r="H204" s="12">
        <v>73</v>
      </c>
      <c r="I204" s="12" t="s">
        <v>7647</v>
      </c>
      <c r="J204" s="80">
        <v>7.3000000000000007</v>
      </c>
      <c r="K204" s="12" t="s">
        <v>7161</v>
      </c>
      <c r="L204" s="12" t="s">
        <v>21</v>
      </c>
      <c r="M204" s="12" t="s">
        <v>8108</v>
      </c>
      <c r="N204" s="12">
        <v>310.2</v>
      </c>
      <c r="O204" s="12">
        <v>0.218</v>
      </c>
      <c r="P204" s="12">
        <v>0.995</v>
      </c>
      <c r="Q204" s="12" t="s">
        <v>7978</v>
      </c>
      <c r="R204" s="12">
        <v>0.17499999999999999</v>
      </c>
      <c r="S204" s="12">
        <v>1.4639869999999999</v>
      </c>
      <c r="T204" s="12">
        <v>620955</v>
      </c>
      <c r="U204" s="12">
        <v>0.224</v>
      </c>
      <c r="V204" s="12" t="s">
        <v>7662</v>
      </c>
      <c r="W204" s="12" t="s">
        <v>11</v>
      </c>
      <c r="X204" s="12">
        <v>2363</v>
      </c>
      <c r="Y204" s="12">
        <v>8.1239999999999993E-3</v>
      </c>
      <c r="Z204" s="12">
        <v>3.8083130354561252</v>
      </c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</row>
    <row r="205" spans="1:39" s="12" customFormat="1" x14ac:dyDescent="0.2">
      <c r="A205" s="12" t="s">
        <v>3264</v>
      </c>
      <c r="B205" s="12" t="s">
        <v>3265</v>
      </c>
      <c r="C205" s="12" t="s">
        <v>13</v>
      </c>
      <c r="D205" s="12" t="s">
        <v>7210</v>
      </c>
      <c r="E205" s="12" t="s">
        <v>8123</v>
      </c>
      <c r="F205" s="12" t="s">
        <v>7230</v>
      </c>
      <c r="G205" s="12" t="s">
        <v>7651</v>
      </c>
      <c r="H205" s="12">
        <v>74</v>
      </c>
      <c r="I205" s="12" t="s">
        <v>7647</v>
      </c>
      <c r="J205" s="80">
        <v>7.4</v>
      </c>
      <c r="K205" s="12" t="s">
        <v>7161</v>
      </c>
      <c r="L205" s="12" t="s">
        <v>21</v>
      </c>
      <c r="M205" s="12" t="s">
        <v>8109</v>
      </c>
      <c r="N205" s="12">
        <v>81.510000000000005</v>
      </c>
      <c r="O205" s="12">
        <v>0.20599999999999999</v>
      </c>
      <c r="P205" s="12">
        <v>0.99502100000000004</v>
      </c>
      <c r="Q205" s="12" t="s">
        <v>8011</v>
      </c>
      <c r="R205" s="12">
        <v>6.5000000000000002E-2</v>
      </c>
      <c r="S205" s="12">
        <v>0.67800000000000005</v>
      </c>
      <c r="T205" s="12">
        <v>485197</v>
      </c>
      <c r="U205" s="12">
        <v>0.20899999999999999</v>
      </c>
      <c r="V205" s="12" t="s">
        <v>7662</v>
      </c>
      <c r="W205" s="12" t="s">
        <v>11</v>
      </c>
      <c r="X205" s="12">
        <v>788</v>
      </c>
      <c r="Y205" s="12">
        <v>2.2200000000000002E-3</v>
      </c>
      <c r="Z205" s="12">
        <v>0.74</v>
      </c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</row>
    <row r="206" spans="1:39" s="12" customFormat="1" x14ac:dyDescent="0.2">
      <c r="A206" s="12" t="s">
        <v>4692</v>
      </c>
      <c r="B206" s="12" t="s">
        <v>4693</v>
      </c>
      <c r="C206" s="12" t="s">
        <v>143</v>
      </c>
      <c r="D206" s="12" t="s">
        <v>7159</v>
      </c>
      <c r="E206" s="12" t="s">
        <v>8031</v>
      </c>
      <c r="F206" s="12" t="s">
        <v>7160</v>
      </c>
      <c r="G206" s="12" t="s">
        <v>7649</v>
      </c>
      <c r="H206" s="12">
        <v>63</v>
      </c>
      <c r="I206" s="12" t="s">
        <v>7647</v>
      </c>
      <c r="J206" s="80">
        <v>7</v>
      </c>
      <c r="K206" s="12" t="s">
        <v>7161</v>
      </c>
      <c r="L206" s="12" t="s">
        <v>21</v>
      </c>
      <c r="M206" s="12" t="s">
        <v>8109</v>
      </c>
      <c r="N206" s="12">
        <v>8.827</v>
      </c>
      <c r="O206" s="12">
        <v>0.13100000000000001</v>
      </c>
      <c r="P206" s="12">
        <v>0.991039</v>
      </c>
      <c r="Q206" s="12" t="s">
        <v>8006</v>
      </c>
      <c r="R206" s="12">
        <v>5.8E-5</v>
      </c>
      <c r="S206" s="12">
        <v>2.4190000000000001E-3</v>
      </c>
      <c r="T206" s="12">
        <v>2869</v>
      </c>
      <c r="U206" s="12">
        <v>0.111</v>
      </c>
      <c r="V206" s="12" t="s">
        <v>7662</v>
      </c>
      <c r="W206" s="12" t="s">
        <v>25</v>
      </c>
      <c r="X206" s="12">
        <v>1</v>
      </c>
      <c r="Y206" s="12" t="s">
        <v>6639</v>
      </c>
      <c r="Z206" s="12" t="s">
        <v>6639</v>
      </c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</row>
    <row r="207" spans="1:39" s="12" customFormat="1" x14ac:dyDescent="0.2">
      <c r="A207" s="12" t="s">
        <v>4568</v>
      </c>
      <c r="B207" s="12" t="s">
        <v>4569</v>
      </c>
      <c r="C207" s="12" t="s">
        <v>143</v>
      </c>
      <c r="D207" s="12" t="s">
        <v>7159</v>
      </c>
      <c r="E207" s="12" t="s">
        <v>8031</v>
      </c>
      <c r="F207" s="12" t="s">
        <v>7160</v>
      </c>
      <c r="G207" s="12" t="s">
        <v>7649</v>
      </c>
      <c r="H207" s="12">
        <v>72</v>
      </c>
      <c r="I207" s="12" t="s">
        <v>7647</v>
      </c>
      <c r="J207" s="80">
        <v>8</v>
      </c>
      <c r="K207" s="12" t="s">
        <v>7161</v>
      </c>
      <c r="L207" s="12" t="s">
        <v>21</v>
      </c>
      <c r="M207" s="12" t="s">
        <v>8109</v>
      </c>
      <c r="N207" s="12">
        <v>27.06</v>
      </c>
      <c r="O207" s="12">
        <v>9.2999999999999999E-2</v>
      </c>
      <c r="P207" s="12">
        <v>0.99075999999999997</v>
      </c>
      <c r="Q207" s="12" t="s">
        <v>8004</v>
      </c>
      <c r="R207" s="12">
        <v>4.6E-5</v>
      </c>
      <c r="S207" s="12">
        <v>4.2290000000000001E-3</v>
      </c>
      <c r="T207" s="12">
        <v>5106</v>
      </c>
      <c r="U207" s="12">
        <v>7.6999999999999999E-2</v>
      </c>
      <c r="V207" s="12" t="s">
        <v>7662</v>
      </c>
      <c r="W207" s="12" t="s">
        <v>11</v>
      </c>
      <c r="X207" s="12">
        <v>0</v>
      </c>
      <c r="Y207" s="12" t="s">
        <v>8052</v>
      </c>
      <c r="Z207" s="12" t="s">
        <v>8052</v>
      </c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</row>
    <row r="208" spans="1:39" s="12" customFormat="1" x14ac:dyDescent="0.2">
      <c r="A208" s="12" t="s">
        <v>4578</v>
      </c>
      <c r="B208" s="12" t="s">
        <v>4579</v>
      </c>
      <c r="C208" s="12" t="s">
        <v>143</v>
      </c>
      <c r="D208" s="12" t="s">
        <v>7159</v>
      </c>
      <c r="E208" s="12" t="s">
        <v>8031</v>
      </c>
      <c r="F208" s="12" t="s">
        <v>7160</v>
      </c>
      <c r="G208" s="12" t="s">
        <v>7649</v>
      </c>
      <c r="H208" s="12">
        <v>50</v>
      </c>
      <c r="I208" s="12" t="s">
        <v>7647</v>
      </c>
      <c r="J208" s="80">
        <v>5.5555555555555554</v>
      </c>
      <c r="K208" s="12" t="s">
        <v>7161</v>
      </c>
      <c r="L208" s="12" t="s">
        <v>21</v>
      </c>
      <c r="M208" s="12" t="s">
        <v>8109</v>
      </c>
      <c r="N208" s="12">
        <v>149.19999999999999</v>
      </c>
      <c r="O208" s="12">
        <v>9.8000000000000004E-2</v>
      </c>
      <c r="P208" s="12">
        <v>0.99801700000000004</v>
      </c>
      <c r="Q208" s="12" t="s">
        <v>7204</v>
      </c>
      <c r="R208" s="12">
        <v>5.4000000000000003E-3</v>
      </c>
      <c r="S208" s="12">
        <v>0.112875</v>
      </c>
      <c r="T208" s="12">
        <v>126546</v>
      </c>
      <c r="U208" s="12">
        <v>7.8E-2</v>
      </c>
      <c r="V208" s="12" t="s">
        <v>7662</v>
      </c>
      <c r="W208" s="12" t="s">
        <v>11</v>
      </c>
      <c r="X208" s="12">
        <v>33</v>
      </c>
      <c r="Y208" s="12" t="s">
        <v>8052</v>
      </c>
      <c r="Z208" s="12" t="s">
        <v>8052</v>
      </c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</row>
    <row r="209" spans="1:56" s="12" customFormat="1" x14ac:dyDescent="0.2">
      <c r="A209" s="12" t="s">
        <v>4572</v>
      </c>
      <c r="B209" s="12" t="s">
        <v>4573</v>
      </c>
      <c r="C209" s="12" t="s">
        <v>143</v>
      </c>
      <c r="D209" s="12" t="s">
        <v>7159</v>
      </c>
      <c r="E209" s="12" t="s">
        <v>8031</v>
      </c>
      <c r="F209" s="12" t="s">
        <v>7160</v>
      </c>
      <c r="G209" s="12" t="s">
        <v>7649</v>
      </c>
      <c r="H209" s="12">
        <v>54</v>
      </c>
      <c r="I209" s="12" t="s">
        <v>7647</v>
      </c>
      <c r="J209" s="80">
        <v>6</v>
      </c>
      <c r="K209" s="12" t="s">
        <v>7161</v>
      </c>
      <c r="L209" s="12" t="s">
        <v>21</v>
      </c>
      <c r="M209" s="12" t="s">
        <v>8109</v>
      </c>
      <c r="N209" s="12">
        <v>261.5</v>
      </c>
      <c r="O209" s="12">
        <v>7.1999999999999995E-2</v>
      </c>
      <c r="P209" s="12">
        <v>0.96249600000000002</v>
      </c>
      <c r="Q209" s="12" t="s">
        <v>7987</v>
      </c>
      <c r="R209" s="12">
        <v>4.7E-2</v>
      </c>
      <c r="S209" s="12">
        <v>0.83196899999999996</v>
      </c>
      <c r="T209" s="12">
        <v>625181</v>
      </c>
      <c r="U209" s="12">
        <v>4.1000000000000002E-2</v>
      </c>
      <c r="V209" s="12" t="s">
        <v>7662</v>
      </c>
      <c r="W209" s="12" t="s">
        <v>11</v>
      </c>
      <c r="X209" s="12">
        <v>1086</v>
      </c>
      <c r="Y209" s="12">
        <v>7.2680000000000002E-3</v>
      </c>
      <c r="Z209" s="12">
        <v>2.2562361585126971</v>
      </c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</row>
    <row r="210" spans="1:56" s="12" customFormat="1" x14ac:dyDescent="0.2">
      <c r="A210" s="12" t="s">
        <v>4574</v>
      </c>
      <c r="B210" s="12" t="s">
        <v>4575</v>
      </c>
      <c r="C210" s="12" t="s">
        <v>143</v>
      </c>
      <c r="D210" s="12" t="s">
        <v>7159</v>
      </c>
      <c r="E210" s="12" t="s">
        <v>8031</v>
      </c>
      <c r="F210" s="12" t="s">
        <v>7160</v>
      </c>
      <c r="G210" s="12" t="s">
        <v>7649</v>
      </c>
      <c r="H210" s="12">
        <v>53</v>
      </c>
      <c r="I210" s="12" t="s">
        <v>7647</v>
      </c>
      <c r="J210" s="80">
        <v>5.8888888888888884</v>
      </c>
      <c r="K210" s="12" t="s">
        <v>7161</v>
      </c>
      <c r="L210" s="12" t="s">
        <v>21</v>
      </c>
      <c r="M210" s="12" t="s">
        <v>8109</v>
      </c>
      <c r="N210" s="12">
        <v>4.9219999999999997</v>
      </c>
      <c r="O210" s="12">
        <v>0.113</v>
      </c>
      <c r="P210" s="12">
        <v>0.94347300000000001</v>
      </c>
      <c r="Q210" s="12" t="s">
        <v>7986</v>
      </c>
      <c r="R210" s="12">
        <v>4.2000000000000002E-4</v>
      </c>
      <c r="S210" s="12">
        <v>2.1724E-2</v>
      </c>
      <c r="T210" s="12">
        <v>25750</v>
      </c>
      <c r="U210" s="12">
        <v>0.107</v>
      </c>
      <c r="V210" s="12" t="s">
        <v>7662</v>
      </c>
      <c r="W210" s="12" t="s">
        <v>11</v>
      </c>
      <c r="X210" s="12">
        <v>0</v>
      </c>
      <c r="Y210" s="12" t="s">
        <v>8052</v>
      </c>
      <c r="Z210" s="12" t="s">
        <v>8052</v>
      </c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P210" s="12" t="s">
        <v>4718</v>
      </c>
      <c r="AQ210" s="12" t="s">
        <v>8048</v>
      </c>
      <c r="AR210" s="12" t="s">
        <v>8051</v>
      </c>
      <c r="AS210" s="12">
        <v>273.2</v>
      </c>
      <c r="AT210" s="12">
        <v>0.14849999999999999</v>
      </c>
      <c r="AU210" s="12" t="s">
        <v>1265</v>
      </c>
      <c r="AV210" s="12">
        <v>0.99015900000000001</v>
      </c>
      <c r="AW210" s="12">
        <v>0.98154799999999998</v>
      </c>
      <c r="AX210" s="12">
        <v>0.99468199999999996</v>
      </c>
      <c r="AY210" s="12">
        <v>113161</v>
      </c>
      <c r="AZ210" s="12">
        <v>861</v>
      </c>
      <c r="BA210" s="12">
        <v>0.161</v>
      </c>
      <c r="BB210" s="12">
        <v>8230</v>
      </c>
      <c r="BC210" s="12">
        <v>60.196078431372499</v>
      </c>
      <c r="BD210" s="12">
        <v>0.307</v>
      </c>
    </row>
    <row r="211" spans="1:56" s="12" customFormat="1" x14ac:dyDescent="0.2">
      <c r="A211" s="12" t="s">
        <v>4576</v>
      </c>
      <c r="B211" s="12" t="s">
        <v>4577</v>
      </c>
      <c r="C211" s="12" t="s">
        <v>143</v>
      </c>
      <c r="D211" s="12" t="s">
        <v>7159</v>
      </c>
      <c r="E211" s="12" t="s">
        <v>8031</v>
      </c>
      <c r="F211" s="12" t="s">
        <v>7160</v>
      </c>
      <c r="G211" s="12" t="s">
        <v>7649</v>
      </c>
      <c r="H211" s="12">
        <v>59</v>
      </c>
      <c r="I211" s="12" t="s">
        <v>7647</v>
      </c>
      <c r="J211" s="80">
        <v>6.5555555555555554</v>
      </c>
      <c r="K211" s="12" t="s">
        <v>7161</v>
      </c>
      <c r="L211" s="12" t="s">
        <v>21</v>
      </c>
      <c r="M211" s="12" t="s">
        <v>8109</v>
      </c>
      <c r="N211" s="12">
        <v>88.53</v>
      </c>
      <c r="O211" s="12">
        <v>0.106</v>
      </c>
      <c r="P211" s="12">
        <v>0.99620500000000001</v>
      </c>
      <c r="Q211" s="12" t="s">
        <v>7328</v>
      </c>
      <c r="R211" s="12">
        <v>8.0999999999999996E-3</v>
      </c>
      <c r="S211" s="12">
        <v>0.40897499999999998</v>
      </c>
      <c r="T211" s="12">
        <v>375213</v>
      </c>
      <c r="U211" s="12">
        <v>8.1000000000000003E-2</v>
      </c>
      <c r="V211" s="12" t="s">
        <v>7662</v>
      </c>
      <c r="W211" s="12" t="s">
        <v>11</v>
      </c>
      <c r="X211" s="12">
        <v>290</v>
      </c>
      <c r="Y211" s="12">
        <v>1.377E-3</v>
      </c>
      <c r="Z211" s="12">
        <v>0.33549549663688299</v>
      </c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</row>
    <row r="212" spans="1:56" s="12" customFormat="1" x14ac:dyDescent="0.2">
      <c r="A212" s="12" t="s">
        <v>3216</v>
      </c>
      <c r="B212" s="12" t="s">
        <v>3217</v>
      </c>
      <c r="C212" s="12" t="s">
        <v>13</v>
      </c>
      <c r="D212" s="12" t="s">
        <v>7210</v>
      </c>
      <c r="E212" s="12" t="s">
        <v>8123</v>
      </c>
      <c r="F212" s="12" t="s">
        <v>7230</v>
      </c>
      <c r="G212" s="12" t="s">
        <v>7651</v>
      </c>
      <c r="H212" s="12">
        <v>76</v>
      </c>
      <c r="I212" s="12" t="s">
        <v>7647</v>
      </c>
      <c r="J212" s="80">
        <v>7.6000000000000005</v>
      </c>
      <c r="K212" s="12" t="s">
        <v>7161</v>
      </c>
      <c r="L212" s="12" t="s">
        <v>21</v>
      </c>
      <c r="M212" s="12" t="s">
        <v>8109</v>
      </c>
      <c r="N212" s="12">
        <v>12.36</v>
      </c>
      <c r="O212" s="12">
        <v>0.16249999999999901</v>
      </c>
      <c r="P212" s="12">
        <v>0.96367700000000001</v>
      </c>
      <c r="Q212" s="12" t="s">
        <v>8118</v>
      </c>
      <c r="R212" s="12">
        <v>8.8000000000000005E-3</v>
      </c>
      <c r="S212" s="12">
        <v>7.4732000000000007E-2</v>
      </c>
      <c r="T212" s="12">
        <v>82148</v>
      </c>
      <c r="U212" s="12">
        <v>0.19800000000000001</v>
      </c>
      <c r="V212" s="12" t="s">
        <v>7662</v>
      </c>
      <c r="W212" s="12" t="s">
        <v>25</v>
      </c>
      <c r="X212" s="12">
        <v>57</v>
      </c>
      <c r="Y212" s="12" t="s">
        <v>6639</v>
      </c>
      <c r="Z212" s="12" t="s">
        <v>6639</v>
      </c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</row>
    <row r="213" spans="1:56" s="12" customFormat="1" x14ac:dyDescent="0.2">
      <c r="A213" s="12" t="s">
        <v>3218</v>
      </c>
      <c r="B213" s="12" t="s">
        <v>3219</v>
      </c>
      <c r="C213" s="12" t="s">
        <v>13</v>
      </c>
      <c r="D213" s="12" t="s">
        <v>7210</v>
      </c>
      <c r="E213" s="12" t="s">
        <v>8123</v>
      </c>
      <c r="F213" s="12" t="s">
        <v>7230</v>
      </c>
      <c r="G213" s="12" t="s">
        <v>7651</v>
      </c>
      <c r="H213" s="12">
        <v>78</v>
      </c>
      <c r="I213" s="12" t="s">
        <v>7647</v>
      </c>
      <c r="J213" s="80">
        <v>7.8000000000000007</v>
      </c>
      <c r="K213" s="12" t="s">
        <v>7161</v>
      </c>
      <c r="L213" s="12" t="s">
        <v>21</v>
      </c>
      <c r="M213" s="12" t="s">
        <v>8109</v>
      </c>
      <c r="N213" s="12">
        <v>160.19999999999999</v>
      </c>
      <c r="O213" s="12">
        <v>0.20399999999999999</v>
      </c>
      <c r="P213" s="12">
        <v>0.99496600000000002</v>
      </c>
      <c r="Q213" s="12" t="s">
        <v>7363</v>
      </c>
      <c r="R213" s="12">
        <v>0.23200000000000001</v>
      </c>
      <c r="S213" s="12">
        <v>1.700993</v>
      </c>
      <c r="T213" s="12">
        <v>665526</v>
      </c>
      <c r="U213" s="12">
        <v>0.21</v>
      </c>
      <c r="V213" s="12" t="s">
        <v>7662</v>
      </c>
      <c r="W213" s="12" t="s">
        <v>11</v>
      </c>
      <c r="X213" s="12">
        <v>2397</v>
      </c>
      <c r="Y213" s="12">
        <v>6.241E-3</v>
      </c>
      <c r="Z213" s="12">
        <v>3.4100880907550062</v>
      </c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</row>
    <row r="214" spans="1:56" s="12" customFormat="1" x14ac:dyDescent="0.2">
      <c r="A214" s="12" t="s">
        <v>3220</v>
      </c>
      <c r="B214" s="12" t="s">
        <v>3221</v>
      </c>
      <c r="C214" s="12" t="s">
        <v>13</v>
      </c>
      <c r="D214" s="12" t="s">
        <v>7210</v>
      </c>
      <c r="E214" s="12" t="s">
        <v>8123</v>
      </c>
      <c r="F214" s="12" t="s">
        <v>7230</v>
      </c>
      <c r="G214" s="12" t="s">
        <v>7651</v>
      </c>
      <c r="H214" s="12">
        <v>72</v>
      </c>
      <c r="I214" s="12" t="s">
        <v>7647</v>
      </c>
      <c r="J214" s="80">
        <v>7.2</v>
      </c>
      <c r="K214" s="12" t="s">
        <v>7161</v>
      </c>
      <c r="L214" s="12" t="s">
        <v>21</v>
      </c>
      <c r="M214" s="12" t="s">
        <v>8109</v>
      </c>
      <c r="N214" s="12">
        <v>85.31</v>
      </c>
      <c r="O214" s="12">
        <v>0.158</v>
      </c>
      <c r="P214" s="12">
        <v>0.989425</v>
      </c>
      <c r="Q214" s="12" t="s">
        <v>8001</v>
      </c>
      <c r="R214" s="12">
        <v>0.17899999999999999</v>
      </c>
      <c r="S214" s="12">
        <v>0.552728</v>
      </c>
      <c r="T214" s="12">
        <v>420926</v>
      </c>
      <c r="U214" s="12">
        <v>0.16800000000000001</v>
      </c>
      <c r="V214" s="12" t="s">
        <v>7662</v>
      </c>
      <c r="W214" s="12" t="s">
        <v>25</v>
      </c>
      <c r="X214" s="12">
        <v>1365</v>
      </c>
      <c r="Y214" s="12" t="s">
        <v>6639</v>
      </c>
      <c r="Z214" s="12" t="s">
        <v>6639</v>
      </c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</row>
    <row r="215" spans="1:56" s="12" customFormat="1" x14ac:dyDescent="0.2">
      <c r="A215" s="12" t="s">
        <v>3223</v>
      </c>
      <c r="B215" s="12" t="s">
        <v>3224</v>
      </c>
      <c r="C215" s="12" t="s">
        <v>13</v>
      </c>
      <c r="D215" s="12" t="s">
        <v>7210</v>
      </c>
      <c r="E215" s="12" t="s">
        <v>8123</v>
      </c>
      <c r="F215" s="12" t="s">
        <v>7230</v>
      </c>
      <c r="G215" s="12" t="s">
        <v>7651</v>
      </c>
      <c r="H215" s="12">
        <v>77</v>
      </c>
      <c r="I215" s="12" t="s">
        <v>7647</v>
      </c>
      <c r="J215" s="80">
        <v>7.7</v>
      </c>
      <c r="K215" s="12" t="s">
        <v>7161</v>
      </c>
      <c r="L215" s="12" t="s">
        <v>21</v>
      </c>
      <c r="M215" s="12" t="s">
        <v>8109</v>
      </c>
      <c r="N215" s="12">
        <v>76.55</v>
      </c>
      <c r="O215" s="12">
        <v>0.14099999999999999</v>
      </c>
      <c r="P215" s="12">
        <v>0.994668</v>
      </c>
      <c r="Q215" s="12" t="s">
        <v>8010</v>
      </c>
      <c r="R215" s="12">
        <v>5.2999999999999999E-2</v>
      </c>
      <c r="S215" s="12">
        <v>0.63189899999999999</v>
      </c>
      <c r="T215" s="12">
        <v>460430</v>
      </c>
      <c r="U215" s="12">
        <v>0.15</v>
      </c>
      <c r="V215" s="12" t="s">
        <v>7662</v>
      </c>
      <c r="W215" s="12" t="s">
        <v>11</v>
      </c>
      <c r="X215" s="12">
        <v>573</v>
      </c>
      <c r="Y215" s="12">
        <v>7.587E-3</v>
      </c>
      <c r="Z215" s="12">
        <v>1.7701336664398102</v>
      </c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</row>
    <row r="216" spans="1:56" s="12" customFormat="1" x14ac:dyDescent="0.2">
      <c r="A216" s="12" t="s">
        <v>3225</v>
      </c>
      <c r="B216" s="12" t="s">
        <v>3226</v>
      </c>
      <c r="C216" s="12" t="s">
        <v>13</v>
      </c>
      <c r="D216" s="12" t="s">
        <v>7210</v>
      </c>
      <c r="E216" s="12" t="s">
        <v>8123</v>
      </c>
      <c r="F216" s="12" t="s">
        <v>7230</v>
      </c>
      <c r="G216" s="12" t="s">
        <v>7651</v>
      </c>
      <c r="H216" s="12">
        <v>73</v>
      </c>
      <c r="I216" s="12" t="s">
        <v>7647</v>
      </c>
      <c r="J216" s="80">
        <v>7.3000000000000007</v>
      </c>
      <c r="K216" s="12" t="s">
        <v>7161</v>
      </c>
      <c r="L216" s="12" t="s">
        <v>21</v>
      </c>
      <c r="M216" s="12" t="s">
        <v>8109</v>
      </c>
      <c r="N216" s="12">
        <v>24.09</v>
      </c>
      <c r="O216" s="12">
        <v>0.12</v>
      </c>
      <c r="P216" s="12">
        <v>0.99299700000000002</v>
      </c>
      <c r="Q216" s="12" t="s">
        <v>8008</v>
      </c>
      <c r="R216" s="12">
        <v>8.2000000000000007E-3</v>
      </c>
      <c r="S216" s="12">
        <v>0.15049299999999999</v>
      </c>
      <c r="T216" s="12">
        <v>157093</v>
      </c>
      <c r="U216" s="12">
        <v>0.13900000000000001</v>
      </c>
      <c r="V216" s="12" t="s">
        <v>7662</v>
      </c>
      <c r="W216" s="12" t="s">
        <v>25</v>
      </c>
      <c r="X216" s="12">
        <v>157</v>
      </c>
      <c r="Y216" s="12" t="s">
        <v>6639</v>
      </c>
      <c r="Z216" s="12" t="s">
        <v>6639</v>
      </c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</row>
    <row r="217" spans="1:56" s="12" customFormat="1" x14ac:dyDescent="0.2">
      <c r="A217" s="12" t="s">
        <v>3203</v>
      </c>
      <c r="B217" s="12" t="s">
        <v>3204</v>
      </c>
      <c r="C217" s="12" t="s">
        <v>13</v>
      </c>
      <c r="D217" s="12" t="s">
        <v>7210</v>
      </c>
      <c r="E217" s="12" t="s">
        <v>8123</v>
      </c>
      <c r="F217" s="12" t="s">
        <v>7230</v>
      </c>
      <c r="G217" s="12" t="s">
        <v>7651</v>
      </c>
      <c r="H217" s="12">
        <v>77</v>
      </c>
      <c r="I217" s="12" t="s">
        <v>7647</v>
      </c>
      <c r="J217" s="80">
        <v>7.7</v>
      </c>
      <c r="K217" s="12" t="s">
        <v>7161</v>
      </c>
      <c r="L217" s="12" t="s">
        <v>21</v>
      </c>
      <c r="M217" s="12" t="s">
        <v>8109</v>
      </c>
      <c r="N217" s="12">
        <v>84.92</v>
      </c>
      <c r="O217" s="12">
        <v>0.151</v>
      </c>
      <c r="P217" s="12">
        <v>0.99489899999999998</v>
      </c>
      <c r="Q217" s="12" t="s">
        <v>8010</v>
      </c>
      <c r="R217" s="12">
        <v>4.8000000000000001E-2</v>
      </c>
      <c r="S217" s="12">
        <v>0.60036299999999998</v>
      </c>
      <c r="T217" s="12">
        <v>446983</v>
      </c>
      <c r="U217" s="12">
        <v>0.161</v>
      </c>
      <c r="V217" s="12" t="s">
        <v>7662</v>
      </c>
      <c r="W217" s="12" t="s">
        <v>11</v>
      </c>
      <c r="X217" s="12">
        <v>505</v>
      </c>
      <c r="Y217" s="12">
        <v>1.5430000000000001E-3</v>
      </c>
      <c r="Z217" s="12">
        <v>0.4740298899961875</v>
      </c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</row>
    <row r="218" spans="1:56" s="12" customFormat="1" x14ac:dyDescent="0.2">
      <c r="A218" s="12" t="s">
        <v>3197</v>
      </c>
      <c r="B218" s="12" t="s">
        <v>3198</v>
      </c>
      <c r="C218" s="12" t="s">
        <v>13</v>
      </c>
      <c r="D218" s="12" t="s">
        <v>7210</v>
      </c>
      <c r="E218" s="12" t="s">
        <v>8123</v>
      </c>
      <c r="F218" s="12" t="s">
        <v>7230</v>
      </c>
      <c r="G218" s="12" t="s">
        <v>7651</v>
      </c>
      <c r="H218" s="12">
        <v>76</v>
      </c>
      <c r="I218" s="12" t="s">
        <v>7647</v>
      </c>
      <c r="J218" s="80">
        <v>7.6000000000000005</v>
      </c>
      <c r="K218" s="12" t="s">
        <v>7161</v>
      </c>
      <c r="L218" s="12" t="s">
        <v>21</v>
      </c>
      <c r="M218" s="12" t="s">
        <v>8109</v>
      </c>
      <c r="N218" s="12">
        <v>150.69999999999999</v>
      </c>
      <c r="O218" s="12">
        <v>0.14599999999999999</v>
      </c>
      <c r="P218" s="12">
        <v>0.98345700000000003</v>
      </c>
      <c r="Q218" s="12" t="s">
        <v>7997</v>
      </c>
      <c r="R218" s="12">
        <v>0.125</v>
      </c>
      <c r="S218" s="12">
        <v>1.0948830000000001</v>
      </c>
      <c r="T218" s="12">
        <v>594351</v>
      </c>
      <c r="U218" s="12">
        <v>0.161</v>
      </c>
      <c r="V218" s="12" t="s">
        <v>7662</v>
      </c>
      <c r="W218" s="12" t="s">
        <v>11</v>
      </c>
      <c r="X218" s="12">
        <v>1346</v>
      </c>
      <c r="Y218" s="12">
        <v>9.6410000000000003E-3</v>
      </c>
      <c r="Z218" s="12">
        <v>2.8535074226414165</v>
      </c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</row>
    <row r="219" spans="1:56" s="12" customFormat="1" x14ac:dyDescent="0.2">
      <c r="A219" s="12" t="s">
        <v>3199</v>
      </c>
      <c r="B219" s="12" t="s">
        <v>3200</v>
      </c>
      <c r="C219" s="12" t="s">
        <v>13</v>
      </c>
      <c r="D219" s="12" t="s">
        <v>7210</v>
      </c>
      <c r="E219" s="12" t="s">
        <v>8123</v>
      </c>
      <c r="F219" s="12" t="s">
        <v>7230</v>
      </c>
      <c r="G219" s="12" t="s">
        <v>7651</v>
      </c>
      <c r="H219" s="12">
        <v>76</v>
      </c>
      <c r="I219" s="12" t="s">
        <v>7647</v>
      </c>
      <c r="J219" s="80">
        <v>7.6000000000000005</v>
      </c>
      <c r="K219" s="12" t="s">
        <v>7161</v>
      </c>
      <c r="L219" s="12" t="s">
        <v>21</v>
      </c>
      <c r="M219" s="12" t="s">
        <v>8109</v>
      </c>
      <c r="N219" s="12">
        <v>101</v>
      </c>
      <c r="O219" s="12">
        <v>0.151</v>
      </c>
      <c r="P219" s="12">
        <v>0.99441000000000002</v>
      </c>
      <c r="Q219" s="12" t="s">
        <v>7339</v>
      </c>
      <c r="R219" s="12">
        <v>5.7000000000000002E-2</v>
      </c>
      <c r="S219" s="12">
        <v>0.74226700000000001</v>
      </c>
      <c r="T219" s="12">
        <v>510322</v>
      </c>
      <c r="U219" s="12">
        <v>0.16500000000000001</v>
      </c>
      <c r="V219" s="12" t="s">
        <v>7662</v>
      </c>
      <c r="W219" s="12" t="s">
        <v>11</v>
      </c>
      <c r="X219" s="12">
        <v>729</v>
      </c>
      <c r="Y219" s="12">
        <v>5.5640000000000004E-3</v>
      </c>
      <c r="Z219" s="12">
        <v>1.3975794546777593</v>
      </c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</row>
    <row r="220" spans="1:56" s="12" customFormat="1" x14ac:dyDescent="0.2">
      <c r="A220" s="12" t="s">
        <v>3228</v>
      </c>
      <c r="B220" s="12" t="s">
        <v>3229</v>
      </c>
      <c r="C220" s="12" t="s">
        <v>13</v>
      </c>
      <c r="D220" s="12" t="s">
        <v>7210</v>
      </c>
      <c r="E220" s="12" t="s">
        <v>8123</v>
      </c>
      <c r="F220" s="12" t="s">
        <v>7230</v>
      </c>
      <c r="G220" s="12" t="s">
        <v>7651</v>
      </c>
      <c r="H220" s="12">
        <v>75</v>
      </c>
      <c r="I220" s="12" t="s">
        <v>7647</v>
      </c>
      <c r="J220" s="80">
        <v>7.5</v>
      </c>
      <c r="K220" s="12" t="s">
        <v>7161</v>
      </c>
      <c r="L220" s="12" t="s">
        <v>21</v>
      </c>
      <c r="M220" s="12" t="s">
        <v>8109</v>
      </c>
      <c r="N220" s="12">
        <v>1.1870000000000001</v>
      </c>
      <c r="O220" s="12" t="s">
        <v>7796</v>
      </c>
      <c r="P220" s="12" t="s">
        <v>7796</v>
      </c>
      <c r="Q220" s="12" t="s">
        <v>7796</v>
      </c>
      <c r="R220" s="12">
        <v>1.2999999999999999E-3</v>
      </c>
      <c r="S220" s="12">
        <v>9.4310000000000001E-3</v>
      </c>
      <c r="T220" s="12">
        <v>11308</v>
      </c>
      <c r="U220" s="12">
        <v>0.17599999999999999</v>
      </c>
      <c r="V220" s="12" t="s">
        <v>7662</v>
      </c>
      <c r="W220" s="12" t="s">
        <v>11</v>
      </c>
      <c r="X220" s="12">
        <v>3</v>
      </c>
      <c r="Y220" s="12" t="s">
        <v>8052</v>
      </c>
      <c r="Z220" s="12" t="s">
        <v>8052</v>
      </c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</row>
    <row r="221" spans="1:56" s="12" customFormat="1" x14ac:dyDescent="0.2">
      <c r="A221" s="12" t="s">
        <v>3230</v>
      </c>
      <c r="B221" s="12" t="s">
        <v>3231</v>
      </c>
      <c r="C221" s="12" t="s">
        <v>13</v>
      </c>
      <c r="D221" s="12" t="s">
        <v>7210</v>
      </c>
      <c r="E221" s="12" t="s">
        <v>8123</v>
      </c>
      <c r="F221" s="12" t="s">
        <v>7230</v>
      </c>
      <c r="G221" s="12" t="s">
        <v>7651</v>
      </c>
      <c r="H221" s="12">
        <v>75</v>
      </c>
      <c r="I221" s="12" t="s">
        <v>7647</v>
      </c>
      <c r="J221" s="80">
        <v>7.5</v>
      </c>
      <c r="K221" s="12" t="s">
        <v>7161</v>
      </c>
      <c r="L221" s="12" t="s">
        <v>21</v>
      </c>
      <c r="M221" s="12" t="s">
        <v>8109</v>
      </c>
      <c r="N221" s="12">
        <v>183.7</v>
      </c>
      <c r="O221" s="12">
        <v>0.16300000000000001</v>
      </c>
      <c r="P221" s="12">
        <v>0.97175999999999996</v>
      </c>
      <c r="Q221" s="12" t="s">
        <v>7989</v>
      </c>
      <c r="R221" s="12">
        <v>0.46600000000000003</v>
      </c>
      <c r="S221" s="12">
        <v>2.759312</v>
      </c>
      <c r="T221" s="12">
        <v>735296</v>
      </c>
      <c r="U221" s="12">
        <v>0.154</v>
      </c>
      <c r="V221" s="12" t="s">
        <v>7662</v>
      </c>
      <c r="W221" s="12" t="s">
        <v>25</v>
      </c>
      <c r="X221" s="12">
        <v>6898</v>
      </c>
      <c r="Y221" s="12" t="s">
        <v>6639</v>
      </c>
      <c r="Z221" s="12" t="s">
        <v>6639</v>
      </c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</row>
    <row r="222" spans="1:56" s="12" customFormat="1" x14ac:dyDescent="0.2">
      <c r="A222" s="12" t="s">
        <v>3142</v>
      </c>
      <c r="B222" s="12" t="s">
        <v>3143</v>
      </c>
      <c r="C222" s="12" t="s">
        <v>13</v>
      </c>
      <c r="D222" s="12" t="s">
        <v>7210</v>
      </c>
      <c r="E222" s="12" t="s">
        <v>8123</v>
      </c>
      <c r="F222" s="12" t="s">
        <v>7230</v>
      </c>
      <c r="G222" s="12" t="s">
        <v>7651</v>
      </c>
      <c r="H222" s="12">
        <v>74</v>
      </c>
      <c r="I222" s="12" t="s">
        <v>7647</v>
      </c>
      <c r="J222" s="80">
        <v>7.4</v>
      </c>
      <c r="K222" s="12" t="s">
        <v>7161</v>
      </c>
      <c r="L222" s="12" t="s">
        <v>21</v>
      </c>
      <c r="M222" s="12" t="s">
        <v>8109</v>
      </c>
      <c r="N222" s="12">
        <v>57.78</v>
      </c>
      <c r="O222" s="12">
        <v>0.152</v>
      </c>
      <c r="P222" s="12">
        <v>0.99620399999999998</v>
      </c>
      <c r="Q222" s="12" t="s">
        <v>7170</v>
      </c>
      <c r="R222" s="12">
        <v>2.5000000000000001E-2</v>
      </c>
      <c r="S222" s="12">
        <v>0.40446500000000002</v>
      </c>
      <c r="T222" s="12">
        <v>337335</v>
      </c>
      <c r="U222" s="12">
        <v>0.16200000000000001</v>
      </c>
      <c r="V222" s="12" t="s">
        <v>7662</v>
      </c>
      <c r="W222" s="12" t="s">
        <v>25</v>
      </c>
      <c r="X222" s="12">
        <v>833</v>
      </c>
      <c r="Y222" s="12" t="s">
        <v>6639</v>
      </c>
      <c r="Z222" s="12" t="s">
        <v>6639</v>
      </c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</row>
    <row r="223" spans="1:56" s="12" customFormat="1" x14ac:dyDescent="0.2">
      <c r="A223" s="12" t="s">
        <v>3146</v>
      </c>
      <c r="B223" s="12" t="s">
        <v>3147</v>
      </c>
      <c r="C223" s="12" t="s">
        <v>13</v>
      </c>
      <c r="D223" s="12" t="s">
        <v>7210</v>
      </c>
      <c r="E223" s="12" t="s">
        <v>8123</v>
      </c>
      <c r="F223" s="12" t="s">
        <v>7230</v>
      </c>
      <c r="G223" s="12" t="s">
        <v>7651</v>
      </c>
      <c r="H223" s="12">
        <v>73</v>
      </c>
      <c r="I223" s="12" t="s">
        <v>7647</v>
      </c>
      <c r="J223" s="80">
        <v>7.3000000000000007</v>
      </c>
      <c r="K223" s="12" t="s">
        <v>7161</v>
      </c>
      <c r="L223" s="12" t="s">
        <v>21</v>
      </c>
      <c r="M223" s="12" t="s">
        <v>8109</v>
      </c>
      <c r="N223" s="12">
        <v>49.22</v>
      </c>
      <c r="O223" s="12">
        <v>0.23400000000000001</v>
      </c>
      <c r="P223" s="12">
        <v>0.97404999999999997</v>
      </c>
      <c r="Q223" s="12" t="s">
        <v>7992</v>
      </c>
      <c r="R223" s="12">
        <v>3.2000000000000001E-2</v>
      </c>
      <c r="S223" s="12">
        <v>0.30649599999999999</v>
      </c>
      <c r="T223" s="12">
        <v>273904</v>
      </c>
      <c r="U223" s="12">
        <v>0.24099999999999999</v>
      </c>
      <c r="V223" s="12" t="s">
        <v>7662</v>
      </c>
      <c r="W223" s="12" t="s">
        <v>25</v>
      </c>
      <c r="X223" s="12">
        <v>523</v>
      </c>
      <c r="Y223" s="12" t="s">
        <v>6639</v>
      </c>
      <c r="Z223" s="12" t="s">
        <v>6639</v>
      </c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</row>
    <row r="224" spans="1:56" s="12" customFormat="1" x14ac:dyDescent="0.2">
      <c r="A224" s="12" t="s">
        <v>3149</v>
      </c>
      <c r="B224" s="12" t="s">
        <v>3150</v>
      </c>
      <c r="C224" s="12" t="s">
        <v>13</v>
      </c>
      <c r="D224" s="12" t="s">
        <v>7210</v>
      </c>
      <c r="E224" s="12" t="s">
        <v>8123</v>
      </c>
      <c r="F224" s="12" t="s">
        <v>7230</v>
      </c>
      <c r="G224" s="12" t="s">
        <v>7651</v>
      </c>
      <c r="H224" s="12">
        <v>77</v>
      </c>
      <c r="I224" s="12" t="s">
        <v>7647</v>
      </c>
      <c r="J224" s="80">
        <v>7.7</v>
      </c>
      <c r="K224" s="12" t="s">
        <v>7161</v>
      </c>
      <c r="L224" s="12" t="s">
        <v>21</v>
      </c>
      <c r="M224" s="12" t="s">
        <v>8109</v>
      </c>
      <c r="N224" s="12">
        <v>124.5</v>
      </c>
      <c r="O224" s="12">
        <v>0.14399999999999999</v>
      </c>
      <c r="P224" s="12">
        <v>0.98881600000000003</v>
      </c>
      <c r="Q224" s="12" t="s">
        <v>8001</v>
      </c>
      <c r="R224" s="12">
        <v>3.4000000000000002E-2</v>
      </c>
      <c r="S224" s="12">
        <v>1.0108379999999999</v>
      </c>
      <c r="T224" s="12">
        <v>574632</v>
      </c>
      <c r="U224" s="12">
        <v>0.158</v>
      </c>
      <c r="V224" s="12" t="s">
        <v>7662</v>
      </c>
      <c r="W224" s="12" t="s">
        <v>11</v>
      </c>
      <c r="X224" s="12">
        <v>1231</v>
      </c>
      <c r="Y224" s="12">
        <v>5.3150000000000003E-3</v>
      </c>
      <c r="Z224" s="12">
        <v>1.979241609728559</v>
      </c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</row>
    <row r="225" spans="1:39" s="12" customFormat="1" x14ac:dyDescent="0.2">
      <c r="A225" s="12" t="s">
        <v>3151</v>
      </c>
      <c r="B225" s="12" t="s">
        <v>3152</v>
      </c>
      <c r="C225" s="12" t="s">
        <v>13</v>
      </c>
      <c r="D225" s="12" t="s">
        <v>7210</v>
      </c>
      <c r="E225" s="12" t="s">
        <v>8123</v>
      </c>
      <c r="F225" s="12" t="s">
        <v>7230</v>
      </c>
      <c r="G225" s="12" t="s">
        <v>7651</v>
      </c>
      <c r="H225" s="12">
        <v>77</v>
      </c>
      <c r="I225" s="12" t="s">
        <v>7647</v>
      </c>
      <c r="J225" s="80">
        <v>7.7</v>
      </c>
      <c r="K225" s="12" t="s">
        <v>7161</v>
      </c>
      <c r="L225" s="12" t="s">
        <v>21</v>
      </c>
      <c r="M225" s="12" t="s">
        <v>8109</v>
      </c>
      <c r="N225" s="12">
        <v>194</v>
      </c>
      <c r="O225" s="12">
        <v>0.18</v>
      </c>
      <c r="P225" s="12">
        <v>0.99636199999999997</v>
      </c>
      <c r="Q225" s="12" t="s">
        <v>7170</v>
      </c>
      <c r="R225" s="12">
        <v>0.14599999999999999</v>
      </c>
      <c r="S225" s="12">
        <v>1.5114639999999999</v>
      </c>
      <c r="T225" s="12">
        <v>672007</v>
      </c>
      <c r="U225" s="12">
        <v>0.1855</v>
      </c>
      <c r="V225" s="12" t="s">
        <v>7662</v>
      </c>
      <c r="W225" s="12" t="s">
        <v>11</v>
      </c>
      <c r="X225" s="12">
        <v>2565</v>
      </c>
      <c r="Y225" s="12">
        <v>4.091E-3</v>
      </c>
      <c r="Z225" s="12">
        <v>2.1354137305380343</v>
      </c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</row>
    <row r="226" spans="1:39" s="12" customFormat="1" x14ac:dyDescent="0.2">
      <c r="A226" s="12" t="s">
        <v>3153</v>
      </c>
      <c r="B226" s="12" t="s">
        <v>3154</v>
      </c>
      <c r="C226" s="12" t="s">
        <v>13</v>
      </c>
      <c r="D226" s="12" t="s">
        <v>7210</v>
      </c>
      <c r="E226" s="12" t="s">
        <v>8123</v>
      </c>
      <c r="F226" s="12" t="s">
        <v>7230</v>
      </c>
      <c r="G226" s="12" t="s">
        <v>7651</v>
      </c>
      <c r="H226" s="12">
        <v>76</v>
      </c>
      <c r="I226" s="12" t="s">
        <v>7647</v>
      </c>
      <c r="J226" s="80">
        <v>7.6000000000000005</v>
      </c>
      <c r="K226" s="12" t="s">
        <v>7161</v>
      </c>
      <c r="L226" s="12" t="s">
        <v>21</v>
      </c>
      <c r="M226" s="12" t="s">
        <v>8109</v>
      </c>
      <c r="N226" s="12">
        <v>169.1</v>
      </c>
      <c r="O226" s="12">
        <v>0.14000000000000001</v>
      </c>
      <c r="P226" s="12">
        <v>0.99650399999999995</v>
      </c>
      <c r="Q226" s="12" t="s">
        <v>7263</v>
      </c>
      <c r="R226" s="12">
        <v>0.106</v>
      </c>
      <c r="S226" s="12">
        <v>1.554009</v>
      </c>
      <c r="T226" s="12">
        <v>692717</v>
      </c>
      <c r="U226" s="12">
        <v>0.13900000000000001</v>
      </c>
      <c r="V226" s="12" t="s">
        <v>7662</v>
      </c>
      <c r="W226" s="12" t="s">
        <v>11</v>
      </c>
      <c r="X226" s="12">
        <v>2353</v>
      </c>
      <c r="Y226" s="12">
        <v>4.6100000000000004E-3</v>
      </c>
      <c r="Z226" s="12">
        <v>2.6693147504248613</v>
      </c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</row>
    <row r="227" spans="1:39" s="12" customFormat="1" x14ac:dyDescent="0.2">
      <c r="A227" s="12" t="s">
        <v>3232</v>
      </c>
      <c r="B227" s="12" t="s">
        <v>3233</v>
      </c>
      <c r="C227" s="12" t="s">
        <v>13</v>
      </c>
      <c r="D227" s="12" t="s">
        <v>7210</v>
      </c>
      <c r="E227" s="12" t="s">
        <v>8123</v>
      </c>
      <c r="F227" s="12" t="s">
        <v>7230</v>
      </c>
      <c r="G227" s="12" t="s">
        <v>7651</v>
      </c>
      <c r="H227" s="12">
        <v>74</v>
      </c>
      <c r="I227" s="12" t="s">
        <v>7647</v>
      </c>
      <c r="J227" s="80">
        <v>7.4</v>
      </c>
      <c r="K227" s="12" t="s">
        <v>7161</v>
      </c>
      <c r="L227" s="12" t="s">
        <v>21</v>
      </c>
      <c r="M227" s="12" t="s">
        <v>8109</v>
      </c>
      <c r="N227" s="12">
        <v>131</v>
      </c>
      <c r="O227" s="12">
        <v>7.2999999999999995E-2</v>
      </c>
      <c r="P227" s="12">
        <v>0.97905600000000004</v>
      </c>
      <c r="Q227" s="12" t="s">
        <v>7334</v>
      </c>
      <c r="R227" s="12">
        <v>0.153</v>
      </c>
      <c r="S227" s="12">
        <v>1.6215349999999999</v>
      </c>
      <c r="T227" s="12">
        <v>682756</v>
      </c>
      <c r="U227" s="12">
        <v>9.1999999999999998E-2</v>
      </c>
      <c r="V227" s="12" t="s">
        <v>7662</v>
      </c>
      <c r="W227" s="12" t="s">
        <v>25</v>
      </c>
      <c r="X227" s="12">
        <v>5382</v>
      </c>
      <c r="Y227" s="12" t="s">
        <v>6639</v>
      </c>
      <c r="Z227" s="12" t="s">
        <v>6639</v>
      </c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</row>
    <row r="228" spans="1:39" s="12" customFormat="1" x14ac:dyDescent="0.2">
      <c r="A228" s="12" t="s">
        <v>3234</v>
      </c>
      <c r="B228" s="12" t="s">
        <v>3235</v>
      </c>
      <c r="C228" s="12" t="s">
        <v>13</v>
      </c>
      <c r="D228" s="12" t="s">
        <v>7210</v>
      </c>
      <c r="E228" s="12" t="s">
        <v>8123</v>
      </c>
      <c r="F228" s="12" t="s">
        <v>7230</v>
      </c>
      <c r="G228" s="12" t="s">
        <v>7651</v>
      </c>
      <c r="H228" s="12">
        <v>73</v>
      </c>
      <c r="I228" s="12" t="s">
        <v>7647</v>
      </c>
      <c r="J228" s="80">
        <v>7.3000000000000007</v>
      </c>
      <c r="K228" s="12" t="s">
        <v>7161</v>
      </c>
      <c r="L228" s="12" t="s">
        <v>21</v>
      </c>
      <c r="M228" s="12" t="s">
        <v>8109</v>
      </c>
      <c r="N228" s="12">
        <v>66.16</v>
      </c>
      <c r="O228" s="12">
        <v>0.214</v>
      </c>
      <c r="P228" s="12">
        <v>0.97285900000000003</v>
      </c>
      <c r="Q228" s="12" t="s">
        <v>7990</v>
      </c>
      <c r="R228" s="12">
        <v>0.224</v>
      </c>
      <c r="S228" s="12">
        <v>0.50535600000000003</v>
      </c>
      <c r="T228" s="12">
        <v>399222</v>
      </c>
      <c r="U228" s="12">
        <v>0.23400000000000001</v>
      </c>
      <c r="V228" s="12" t="s">
        <v>7662</v>
      </c>
      <c r="W228" s="12" t="s">
        <v>25</v>
      </c>
      <c r="X228" s="12">
        <v>1236</v>
      </c>
      <c r="Y228" s="12" t="s">
        <v>6639</v>
      </c>
      <c r="Z228" s="12" t="s">
        <v>6639</v>
      </c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</row>
    <row r="229" spans="1:39" s="12" customFormat="1" x14ac:dyDescent="0.2">
      <c r="A229" s="12" t="s">
        <v>3237</v>
      </c>
      <c r="B229" s="12" t="s">
        <v>3238</v>
      </c>
      <c r="C229" s="12" t="s">
        <v>13</v>
      </c>
      <c r="D229" s="12" t="s">
        <v>7210</v>
      </c>
      <c r="E229" s="12" t="s">
        <v>8123</v>
      </c>
      <c r="F229" s="12" t="s">
        <v>7230</v>
      </c>
      <c r="G229" s="12" t="s">
        <v>7651</v>
      </c>
      <c r="H229" s="12">
        <v>75</v>
      </c>
      <c r="I229" s="12" t="s">
        <v>7647</v>
      </c>
      <c r="J229" s="80">
        <v>7.5</v>
      </c>
      <c r="K229" s="12" t="s">
        <v>7161</v>
      </c>
      <c r="L229" s="12" t="s">
        <v>21</v>
      </c>
      <c r="M229" s="12" t="s">
        <v>8109</v>
      </c>
      <c r="N229" s="12">
        <v>188.9</v>
      </c>
      <c r="O229" s="12">
        <v>0.14699999999999999</v>
      </c>
      <c r="P229" s="12">
        <v>0.99190100000000003</v>
      </c>
      <c r="Q229" s="12" t="s">
        <v>7972</v>
      </c>
      <c r="R229" s="12">
        <v>0.19900000000000001</v>
      </c>
      <c r="S229" s="12">
        <v>1.5194570000000001</v>
      </c>
      <c r="T229" s="12">
        <v>679046</v>
      </c>
      <c r="U229" s="12">
        <v>0.154</v>
      </c>
      <c r="V229" s="12" t="s">
        <v>7662</v>
      </c>
      <c r="W229" s="12" t="s">
        <v>11</v>
      </c>
      <c r="X229" s="12">
        <v>2171</v>
      </c>
      <c r="Y229" s="12">
        <v>1.0330000000000001E-3</v>
      </c>
      <c r="Z229" s="12">
        <v>0.81127587070791485</v>
      </c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</row>
    <row r="230" spans="1:39" s="12" customFormat="1" x14ac:dyDescent="0.2">
      <c r="A230" s="12" t="s">
        <v>3239</v>
      </c>
      <c r="B230" s="12" t="s">
        <v>3240</v>
      </c>
      <c r="C230" s="12" t="s">
        <v>13</v>
      </c>
      <c r="D230" s="12" t="s">
        <v>7210</v>
      </c>
      <c r="E230" s="12" t="s">
        <v>8123</v>
      </c>
      <c r="F230" s="12" t="s">
        <v>7230</v>
      </c>
      <c r="G230" s="12" t="s">
        <v>7651</v>
      </c>
      <c r="H230" s="12">
        <v>75</v>
      </c>
      <c r="I230" s="12" t="s">
        <v>7647</v>
      </c>
      <c r="J230" s="80">
        <v>7.5</v>
      </c>
      <c r="K230" s="12" t="s">
        <v>7161</v>
      </c>
      <c r="L230" s="12" t="s">
        <v>21</v>
      </c>
      <c r="M230" s="12" t="s">
        <v>8109</v>
      </c>
      <c r="N230" s="12">
        <v>40.69</v>
      </c>
      <c r="O230" s="12">
        <v>0.157</v>
      </c>
      <c r="P230" s="12">
        <v>0.98228499999999996</v>
      </c>
      <c r="Q230" s="12" t="s">
        <v>7984</v>
      </c>
      <c r="R230" s="12">
        <v>1.7000000000000001E-2</v>
      </c>
      <c r="S230" s="12">
        <v>0.31659599999999999</v>
      </c>
      <c r="T230" s="12">
        <v>287981</v>
      </c>
      <c r="U230" s="12">
        <v>0.16400000000000001</v>
      </c>
      <c r="V230" s="12" t="s">
        <v>7662</v>
      </c>
      <c r="W230" s="12" t="s">
        <v>11</v>
      </c>
      <c r="X230" s="12">
        <v>189</v>
      </c>
      <c r="Y230" s="12" t="s">
        <v>8052</v>
      </c>
      <c r="Z230" s="12" t="s">
        <v>8052</v>
      </c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</row>
    <row r="231" spans="1:39" s="12" customFormat="1" x14ac:dyDescent="0.2">
      <c r="A231" s="12" t="s">
        <v>3242</v>
      </c>
      <c r="B231" s="12" t="s">
        <v>3243</v>
      </c>
      <c r="C231" s="12" t="s">
        <v>13</v>
      </c>
      <c r="D231" s="12" t="s">
        <v>7210</v>
      </c>
      <c r="E231" s="12" t="s">
        <v>8123</v>
      </c>
      <c r="F231" s="12" t="s">
        <v>7230</v>
      </c>
      <c r="G231" s="12" t="s">
        <v>7651</v>
      </c>
      <c r="H231" s="12">
        <v>77</v>
      </c>
      <c r="I231" s="12" t="s">
        <v>7647</v>
      </c>
      <c r="J231" s="80">
        <v>7.7</v>
      </c>
      <c r="K231" s="12" t="s">
        <v>7161</v>
      </c>
      <c r="L231" s="12" t="s">
        <v>21</v>
      </c>
      <c r="M231" s="12" t="s">
        <v>8109</v>
      </c>
      <c r="N231" s="12">
        <v>124.7</v>
      </c>
      <c r="O231" s="12">
        <v>0.16500000000000001</v>
      </c>
      <c r="P231" s="12">
        <v>0.98479300000000003</v>
      </c>
      <c r="Q231" s="12" t="s">
        <v>7323</v>
      </c>
      <c r="R231" s="12">
        <v>0.126</v>
      </c>
      <c r="S231" s="12">
        <v>1.427916</v>
      </c>
      <c r="T231" s="12">
        <v>635165</v>
      </c>
      <c r="U231" s="12">
        <v>0.17699999999999999</v>
      </c>
      <c r="V231" s="12" t="s">
        <v>7662</v>
      </c>
      <c r="W231" s="12" t="s">
        <v>25</v>
      </c>
      <c r="X231" s="12">
        <v>4422</v>
      </c>
      <c r="Y231" s="12" t="s">
        <v>6639</v>
      </c>
      <c r="Z231" s="12" t="s">
        <v>6639</v>
      </c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</row>
    <row r="232" spans="1:39" s="12" customFormat="1" x14ac:dyDescent="0.2">
      <c r="A232" s="12" t="s">
        <v>3244</v>
      </c>
      <c r="B232" s="12" t="s">
        <v>3245</v>
      </c>
      <c r="C232" s="12" t="s">
        <v>13</v>
      </c>
      <c r="D232" s="12" t="s">
        <v>7210</v>
      </c>
      <c r="E232" s="12" t="s">
        <v>8123</v>
      </c>
      <c r="F232" s="12" t="s">
        <v>7230</v>
      </c>
      <c r="G232" s="12" t="s">
        <v>7651</v>
      </c>
      <c r="H232" s="12">
        <v>78</v>
      </c>
      <c r="I232" s="12" t="s">
        <v>7647</v>
      </c>
      <c r="J232" s="80">
        <v>7.8000000000000007</v>
      </c>
      <c r="K232" s="12" t="s">
        <v>7161</v>
      </c>
      <c r="L232" s="12" t="s">
        <v>21</v>
      </c>
      <c r="M232" s="12" t="s">
        <v>8109</v>
      </c>
      <c r="N232" s="12">
        <v>23.69</v>
      </c>
      <c r="O232" s="12">
        <v>0.14249999999999999</v>
      </c>
      <c r="P232" s="12">
        <v>0.98393699999999995</v>
      </c>
      <c r="Q232" s="12" t="s">
        <v>8119</v>
      </c>
      <c r="R232" s="12">
        <v>1.2E-2</v>
      </c>
      <c r="S232" s="12">
        <v>0.19664100000000001</v>
      </c>
      <c r="T232" s="12">
        <v>200090</v>
      </c>
      <c r="U232" s="12">
        <v>0.1575</v>
      </c>
      <c r="V232" s="12" t="s">
        <v>7662</v>
      </c>
      <c r="W232" s="12" t="s">
        <v>11</v>
      </c>
      <c r="X232" s="12">
        <v>100</v>
      </c>
      <c r="Y232" s="12" t="s">
        <v>8052</v>
      </c>
      <c r="Z232" s="12" t="s">
        <v>8052</v>
      </c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</row>
    <row r="233" spans="1:39" s="12" customFormat="1" x14ac:dyDescent="0.2">
      <c r="A233" s="12" t="s">
        <v>3246</v>
      </c>
      <c r="B233" s="12" t="s">
        <v>3247</v>
      </c>
      <c r="C233" s="12" t="s">
        <v>13</v>
      </c>
      <c r="D233" s="12" t="s">
        <v>7210</v>
      </c>
      <c r="E233" s="12" t="s">
        <v>8123</v>
      </c>
      <c r="F233" s="12" t="s">
        <v>7230</v>
      </c>
      <c r="G233" s="12" t="s">
        <v>7651</v>
      </c>
      <c r="H233" s="12">
        <v>74</v>
      </c>
      <c r="I233" s="12" t="s">
        <v>7647</v>
      </c>
      <c r="J233" s="80">
        <v>7.4</v>
      </c>
      <c r="K233" s="12" t="s">
        <v>7161</v>
      </c>
      <c r="L233" s="12" t="s">
        <v>21</v>
      </c>
      <c r="M233" s="12" t="s">
        <v>8109</v>
      </c>
      <c r="N233" s="12">
        <v>0.25490000000000002</v>
      </c>
      <c r="O233" s="12" t="s">
        <v>7796</v>
      </c>
      <c r="P233" s="12" t="s">
        <v>7796</v>
      </c>
      <c r="Q233" s="12" t="s">
        <v>7796</v>
      </c>
      <c r="R233" s="12">
        <v>1.6000000000000001E-3</v>
      </c>
      <c r="S233" s="12">
        <v>2.483E-3</v>
      </c>
      <c r="T233" s="12">
        <v>2901</v>
      </c>
      <c r="U233" s="12">
        <v>0.27900000000000003</v>
      </c>
      <c r="V233" s="12" t="s">
        <v>7662</v>
      </c>
      <c r="W233" s="12" t="s">
        <v>11</v>
      </c>
      <c r="X233" s="12">
        <v>0</v>
      </c>
      <c r="Y233" s="12" t="s">
        <v>8052</v>
      </c>
      <c r="Z233" s="12" t="s">
        <v>8052</v>
      </c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</row>
    <row r="234" spans="1:39" s="12" customFormat="1" x14ac:dyDescent="0.2">
      <c r="A234" s="12" t="s">
        <v>3248</v>
      </c>
      <c r="B234" s="12" t="s">
        <v>3249</v>
      </c>
      <c r="C234" s="12" t="s">
        <v>13</v>
      </c>
      <c r="D234" s="12" t="s">
        <v>7210</v>
      </c>
      <c r="E234" s="12" t="s">
        <v>8123</v>
      </c>
      <c r="F234" s="12" t="s">
        <v>7230</v>
      </c>
      <c r="G234" s="12" t="s">
        <v>7651</v>
      </c>
      <c r="H234" s="12">
        <v>76</v>
      </c>
      <c r="I234" s="12" t="s">
        <v>7647</v>
      </c>
      <c r="J234" s="80">
        <v>7.6000000000000005</v>
      </c>
      <c r="K234" s="12" t="s">
        <v>7161</v>
      </c>
      <c r="L234" s="12" t="s">
        <v>21</v>
      </c>
      <c r="M234" s="12" t="s">
        <v>8109</v>
      </c>
      <c r="N234" s="12">
        <v>234</v>
      </c>
      <c r="O234" s="12">
        <v>0.14899999999999999</v>
      </c>
      <c r="P234" s="12">
        <v>0.99105399999999999</v>
      </c>
      <c r="Q234" s="12" t="s">
        <v>7324</v>
      </c>
      <c r="R234" s="12">
        <v>0.26700000000000002</v>
      </c>
      <c r="S234" s="12">
        <v>2.3731499999999999</v>
      </c>
      <c r="T234" s="12">
        <v>746244</v>
      </c>
      <c r="U234" s="12">
        <v>0.159</v>
      </c>
      <c r="V234" s="12" t="s">
        <v>7662</v>
      </c>
      <c r="W234" s="12" t="s">
        <v>11</v>
      </c>
      <c r="X234" s="12">
        <v>3608</v>
      </c>
      <c r="Y234" s="12">
        <v>4.1110000000000001E-3</v>
      </c>
      <c r="Z234" s="12">
        <v>3.2682960181008429</v>
      </c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</row>
    <row r="235" spans="1:39" s="12" customFormat="1" x14ac:dyDescent="0.2">
      <c r="A235" s="12" t="s">
        <v>3251</v>
      </c>
      <c r="B235" s="12" t="s">
        <v>3252</v>
      </c>
      <c r="C235" s="12" t="s">
        <v>13</v>
      </c>
      <c r="D235" s="12" t="s">
        <v>7210</v>
      </c>
      <c r="E235" s="12" t="s">
        <v>8123</v>
      </c>
      <c r="F235" s="12" t="s">
        <v>7230</v>
      </c>
      <c r="G235" s="12" t="s">
        <v>7651</v>
      </c>
      <c r="H235" s="12">
        <v>74</v>
      </c>
      <c r="I235" s="12" t="s">
        <v>7647</v>
      </c>
      <c r="J235" s="80">
        <v>7.4</v>
      </c>
      <c r="K235" s="12" t="s">
        <v>7161</v>
      </c>
      <c r="L235" s="12" t="s">
        <v>21</v>
      </c>
      <c r="M235" s="12" t="s">
        <v>8109</v>
      </c>
      <c r="N235" s="12">
        <v>91.68</v>
      </c>
      <c r="O235" s="12">
        <v>0.16</v>
      </c>
      <c r="P235" s="12">
        <v>0.99784600000000001</v>
      </c>
      <c r="Q235" s="12" t="s">
        <v>7258</v>
      </c>
      <c r="R235" s="12">
        <v>0.105</v>
      </c>
      <c r="S235" s="12">
        <v>0.73913700000000004</v>
      </c>
      <c r="T235" s="12">
        <v>501631</v>
      </c>
      <c r="U235" s="12">
        <v>0.17</v>
      </c>
      <c r="V235" s="12" t="s">
        <v>7662</v>
      </c>
      <c r="W235" s="12" t="s">
        <v>11</v>
      </c>
      <c r="X235" s="12">
        <v>734</v>
      </c>
      <c r="Y235" s="12">
        <v>2.3119999999999998E-3</v>
      </c>
      <c r="Z235" s="12">
        <v>1.0413401218620169</v>
      </c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</row>
    <row r="236" spans="1:39" s="12" customFormat="1" x14ac:dyDescent="0.2">
      <c r="A236" s="12" t="s">
        <v>3257</v>
      </c>
      <c r="B236" s="12" t="s">
        <v>3258</v>
      </c>
      <c r="C236" s="12" t="s">
        <v>13</v>
      </c>
      <c r="D236" s="12" t="s">
        <v>7210</v>
      </c>
      <c r="E236" s="12" t="s">
        <v>8123</v>
      </c>
      <c r="F236" s="12" t="s">
        <v>7230</v>
      </c>
      <c r="G236" s="12" t="s">
        <v>7651</v>
      </c>
      <c r="H236" s="12">
        <v>73</v>
      </c>
      <c r="I236" s="12" t="s">
        <v>7647</v>
      </c>
      <c r="J236" s="80">
        <v>7.3000000000000007</v>
      </c>
      <c r="K236" s="12" t="s">
        <v>7161</v>
      </c>
      <c r="L236" s="12" t="s">
        <v>21</v>
      </c>
      <c r="M236" s="12" t="s">
        <v>8109</v>
      </c>
      <c r="N236" s="12">
        <v>5.9720000000000004</v>
      </c>
      <c r="O236" s="12">
        <v>0.14699999999999999</v>
      </c>
      <c r="P236" s="12">
        <v>0.94532499999999997</v>
      </c>
      <c r="Q236" s="12" t="s">
        <v>8116</v>
      </c>
      <c r="R236" s="12">
        <v>5.4000000000000003E-3</v>
      </c>
      <c r="S236" s="12">
        <v>5.2200999999999997E-2</v>
      </c>
      <c r="T236" s="12">
        <v>60145</v>
      </c>
      <c r="U236" s="12">
        <v>0.16649999999999901</v>
      </c>
      <c r="V236" s="12" t="s">
        <v>7662</v>
      </c>
      <c r="W236" s="12" t="s">
        <v>11</v>
      </c>
      <c r="X236" s="12">
        <v>10</v>
      </c>
      <c r="Y236" s="12" t="s">
        <v>8052</v>
      </c>
      <c r="Z236" s="12" t="s">
        <v>8052</v>
      </c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</row>
    <row r="237" spans="1:39" s="12" customFormat="1" x14ac:dyDescent="0.2">
      <c r="A237" s="12" t="s">
        <v>3259</v>
      </c>
      <c r="B237" s="12" t="s">
        <v>3260</v>
      </c>
      <c r="C237" s="12" t="s">
        <v>13</v>
      </c>
      <c r="D237" s="12" t="s">
        <v>7210</v>
      </c>
      <c r="E237" s="12" t="s">
        <v>8123</v>
      </c>
      <c r="F237" s="12" t="s">
        <v>7230</v>
      </c>
      <c r="G237" s="12" t="s">
        <v>7651</v>
      </c>
      <c r="H237" s="12">
        <v>78</v>
      </c>
      <c r="I237" s="12" t="s">
        <v>7647</v>
      </c>
      <c r="J237" s="80">
        <v>7.8000000000000007</v>
      </c>
      <c r="K237" s="12" t="s">
        <v>7161</v>
      </c>
      <c r="L237" s="12" t="s">
        <v>21</v>
      </c>
      <c r="M237" s="12" t="s">
        <v>8109</v>
      </c>
      <c r="N237" s="12">
        <v>27.16</v>
      </c>
      <c r="O237" s="12">
        <v>0.155</v>
      </c>
      <c r="P237" s="12">
        <v>0.99102299999999999</v>
      </c>
      <c r="Q237" s="12" t="s">
        <v>8005</v>
      </c>
      <c r="R237" s="12">
        <v>2.1000000000000001E-2</v>
      </c>
      <c r="S237" s="12">
        <v>0.26061000000000001</v>
      </c>
      <c r="T237" s="12">
        <v>250250</v>
      </c>
      <c r="U237" s="12">
        <v>0.16500000000000001</v>
      </c>
      <c r="V237" s="12" t="s">
        <v>7662</v>
      </c>
      <c r="W237" s="12" t="s">
        <v>11</v>
      </c>
      <c r="X237" s="12">
        <v>119</v>
      </c>
      <c r="Y237" s="12" t="s">
        <v>8052</v>
      </c>
      <c r="Z237" s="12" t="s">
        <v>8052</v>
      </c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</row>
    <row r="238" spans="1:39" s="12" customFormat="1" x14ac:dyDescent="0.2">
      <c r="A238" s="12" t="s">
        <v>3262</v>
      </c>
      <c r="B238" s="12" t="s">
        <v>3263</v>
      </c>
      <c r="C238" s="12" t="s">
        <v>13</v>
      </c>
      <c r="D238" s="12" t="s">
        <v>7210</v>
      </c>
      <c r="E238" s="12" t="s">
        <v>8123</v>
      </c>
      <c r="F238" s="12" t="s">
        <v>7230</v>
      </c>
      <c r="G238" s="12" t="s">
        <v>7651</v>
      </c>
      <c r="H238" s="12">
        <v>76</v>
      </c>
      <c r="I238" s="12" t="s">
        <v>7647</v>
      </c>
      <c r="J238" s="80">
        <v>7.6000000000000005</v>
      </c>
      <c r="K238" s="12" t="s">
        <v>7161</v>
      </c>
      <c r="L238" s="12" t="s">
        <v>21</v>
      </c>
      <c r="M238" s="12" t="s">
        <v>8109</v>
      </c>
      <c r="N238" s="12">
        <v>140.9</v>
      </c>
      <c r="O238" s="12">
        <v>0.16900000000000001</v>
      </c>
      <c r="P238" s="12">
        <v>0.99178200000000005</v>
      </c>
      <c r="Q238" s="12" t="s">
        <v>8007</v>
      </c>
      <c r="R238" s="12">
        <v>0.14899999999999999</v>
      </c>
      <c r="S238" s="12">
        <v>1.1458870000000001</v>
      </c>
      <c r="T238" s="12">
        <v>625449</v>
      </c>
      <c r="U238" s="12">
        <v>0.17899999999999999</v>
      </c>
      <c r="V238" s="12" t="s">
        <v>7662</v>
      </c>
      <c r="W238" s="12" t="s">
        <v>25</v>
      </c>
      <c r="X238" s="12">
        <v>3734</v>
      </c>
      <c r="Y238" s="12" t="s">
        <v>6639</v>
      </c>
      <c r="Z238" s="12" t="s">
        <v>6639</v>
      </c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</row>
    <row r="239" spans="1:39" s="12" customFormat="1" x14ac:dyDescent="0.2">
      <c r="A239" s="12" t="s">
        <v>4700</v>
      </c>
      <c r="B239" s="12" t="s">
        <v>4701</v>
      </c>
      <c r="C239" s="12" t="s">
        <v>13</v>
      </c>
      <c r="D239" s="12" t="s">
        <v>7210</v>
      </c>
      <c r="E239" s="12" t="s">
        <v>8123</v>
      </c>
      <c r="F239" s="12" t="s">
        <v>7230</v>
      </c>
      <c r="G239" s="12" t="s">
        <v>7651</v>
      </c>
      <c r="H239" s="12">
        <v>74</v>
      </c>
      <c r="I239" s="12" t="s">
        <v>7647</v>
      </c>
      <c r="J239" s="80">
        <v>7.4</v>
      </c>
      <c r="K239" s="12" t="s">
        <v>7161</v>
      </c>
      <c r="L239" s="12" t="s">
        <v>21</v>
      </c>
      <c r="M239" s="12" t="s">
        <v>8109</v>
      </c>
      <c r="N239" s="12">
        <v>9.5009999999999994</v>
      </c>
      <c r="O239" s="12">
        <v>0.25800000000000001</v>
      </c>
      <c r="P239" s="12">
        <v>0.97392100000000004</v>
      </c>
      <c r="Q239" s="12" t="s">
        <v>7991</v>
      </c>
      <c r="R239" s="12">
        <v>3.6999999999999998E-2</v>
      </c>
      <c r="S239" s="12">
        <v>7.0806999999999995E-2</v>
      </c>
      <c r="T239" s="12">
        <v>77744</v>
      </c>
      <c r="U239" s="12">
        <v>0.26200000000000001</v>
      </c>
      <c r="V239" s="12" t="s">
        <v>7662</v>
      </c>
      <c r="W239" s="12" t="s">
        <v>25</v>
      </c>
      <c r="X239" s="12">
        <v>44</v>
      </c>
      <c r="Y239" s="12" t="s">
        <v>6639</v>
      </c>
      <c r="Z239" s="12" t="s">
        <v>6639</v>
      </c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</row>
    <row r="240" spans="1:39" s="12" customFormat="1" x14ac:dyDescent="0.2">
      <c r="A240" s="12" t="s">
        <v>4702</v>
      </c>
      <c r="B240" s="12" t="s">
        <v>4703</v>
      </c>
      <c r="C240" s="12" t="s">
        <v>13</v>
      </c>
      <c r="D240" s="12" t="s">
        <v>7210</v>
      </c>
      <c r="E240" s="12" t="s">
        <v>8123</v>
      </c>
      <c r="F240" s="12" t="s">
        <v>7230</v>
      </c>
      <c r="G240" s="12" t="s">
        <v>7651</v>
      </c>
      <c r="H240" s="12">
        <v>75</v>
      </c>
      <c r="I240" s="12" t="s">
        <v>7647</v>
      </c>
      <c r="J240" s="80">
        <v>7.5</v>
      </c>
      <c r="K240" s="12" t="s">
        <v>7161</v>
      </c>
      <c r="L240" s="12" t="s">
        <v>21</v>
      </c>
      <c r="M240" s="12" t="s">
        <v>8109</v>
      </c>
      <c r="N240" s="12">
        <v>7.9930000000000003</v>
      </c>
      <c r="O240" s="12">
        <v>0.2465</v>
      </c>
      <c r="P240" s="12">
        <v>0.96883900000000001</v>
      </c>
      <c r="Q240" s="12" t="s">
        <v>8117</v>
      </c>
      <c r="R240" s="12">
        <v>0.33800000000000002</v>
      </c>
      <c r="S240" s="12">
        <v>7.2410000000000002E-2</v>
      </c>
      <c r="T240" s="12">
        <v>80692</v>
      </c>
      <c r="U240" s="12">
        <v>0.27750000000000002</v>
      </c>
      <c r="V240" s="12" t="s">
        <v>7662</v>
      </c>
      <c r="W240" s="12" t="s">
        <v>25</v>
      </c>
      <c r="X240" s="12">
        <v>65</v>
      </c>
      <c r="Y240" s="12" t="s">
        <v>6639</v>
      </c>
      <c r="Z240" s="12" t="s">
        <v>6639</v>
      </c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</row>
    <row r="241" spans="1:56" s="12" customFormat="1" x14ac:dyDescent="0.2">
      <c r="A241" s="12" t="s">
        <v>4704</v>
      </c>
      <c r="B241" s="12" t="s">
        <v>4705</v>
      </c>
      <c r="C241" s="12" t="s">
        <v>13</v>
      </c>
      <c r="D241" s="12" t="s">
        <v>7210</v>
      </c>
      <c r="E241" s="12" t="s">
        <v>8123</v>
      </c>
      <c r="F241" s="12" t="s">
        <v>7230</v>
      </c>
      <c r="G241" s="12" t="s">
        <v>7651</v>
      </c>
      <c r="H241" s="12">
        <v>73</v>
      </c>
      <c r="I241" s="12" t="s">
        <v>7647</v>
      </c>
      <c r="J241" s="80">
        <v>7.3000000000000007</v>
      </c>
      <c r="K241" s="12" t="s">
        <v>7161</v>
      </c>
      <c r="L241" s="12" t="s">
        <v>21</v>
      </c>
      <c r="M241" s="12" t="s">
        <v>8109</v>
      </c>
      <c r="N241" s="12">
        <v>95.31</v>
      </c>
      <c r="O241" s="12">
        <v>0.17899999999999999</v>
      </c>
      <c r="P241" s="12">
        <v>0.99143800000000004</v>
      </c>
      <c r="Q241" s="12" t="s">
        <v>7361</v>
      </c>
      <c r="R241" s="12">
        <v>0.30199999999999999</v>
      </c>
      <c r="S241" s="12">
        <v>0.67882799999999999</v>
      </c>
      <c r="T241" s="12">
        <v>477405</v>
      </c>
      <c r="U241" s="12">
        <v>0.20399999999999999</v>
      </c>
      <c r="V241" s="12" t="s">
        <v>7662</v>
      </c>
      <c r="W241" s="12" t="s">
        <v>25</v>
      </c>
      <c r="X241" s="12">
        <v>1779</v>
      </c>
      <c r="Y241" s="12" t="s">
        <v>6639</v>
      </c>
      <c r="Z241" s="12" t="s">
        <v>6639</v>
      </c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</row>
    <row r="242" spans="1:56" s="12" customFormat="1" x14ac:dyDescent="0.2">
      <c r="A242" s="12" t="s">
        <v>4706</v>
      </c>
      <c r="B242" s="12" t="s">
        <v>4707</v>
      </c>
      <c r="C242" s="12" t="s">
        <v>13</v>
      </c>
      <c r="D242" s="12" t="s">
        <v>7210</v>
      </c>
      <c r="E242" s="12" t="s">
        <v>8123</v>
      </c>
      <c r="F242" s="12" t="s">
        <v>7230</v>
      </c>
      <c r="G242" s="12" t="s">
        <v>7651</v>
      </c>
      <c r="H242" s="12">
        <v>74</v>
      </c>
      <c r="I242" s="12" t="s">
        <v>7647</v>
      </c>
      <c r="J242" s="80">
        <v>7.4</v>
      </c>
      <c r="K242" s="12" t="s">
        <v>7161</v>
      </c>
      <c r="L242" s="12" t="s">
        <v>21</v>
      </c>
      <c r="M242" s="12" t="s">
        <v>8109</v>
      </c>
      <c r="N242" s="12">
        <v>74.88</v>
      </c>
      <c r="O242" s="12">
        <v>0.216</v>
      </c>
      <c r="P242" s="12">
        <v>0.98897100000000004</v>
      </c>
      <c r="Q242" s="12" t="s">
        <v>8002</v>
      </c>
      <c r="R242" s="12">
        <v>0.26700000000000002</v>
      </c>
      <c r="S242" s="12">
        <v>0.78256099999999995</v>
      </c>
      <c r="T242" s="12">
        <v>489463</v>
      </c>
      <c r="U242" s="12">
        <v>0.22900000000000001</v>
      </c>
      <c r="V242" s="12" t="s">
        <v>7662</v>
      </c>
      <c r="W242" s="12" t="s">
        <v>11</v>
      </c>
      <c r="X242" s="12">
        <v>801</v>
      </c>
      <c r="Y242" s="12">
        <v>6.0200000000000002E-3</v>
      </c>
      <c r="Z242" s="12">
        <v>1.7622502003022757</v>
      </c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P242" s="12" t="s">
        <v>3201</v>
      </c>
      <c r="AQ242" s="12" t="s">
        <v>8050</v>
      </c>
      <c r="AR242" s="12" t="s">
        <v>8051</v>
      </c>
      <c r="AS242" s="12">
        <v>228.6</v>
      </c>
      <c r="AT242" s="12">
        <v>0.1555</v>
      </c>
      <c r="AU242" s="12" t="s">
        <v>174</v>
      </c>
      <c r="AV242" s="12">
        <v>0.99848599999999998</v>
      </c>
      <c r="AW242" s="12">
        <v>0.99063800000000002</v>
      </c>
      <c r="AX242" s="12">
        <v>0.99969600000000003</v>
      </c>
      <c r="AY242" s="12">
        <v>65144</v>
      </c>
      <c r="AZ242" s="12">
        <v>560</v>
      </c>
      <c r="BA242" s="12">
        <v>0.16449999999999901</v>
      </c>
      <c r="BB242" s="12">
        <v>5998</v>
      </c>
      <c r="BC242" s="12">
        <v>44.821428571428498</v>
      </c>
      <c r="BD242" s="12">
        <v>0.251</v>
      </c>
    </row>
    <row r="243" spans="1:56" s="12" customFormat="1" x14ac:dyDescent="0.2">
      <c r="A243" s="12" t="s">
        <v>4708</v>
      </c>
      <c r="B243" s="12" t="s">
        <v>4709</v>
      </c>
      <c r="C243" s="12" t="s">
        <v>13</v>
      </c>
      <c r="D243" s="12" t="s">
        <v>7210</v>
      </c>
      <c r="E243" s="12" t="s">
        <v>8123</v>
      </c>
      <c r="F243" s="12" t="s">
        <v>7230</v>
      </c>
      <c r="G243" s="12" t="s">
        <v>7651</v>
      </c>
      <c r="H243" s="12">
        <v>76</v>
      </c>
      <c r="I243" s="12" t="s">
        <v>7647</v>
      </c>
      <c r="J243" s="80">
        <v>7.6000000000000005</v>
      </c>
      <c r="K243" s="12" t="s">
        <v>7161</v>
      </c>
      <c r="L243" s="12" t="s">
        <v>21</v>
      </c>
      <c r="M243" s="12" t="s">
        <v>8109</v>
      </c>
      <c r="N243" s="12">
        <v>33.340000000000003</v>
      </c>
      <c r="O243" s="12">
        <v>0.13900000000000001</v>
      </c>
      <c r="P243" s="12">
        <v>0.97661299999999995</v>
      </c>
      <c r="Q243" s="12" t="s">
        <v>7994</v>
      </c>
      <c r="R243" s="12">
        <v>2.4E-2</v>
      </c>
      <c r="S243" s="12">
        <v>0.261743</v>
      </c>
      <c r="T243" s="12">
        <v>235342</v>
      </c>
      <c r="U243" s="12">
        <v>0.16900000000000001</v>
      </c>
      <c r="V243" s="12" t="s">
        <v>7662</v>
      </c>
      <c r="W243" s="12" t="s">
        <v>11</v>
      </c>
      <c r="X243" s="12">
        <v>134</v>
      </c>
      <c r="Y243" s="12" t="s">
        <v>8052</v>
      </c>
      <c r="Z243" s="12" t="s">
        <v>8052</v>
      </c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</row>
    <row r="244" spans="1:56" s="12" customFormat="1" x14ac:dyDescent="0.2">
      <c r="A244" s="12" t="s">
        <v>4710</v>
      </c>
      <c r="B244" s="12" t="s">
        <v>4711</v>
      </c>
      <c r="C244" s="12" t="s">
        <v>13</v>
      </c>
      <c r="D244" s="12" t="s">
        <v>7210</v>
      </c>
      <c r="E244" s="12" t="s">
        <v>8123</v>
      </c>
      <c r="F244" s="12" t="s">
        <v>7230</v>
      </c>
      <c r="G244" s="12" t="s">
        <v>7651</v>
      </c>
      <c r="H244" s="12">
        <v>75</v>
      </c>
      <c r="I244" s="12" t="s">
        <v>7647</v>
      </c>
      <c r="J244" s="80">
        <v>7.5</v>
      </c>
      <c r="K244" s="12" t="s">
        <v>7161</v>
      </c>
      <c r="L244" s="12" t="s">
        <v>21</v>
      </c>
      <c r="M244" s="12" t="s">
        <v>8109</v>
      </c>
      <c r="N244" s="12">
        <v>42.5</v>
      </c>
      <c r="O244" s="12">
        <v>0.22600000000000001</v>
      </c>
      <c r="P244" s="12">
        <v>0.99962499999999999</v>
      </c>
      <c r="Q244" s="12" t="s">
        <v>7343</v>
      </c>
      <c r="R244" s="12">
        <v>0.53200000000000003</v>
      </c>
      <c r="S244" s="12">
        <v>0.39297199999999999</v>
      </c>
      <c r="T244" s="12">
        <v>346633</v>
      </c>
      <c r="U244" s="12">
        <v>0.253</v>
      </c>
      <c r="V244" s="12" t="s">
        <v>7662</v>
      </c>
      <c r="W244" s="12" t="s">
        <v>25</v>
      </c>
      <c r="X244" s="12">
        <v>821</v>
      </c>
      <c r="Y244" s="12" t="s">
        <v>6639</v>
      </c>
      <c r="Z244" s="12" t="s">
        <v>6639</v>
      </c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</row>
    <row r="245" spans="1:56" s="12" customFormat="1" x14ac:dyDescent="0.2">
      <c r="A245" s="12" t="s">
        <v>4712</v>
      </c>
      <c r="B245" s="12" t="s">
        <v>4713</v>
      </c>
      <c r="C245" s="12" t="s">
        <v>13</v>
      </c>
      <c r="D245" s="12" t="s">
        <v>7210</v>
      </c>
      <c r="E245" s="12" t="s">
        <v>8123</v>
      </c>
      <c r="F245" s="12" t="s">
        <v>7230</v>
      </c>
      <c r="G245" s="12" t="s">
        <v>7651</v>
      </c>
      <c r="H245" s="12">
        <v>74</v>
      </c>
      <c r="I245" s="12" t="s">
        <v>7647</v>
      </c>
      <c r="J245" s="80">
        <v>7.4</v>
      </c>
      <c r="K245" s="12" t="s">
        <v>7161</v>
      </c>
      <c r="L245" s="12" t="s">
        <v>21</v>
      </c>
      <c r="M245" s="12" t="s">
        <v>8109</v>
      </c>
      <c r="N245" s="12">
        <v>15.58</v>
      </c>
      <c r="O245" s="12">
        <v>0.248</v>
      </c>
      <c r="P245" s="12">
        <v>0.97926599999999997</v>
      </c>
      <c r="Q245" s="12" t="s">
        <v>7983</v>
      </c>
      <c r="R245" s="12">
        <v>1.7000000000000001E-2</v>
      </c>
      <c r="S245" s="12">
        <v>0.119506</v>
      </c>
      <c r="T245" s="12">
        <v>124924</v>
      </c>
      <c r="U245" s="12">
        <v>0.27900000000000003</v>
      </c>
      <c r="V245" s="12" t="s">
        <v>7662</v>
      </c>
      <c r="W245" s="12" t="s">
        <v>25</v>
      </c>
      <c r="X245" s="12">
        <v>107</v>
      </c>
      <c r="Y245" s="12" t="s">
        <v>6639</v>
      </c>
      <c r="Z245" s="12" t="s">
        <v>6639</v>
      </c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</row>
    <row r="246" spans="1:56" s="12" customFormat="1" x14ac:dyDescent="0.2">
      <c r="A246" s="12" t="s">
        <v>4715</v>
      </c>
      <c r="B246" s="12" t="s">
        <v>4716</v>
      </c>
      <c r="C246" s="12" t="s">
        <v>13</v>
      </c>
      <c r="D246" s="12" t="s">
        <v>7210</v>
      </c>
      <c r="E246" s="12" t="s">
        <v>8123</v>
      </c>
      <c r="F246" s="12" t="s">
        <v>7230</v>
      </c>
      <c r="G246" s="12" t="s">
        <v>7651</v>
      </c>
      <c r="H246" s="12">
        <v>77</v>
      </c>
      <c r="I246" s="12" t="s">
        <v>7647</v>
      </c>
      <c r="J246" s="80">
        <v>7.7</v>
      </c>
      <c r="K246" s="12" t="s">
        <v>7161</v>
      </c>
      <c r="L246" s="12" t="s">
        <v>21</v>
      </c>
      <c r="M246" s="12" t="s">
        <v>8109</v>
      </c>
      <c r="N246" s="12">
        <v>207.9</v>
      </c>
      <c r="O246" s="12">
        <v>0.13400000000000001</v>
      </c>
      <c r="P246" s="12">
        <v>0.998506</v>
      </c>
      <c r="Q246" s="12" t="s">
        <v>7343</v>
      </c>
      <c r="R246" s="12">
        <v>0.54400000000000004</v>
      </c>
      <c r="S246" s="12">
        <v>2.210772</v>
      </c>
      <c r="T246" s="12">
        <v>758188</v>
      </c>
      <c r="U246" s="12">
        <v>0.14399999999999999</v>
      </c>
      <c r="V246" s="12" t="s">
        <v>7662</v>
      </c>
      <c r="W246" s="12" t="s">
        <v>25</v>
      </c>
      <c r="X246" s="12">
        <v>6884</v>
      </c>
      <c r="Y246" s="12" t="s">
        <v>6639</v>
      </c>
      <c r="Z246" s="12" t="s">
        <v>6639</v>
      </c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</row>
    <row r="247" spans="1:56" s="12" customFormat="1" x14ac:dyDescent="0.2">
      <c r="A247" s="12" t="s">
        <v>4718</v>
      </c>
      <c r="B247" s="12" t="s">
        <v>4719</v>
      </c>
      <c r="C247" s="12" t="s">
        <v>13</v>
      </c>
      <c r="D247" s="12" t="s">
        <v>7210</v>
      </c>
      <c r="E247" s="12" t="s">
        <v>8123</v>
      </c>
      <c r="F247" s="12" t="s">
        <v>7230</v>
      </c>
      <c r="G247" s="12" t="s">
        <v>7651</v>
      </c>
      <c r="H247" s="12">
        <v>76</v>
      </c>
      <c r="I247" s="12" t="s">
        <v>7647</v>
      </c>
      <c r="J247" s="80">
        <v>7.6000000000000005</v>
      </c>
      <c r="K247" s="12" t="s">
        <v>7161</v>
      </c>
      <c r="L247" s="12" t="s">
        <v>21</v>
      </c>
      <c r="M247" s="12" t="s">
        <v>8109</v>
      </c>
      <c r="N247" s="12">
        <v>273.2</v>
      </c>
      <c r="O247" s="12">
        <v>0.14849999999999999</v>
      </c>
      <c r="P247" s="12">
        <v>0.99015900000000001</v>
      </c>
      <c r="Q247" s="12" t="s">
        <v>8015</v>
      </c>
      <c r="R247" s="12">
        <v>0.435</v>
      </c>
      <c r="S247" s="12">
        <v>3.1137959999999998</v>
      </c>
      <c r="T247" s="12">
        <v>772457</v>
      </c>
      <c r="U247" s="12">
        <v>0.161</v>
      </c>
      <c r="V247" s="12" t="s">
        <v>7662</v>
      </c>
      <c r="W247" s="12" t="s">
        <v>25</v>
      </c>
      <c r="X247" s="12">
        <v>8230</v>
      </c>
      <c r="Y247" s="12" t="s">
        <v>6639</v>
      </c>
      <c r="Z247" s="12" t="s">
        <v>6639</v>
      </c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</row>
    <row r="248" spans="1:56" s="12" customFormat="1" x14ac:dyDescent="0.2">
      <c r="A248" s="12" t="s">
        <v>4720</v>
      </c>
      <c r="B248" s="12" t="s">
        <v>4721</v>
      </c>
      <c r="C248" s="12" t="s">
        <v>13</v>
      </c>
      <c r="D248" s="12" t="s">
        <v>7210</v>
      </c>
      <c r="E248" s="12" t="s">
        <v>8123</v>
      </c>
      <c r="F248" s="12" t="s">
        <v>7230</v>
      </c>
      <c r="G248" s="12" t="s">
        <v>7651</v>
      </c>
      <c r="H248" s="12">
        <v>76</v>
      </c>
      <c r="I248" s="12" t="s">
        <v>7647</v>
      </c>
      <c r="J248" s="80">
        <v>7.6000000000000005</v>
      </c>
      <c r="K248" s="12" t="s">
        <v>7161</v>
      </c>
      <c r="L248" s="12" t="s">
        <v>21</v>
      </c>
      <c r="M248" s="12" t="s">
        <v>8109</v>
      </c>
      <c r="N248" s="12">
        <v>88.3</v>
      </c>
      <c r="O248" s="12">
        <v>0.193</v>
      </c>
      <c r="P248" s="12">
        <v>0.99986399999999998</v>
      </c>
      <c r="Q248" s="12" t="s">
        <v>7169</v>
      </c>
      <c r="R248" s="12">
        <v>0.378</v>
      </c>
      <c r="S248" s="12">
        <v>0.53974299999999997</v>
      </c>
      <c r="T248" s="12">
        <v>436355</v>
      </c>
      <c r="U248" s="12">
        <v>0.21099999999999999</v>
      </c>
      <c r="V248" s="12" t="s">
        <v>7662</v>
      </c>
      <c r="W248" s="12" t="s">
        <v>11</v>
      </c>
      <c r="X248" s="12">
        <v>417</v>
      </c>
      <c r="Y248" s="12">
        <v>9.1050000000000002E-3</v>
      </c>
      <c r="Z248" s="12">
        <v>1.694978043472231</v>
      </c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</row>
    <row r="249" spans="1:56" s="12" customFormat="1" x14ac:dyDescent="0.2">
      <c r="A249" s="12" t="s">
        <v>4772</v>
      </c>
      <c r="B249" s="12" t="s">
        <v>4773</v>
      </c>
      <c r="C249" s="12" t="s">
        <v>13</v>
      </c>
      <c r="D249" s="12" t="s">
        <v>7210</v>
      </c>
      <c r="E249" s="12" t="s">
        <v>8123</v>
      </c>
      <c r="F249" s="12" t="s">
        <v>7230</v>
      </c>
      <c r="G249" s="12" t="s">
        <v>7651</v>
      </c>
      <c r="H249" s="12">
        <v>77</v>
      </c>
      <c r="I249" s="12" t="s">
        <v>7647</v>
      </c>
      <c r="J249" s="80">
        <v>7.7</v>
      </c>
      <c r="K249" s="12" t="s">
        <v>7161</v>
      </c>
      <c r="L249" s="12" t="s">
        <v>21</v>
      </c>
      <c r="M249" s="12" t="s">
        <v>8109</v>
      </c>
      <c r="N249" s="12">
        <v>266.8</v>
      </c>
      <c r="O249" s="12">
        <v>0.104</v>
      </c>
      <c r="P249" s="12">
        <v>0.98836999999999997</v>
      </c>
      <c r="Q249" s="12" t="s">
        <v>7396</v>
      </c>
      <c r="R249" s="12">
        <v>0.438</v>
      </c>
      <c r="S249" s="12">
        <v>3.1550889999999998</v>
      </c>
      <c r="T249" s="12">
        <v>805590</v>
      </c>
      <c r="U249" s="12">
        <v>0.105</v>
      </c>
      <c r="V249" s="12" t="s">
        <v>7662</v>
      </c>
      <c r="W249" s="12" t="s">
        <v>11</v>
      </c>
      <c r="X249" s="12">
        <v>4919</v>
      </c>
      <c r="Y249" s="12">
        <v>2.2499999999999998E-3</v>
      </c>
      <c r="Z249" s="12">
        <v>2.4527994181305699</v>
      </c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</row>
    <row r="250" spans="1:56" s="12" customFormat="1" x14ac:dyDescent="0.2">
      <c r="A250" s="12" t="s">
        <v>3214</v>
      </c>
      <c r="B250" s="12" t="s">
        <v>3215</v>
      </c>
      <c r="C250" s="12" t="s">
        <v>13</v>
      </c>
      <c r="D250" s="12" t="s">
        <v>7210</v>
      </c>
      <c r="E250" s="12" t="s">
        <v>8123</v>
      </c>
      <c r="F250" s="12" t="s">
        <v>7230</v>
      </c>
      <c r="G250" s="12" t="s">
        <v>7651</v>
      </c>
      <c r="H250" s="12">
        <v>75</v>
      </c>
      <c r="I250" s="12" t="s">
        <v>7647</v>
      </c>
      <c r="J250" s="80">
        <v>7.5</v>
      </c>
      <c r="K250" s="12" t="s">
        <v>7161</v>
      </c>
      <c r="L250" s="12" t="s">
        <v>21</v>
      </c>
      <c r="M250" s="12" t="s">
        <v>8109</v>
      </c>
      <c r="N250" s="12">
        <v>243.6</v>
      </c>
      <c r="O250" s="12">
        <v>0.158</v>
      </c>
      <c r="P250" s="12">
        <v>0.99528300000000003</v>
      </c>
      <c r="Q250" s="12" t="s">
        <v>7259</v>
      </c>
      <c r="R250" s="12">
        <v>0.155</v>
      </c>
      <c r="S250" s="12">
        <v>1.619783</v>
      </c>
      <c r="T250" s="12">
        <v>715206</v>
      </c>
      <c r="U250" s="12">
        <v>0.16300000000000001</v>
      </c>
      <c r="V250" s="12" t="s">
        <v>7662</v>
      </c>
      <c r="W250" s="12" t="s">
        <v>11</v>
      </c>
      <c r="X250" s="12">
        <v>2307</v>
      </c>
      <c r="Y250" s="12">
        <v>5.1989999999999996E-3</v>
      </c>
      <c r="Z250" s="12">
        <v>2.619144896294658</v>
      </c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</row>
    <row r="251" spans="1:56" s="12" customFormat="1" x14ac:dyDescent="0.2">
      <c r="A251" s="12" t="s">
        <v>3157</v>
      </c>
      <c r="B251" s="12" t="s">
        <v>3158</v>
      </c>
      <c r="C251" s="12" t="s">
        <v>13</v>
      </c>
      <c r="D251" s="12" t="s">
        <v>7210</v>
      </c>
      <c r="E251" s="12" t="s">
        <v>8123</v>
      </c>
      <c r="F251" s="12" t="s">
        <v>7230</v>
      </c>
      <c r="G251" s="12" t="s">
        <v>7651</v>
      </c>
      <c r="H251" s="12">
        <v>75</v>
      </c>
      <c r="I251" s="12" t="s">
        <v>7647</v>
      </c>
      <c r="J251" s="80">
        <v>7.5</v>
      </c>
      <c r="K251" s="12" t="s">
        <v>7161</v>
      </c>
      <c r="L251" s="12" t="s">
        <v>21</v>
      </c>
      <c r="M251" s="12" t="s">
        <v>8109</v>
      </c>
      <c r="N251" s="12">
        <v>391.3</v>
      </c>
      <c r="O251" s="12">
        <v>0.115</v>
      </c>
      <c r="P251" s="12">
        <v>0.99921400000000005</v>
      </c>
      <c r="Q251" s="12" t="s">
        <v>7206</v>
      </c>
      <c r="R251" s="12">
        <v>0.18</v>
      </c>
      <c r="S251" s="12">
        <v>2.4555180000000001</v>
      </c>
      <c r="T251" s="12">
        <v>782741</v>
      </c>
      <c r="U251" s="12">
        <v>0.123</v>
      </c>
      <c r="V251" s="12" t="s">
        <v>7662</v>
      </c>
      <c r="W251" s="12" t="s">
        <v>25</v>
      </c>
      <c r="X251" s="12">
        <v>7307</v>
      </c>
      <c r="Y251" s="12" t="s">
        <v>6639</v>
      </c>
      <c r="Z251" s="12" t="s">
        <v>6639</v>
      </c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</row>
    <row r="252" spans="1:56" s="12" customFormat="1" x14ac:dyDescent="0.2">
      <c r="A252" s="12" t="s">
        <v>3159</v>
      </c>
      <c r="B252" s="12" t="s">
        <v>3160</v>
      </c>
      <c r="C252" s="12" t="s">
        <v>13</v>
      </c>
      <c r="D252" s="12" t="s">
        <v>7210</v>
      </c>
      <c r="E252" s="12" t="s">
        <v>8123</v>
      </c>
      <c r="F252" s="12" t="s">
        <v>7230</v>
      </c>
      <c r="G252" s="12" t="s">
        <v>7651</v>
      </c>
      <c r="H252" s="12">
        <v>78</v>
      </c>
      <c r="I252" s="12" t="s">
        <v>7647</v>
      </c>
      <c r="J252" s="80">
        <v>7.8000000000000007</v>
      </c>
      <c r="K252" s="12" t="s">
        <v>7161</v>
      </c>
      <c r="L252" s="12" t="s">
        <v>21</v>
      </c>
      <c r="M252" s="12" t="s">
        <v>8109</v>
      </c>
      <c r="N252" s="12">
        <v>3.0249999999999999</v>
      </c>
      <c r="O252" s="12">
        <v>0.192</v>
      </c>
      <c r="P252" s="12">
        <v>0.84864600000000001</v>
      </c>
      <c r="Q252" s="12" t="s">
        <v>7985</v>
      </c>
      <c r="R252" s="12">
        <v>4.0000000000000001E-3</v>
      </c>
      <c r="S252" s="12">
        <v>2.0434000000000001E-2</v>
      </c>
      <c r="T252" s="12">
        <v>24259</v>
      </c>
      <c r="U252" s="12">
        <v>0.16800000000000001</v>
      </c>
      <c r="V252" s="12" t="s">
        <v>7662</v>
      </c>
      <c r="W252" s="12" t="s">
        <v>11</v>
      </c>
      <c r="X252" s="12">
        <v>5</v>
      </c>
      <c r="Y252" s="12" t="s">
        <v>8052</v>
      </c>
      <c r="Z252" s="12" t="s">
        <v>8052</v>
      </c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</row>
    <row r="253" spans="1:56" s="12" customFormat="1" x14ac:dyDescent="0.2">
      <c r="A253" s="12" t="s">
        <v>3161</v>
      </c>
      <c r="B253" s="12" t="s">
        <v>3162</v>
      </c>
      <c r="C253" s="12" t="s">
        <v>13</v>
      </c>
      <c r="D253" s="12" t="s">
        <v>7210</v>
      </c>
      <c r="E253" s="12" t="s">
        <v>8123</v>
      </c>
      <c r="F253" s="12" t="s">
        <v>7230</v>
      </c>
      <c r="G253" s="12" t="s">
        <v>7651</v>
      </c>
      <c r="H253" s="12">
        <v>73</v>
      </c>
      <c r="I253" s="12" t="s">
        <v>7647</v>
      </c>
      <c r="J253" s="80">
        <v>7.3000000000000007</v>
      </c>
      <c r="K253" s="12" t="s">
        <v>7161</v>
      </c>
      <c r="L253" s="12" t="s">
        <v>21</v>
      </c>
      <c r="M253" s="12" t="s">
        <v>8109</v>
      </c>
      <c r="N253" s="12">
        <v>398.1</v>
      </c>
      <c r="O253" s="12">
        <v>0.14000000000000001</v>
      </c>
      <c r="P253" s="12">
        <v>0.98720200000000002</v>
      </c>
      <c r="Q253" s="12" t="s">
        <v>7998</v>
      </c>
      <c r="R253" s="12">
        <v>0.34399999999999997</v>
      </c>
      <c r="S253" s="12">
        <v>3.2455219999999998</v>
      </c>
      <c r="T253" s="12">
        <v>803520</v>
      </c>
      <c r="U253" s="12">
        <v>0.14099999999999999</v>
      </c>
      <c r="V253" s="12" t="s">
        <v>7662</v>
      </c>
      <c r="W253" s="12" t="s">
        <v>25</v>
      </c>
      <c r="X253" s="12">
        <v>8007</v>
      </c>
      <c r="Y253" s="12" t="s">
        <v>6639</v>
      </c>
      <c r="Z253" s="12" t="s">
        <v>6639</v>
      </c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</row>
    <row r="254" spans="1:56" s="12" customFormat="1" x14ac:dyDescent="0.2">
      <c r="A254" s="12" t="s">
        <v>3164</v>
      </c>
      <c r="B254" s="12" t="s">
        <v>3165</v>
      </c>
      <c r="C254" s="12" t="s">
        <v>13</v>
      </c>
      <c r="D254" s="12" t="s">
        <v>7210</v>
      </c>
      <c r="E254" s="12" t="s">
        <v>8123</v>
      </c>
      <c r="F254" s="12" t="s">
        <v>7230</v>
      </c>
      <c r="G254" s="12" t="s">
        <v>7651</v>
      </c>
      <c r="H254" s="12">
        <v>74</v>
      </c>
      <c r="I254" s="12" t="s">
        <v>7647</v>
      </c>
      <c r="J254" s="80">
        <v>7.4</v>
      </c>
      <c r="K254" s="12" t="s">
        <v>7161</v>
      </c>
      <c r="L254" s="12" t="s">
        <v>21</v>
      </c>
      <c r="M254" s="12" t="s">
        <v>8109</v>
      </c>
      <c r="N254" s="12">
        <v>284.8</v>
      </c>
      <c r="O254" s="12">
        <v>0.13900000000000001</v>
      </c>
      <c r="P254" s="12">
        <v>0.99878500000000003</v>
      </c>
      <c r="Q254" s="12" t="s">
        <v>7222</v>
      </c>
      <c r="R254" s="12">
        <v>0.187</v>
      </c>
      <c r="S254" s="12">
        <v>2.2615799999999999</v>
      </c>
      <c r="T254" s="12">
        <v>768526</v>
      </c>
      <c r="U254" s="12">
        <v>0.14599999999999999</v>
      </c>
      <c r="V254" s="12" t="s">
        <v>7662</v>
      </c>
      <c r="W254" s="12" t="s">
        <v>11</v>
      </c>
      <c r="X254" s="12">
        <v>3513</v>
      </c>
      <c r="Y254" s="12">
        <v>4.0990000000000002E-3</v>
      </c>
      <c r="Z254" s="12">
        <v>3.1071531987986787</v>
      </c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</row>
    <row r="255" spans="1:56" s="12" customFormat="1" x14ac:dyDescent="0.2">
      <c r="A255" s="12" t="s">
        <v>3193</v>
      </c>
      <c r="B255" s="12" t="s">
        <v>3194</v>
      </c>
      <c r="C255" s="12" t="s">
        <v>13</v>
      </c>
      <c r="D255" s="12" t="s">
        <v>7210</v>
      </c>
      <c r="E255" s="12" t="s">
        <v>8123</v>
      </c>
      <c r="F255" s="12" t="s">
        <v>7230</v>
      </c>
      <c r="G255" s="12" t="s">
        <v>7651</v>
      </c>
      <c r="H255" s="12">
        <v>75</v>
      </c>
      <c r="I255" s="12" t="s">
        <v>7647</v>
      </c>
      <c r="J255" s="80">
        <v>7.5</v>
      </c>
      <c r="K255" s="12" t="s">
        <v>7161</v>
      </c>
      <c r="L255" s="12" t="s">
        <v>21</v>
      </c>
      <c r="M255" s="12" t="s">
        <v>8109</v>
      </c>
      <c r="N255" s="12">
        <v>242.3</v>
      </c>
      <c r="O255" s="12">
        <v>0.11799999999999999</v>
      </c>
      <c r="P255" s="12">
        <v>0.99599300000000002</v>
      </c>
      <c r="Q255" s="12" t="s">
        <v>7328</v>
      </c>
      <c r="R255" s="12">
        <v>4.1000000000000002E-2</v>
      </c>
      <c r="S255" s="12">
        <v>1.339</v>
      </c>
      <c r="T255" s="12">
        <v>681970</v>
      </c>
      <c r="U255" s="12">
        <v>0.13</v>
      </c>
      <c r="V255" s="12" t="s">
        <v>7662</v>
      </c>
      <c r="W255" s="12" t="s">
        <v>25</v>
      </c>
      <c r="X255" s="12">
        <v>5078</v>
      </c>
      <c r="Y255" s="12" t="s">
        <v>6639</v>
      </c>
      <c r="Z255" s="12" t="s">
        <v>6639</v>
      </c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</row>
    <row r="256" spans="1:56" s="12" customFormat="1" x14ac:dyDescent="0.2">
      <c r="A256" s="12" t="s">
        <v>3169</v>
      </c>
      <c r="B256" s="12" t="s">
        <v>3194</v>
      </c>
      <c r="C256" s="12" t="s">
        <v>13</v>
      </c>
      <c r="D256" s="12" t="s">
        <v>7210</v>
      </c>
      <c r="E256" s="12" t="s">
        <v>8123</v>
      </c>
      <c r="F256" s="12" t="s">
        <v>7230</v>
      </c>
      <c r="G256" s="12" t="s">
        <v>7651</v>
      </c>
      <c r="H256" s="12">
        <v>76</v>
      </c>
      <c r="I256" s="12" t="s">
        <v>7647</v>
      </c>
      <c r="J256" s="80">
        <v>7.6000000000000005</v>
      </c>
      <c r="K256" s="12" t="s">
        <v>7161</v>
      </c>
      <c r="L256" s="12" t="s">
        <v>21</v>
      </c>
      <c r="M256" s="12" t="s">
        <v>8109</v>
      </c>
      <c r="N256" s="12">
        <v>391.9</v>
      </c>
      <c r="O256" s="12">
        <v>0.11799999999999999</v>
      </c>
      <c r="P256" s="12">
        <v>0.99398200000000003</v>
      </c>
      <c r="Q256" s="12" t="s">
        <v>7978</v>
      </c>
      <c r="R256" s="12">
        <v>0.111</v>
      </c>
      <c r="S256" s="12">
        <v>2.503762</v>
      </c>
      <c r="T256" s="12">
        <v>780943</v>
      </c>
      <c r="U256" s="12">
        <v>0.127</v>
      </c>
      <c r="V256" s="12" t="s">
        <v>7662</v>
      </c>
      <c r="W256" s="12" t="s">
        <v>25</v>
      </c>
      <c r="X256" s="12">
        <v>7330</v>
      </c>
      <c r="Y256" s="12" t="s">
        <v>6639</v>
      </c>
      <c r="Z256" s="12" t="s">
        <v>6639</v>
      </c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</row>
    <row r="257" spans="1:56" s="12" customFormat="1" x14ac:dyDescent="0.2">
      <c r="A257" s="12" t="s">
        <v>3167</v>
      </c>
      <c r="B257" s="12" t="s">
        <v>3168</v>
      </c>
      <c r="C257" s="12" t="s">
        <v>13</v>
      </c>
      <c r="D257" s="12" t="s">
        <v>7210</v>
      </c>
      <c r="E257" s="12" t="s">
        <v>8123</v>
      </c>
      <c r="F257" s="12" t="s">
        <v>7230</v>
      </c>
      <c r="G257" s="12" t="s">
        <v>7651</v>
      </c>
      <c r="H257" s="12">
        <v>75</v>
      </c>
      <c r="I257" s="12" t="s">
        <v>7647</v>
      </c>
      <c r="J257" s="80">
        <v>7.5</v>
      </c>
      <c r="K257" s="12" t="s">
        <v>7161</v>
      </c>
      <c r="L257" s="12" t="s">
        <v>21</v>
      </c>
      <c r="M257" s="12" t="s">
        <v>8109</v>
      </c>
      <c r="N257" s="12">
        <v>265.2</v>
      </c>
      <c r="O257" s="12">
        <v>0.16500000000000001</v>
      </c>
      <c r="P257" s="12">
        <v>0.98819999999999997</v>
      </c>
      <c r="Q257" s="12" t="s">
        <v>8000</v>
      </c>
      <c r="R257" s="12">
        <v>0.188</v>
      </c>
      <c r="S257" s="12">
        <v>2.2800579999999999</v>
      </c>
      <c r="T257" s="12">
        <v>760311</v>
      </c>
      <c r="U257" s="12">
        <v>0.16900000000000001</v>
      </c>
      <c r="V257" s="12" t="s">
        <v>7662</v>
      </c>
      <c r="W257" s="12" t="s">
        <v>25</v>
      </c>
      <c r="X257" s="12">
        <v>6839</v>
      </c>
      <c r="Y257" s="12" t="s">
        <v>6639</v>
      </c>
      <c r="Z257" s="12" t="s">
        <v>6639</v>
      </c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</row>
    <row r="258" spans="1:56" s="12" customFormat="1" x14ac:dyDescent="0.2">
      <c r="A258" s="12" t="s">
        <v>3191</v>
      </c>
      <c r="B258" s="12" t="s">
        <v>3192</v>
      </c>
      <c r="C258" s="12" t="s">
        <v>13</v>
      </c>
      <c r="D258" s="12" t="s">
        <v>7210</v>
      </c>
      <c r="E258" s="12" t="s">
        <v>8123</v>
      </c>
      <c r="F258" s="12" t="s">
        <v>7230</v>
      </c>
      <c r="G258" s="12" t="s">
        <v>7651</v>
      </c>
      <c r="H258" s="12">
        <v>75</v>
      </c>
      <c r="I258" s="12" t="s">
        <v>7647</v>
      </c>
      <c r="J258" s="80">
        <v>7.5</v>
      </c>
      <c r="K258" s="12" t="s">
        <v>7161</v>
      </c>
      <c r="L258" s="12" t="s">
        <v>21</v>
      </c>
      <c r="M258" s="12" t="s">
        <v>8109</v>
      </c>
      <c r="N258" s="12">
        <v>377</v>
      </c>
      <c r="O258" s="12">
        <v>0.13700000000000001</v>
      </c>
      <c r="P258" s="12">
        <v>0.98211400000000004</v>
      </c>
      <c r="Q258" s="12" t="s">
        <v>7996</v>
      </c>
      <c r="R258" s="12">
        <v>0.26200000000000001</v>
      </c>
      <c r="S258" s="12">
        <v>3.0914649999999999</v>
      </c>
      <c r="T258" s="12">
        <v>793575</v>
      </c>
      <c r="U258" s="12">
        <v>0.13700000000000001</v>
      </c>
      <c r="V258" s="12" t="s">
        <v>7662</v>
      </c>
      <c r="W258" s="12" t="s">
        <v>25</v>
      </c>
      <c r="X258" s="12">
        <v>7823</v>
      </c>
      <c r="Y258" s="12" t="s">
        <v>6639</v>
      </c>
      <c r="Z258" s="12" t="s">
        <v>6639</v>
      </c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</row>
    <row r="259" spans="1:56" s="12" customFormat="1" x14ac:dyDescent="0.2">
      <c r="A259" s="12" t="s">
        <v>3170</v>
      </c>
      <c r="B259" s="12" t="s">
        <v>3171</v>
      </c>
      <c r="C259" s="12" t="s">
        <v>13</v>
      </c>
      <c r="D259" s="12" t="s">
        <v>7210</v>
      </c>
      <c r="E259" s="12" t="s">
        <v>8123</v>
      </c>
      <c r="F259" s="12" t="s">
        <v>7230</v>
      </c>
      <c r="G259" s="12" t="s">
        <v>7651</v>
      </c>
      <c r="H259" s="12">
        <v>74</v>
      </c>
      <c r="I259" s="12" t="s">
        <v>7647</v>
      </c>
      <c r="J259" s="80">
        <v>7.4</v>
      </c>
      <c r="K259" s="12" t="s">
        <v>7161</v>
      </c>
      <c r="L259" s="12" t="s">
        <v>21</v>
      </c>
      <c r="M259" s="12" t="s">
        <v>8109</v>
      </c>
      <c r="N259" s="12">
        <v>359.9</v>
      </c>
      <c r="O259" s="12">
        <v>0.13500000000000001</v>
      </c>
      <c r="P259" s="12">
        <v>0.99382700000000002</v>
      </c>
      <c r="Q259" s="12" t="s">
        <v>8009</v>
      </c>
      <c r="R259" s="12">
        <v>0.375</v>
      </c>
      <c r="S259" s="12">
        <v>3.4598</v>
      </c>
      <c r="T259" s="12">
        <v>806323</v>
      </c>
      <c r="U259" s="12">
        <v>0.14199999999999999</v>
      </c>
      <c r="V259" s="12" t="s">
        <v>7662</v>
      </c>
      <c r="W259" s="12" t="s">
        <v>25</v>
      </c>
      <c r="X259" s="12">
        <v>8228</v>
      </c>
      <c r="Y259" s="12" t="s">
        <v>6639</v>
      </c>
      <c r="Z259" s="12" t="s">
        <v>6639</v>
      </c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</row>
    <row r="260" spans="1:56" s="12" customFormat="1" x14ac:dyDescent="0.2">
      <c r="A260" s="12" t="s">
        <v>3172</v>
      </c>
      <c r="B260" s="12" t="s">
        <v>3173</v>
      </c>
      <c r="C260" s="12" t="s">
        <v>13</v>
      </c>
      <c r="D260" s="12" t="s">
        <v>7210</v>
      </c>
      <c r="E260" s="12" t="s">
        <v>8123</v>
      </c>
      <c r="F260" s="12" t="s">
        <v>7230</v>
      </c>
      <c r="G260" s="12" t="s">
        <v>7651</v>
      </c>
      <c r="H260" s="12">
        <v>78</v>
      </c>
      <c r="I260" s="12" t="s">
        <v>7647</v>
      </c>
      <c r="J260" s="80">
        <v>7.8000000000000007</v>
      </c>
      <c r="K260" s="12" t="s">
        <v>7161</v>
      </c>
      <c r="L260" s="12" t="s">
        <v>21</v>
      </c>
      <c r="M260" s="12" t="s">
        <v>8109</v>
      </c>
      <c r="N260" s="12">
        <v>298.2</v>
      </c>
      <c r="O260" s="12">
        <v>0.129</v>
      </c>
      <c r="P260" s="12">
        <v>0.99568800000000002</v>
      </c>
      <c r="Q260" s="12" t="s">
        <v>7259</v>
      </c>
      <c r="R260" s="12">
        <v>0.109</v>
      </c>
      <c r="S260" s="12">
        <v>2.264351</v>
      </c>
      <c r="T260" s="12">
        <v>778923</v>
      </c>
      <c r="U260" s="12">
        <v>0.13300000000000001</v>
      </c>
      <c r="V260" s="12" t="s">
        <v>7662</v>
      </c>
      <c r="W260" s="12" t="s">
        <v>11</v>
      </c>
      <c r="X260" s="12">
        <v>3607</v>
      </c>
      <c r="Y260" s="12">
        <v>4.3509999999999998E-3</v>
      </c>
      <c r="Z260" s="12">
        <v>3.1405638723275251</v>
      </c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</row>
    <row r="261" spans="1:56" s="12" customFormat="1" x14ac:dyDescent="0.2">
      <c r="A261" s="12" t="s">
        <v>3195</v>
      </c>
      <c r="B261" s="12" t="s">
        <v>3196</v>
      </c>
      <c r="C261" s="12" t="s">
        <v>13</v>
      </c>
      <c r="D261" s="12" t="s">
        <v>8032</v>
      </c>
      <c r="E261" s="12" t="s">
        <v>8123</v>
      </c>
      <c r="F261" s="12" t="s">
        <v>7230</v>
      </c>
      <c r="G261" s="12" t="s">
        <v>7651</v>
      </c>
      <c r="H261" s="12">
        <v>76</v>
      </c>
      <c r="I261" s="12" t="s">
        <v>7647</v>
      </c>
      <c r="J261" s="80">
        <v>7.6000000000000005</v>
      </c>
      <c r="K261" s="12" t="s">
        <v>7161</v>
      </c>
      <c r="L261" s="12" t="s">
        <v>21</v>
      </c>
      <c r="M261" s="12" t="s">
        <v>8109</v>
      </c>
      <c r="N261" s="12">
        <v>233</v>
      </c>
      <c r="O261" s="12">
        <v>0.128</v>
      </c>
      <c r="P261" s="12">
        <v>0.98773500000000003</v>
      </c>
      <c r="Q261" s="12" t="s">
        <v>7999</v>
      </c>
      <c r="R261" s="12">
        <v>0.14699999999999999</v>
      </c>
      <c r="S261" s="12">
        <v>1.316398</v>
      </c>
      <c r="T261" s="12">
        <v>669748</v>
      </c>
      <c r="U261" s="12">
        <v>0.13</v>
      </c>
      <c r="V261" s="12" t="s">
        <v>7662</v>
      </c>
      <c r="W261" s="12" t="s">
        <v>25</v>
      </c>
      <c r="X261" s="12">
        <v>4437</v>
      </c>
      <c r="Y261" s="12" t="s">
        <v>6639</v>
      </c>
      <c r="Z261" s="12" t="s">
        <v>6639</v>
      </c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</row>
    <row r="262" spans="1:56" s="12" customFormat="1" x14ac:dyDescent="0.2">
      <c r="A262" s="12" t="s">
        <v>3175</v>
      </c>
      <c r="B262" s="12" t="s">
        <v>3176</v>
      </c>
      <c r="C262" s="12" t="s">
        <v>13</v>
      </c>
      <c r="D262" s="12" t="s">
        <v>8032</v>
      </c>
      <c r="E262" s="12" t="s">
        <v>8123</v>
      </c>
      <c r="F262" s="12" t="s">
        <v>7230</v>
      </c>
      <c r="G262" s="12" t="s">
        <v>7651</v>
      </c>
      <c r="H262" s="12">
        <v>74</v>
      </c>
      <c r="I262" s="12" t="s">
        <v>7647</v>
      </c>
      <c r="J262" s="80">
        <v>7.4</v>
      </c>
      <c r="K262" s="12" t="s">
        <v>7161</v>
      </c>
      <c r="L262" s="12" t="s">
        <v>21</v>
      </c>
      <c r="M262" s="12" t="s">
        <v>8109</v>
      </c>
      <c r="N262" s="12">
        <v>133.19999999999999</v>
      </c>
      <c r="O262" s="12">
        <v>0.126</v>
      </c>
      <c r="P262" s="12">
        <v>0.99756999999999996</v>
      </c>
      <c r="Q262" s="12" t="s">
        <v>7204</v>
      </c>
      <c r="R262" s="12">
        <v>3.2000000000000001E-2</v>
      </c>
      <c r="S262" s="12">
        <v>0.90199499999999999</v>
      </c>
      <c r="T262" s="12">
        <v>568917</v>
      </c>
      <c r="U262" s="12">
        <v>0.13200000000000001</v>
      </c>
      <c r="V262" s="12" t="s">
        <v>7662</v>
      </c>
      <c r="W262" s="12" t="s">
        <v>25</v>
      </c>
      <c r="X262" s="12">
        <v>2886</v>
      </c>
      <c r="Y262" s="12" t="s">
        <v>6639</v>
      </c>
      <c r="Z262" s="12" t="s">
        <v>6639</v>
      </c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</row>
    <row r="263" spans="1:56" s="12" customFormat="1" x14ac:dyDescent="0.2">
      <c r="A263" s="12" t="s">
        <v>3177</v>
      </c>
      <c r="B263" s="12" t="s">
        <v>3178</v>
      </c>
      <c r="C263" s="12" t="s">
        <v>13</v>
      </c>
      <c r="D263" s="12" t="s">
        <v>8032</v>
      </c>
      <c r="E263" s="12" t="s">
        <v>8123</v>
      </c>
      <c r="F263" s="12" t="s">
        <v>7230</v>
      </c>
      <c r="G263" s="12" t="s">
        <v>7651</v>
      </c>
      <c r="H263" s="12">
        <v>72</v>
      </c>
      <c r="I263" s="12" t="s">
        <v>7647</v>
      </c>
      <c r="J263" s="80">
        <v>7.2</v>
      </c>
      <c r="K263" s="12" t="s">
        <v>7161</v>
      </c>
      <c r="L263" s="12" t="s">
        <v>21</v>
      </c>
      <c r="M263" s="12" t="s">
        <v>8109</v>
      </c>
      <c r="N263" s="12">
        <v>19.28</v>
      </c>
      <c r="O263" s="12">
        <v>0.19400000000000001</v>
      </c>
      <c r="P263" s="12">
        <v>0.96681600000000001</v>
      </c>
      <c r="Q263" s="12" t="s">
        <v>7988</v>
      </c>
      <c r="R263" s="12">
        <v>3.8999999999999998E-3</v>
      </c>
      <c r="S263" s="12">
        <v>0.100439</v>
      </c>
      <c r="T263" s="12">
        <v>110704</v>
      </c>
      <c r="U263" s="12">
        <v>0.19600000000000001</v>
      </c>
      <c r="V263" s="12" t="s">
        <v>7662</v>
      </c>
      <c r="W263" s="12" t="s">
        <v>11</v>
      </c>
      <c r="X263" s="12">
        <v>19</v>
      </c>
      <c r="Y263" s="12" t="s">
        <v>8052</v>
      </c>
      <c r="Z263" s="12" t="s">
        <v>8052</v>
      </c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</row>
    <row r="264" spans="1:56" s="12" customFormat="1" x14ac:dyDescent="0.2">
      <c r="A264" s="12" t="s">
        <v>3179</v>
      </c>
      <c r="B264" s="12" t="s">
        <v>3180</v>
      </c>
      <c r="C264" s="12" t="s">
        <v>13</v>
      </c>
      <c r="D264" s="12" t="s">
        <v>8032</v>
      </c>
      <c r="E264" s="12" t="s">
        <v>8123</v>
      </c>
      <c r="F264" s="12" t="s">
        <v>7230</v>
      </c>
      <c r="G264" s="12" t="s">
        <v>7651</v>
      </c>
      <c r="H264" s="12">
        <v>74</v>
      </c>
      <c r="I264" s="12" t="s">
        <v>7647</v>
      </c>
      <c r="J264" s="80">
        <v>7.4</v>
      </c>
      <c r="K264" s="12" t="s">
        <v>7161</v>
      </c>
      <c r="L264" s="12" t="s">
        <v>21</v>
      </c>
      <c r="M264" s="12" t="s">
        <v>8109</v>
      </c>
      <c r="N264" s="12">
        <v>44.65</v>
      </c>
      <c r="O264" s="12">
        <v>0.17799999999999999</v>
      </c>
      <c r="P264" s="12">
        <v>0.98131599999999997</v>
      </c>
      <c r="Q264" s="12" t="s">
        <v>7995</v>
      </c>
      <c r="R264" s="12">
        <v>1.2E-2</v>
      </c>
      <c r="S264" s="12">
        <v>0.35419099999999998</v>
      </c>
      <c r="T264" s="12">
        <v>330079</v>
      </c>
      <c r="U264" s="12">
        <v>0.17399999999999999</v>
      </c>
      <c r="V264" s="12" t="s">
        <v>7662</v>
      </c>
      <c r="W264" s="12" t="s">
        <v>11</v>
      </c>
      <c r="X264" s="12">
        <v>202</v>
      </c>
      <c r="Y264" s="12">
        <v>1.2226000000000001E-2</v>
      </c>
      <c r="Z264" s="12">
        <v>1.432035810031419</v>
      </c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</row>
    <row r="265" spans="1:56" s="12" customFormat="1" x14ac:dyDescent="0.2">
      <c r="A265" s="12" t="s">
        <v>3181</v>
      </c>
      <c r="B265" s="12" t="s">
        <v>3182</v>
      </c>
      <c r="C265" s="12" t="s">
        <v>13</v>
      </c>
      <c r="D265" s="12" t="s">
        <v>8032</v>
      </c>
      <c r="E265" s="12" t="s">
        <v>8123</v>
      </c>
      <c r="F265" s="12" t="s">
        <v>7230</v>
      </c>
      <c r="G265" s="12" t="s">
        <v>7651</v>
      </c>
      <c r="H265" s="12">
        <v>75</v>
      </c>
      <c r="I265" s="12" t="s">
        <v>7647</v>
      </c>
      <c r="J265" s="80">
        <v>7.5</v>
      </c>
      <c r="K265" s="12" t="s">
        <v>7161</v>
      </c>
      <c r="L265" s="12" t="s">
        <v>21</v>
      </c>
      <c r="M265" s="12" t="s">
        <v>8109</v>
      </c>
      <c r="N265" s="12">
        <v>128.30000000000001</v>
      </c>
      <c r="O265" s="12">
        <v>0.16200000000000001</v>
      </c>
      <c r="P265" s="12">
        <v>0.97931199999999996</v>
      </c>
      <c r="Q265" s="12" t="s">
        <v>7318</v>
      </c>
      <c r="R265" s="12">
        <v>3.2000000000000001E-2</v>
      </c>
      <c r="S265" s="12">
        <v>0.82948699999999997</v>
      </c>
      <c r="T265" s="12">
        <v>570490</v>
      </c>
      <c r="U265" s="12">
        <v>0.16300000000000001</v>
      </c>
      <c r="V265" s="12" t="s">
        <v>7662</v>
      </c>
      <c r="W265" s="12" t="s">
        <v>11</v>
      </c>
      <c r="X265" s="12">
        <v>841</v>
      </c>
      <c r="Y265" s="12">
        <v>1.311E-2</v>
      </c>
      <c r="Z265" s="12">
        <v>2.7872256198547412</v>
      </c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P265" s="12" t="s">
        <v>4718</v>
      </c>
      <c r="AQ265" s="12" t="s">
        <v>8047</v>
      </c>
      <c r="AR265" s="12" t="s">
        <v>8051</v>
      </c>
      <c r="AS265" s="12">
        <v>273.2</v>
      </c>
      <c r="AT265" s="12">
        <v>0.14849999999999999</v>
      </c>
      <c r="AU265" s="12" t="s">
        <v>1265</v>
      </c>
      <c r="AV265" s="12">
        <v>0.99015900000000001</v>
      </c>
      <c r="AW265" s="12">
        <v>0.98154799999999998</v>
      </c>
      <c r="AX265" s="12">
        <v>0.99468199999999996</v>
      </c>
      <c r="AY265" s="12">
        <v>113161</v>
      </c>
      <c r="AZ265" s="12">
        <v>861</v>
      </c>
      <c r="BA265" s="12">
        <v>0.161</v>
      </c>
      <c r="BB265" s="12">
        <v>8230</v>
      </c>
      <c r="BC265" s="12">
        <v>60.196078431372499</v>
      </c>
      <c r="BD265" s="12">
        <v>0.307</v>
      </c>
    </row>
    <row r="266" spans="1:56" s="12" customFormat="1" x14ac:dyDescent="0.2">
      <c r="A266" s="12" t="s">
        <v>3183</v>
      </c>
      <c r="B266" s="12" t="s">
        <v>3184</v>
      </c>
      <c r="C266" s="12" t="s">
        <v>13</v>
      </c>
      <c r="D266" s="12" t="s">
        <v>8032</v>
      </c>
      <c r="E266" s="12" t="s">
        <v>8123</v>
      </c>
      <c r="F266" s="12" t="s">
        <v>7230</v>
      </c>
      <c r="G266" s="12" t="s">
        <v>7651</v>
      </c>
      <c r="H266" s="12">
        <v>74</v>
      </c>
      <c r="I266" s="12" t="s">
        <v>7647</v>
      </c>
      <c r="J266" s="80">
        <v>7.4</v>
      </c>
      <c r="K266" s="12" t="s">
        <v>7161</v>
      </c>
      <c r="L266" s="12" t="s">
        <v>21</v>
      </c>
      <c r="M266" s="12" t="s">
        <v>8109</v>
      </c>
      <c r="N266" s="12">
        <v>121.5</v>
      </c>
      <c r="O266" s="12">
        <v>0.16200000000000001</v>
      </c>
      <c r="P266" s="12">
        <v>0.99934699999999999</v>
      </c>
      <c r="Q266" s="12" t="s">
        <v>7204</v>
      </c>
      <c r="R266" s="12">
        <v>3.4000000000000002E-2</v>
      </c>
      <c r="S266" s="12">
        <v>0.85477300000000001</v>
      </c>
      <c r="T266" s="12">
        <v>560151</v>
      </c>
      <c r="U266" s="12">
        <v>0.16800000000000001</v>
      </c>
      <c r="V266" s="12" t="s">
        <v>7662</v>
      </c>
      <c r="W266" s="12" t="s">
        <v>25</v>
      </c>
      <c r="X266" s="12">
        <v>2602</v>
      </c>
      <c r="Y266" s="12" t="s">
        <v>6639</v>
      </c>
      <c r="Z266" s="12" t="s">
        <v>6639</v>
      </c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</row>
    <row r="267" spans="1:56" s="12" customFormat="1" x14ac:dyDescent="0.2">
      <c r="A267" s="12" t="s">
        <v>3185</v>
      </c>
      <c r="B267" s="12" t="s">
        <v>3186</v>
      </c>
      <c r="C267" s="12" t="s">
        <v>13</v>
      </c>
      <c r="D267" s="12" t="s">
        <v>8032</v>
      </c>
      <c r="E267" s="12" t="s">
        <v>8123</v>
      </c>
      <c r="F267" s="12" t="s">
        <v>7230</v>
      </c>
      <c r="G267" s="12" t="s">
        <v>7651</v>
      </c>
      <c r="H267" s="12">
        <v>78</v>
      </c>
      <c r="I267" s="12" t="s">
        <v>7647</v>
      </c>
      <c r="J267" s="80">
        <v>7.8000000000000007</v>
      </c>
      <c r="K267" s="12" t="s">
        <v>7161</v>
      </c>
      <c r="L267" s="12" t="s">
        <v>21</v>
      </c>
      <c r="M267" s="12" t="s">
        <v>8109</v>
      </c>
      <c r="N267" s="12">
        <v>58.32</v>
      </c>
      <c r="O267" s="12">
        <v>0.185</v>
      </c>
      <c r="P267" s="12">
        <v>0.97556399999999999</v>
      </c>
      <c r="Q267" s="12" t="s">
        <v>7993</v>
      </c>
      <c r="R267" s="12">
        <v>1.7000000000000001E-2</v>
      </c>
      <c r="S267" s="12">
        <v>0.66220599999999996</v>
      </c>
      <c r="T267" s="12">
        <v>463483</v>
      </c>
      <c r="U267" s="12">
        <v>0.183</v>
      </c>
      <c r="V267" s="12" t="s">
        <v>7662</v>
      </c>
      <c r="W267" s="12" t="s">
        <v>25</v>
      </c>
      <c r="X267" s="12">
        <v>1730</v>
      </c>
      <c r="Y267" s="12" t="s">
        <v>6639</v>
      </c>
      <c r="Z267" s="12" t="s">
        <v>6639</v>
      </c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</row>
    <row r="268" spans="1:56" s="12" customFormat="1" x14ac:dyDescent="0.2">
      <c r="A268" s="12" t="s">
        <v>3187</v>
      </c>
      <c r="B268" s="12" t="s">
        <v>3188</v>
      </c>
      <c r="C268" s="12" t="s">
        <v>13</v>
      </c>
      <c r="D268" s="12" t="s">
        <v>8032</v>
      </c>
      <c r="E268" s="12" t="s">
        <v>8123</v>
      </c>
      <c r="F268" s="12" t="s">
        <v>7230</v>
      </c>
      <c r="G268" s="12" t="s">
        <v>7651</v>
      </c>
      <c r="H268" s="12">
        <v>76</v>
      </c>
      <c r="I268" s="12" t="s">
        <v>7647</v>
      </c>
      <c r="J268" s="80">
        <v>7.6000000000000005</v>
      </c>
      <c r="K268" s="12" t="s">
        <v>7161</v>
      </c>
      <c r="L268" s="12" t="s">
        <v>21</v>
      </c>
      <c r="M268" s="12" t="s">
        <v>8109</v>
      </c>
      <c r="N268" s="12">
        <v>144.9</v>
      </c>
      <c r="O268" s="12">
        <v>0.14099999999999999</v>
      </c>
      <c r="P268" s="12">
        <v>0.99011400000000005</v>
      </c>
      <c r="Q268" s="12" t="s">
        <v>8003</v>
      </c>
      <c r="R268" s="12">
        <v>7.1999999999999995E-2</v>
      </c>
      <c r="S268" s="12">
        <v>1.018669</v>
      </c>
      <c r="T268" s="12">
        <v>619767</v>
      </c>
      <c r="U268" s="12">
        <v>0.128</v>
      </c>
      <c r="V268" s="12" t="s">
        <v>7662</v>
      </c>
      <c r="W268" s="12" t="s">
        <v>25</v>
      </c>
      <c r="X268" s="12">
        <v>3383</v>
      </c>
      <c r="Y268" s="12" t="s">
        <v>6639</v>
      </c>
      <c r="Z268" s="12" t="s">
        <v>6639</v>
      </c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</row>
    <row r="269" spans="1:56" s="12" customFormat="1" x14ac:dyDescent="0.2">
      <c r="A269" s="12" t="s">
        <v>3189</v>
      </c>
      <c r="B269" s="12" t="s">
        <v>3190</v>
      </c>
      <c r="C269" s="12" t="s">
        <v>13</v>
      </c>
      <c r="D269" s="12" t="s">
        <v>8032</v>
      </c>
      <c r="E269" s="12" t="s">
        <v>8123</v>
      </c>
      <c r="F269" s="12" t="s">
        <v>7230</v>
      </c>
      <c r="G269" s="12" t="s">
        <v>7651</v>
      </c>
      <c r="H269" s="12">
        <v>75</v>
      </c>
      <c r="I269" s="12" t="s">
        <v>7647</v>
      </c>
      <c r="J269" s="80">
        <v>7.5</v>
      </c>
      <c r="K269" s="12" t="s">
        <v>7161</v>
      </c>
      <c r="L269" s="12" t="s">
        <v>21</v>
      </c>
      <c r="M269" s="12" t="s">
        <v>8109</v>
      </c>
      <c r="N269" s="12">
        <v>281.60000000000002</v>
      </c>
      <c r="O269" s="12">
        <v>0.11899999999999999</v>
      </c>
      <c r="P269" s="12">
        <v>0.99883900000000003</v>
      </c>
      <c r="Q269" s="12" t="s">
        <v>7222</v>
      </c>
      <c r="R269" s="12">
        <v>6.7000000000000004E-2</v>
      </c>
      <c r="S269" s="12">
        <v>1.6826460000000001</v>
      </c>
      <c r="T269" s="12">
        <v>750512</v>
      </c>
      <c r="U269" s="12">
        <v>0.129</v>
      </c>
      <c r="V269" s="12" t="s">
        <v>7662</v>
      </c>
      <c r="W269" s="12" t="s">
        <v>11</v>
      </c>
      <c r="X269" s="12">
        <v>2631</v>
      </c>
      <c r="Y269" s="12">
        <v>3.3609999999999998E-3</v>
      </c>
      <c r="Z269" s="12">
        <v>2.0117544881398661</v>
      </c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</row>
    <row r="270" spans="1:56" s="12" customFormat="1" x14ac:dyDescent="0.2">
      <c r="A270" s="12" t="s">
        <v>5655</v>
      </c>
      <c r="B270" s="12" t="s">
        <v>927</v>
      </c>
      <c r="C270" s="12" t="s">
        <v>143</v>
      </c>
      <c r="D270" s="12" t="s">
        <v>7159</v>
      </c>
      <c r="E270" s="12" t="s">
        <v>8031</v>
      </c>
      <c r="F270" s="12" t="s">
        <v>7160</v>
      </c>
      <c r="G270" s="12" t="s">
        <v>7649</v>
      </c>
      <c r="H270" s="12">
        <v>61</v>
      </c>
      <c r="I270" s="12" t="s">
        <v>7646</v>
      </c>
      <c r="J270" s="80">
        <v>20.333333333333332</v>
      </c>
      <c r="K270" s="12" t="s">
        <v>7161</v>
      </c>
      <c r="L270" s="12" t="s">
        <v>21</v>
      </c>
      <c r="M270" s="12" t="s">
        <v>8110</v>
      </c>
      <c r="N270" s="12">
        <v>33.4</v>
      </c>
      <c r="O270" s="12">
        <v>0.13800000000000001</v>
      </c>
      <c r="P270" s="12">
        <v>0.98</v>
      </c>
      <c r="Q270" s="12" t="s">
        <v>7172</v>
      </c>
      <c r="R270" s="12">
        <v>6.8999999999999999E-3</v>
      </c>
      <c r="S270" s="12">
        <v>0.14199999999999999</v>
      </c>
      <c r="T270" s="12">
        <v>149172</v>
      </c>
      <c r="U270" s="12">
        <v>0.14299999999999999</v>
      </c>
      <c r="V270" s="12" t="s">
        <v>7661</v>
      </c>
      <c r="W270" s="12" t="s">
        <v>11</v>
      </c>
      <c r="X270" s="12">
        <v>55</v>
      </c>
      <c r="Y270" s="12" t="s">
        <v>8052</v>
      </c>
      <c r="Z270" s="12" t="s">
        <v>8052</v>
      </c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</row>
    <row r="271" spans="1:56" s="12" customFormat="1" x14ac:dyDescent="0.2">
      <c r="A271" s="12" t="s">
        <v>5656</v>
      </c>
      <c r="B271" s="12" t="s">
        <v>927</v>
      </c>
      <c r="C271" s="12" t="s">
        <v>143</v>
      </c>
      <c r="D271" s="12" t="s">
        <v>7159</v>
      </c>
      <c r="E271" s="12" t="s">
        <v>8031</v>
      </c>
      <c r="F271" s="12" t="s">
        <v>7160</v>
      </c>
      <c r="G271" s="12" t="s">
        <v>7649</v>
      </c>
      <c r="H271" s="12">
        <v>61</v>
      </c>
      <c r="I271" s="12" t="s">
        <v>7647</v>
      </c>
      <c r="J271" s="80">
        <v>20.333333333333332</v>
      </c>
      <c r="K271" s="12" t="s">
        <v>7161</v>
      </c>
      <c r="L271" s="12" t="s">
        <v>21</v>
      </c>
      <c r="M271" s="12" t="s">
        <v>8110</v>
      </c>
      <c r="N271" s="12">
        <v>36.299999999999997</v>
      </c>
      <c r="O271" s="12">
        <v>0.16</v>
      </c>
      <c r="P271" s="12">
        <v>0.98799999999999999</v>
      </c>
      <c r="Q271" s="12" t="s">
        <v>7331</v>
      </c>
      <c r="R271" s="12">
        <v>6.3E-3</v>
      </c>
      <c r="S271" s="12">
        <v>0.105348</v>
      </c>
      <c r="T271" s="12">
        <v>118126</v>
      </c>
      <c r="U271" s="12">
        <v>0.14499999999999999</v>
      </c>
      <c r="V271" s="12" t="s">
        <v>7661</v>
      </c>
      <c r="W271" s="12" t="s">
        <v>11</v>
      </c>
      <c r="X271" s="12">
        <v>19</v>
      </c>
      <c r="Y271" s="12" t="s">
        <v>8052</v>
      </c>
      <c r="Z271" s="12" t="s">
        <v>8052</v>
      </c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</row>
    <row r="272" spans="1:56" s="12" customFormat="1" x14ac:dyDescent="0.2">
      <c r="A272" s="12" t="s">
        <v>5657</v>
      </c>
      <c r="B272" s="12" t="s">
        <v>927</v>
      </c>
      <c r="C272" s="12" t="s">
        <v>143</v>
      </c>
      <c r="D272" s="12" t="s">
        <v>7159</v>
      </c>
      <c r="E272" s="12" t="s">
        <v>8031</v>
      </c>
      <c r="F272" s="12" t="s">
        <v>7160</v>
      </c>
      <c r="G272" s="12" t="s">
        <v>7649</v>
      </c>
      <c r="H272" s="12">
        <v>61</v>
      </c>
      <c r="I272" s="12" t="s">
        <v>7647</v>
      </c>
      <c r="J272" s="80">
        <v>20.333333333333332</v>
      </c>
      <c r="K272" s="12" t="s">
        <v>7161</v>
      </c>
      <c r="L272" s="12" t="s">
        <v>21</v>
      </c>
      <c r="M272" s="12" t="s">
        <v>8110</v>
      </c>
      <c r="N272" s="12">
        <v>35.5</v>
      </c>
      <c r="O272" s="12">
        <v>0.14699999999999999</v>
      </c>
      <c r="P272" s="12">
        <v>0.98899999999999999</v>
      </c>
      <c r="Q272" s="12" t="s">
        <v>7378</v>
      </c>
      <c r="R272" s="12">
        <v>7.1000000000000004E-3</v>
      </c>
      <c r="S272" s="12">
        <v>9.7864999999999994E-2</v>
      </c>
      <c r="T272" s="12">
        <v>109936</v>
      </c>
      <c r="U272" s="12">
        <v>0.13800000000000001</v>
      </c>
      <c r="V272" s="12" t="s">
        <v>7661</v>
      </c>
      <c r="W272" s="12" t="s">
        <v>11</v>
      </c>
      <c r="X272" s="12">
        <v>27</v>
      </c>
      <c r="Y272" s="12" t="s">
        <v>8052</v>
      </c>
      <c r="Z272" s="12" t="s">
        <v>8052</v>
      </c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</row>
    <row r="273" spans="1:39" s="12" customFormat="1" x14ac:dyDescent="0.2">
      <c r="A273" s="12" t="s">
        <v>5690</v>
      </c>
      <c r="B273" s="12" t="s">
        <v>985</v>
      </c>
      <c r="C273" s="12" t="s">
        <v>143</v>
      </c>
      <c r="D273" s="12" t="s">
        <v>7159</v>
      </c>
      <c r="E273" s="12" t="s">
        <v>8031</v>
      </c>
      <c r="F273" s="12" t="s">
        <v>7160</v>
      </c>
      <c r="G273" s="12" t="s">
        <v>7649</v>
      </c>
      <c r="H273" s="12">
        <v>67</v>
      </c>
      <c r="I273" s="12" t="s">
        <v>7646</v>
      </c>
      <c r="J273" s="80">
        <v>22.333333333333332</v>
      </c>
      <c r="K273" s="12" t="s">
        <v>7161</v>
      </c>
      <c r="L273" s="12" t="s">
        <v>21</v>
      </c>
      <c r="M273" s="12" t="s">
        <v>8110</v>
      </c>
      <c r="N273" s="12">
        <v>18.7</v>
      </c>
      <c r="O273" s="12">
        <v>0.13900000000000001</v>
      </c>
      <c r="P273" s="12">
        <v>0.97099999999999997</v>
      </c>
      <c r="Q273" s="12" t="s">
        <v>7173</v>
      </c>
      <c r="R273" s="12">
        <v>8.3000000000000001E-3</v>
      </c>
      <c r="S273" s="12">
        <v>9.5000000000000001E-2</v>
      </c>
      <c r="T273" s="12">
        <v>104205</v>
      </c>
      <c r="U273" s="12" t="s">
        <v>17</v>
      </c>
      <c r="V273" s="12" t="s">
        <v>7661</v>
      </c>
      <c r="W273" s="12" t="s">
        <v>25</v>
      </c>
      <c r="X273" s="12">
        <v>86</v>
      </c>
      <c r="Y273" s="12" t="s">
        <v>6639</v>
      </c>
      <c r="Z273" s="12" t="s">
        <v>6639</v>
      </c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</row>
    <row r="274" spans="1:39" s="12" customFormat="1" x14ac:dyDescent="0.2">
      <c r="A274" s="12" t="s">
        <v>5691</v>
      </c>
      <c r="B274" s="12" t="s">
        <v>985</v>
      </c>
      <c r="C274" s="12" t="s">
        <v>143</v>
      </c>
      <c r="D274" s="12" t="s">
        <v>7159</v>
      </c>
      <c r="E274" s="12" t="s">
        <v>8031</v>
      </c>
      <c r="F274" s="12" t="s">
        <v>7160</v>
      </c>
      <c r="G274" s="12" t="s">
        <v>7649</v>
      </c>
      <c r="H274" s="12">
        <v>67</v>
      </c>
      <c r="I274" s="12" t="s">
        <v>7647</v>
      </c>
      <c r="J274" s="80">
        <v>22.333333333333332</v>
      </c>
      <c r="K274" s="12" t="s">
        <v>7161</v>
      </c>
      <c r="L274" s="12" t="s">
        <v>21</v>
      </c>
      <c r="M274" s="12" t="s">
        <v>8110</v>
      </c>
      <c r="N274" s="12">
        <v>37.799999999999997</v>
      </c>
      <c r="O274" s="12">
        <v>0.14000000000000001</v>
      </c>
      <c r="P274" s="12">
        <v>0.97099999999999997</v>
      </c>
      <c r="Q274" s="12" t="s">
        <v>7303</v>
      </c>
      <c r="R274" s="12">
        <v>4.7999999999999996E-3</v>
      </c>
      <c r="S274" s="12">
        <v>6.6309000000000007E-2</v>
      </c>
      <c r="T274" s="12">
        <v>77369</v>
      </c>
      <c r="U274" s="12">
        <v>9.2999999999999999E-2</v>
      </c>
      <c r="V274" s="12" t="s">
        <v>7661</v>
      </c>
      <c r="W274" s="12" t="s">
        <v>25</v>
      </c>
      <c r="X274" s="12">
        <v>43</v>
      </c>
      <c r="Y274" s="12" t="s">
        <v>8052</v>
      </c>
      <c r="Z274" s="12" t="s">
        <v>8052</v>
      </c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</row>
    <row r="275" spans="1:39" s="12" customFormat="1" x14ac:dyDescent="0.2">
      <c r="A275" s="12" t="s">
        <v>5692</v>
      </c>
      <c r="B275" s="12" t="s">
        <v>985</v>
      </c>
      <c r="C275" s="12" t="s">
        <v>143</v>
      </c>
      <c r="D275" s="12" t="s">
        <v>7159</v>
      </c>
      <c r="E275" s="12" t="s">
        <v>8031</v>
      </c>
      <c r="F275" s="12" t="s">
        <v>7160</v>
      </c>
      <c r="G275" s="12" t="s">
        <v>7649</v>
      </c>
      <c r="H275" s="12">
        <v>67</v>
      </c>
      <c r="I275" s="12" t="s">
        <v>7647</v>
      </c>
      <c r="J275" s="80">
        <v>22.333333333333332</v>
      </c>
      <c r="K275" s="12" t="s">
        <v>7161</v>
      </c>
      <c r="L275" s="12" t="s">
        <v>21</v>
      </c>
      <c r="M275" s="12" t="s">
        <v>8110</v>
      </c>
      <c r="N275" s="12">
        <v>50.9</v>
      </c>
      <c r="O275" s="12">
        <v>0.13700000000000001</v>
      </c>
      <c r="P275" s="12">
        <v>0.97499999999999998</v>
      </c>
      <c r="Q275" s="12" t="s">
        <v>7379</v>
      </c>
      <c r="R275" s="12">
        <v>6.8999999999999999E-3</v>
      </c>
      <c r="S275" s="12">
        <v>8.0530000000000004E-2</v>
      </c>
      <c r="T275" s="12">
        <v>92922</v>
      </c>
      <c r="U275" s="12">
        <v>0.10100000000000001</v>
      </c>
      <c r="V275" s="12" t="s">
        <v>7661</v>
      </c>
      <c r="W275" s="12" t="s">
        <v>25</v>
      </c>
      <c r="X275" s="12">
        <v>59</v>
      </c>
      <c r="Y275" s="12" t="s">
        <v>8052</v>
      </c>
      <c r="Z275" s="12" t="s">
        <v>8052</v>
      </c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</row>
    <row r="276" spans="1:39" s="12" customFormat="1" x14ac:dyDescent="0.2">
      <c r="A276" s="12" t="s">
        <v>5693</v>
      </c>
      <c r="B276" s="12" t="s">
        <v>1954</v>
      </c>
      <c r="C276" s="12" t="s">
        <v>143</v>
      </c>
      <c r="D276" s="12" t="s">
        <v>7159</v>
      </c>
      <c r="E276" s="12" t="s">
        <v>8031</v>
      </c>
      <c r="F276" s="12" t="s">
        <v>7160</v>
      </c>
      <c r="G276" s="12" t="s">
        <v>7649</v>
      </c>
      <c r="H276" s="12">
        <v>73</v>
      </c>
      <c r="I276" s="12" t="s">
        <v>7647</v>
      </c>
      <c r="J276" s="80">
        <v>24.333333333333332</v>
      </c>
      <c r="K276" s="12" t="s">
        <v>7161</v>
      </c>
      <c r="L276" s="12" t="s">
        <v>21</v>
      </c>
      <c r="M276" s="12" t="s">
        <v>8110</v>
      </c>
      <c r="N276" s="12">
        <v>42.9</v>
      </c>
      <c r="O276" s="12">
        <v>0.124</v>
      </c>
      <c r="P276" s="12">
        <v>0.96699999999999997</v>
      </c>
      <c r="Q276" s="12" t="s">
        <v>7208</v>
      </c>
      <c r="R276" s="12">
        <v>5.1999999999999998E-3</v>
      </c>
      <c r="S276" s="12">
        <v>0.110122</v>
      </c>
      <c r="T276" s="12">
        <v>122932</v>
      </c>
      <c r="U276" s="12">
        <v>9.8000000000000004E-2</v>
      </c>
      <c r="V276" s="12" t="s">
        <v>7661</v>
      </c>
      <c r="W276" s="12" t="s">
        <v>25</v>
      </c>
      <c r="X276" s="12">
        <v>106</v>
      </c>
      <c r="Y276" s="12" t="s">
        <v>6639</v>
      </c>
      <c r="Z276" s="12" t="s">
        <v>6639</v>
      </c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</row>
    <row r="277" spans="1:39" s="12" customFormat="1" x14ac:dyDescent="0.2">
      <c r="A277" s="12" t="s">
        <v>5694</v>
      </c>
      <c r="B277" s="12" t="s">
        <v>1954</v>
      </c>
      <c r="C277" s="12" t="s">
        <v>143</v>
      </c>
      <c r="D277" s="12" t="s">
        <v>7159</v>
      </c>
      <c r="E277" s="12" t="s">
        <v>8031</v>
      </c>
      <c r="F277" s="12" t="s">
        <v>7160</v>
      </c>
      <c r="G277" s="12" t="s">
        <v>7649</v>
      </c>
      <c r="H277" s="12">
        <v>73</v>
      </c>
      <c r="I277" s="12" t="s">
        <v>7647</v>
      </c>
      <c r="J277" s="80">
        <v>24.333333333333332</v>
      </c>
      <c r="K277" s="12" t="s">
        <v>7161</v>
      </c>
      <c r="L277" s="12" t="s">
        <v>21</v>
      </c>
      <c r="M277" s="12" t="s">
        <v>8110</v>
      </c>
      <c r="N277" s="12">
        <v>38.200000000000003</v>
      </c>
      <c r="O277" s="12">
        <v>0.126</v>
      </c>
      <c r="P277" s="12">
        <v>0.94899999999999995</v>
      </c>
      <c r="Q277" s="12" t="s">
        <v>7362</v>
      </c>
      <c r="R277" s="12">
        <v>5.3E-3</v>
      </c>
      <c r="S277" s="12">
        <v>9.5850000000000005E-2</v>
      </c>
      <c r="T277" s="12">
        <v>108397</v>
      </c>
      <c r="U277" s="12">
        <v>0.10100000000000001</v>
      </c>
      <c r="V277" s="12" t="s">
        <v>7661</v>
      </c>
      <c r="W277" s="12" t="s">
        <v>25</v>
      </c>
      <c r="X277" s="12">
        <v>109</v>
      </c>
      <c r="Y277" s="12" t="s">
        <v>6639</v>
      </c>
      <c r="Z277" s="12" t="s">
        <v>6639</v>
      </c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</row>
    <row r="278" spans="1:39" s="12" customFormat="1" x14ac:dyDescent="0.2">
      <c r="A278" s="12" t="s">
        <v>972</v>
      </c>
      <c r="B278" s="12" t="s">
        <v>971</v>
      </c>
      <c r="C278" s="12" t="s">
        <v>8127</v>
      </c>
      <c r="D278" s="12" t="s">
        <v>7159</v>
      </c>
      <c r="E278" s="12" t="s">
        <v>8031</v>
      </c>
      <c r="F278" s="12" t="s">
        <v>7160</v>
      </c>
      <c r="G278" s="12" t="s">
        <v>7649</v>
      </c>
      <c r="H278" s="12">
        <v>75</v>
      </c>
      <c r="I278" s="12" t="s">
        <v>7646</v>
      </c>
      <c r="J278" s="80">
        <v>25</v>
      </c>
      <c r="K278" s="12" t="s">
        <v>7161</v>
      </c>
      <c r="L278" s="12" t="s">
        <v>21</v>
      </c>
      <c r="M278" s="12" t="s">
        <v>8110</v>
      </c>
      <c r="N278" s="12">
        <v>322</v>
      </c>
      <c r="O278" s="12">
        <v>0.121</v>
      </c>
      <c r="P278" s="12">
        <v>0.98699999999999999</v>
      </c>
      <c r="Q278" s="12" t="s">
        <v>7268</v>
      </c>
      <c r="R278" s="12">
        <v>2.1999999999999999E-2</v>
      </c>
      <c r="S278" s="12">
        <v>1.794</v>
      </c>
      <c r="T278" s="12">
        <v>662899</v>
      </c>
      <c r="U278" s="12">
        <v>0.11899999999999999</v>
      </c>
      <c r="V278" s="12" t="s">
        <v>7661</v>
      </c>
      <c r="W278" s="12" t="s">
        <v>11</v>
      </c>
      <c r="X278" s="12">
        <v>2926</v>
      </c>
      <c r="Y278" s="12">
        <v>6.3439999999999998E-3</v>
      </c>
      <c r="Z278" s="12">
        <v>3.9926465821774646</v>
      </c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</row>
    <row r="279" spans="1:39" s="12" customFormat="1" x14ac:dyDescent="0.2">
      <c r="A279" s="12" t="s">
        <v>5676</v>
      </c>
      <c r="B279" s="12" t="s">
        <v>962</v>
      </c>
      <c r="C279" s="12" t="s">
        <v>143</v>
      </c>
      <c r="D279" s="12" t="s">
        <v>7159</v>
      </c>
      <c r="E279" s="12" t="s">
        <v>8031</v>
      </c>
      <c r="F279" s="12" t="s">
        <v>7160</v>
      </c>
      <c r="G279" s="12" t="s">
        <v>7649</v>
      </c>
      <c r="H279" s="12">
        <v>65</v>
      </c>
      <c r="I279" s="12" t="s">
        <v>7646</v>
      </c>
      <c r="J279" s="80">
        <v>21.666666666666664</v>
      </c>
      <c r="K279" s="12" t="s">
        <v>7161</v>
      </c>
      <c r="L279" s="12" t="s">
        <v>21</v>
      </c>
      <c r="M279" s="12" t="s">
        <v>8110</v>
      </c>
      <c r="N279" s="12">
        <v>7.94</v>
      </c>
      <c r="O279" s="12">
        <v>0.153</v>
      </c>
      <c r="P279" s="12">
        <v>0.99399999999999999</v>
      </c>
      <c r="Q279" s="12" t="s">
        <v>7209</v>
      </c>
      <c r="R279" s="12">
        <v>8.3000000000000001E-3</v>
      </c>
      <c r="S279" s="12">
        <v>1.4999999999999999E-2</v>
      </c>
      <c r="T279" s="12">
        <v>17536</v>
      </c>
      <c r="U279" s="12">
        <v>7.5999999999999998E-2</v>
      </c>
      <c r="V279" s="12" t="s">
        <v>7661</v>
      </c>
      <c r="W279" s="12" t="s">
        <v>25</v>
      </c>
      <c r="X279" s="12" t="s">
        <v>17</v>
      </c>
      <c r="Y279" s="12" t="s">
        <v>6639</v>
      </c>
      <c r="Z279" s="12" t="s">
        <v>6639</v>
      </c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</row>
    <row r="280" spans="1:39" s="12" customFormat="1" x14ac:dyDescent="0.2">
      <c r="A280" s="12" t="s">
        <v>5677</v>
      </c>
      <c r="B280" s="12" t="s">
        <v>962</v>
      </c>
      <c r="C280" s="12" t="s">
        <v>143</v>
      </c>
      <c r="D280" s="12" t="s">
        <v>7159</v>
      </c>
      <c r="E280" s="12" t="s">
        <v>8031</v>
      </c>
      <c r="F280" s="12" t="s">
        <v>7160</v>
      </c>
      <c r="G280" s="12" t="s">
        <v>7649</v>
      </c>
      <c r="H280" s="12">
        <v>65</v>
      </c>
      <c r="I280" s="12" t="s">
        <v>7647</v>
      </c>
      <c r="J280" s="80">
        <v>21.666666666666664</v>
      </c>
      <c r="K280" s="12" t="s">
        <v>7161</v>
      </c>
      <c r="L280" s="12" t="s">
        <v>21</v>
      </c>
      <c r="M280" s="12" t="s">
        <v>8110</v>
      </c>
      <c r="N280" s="12">
        <v>14.4</v>
      </c>
      <c r="O280" s="12">
        <v>0.126</v>
      </c>
      <c r="P280" s="12">
        <v>1</v>
      </c>
      <c r="Q280" s="12" t="s">
        <v>7204</v>
      </c>
      <c r="R280" s="12">
        <v>4.7000000000000002E-3</v>
      </c>
      <c r="S280" s="12">
        <v>1.0396000000000001E-2</v>
      </c>
      <c r="T280" s="12">
        <v>12604</v>
      </c>
      <c r="U280" s="12">
        <v>4.5999999999999999E-2</v>
      </c>
      <c r="V280" s="12" t="s">
        <v>7661</v>
      </c>
      <c r="W280" s="12" t="s">
        <v>25</v>
      </c>
      <c r="X280" s="12">
        <v>3</v>
      </c>
      <c r="Y280" s="12" t="s">
        <v>8052</v>
      </c>
      <c r="Z280" s="12" t="s">
        <v>8052</v>
      </c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</row>
    <row r="281" spans="1:39" s="12" customFormat="1" x14ac:dyDescent="0.2">
      <c r="A281" s="12" t="s">
        <v>5667</v>
      </c>
      <c r="B281" s="12" t="s">
        <v>944</v>
      </c>
      <c r="C281" s="12" t="s">
        <v>143</v>
      </c>
      <c r="D281" s="12" t="s">
        <v>7159</v>
      </c>
      <c r="E281" s="12" t="s">
        <v>8031</v>
      </c>
      <c r="F281" s="12" t="s">
        <v>7160</v>
      </c>
      <c r="G281" s="12" t="s">
        <v>7649</v>
      </c>
      <c r="H281" s="12">
        <v>64</v>
      </c>
      <c r="I281" s="12" t="s">
        <v>7646</v>
      </c>
      <c r="J281" s="80">
        <v>21.333333333333332</v>
      </c>
      <c r="K281" s="12" t="s">
        <v>7161</v>
      </c>
      <c r="L281" s="12" t="s">
        <v>21</v>
      </c>
      <c r="M281" s="12" t="s">
        <v>8110</v>
      </c>
      <c r="N281" s="12">
        <v>117</v>
      </c>
      <c r="O281" s="12">
        <v>0.114</v>
      </c>
      <c r="P281" s="12">
        <v>0.98699999999999999</v>
      </c>
      <c r="Q281" s="12" t="s">
        <v>7174</v>
      </c>
      <c r="R281" s="12">
        <v>4.7000000000000002E-3</v>
      </c>
      <c r="S281" s="12">
        <v>0.13600000000000001</v>
      </c>
      <c r="T281" s="12">
        <v>142962</v>
      </c>
      <c r="U281" s="12" t="s">
        <v>17</v>
      </c>
      <c r="V281" s="12" t="s">
        <v>7661</v>
      </c>
      <c r="W281" s="12" t="s">
        <v>25</v>
      </c>
      <c r="X281" s="12">
        <v>174</v>
      </c>
      <c r="Y281" s="12" t="s">
        <v>6639</v>
      </c>
      <c r="Z281" s="12" t="s">
        <v>6639</v>
      </c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</row>
    <row r="282" spans="1:39" s="12" customFormat="1" x14ac:dyDescent="0.2">
      <c r="A282" s="12" t="s">
        <v>5668</v>
      </c>
      <c r="B282" s="12" t="s">
        <v>944</v>
      </c>
      <c r="C282" s="12" t="s">
        <v>143</v>
      </c>
      <c r="D282" s="12" t="s">
        <v>7159</v>
      </c>
      <c r="E282" s="12" t="s">
        <v>8031</v>
      </c>
      <c r="F282" s="12" t="s">
        <v>7160</v>
      </c>
      <c r="G282" s="12" t="s">
        <v>7649</v>
      </c>
      <c r="H282" s="12">
        <v>64</v>
      </c>
      <c r="I282" s="12" t="s">
        <v>7647</v>
      </c>
      <c r="J282" s="80">
        <v>21.333333333333332</v>
      </c>
      <c r="K282" s="12" t="s">
        <v>7161</v>
      </c>
      <c r="L282" s="12" t="s">
        <v>21</v>
      </c>
      <c r="M282" s="12" t="s">
        <v>8110</v>
      </c>
      <c r="N282" s="12">
        <v>99.4</v>
      </c>
      <c r="O282" s="12">
        <v>9.9000000000000005E-2</v>
      </c>
      <c r="P282" s="12">
        <v>0.996</v>
      </c>
      <c r="Q282" s="12" t="s">
        <v>7237</v>
      </c>
      <c r="R282" s="12">
        <v>5.5999999999999999E-3</v>
      </c>
      <c r="S282" s="12">
        <v>8.1591999999999998E-2</v>
      </c>
      <c r="T282" s="12">
        <v>93478</v>
      </c>
      <c r="U282" s="12">
        <v>7.3999999999999996E-2</v>
      </c>
      <c r="V282" s="12" t="s">
        <v>7661</v>
      </c>
      <c r="W282" s="12" t="s">
        <v>25</v>
      </c>
      <c r="X282" s="12">
        <v>63</v>
      </c>
      <c r="Y282" s="12" t="s">
        <v>8052</v>
      </c>
      <c r="Z282" s="12" t="s">
        <v>8052</v>
      </c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</row>
    <row r="283" spans="1:39" s="12" customFormat="1" x14ac:dyDescent="0.2">
      <c r="A283" s="12" t="s">
        <v>5669</v>
      </c>
      <c r="B283" s="12" t="s">
        <v>944</v>
      </c>
      <c r="C283" s="12" t="s">
        <v>143</v>
      </c>
      <c r="D283" s="12" t="s">
        <v>7159</v>
      </c>
      <c r="E283" s="12" t="s">
        <v>8031</v>
      </c>
      <c r="F283" s="12" t="s">
        <v>7160</v>
      </c>
      <c r="G283" s="12" t="s">
        <v>7649</v>
      </c>
      <c r="H283" s="12">
        <v>64</v>
      </c>
      <c r="I283" s="12" t="s">
        <v>7647</v>
      </c>
      <c r="J283" s="80">
        <v>21.333333333333332</v>
      </c>
      <c r="K283" s="12" t="s">
        <v>7161</v>
      </c>
      <c r="L283" s="12" t="s">
        <v>21</v>
      </c>
      <c r="M283" s="12" t="s">
        <v>8110</v>
      </c>
      <c r="N283" s="12">
        <v>111</v>
      </c>
      <c r="O283" s="12">
        <v>0.10299999999999999</v>
      </c>
      <c r="P283" s="12">
        <v>0.99299999999999999</v>
      </c>
      <c r="Q283" s="12" t="s">
        <v>7262</v>
      </c>
      <c r="R283" s="12">
        <v>6.4000000000000003E-3</v>
      </c>
      <c r="S283" s="12">
        <v>8.5097999999999993E-2</v>
      </c>
      <c r="T283" s="12">
        <v>97217</v>
      </c>
      <c r="U283" s="12">
        <v>7.1999999999999995E-2</v>
      </c>
      <c r="V283" s="12" t="s">
        <v>7661</v>
      </c>
      <c r="W283" s="12" t="s">
        <v>25</v>
      </c>
      <c r="X283" s="12">
        <v>71</v>
      </c>
      <c r="Y283" s="12" t="s">
        <v>8052</v>
      </c>
      <c r="Z283" s="12" t="s">
        <v>8052</v>
      </c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</row>
    <row r="284" spans="1:39" s="12" customFormat="1" x14ac:dyDescent="0.2">
      <c r="A284" s="12" t="s">
        <v>5701</v>
      </c>
      <c r="B284" s="12" t="s">
        <v>1110</v>
      </c>
      <c r="C284" s="12" t="s">
        <v>143</v>
      </c>
      <c r="D284" s="12" t="s">
        <v>7159</v>
      </c>
      <c r="E284" s="12" t="s">
        <v>8031</v>
      </c>
      <c r="F284" s="12" t="s">
        <v>7160</v>
      </c>
      <c r="G284" s="12" t="s">
        <v>7649</v>
      </c>
      <c r="H284" s="12">
        <v>71</v>
      </c>
      <c r="I284" s="12" t="s">
        <v>7646</v>
      </c>
      <c r="J284" s="80">
        <v>23.666666666666664</v>
      </c>
      <c r="K284" s="12" t="s">
        <v>7161</v>
      </c>
      <c r="L284" s="12" t="s">
        <v>21</v>
      </c>
      <c r="M284" s="12" t="s">
        <v>8110</v>
      </c>
      <c r="N284" s="12">
        <v>14.8</v>
      </c>
      <c r="O284" s="12">
        <v>9.8000000000000004E-2</v>
      </c>
      <c r="P284" s="12">
        <v>0.94699999999999995</v>
      </c>
      <c r="Q284" s="12" t="s">
        <v>7175</v>
      </c>
      <c r="R284" s="12">
        <v>2.5000000000000001E-3</v>
      </c>
      <c r="S284" s="12">
        <v>1.6E-2</v>
      </c>
      <c r="T284" s="12">
        <v>18937</v>
      </c>
      <c r="U284" s="12">
        <v>2.7E-2</v>
      </c>
      <c r="V284" s="12" t="s">
        <v>7661</v>
      </c>
      <c r="W284" s="12" t="s">
        <v>11</v>
      </c>
      <c r="X284" s="12">
        <v>5</v>
      </c>
      <c r="Y284" s="12" t="s">
        <v>8052</v>
      </c>
      <c r="Z284" s="12" t="s">
        <v>8052</v>
      </c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</row>
    <row r="285" spans="1:39" s="12" customFormat="1" x14ac:dyDescent="0.2">
      <c r="A285" s="12" t="s">
        <v>5702</v>
      </c>
      <c r="B285" s="12" t="s">
        <v>1110</v>
      </c>
      <c r="C285" s="12" t="s">
        <v>143</v>
      </c>
      <c r="D285" s="12" t="s">
        <v>7159</v>
      </c>
      <c r="E285" s="12" t="s">
        <v>8031</v>
      </c>
      <c r="F285" s="12" t="s">
        <v>7160</v>
      </c>
      <c r="G285" s="12" t="s">
        <v>7649</v>
      </c>
      <c r="H285" s="12">
        <v>71</v>
      </c>
      <c r="I285" s="12" t="s">
        <v>7647</v>
      </c>
      <c r="J285" s="80">
        <v>23.666666666666664</v>
      </c>
      <c r="K285" s="12" t="s">
        <v>7161</v>
      </c>
      <c r="L285" s="12" t="s">
        <v>21</v>
      </c>
      <c r="M285" s="12" t="s">
        <v>8110</v>
      </c>
      <c r="N285" s="12">
        <v>15.2</v>
      </c>
      <c r="O285" s="12">
        <v>0.12</v>
      </c>
      <c r="P285" s="12">
        <v>0.93400000000000005</v>
      </c>
      <c r="Q285" s="12" t="s">
        <v>7340</v>
      </c>
      <c r="R285" s="12">
        <v>1.8E-3</v>
      </c>
      <c r="S285" s="12">
        <v>9.6069999999999992E-3</v>
      </c>
      <c r="T285" s="12">
        <v>11689</v>
      </c>
      <c r="U285" s="12">
        <v>3.4000000000000002E-2</v>
      </c>
      <c r="V285" s="12" t="s">
        <v>7661</v>
      </c>
      <c r="W285" s="12" t="s">
        <v>11</v>
      </c>
      <c r="X285" s="12">
        <v>2</v>
      </c>
      <c r="Y285" s="12" t="s">
        <v>8052</v>
      </c>
      <c r="Z285" s="12" t="s">
        <v>8052</v>
      </c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</row>
    <row r="286" spans="1:39" s="12" customFormat="1" x14ac:dyDescent="0.2">
      <c r="A286" s="12" t="s">
        <v>5703</v>
      </c>
      <c r="B286" s="12" t="s">
        <v>1110</v>
      </c>
      <c r="C286" s="12" t="s">
        <v>143</v>
      </c>
      <c r="D286" s="12" t="s">
        <v>7159</v>
      </c>
      <c r="E286" s="12" t="s">
        <v>8031</v>
      </c>
      <c r="F286" s="12" t="s">
        <v>7160</v>
      </c>
      <c r="G286" s="12" t="s">
        <v>7649</v>
      </c>
      <c r="H286" s="12">
        <v>71</v>
      </c>
      <c r="I286" s="12" t="s">
        <v>7647</v>
      </c>
      <c r="J286" s="80">
        <v>23.666666666666664</v>
      </c>
      <c r="K286" s="12" t="s">
        <v>7161</v>
      </c>
      <c r="L286" s="12" t="s">
        <v>21</v>
      </c>
      <c r="M286" s="12" t="s">
        <v>8110</v>
      </c>
      <c r="N286" s="12">
        <v>16.100000000000001</v>
      </c>
      <c r="O286" s="12">
        <v>0.115</v>
      </c>
      <c r="P286" s="12">
        <v>0.96499999999999997</v>
      </c>
      <c r="Q286" s="12" t="s">
        <v>7380</v>
      </c>
      <c r="R286" s="12">
        <v>3.0000000000000001E-3</v>
      </c>
      <c r="S286" s="12">
        <v>1.056E-2</v>
      </c>
      <c r="T286" s="12">
        <v>12810</v>
      </c>
      <c r="U286" s="12">
        <v>3.4000000000000002E-2</v>
      </c>
      <c r="V286" s="12" t="s">
        <v>7661</v>
      </c>
      <c r="W286" s="12" t="s">
        <v>11</v>
      </c>
      <c r="X286" s="12">
        <v>1</v>
      </c>
      <c r="Y286" s="12" t="s">
        <v>8052</v>
      </c>
      <c r="Z286" s="12" t="s">
        <v>8052</v>
      </c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</row>
    <row r="287" spans="1:39" s="12" customFormat="1" x14ac:dyDescent="0.2">
      <c r="A287" s="12" t="s">
        <v>5670</v>
      </c>
      <c r="B287" s="12" t="s">
        <v>955</v>
      </c>
      <c r="C287" s="12" t="s">
        <v>143</v>
      </c>
      <c r="D287" s="12" t="s">
        <v>7159</v>
      </c>
      <c r="E287" s="12" t="s">
        <v>8031</v>
      </c>
      <c r="F287" s="12" t="s">
        <v>7160</v>
      </c>
      <c r="G287" s="12" t="s">
        <v>7649</v>
      </c>
      <c r="H287" s="12">
        <v>79</v>
      </c>
      <c r="I287" s="12" t="s">
        <v>7646</v>
      </c>
      <c r="J287" s="80">
        <v>26.333333333333332</v>
      </c>
      <c r="K287" s="12" t="s">
        <v>7161</v>
      </c>
      <c r="L287" s="12" t="s">
        <v>21</v>
      </c>
      <c r="M287" s="12" t="s">
        <v>8110</v>
      </c>
      <c r="N287" s="12">
        <v>66.3</v>
      </c>
      <c r="O287" s="12">
        <v>0.11600000000000001</v>
      </c>
      <c r="P287" s="12">
        <v>0.98299999999999998</v>
      </c>
      <c r="Q287" s="12" t="s">
        <v>7176</v>
      </c>
      <c r="R287" s="12">
        <v>5.0000000000000001E-3</v>
      </c>
      <c r="S287" s="12">
        <v>0.106</v>
      </c>
      <c r="T287" s="12">
        <v>115087</v>
      </c>
      <c r="U287" s="12">
        <v>0.1</v>
      </c>
      <c r="V287" s="12" t="s">
        <v>7661</v>
      </c>
      <c r="W287" s="12" t="s">
        <v>25</v>
      </c>
      <c r="X287" s="12">
        <v>109</v>
      </c>
      <c r="Y287" s="12" t="s">
        <v>6639</v>
      </c>
      <c r="Z287" s="12" t="s">
        <v>6639</v>
      </c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</row>
    <row r="288" spans="1:39" s="12" customFormat="1" x14ac:dyDescent="0.2">
      <c r="A288" s="12" t="s">
        <v>5671</v>
      </c>
      <c r="B288" s="12" t="s">
        <v>955</v>
      </c>
      <c r="C288" s="12" t="s">
        <v>143</v>
      </c>
      <c r="D288" s="12" t="s">
        <v>7159</v>
      </c>
      <c r="E288" s="12" t="s">
        <v>8031</v>
      </c>
      <c r="F288" s="12" t="s">
        <v>7160</v>
      </c>
      <c r="G288" s="12" t="s">
        <v>7649</v>
      </c>
      <c r="H288" s="12">
        <v>79</v>
      </c>
      <c r="I288" s="12" t="s">
        <v>7647</v>
      </c>
      <c r="J288" s="80">
        <v>26.333333333333332</v>
      </c>
      <c r="K288" s="12" t="s">
        <v>7161</v>
      </c>
      <c r="L288" s="12" t="s">
        <v>21</v>
      </c>
      <c r="M288" s="12" t="s">
        <v>8110</v>
      </c>
      <c r="N288" s="12">
        <v>90.2</v>
      </c>
      <c r="O288" s="12">
        <v>0.114</v>
      </c>
      <c r="P288" s="12">
        <v>0.98199999999999998</v>
      </c>
      <c r="Q288" s="12" t="s">
        <v>7341</v>
      </c>
      <c r="R288" s="12">
        <v>4.3E-3</v>
      </c>
      <c r="S288" s="12">
        <v>4.6169000000000002E-2</v>
      </c>
      <c r="T288" s="12">
        <v>54543</v>
      </c>
      <c r="U288" s="12">
        <v>9.5000000000000001E-2</v>
      </c>
      <c r="V288" s="12" t="s">
        <v>7661</v>
      </c>
      <c r="W288" s="12" t="s">
        <v>25</v>
      </c>
      <c r="X288" s="12">
        <v>29</v>
      </c>
      <c r="Y288" s="12" t="s">
        <v>6639</v>
      </c>
      <c r="Z288" s="12" t="s">
        <v>6639</v>
      </c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</row>
    <row r="289" spans="1:39" s="12" customFormat="1" x14ac:dyDescent="0.2">
      <c r="A289" s="12" t="s">
        <v>5672</v>
      </c>
      <c r="B289" s="12" t="s">
        <v>955</v>
      </c>
      <c r="C289" s="12" t="s">
        <v>143</v>
      </c>
      <c r="D289" s="12" t="s">
        <v>7159</v>
      </c>
      <c r="E289" s="12" t="s">
        <v>8031</v>
      </c>
      <c r="F289" s="12" t="s">
        <v>7160</v>
      </c>
      <c r="G289" s="12" t="s">
        <v>7649</v>
      </c>
      <c r="H289" s="12">
        <v>79</v>
      </c>
      <c r="I289" s="12" t="s">
        <v>7647</v>
      </c>
      <c r="J289" s="80">
        <v>26.333333333333332</v>
      </c>
      <c r="K289" s="12" t="s">
        <v>7161</v>
      </c>
      <c r="L289" s="12" t="s">
        <v>21</v>
      </c>
      <c r="M289" s="12" t="s">
        <v>8110</v>
      </c>
      <c r="N289" s="12">
        <v>101</v>
      </c>
      <c r="O289" s="12">
        <v>0.126</v>
      </c>
      <c r="P289" s="12">
        <v>0.98099999999999998</v>
      </c>
      <c r="Q289" s="12" t="s">
        <v>7381</v>
      </c>
      <c r="R289" s="12">
        <v>3.7000000000000002E-3</v>
      </c>
      <c r="S289" s="12">
        <v>4.3737999999999999E-2</v>
      </c>
      <c r="T289" s="12">
        <v>51840</v>
      </c>
      <c r="U289" s="12">
        <v>9.1999999999999998E-2</v>
      </c>
      <c r="V289" s="12" t="s">
        <v>7661</v>
      </c>
      <c r="W289" s="12" t="s">
        <v>25</v>
      </c>
      <c r="X289" s="12">
        <v>28</v>
      </c>
      <c r="Y289" s="12" t="s">
        <v>8052</v>
      </c>
      <c r="Z289" s="12" t="s">
        <v>8052</v>
      </c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</row>
    <row r="290" spans="1:39" s="12" customFormat="1" x14ac:dyDescent="0.2">
      <c r="A290" s="12" t="s">
        <v>5695</v>
      </c>
      <c r="B290" s="12" t="s">
        <v>1959</v>
      </c>
      <c r="C290" s="12" t="s">
        <v>143</v>
      </c>
      <c r="D290" s="12" t="s">
        <v>7159</v>
      </c>
      <c r="E290" s="12" t="s">
        <v>8031</v>
      </c>
      <c r="F290" s="12" t="s">
        <v>7160</v>
      </c>
      <c r="G290" s="12" t="s">
        <v>7649</v>
      </c>
      <c r="H290" s="12">
        <v>73</v>
      </c>
      <c r="I290" s="12" t="s">
        <v>7646</v>
      </c>
      <c r="J290" s="80">
        <v>24.333333333333332</v>
      </c>
      <c r="K290" s="12" t="s">
        <v>7161</v>
      </c>
      <c r="L290" s="12" t="s">
        <v>21</v>
      </c>
      <c r="M290" s="12" t="s">
        <v>8110</v>
      </c>
      <c r="N290" s="12">
        <v>54.1</v>
      </c>
      <c r="O290" s="12">
        <v>0.105</v>
      </c>
      <c r="P290" s="12">
        <v>0.998</v>
      </c>
      <c r="Q290" s="12" t="s">
        <v>7177</v>
      </c>
      <c r="R290" s="12">
        <v>5.0000000000000001E-3</v>
      </c>
      <c r="S290" s="12">
        <v>1.9E-2</v>
      </c>
      <c r="T290" s="12">
        <v>22466</v>
      </c>
      <c r="U290" s="12">
        <v>7.1999999999999995E-2</v>
      </c>
      <c r="V290" s="12" t="s">
        <v>7661</v>
      </c>
      <c r="W290" s="12" t="s">
        <v>11</v>
      </c>
      <c r="X290" s="12">
        <v>1</v>
      </c>
      <c r="Y290" s="12" t="s">
        <v>8052</v>
      </c>
      <c r="Z290" s="12" t="s">
        <v>8052</v>
      </c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</row>
    <row r="291" spans="1:39" s="12" customFormat="1" x14ac:dyDescent="0.2">
      <c r="A291" s="12" t="s">
        <v>5696</v>
      </c>
      <c r="B291" s="12" t="s">
        <v>1959</v>
      </c>
      <c r="C291" s="12" t="s">
        <v>143</v>
      </c>
      <c r="D291" s="12" t="s">
        <v>7159</v>
      </c>
      <c r="E291" s="12" t="s">
        <v>8031</v>
      </c>
      <c r="F291" s="12" t="s">
        <v>7160</v>
      </c>
      <c r="G291" s="12" t="s">
        <v>7649</v>
      </c>
      <c r="H291" s="12">
        <v>73</v>
      </c>
      <c r="I291" s="12" t="s">
        <v>7647</v>
      </c>
      <c r="J291" s="80">
        <v>24.333333333333332</v>
      </c>
      <c r="K291" s="12" t="s">
        <v>7161</v>
      </c>
      <c r="L291" s="12" t="s">
        <v>21</v>
      </c>
      <c r="M291" s="12" t="s">
        <v>8110</v>
      </c>
      <c r="N291" s="12">
        <v>74.400000000000006</v>
      </c>
      <c r="O291" s="12">
        <v>0.114</v>
      </c>
      <c r="P291" s="12">
        <v>0.99399999999999999</v>
      </c>
      <c r="Q291" s="12" t="s">
        <v>7246</v>
      </c>
      <c r="R291" s="12">
        <v>1.8E-3</v>
      </c>
      <c r="S291" s="12">
        <v>1.0348E-2</v>
      </c>
      <c r="T291" s="12">
        <v>12596</v>
      </c>
      <c r="U291" s="12">
        <v>8.4000000000000005E-2</v>
      </c>
      <c r="V291" s="12" t="s">
        <v>7661</v>
      </c>
      <c r="W291" s="12" t="s">
        <v>11</v>
      </c>
      <c r="X291" s="12">
        <v>1</v>
      </c>
      <c r="Y291" s="12" t="s">
        <v>8052</v>
      </c>
      <c r="Z291" s="12" t="s">
        <v>8052</v>
      </c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</row>
    <row r="292" spans="1:39" s="12" customFormat="1" x14ac:dyDescent="0.2">
      <c r="A292" s="12" t="s">
        <v>5697</v>
      </c>
      <c r="B292" s="12" t="s">
        <v>1959</v>
      </c>
      <c r="C292" s="12" t="s">
        <v>143</v>
      </c>
      <c r="D292" s="12" t="s">
        <v>7159</v>
      </c>
      <c r="E292" s="12" t="s">
        <v>8031</v>
      </c>
      <c r="F292" s="12" t="s">
        <v>7160</v>
      </c>
      <c r="G292" s="12" t="s">
        <v>7649</v>
      </c>
      <c r="H292" s="12">
        <v>73</v>
      </c>
      <c r="I292" s="12" t="s">
        <v>7647</v>
      </c>
      <c r="J292" s="80">
        <v>24.333333333333332</v>
      </c>
      <c r="K292" s="12" t="s">
        <v>7161</v>
      </c>
      <c r="L292" s="12" t="s">
        <v>21</v>
      </c>
      <c r="M292" s="12" t="s">
        <v>8110</v>
      </c>
      <c r="N292" s="12">
        <v>85.4</v>
      </c>
      <c r="O292" s="12">
        <v>0.11600000000000001</v>
      </c>
      <c r="P292" s="12">
        <v>0.997</v>
      </c>
      <c r="Q292" s="12" t="s">
        <v>7241</v>
      </c>
      <c r="R292" s="12">
        <v>1.2999999999999999E-2</v>
      </c>
      <c r="S292" s="12">
        <v>1.0607E-2</v>
      </c>
      <c r="T292" s="12">
        <v>12902</v>
      </c>
      <c r="U292" s="12">
        <v>6.8000000000000005E-2</v>
      </c>
      <c r="V292" s="12" t="s">
        <v>7661</v>
      </c>
      <c r="W292" s="12" t="s">
        <v>11</v>
      </c>
      <c r="X292" s="12" t="s">
        <v>17</v>
      </c>
      <c r="Y292" s="12" t="s">
        <v>17</v>
      </c>
      <c r="Z292" s="12" t="s">
        <v>17</v>
      </c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</row>
    <row r="293" spans="1:39" s="12" customFormat="1" x14ac:dyDescent="0.2">
      <c r="A293" s="12" t="s">
        <v>5678</v>
      </c>
      <c r="B293" s="12" t="s">
        <v>965</v>
      </c>
      <c r="C293" s="12" t="s">
        <v>143</v>
      </c>
      <c r="D293" s="12" t="s">
        <v>7159</v>
      </c>
      <c r="E293" s="12" t="s">
        <v>8031</v>
      </c>
      <c r="F293" s="12" t="s">
        <v>7160</v>
      </c>
      <c r="G293" s="12" t="s">
        <v>7649</v>
      </c>
      <c r="H293" s="12">
        <v>63</v>
      </c>
      <c r="I293" s="12" t="s">
        <v>7646</v>
      </c>
      <c r="J293" s="80">
        <v>21</v>
      </c>
      <c r="K293" s="12" t="s">
        <v>7161</v>
      </c>
      <c r="L293" s="12" t="s">
        <v>21</v>
      </c>
      <c r="M293" s="12" t="s">
        <v>8110</v>
      </c>
      <c r="N293" s="12">
        <v>150</v>
      </c>
      <c r="O293" s="12">
        <v>8.3000000000000004E-2</v>
      </c>
      <c r="P293" s="12">
        <v>0.99399999999999999</v>
      </c>
      <c r="Q293" s="12" t="s">
        <v>7178</v>
      </c>
      <c r="R293" s="12">
        <v>3.0000000000000001E-3</v>
      </c>
      <c r="S293" s="12">
        <v>5.2999999999999999E-2</v>
      </c>
      <c r="T293" s="12">
        <v>60083</v>
      </c>
      <c r="U293" s="12">
        <v>6.3E-2</v>
      </c>
      <c r="V293" s="12" t="s">
        <v>7661</v>
      </c>
      <c r="W293" s="12" t="s">
        <v>25</v>
      </c>
      <c r="X293" s="12">
        <v>30</v>
      </c>
      <c r="Y293" s="12" t="s">
        <v>6639</v>
      </c>
      <c r="Z293" s="12" t="s">
        <v>6639</v>
      </c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</row>
    <row r="294" spans="1:39" s="12" customFormat="1" x14ac:dyDescent="0.2">
      <c r="A294" s="12" t="s">
        <v>5679</v>
      </c>
      <c r="B294" s="12" t="s">
        <v>965</v>
      </c>
      <c r="C294" s="12" t="s">
        <v>143</v>
      </c>
      <c r="D294" s="12" t="s">
        <v>7159</v>
      </c>
      <c r="E294" s="12" t="s">
        <v>8031</v>
      </c>
      <c r="F294" s="12" t="s">
        <v>7160</v>
      </c>
      <c r="G294" s="12" t="s">
        <v>7649</v>
      </c>
      <c r="H294" s="12">
        <v>63</v>
      </c>
      <c r="I294" s="12" t="s">
        <v>7647</v>
      </c>
      <c r="J294" s="80">
        <v>21</v>
      </c>
      <c r="K294" s="12" t="s">
        <v>7161</v>
      </c>
      <c r="L294" s="12" t="s">
        <v>21</v>
      </c>
      <c r="M294" s="12" t="s">
        <v>8110</v>
      </c>
      <c r="N294" s="12">
        <v>149</v>
      </c>
      <c r="O294" s="12">
        <v>7.6999999999999999E-2</v>
      </c>
      <c r="P294" s="12">
        <v>0.999</v>
      </c>
      <c r="Q294" s="12" t="s">
        <v>7179</v>
      </c>
      <c r="R294" s="12">
        <v>3.3999999999999998E-3</v>
      </c>
      <c r="S294" s="12">
        <v>2.6175E-2</v>
      </c>
      <c r="T294" s="12">
        <v>31421</v>
      </c>
      <c r="U294" s="12">
        <v>5.1999999999999998E-2</v>
      </c>
      <c r="V294" s="12" t="s">
        <v>7661</v>
      </c>
      <c r="W294" s="12" t="s">
        <v>25</v>
      </c>
      <c r="X294" s="12">
        <v>16</v>
      </c>
      <c r="Y294" s="12" t="s">
        <v>8052</v>
      </c>
      <c r="Z294" s="12" t="s">
        <v>8052</v>
      </c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</row>
    <row r="295" spans="1:39" s="12" customFormat="1" x14ac:dyDescent="0.2">
      <c r="A295" s="12" t="s">
        <v>5680</v>
      </c>
      <c r="B295" s="12" t="s">
        <v>965</v>
      </c>
      <c r="C295" s="12" t="s">
        <v>143</v>
      </c>
      <c r="D295" s="12" t="s">
        <v>7159</v>
      </c>
      <c r="E295" s="12" t="s">
        <v>8031</v>
      </c>
      <c r="F295" s="12" t="s">
        <v>7160</v>
      </c>
      <c r="G295" s="12" t="s">
        <v>7649</v>
      </c>
      <c r="H295" s="12">
        <v>63</v>
      </c>
      <c r="I295" s="12" t="s">
        <v>7647</v>
      </c>
      <c r="J295" s="80">
        <v>21</v>
      </c>
      <c r="K295" s="12" t="s">
        <v>7161</v>
      </c>
      <c r="L295" s="12" t="s">
        <v>21</v>
      </c>
      <c r="M295" s="12" t="s">
        <v>8110</v>
      </c>
      <c r="N295" s="12">
        <v>170</v>
      </c>
      <c r="O295" s="12">
        <v>8.3000000000000004E-2</v>
      </c>
      <c r="P295" s="12">
        <v>0.996</v>
      </c>
      <c r="Q295" s="12" t="s">
        <v>7330</v>
      </c>
      <c r="R295" s="12">
        <v>4.1000000000000003E-3</v>
      </c>
      <c r="S295" s="12">
        <v>2.4871000000000001E-2</v>
      </c>
      <c r="T295" s="12">
        <v>29867</v>
      </c>
      <c r="U295" s="12">
        <v>5.2999999999999999E-2</v>
      </c>
      <c r="V295" s="12" t="s">
        <v>7661</v>
      </c>
      <c r="W295" s="12" t="s">
        <v>25</v>
      </c>
      <c r="X295" s="12">
        <v>7</v>
      </c>
      <c r="Y295" s="12" t="s">
        <v>8052</v>
      </c>
      <c r="Z295" s="12" t="s">
        <v>8052</v>
      </c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</row>
    <row r="296" spans="1:39" s="12" customFormat="1" x14ac:dyDescent="0.2">
      <c r="A296" s="12" t="s">
        <v>5578</v>
      </c>
      <c r="B296" s="12" t="s">
        <v>4067</v>
      </c>
      <c r="C296" s="12" t="s">
        <v>143</v>
      </c>
      <c r="D296" s="12" t="s">
        <v>7159</v>
      </c>
      <c r="E296" s="12" t="s">
        <v>8031</v>
      </c>
      <c r="F296" s="12" t="s">
        <v>7160</v>
      </c>
      <c r="G296" s="12" t="s">
        <v>7649</v>
      </c>
      <c r="H296" s="12">
        <v>76</v>
      </c>
      <c r="I296" s="12" t="s">
        <v>7647</v>
      </c>
      <c r="J296" s="80">
        <v>8.4444444444444446</v>
      </c>
      <c r="K296" s="12" t="s">
        <v>7161</v>
      </c>
      <c r="L296" s="12" t="s">
        <v>21</v>
      </c>
      <c r="M296" s="12" t="s">
        <v>8110</v>
      </c>
      <c r="N296" s="12">
        <v>153</v>
      </c>
      <c r="O296" s="12">
        <v>0.184</v>
      </c>
      <c r="P296" s="12">
        <v>0.99</v>
      </c>
      <c r="Q296" s="12" t="s">
        <v>7363</v>
      </c>
      <c r="R296" s="12">
        <v>3.5999999999999997E-2</v>
      </c>
      <c r="S296" s="12">
        <v>0.186</v>
      </c>
      <c r="T296" s="12">
        <v>193042</v>
      </c>
      <c r="U296" s="12" t="s">
        <v>17</v>
      </c>
      <c r="V296" s="12" t="s">
        <v>7661</v>
      </c>
      <c r="W296" s="12" t="s">
        <v>11</v>
      </c>
      <c r="X296" s="12" t="s">
        <v>17</v>
      </c>
      <c r="Y296" s="12" t="s">
        <v>17</v>
      </c>
      <c r="Z296" s="12" t="s">
        <v>17</v>
      </c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</row>
    <row r="297" spans="1:39" s="12" customFormat="1" x14ac:dyDescent="0.2">
      <c r="A297" s="12" t="s">
        <v>5577</v>
      </c>
      <c r="B297" s="12" t="s">
        <v>4067</v>
      </c>
      <c r="C297" s="12" t="s">
        <v>13</v>
      </c>
      <c r="D297" s="12" t="s">
        <v>7210</v>
      </c>
      <c r="E297" s="12" t="s">
        <v>8031</v>
      </c>
      <c r="F297" s="12" t="s">
        <v>7160</v>
      </c>
      <c r="G297" s="12" t="s">
        <v>7649</v>
      </c>
      <c r="H297" s="12">
        <v>76</v>
      </c>
      <c r="I297" s="12" t="s">
        <v>7647</v>
      </c>
      <c r="J297" s="80">
        <v>8.4444444444444446</v>
      </c>
      <c r="K297" s="12" t="s">
        <v>7161</v>
      </c>
      <c r="L297" s="12" t="s">
        <v>21</v>
      </c>
      <c r="M297" s="12" t="s">
        <v>8110</v>
      </c>
      <c r="N297" s="12">
        <v>208</v>
      </c>
      <c r="O297" s="12">
        <v>0.155</v>
      </c>
      <c r="P297" s="12">
        <v>0.998</v>
      </c>
      <c r="Q297" s="12" t="s">
        <v>7177</v>
      </c>
      <c r="R297" s="12">
        <v>0.67500000000000004</v>
      </c>
      <c r="S297" s="12">
        <v>3.4537439999999999</v>
      </c>
      <c r="T297" s="12">
        <v>822467</v>
      </c>
      <c r="U297" s="12">
        <v>0.151</v>
      </c>
      <c r="V297" s="12" t="s">
        <v>7661</v>
      </c>
      <c r="W297" s="12" t="s">
        <v>11</v>
      </c>
      <c r="X297" s="12">
        <v>4912</v>
      </c>
      <c r="Y297" s="12">
        <v>5.372E-3</v>
      </c>
      <c r="Z297" s="12">
        <v>4.6947905478450025</v>
      </c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</row>
    <row r="298" spans="1:39" s="12" customFormat="1" x14ac:dyDescent="0.2">
      <c r="A298" s="12" t="s">
        <v>5551</v>
      </c>
      <c r="B298" s="12" t="s">
        <v>4532</v>
      </c>
      <c r="C298" s="12" t="s">
        <v>8127</v>
      </c>
      <c r="D298" s="12" t="s">
        <v>7159</v>
      </c>
      <c r="E298" s="12" t="s">
        <v>8031</v>
      </c>
      <c r="F298" s="12" t="s">
        <v>7160</v>
      </c>
      <c r="G298" s="12" t="s">
        <v>7649</v>
      </c>
      <c r="H298" s="12">
        <v>75</v>
      </c>
      <c r="I298" s="12" t="s">
        <v>7646</v>
      </c>
      <c r="J298" s="80">
        <v>25</v>
      </c>
      <c r="K298" s="12" t="s">
        <v>7161</v>
      </c>
      <c r="L298" s="12" t="s">
        <v>21</v>
      </c>
      <c r="M298" s="12" t="s">
        <v>8110</v>
      </c>
      <c r="N298" s="12">
        <v>196</v>
      </c>
      <c r="O298" s="12">
        <v>0.105</v>
      </c>
      <c r="P298" s="12">
        <v>0.999</v>
      </c>
      <c r="Q298" s="12" t="s">
        <v>7179</v>
      </c>
      <c r="R298" s="12">
        <v>1.0999999999999999E-2</v>
      </c>
      <c r="S298" s="12">
        <v>0.27100000000000002</v>
      </c>
      <c r="T298" s="12">
        <v>248609</v>
      </c>
      <c r="U298" s="12">
        <v>8.7999999999999995E-2</v>
      </c>
      <c r="V298" s="12" t="s">
        <v>7661</v>
      </c>
      <c r="W298" s="12" t="s">
        <v>11</v>
      </c>
      <c r="X298" s="12">
        <v>177</v>
      </c>
      <c r="Y298" s="12" t="s">
        <v>8052</v>
      </c>
      <c r="Z298" s="12" t="s">
        <v>8052</v>
      </c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</row>
    <row r="299" spans="1:39" s="12" customFormat="1" x14ac:dyDescent="0.2">
      <c r="A299" s="12" t="s">
        <v>5552</v>
      </c>
      <c r="B299" s="12" t="s">
        <v>4532</v>
      </c>
      <c r="C299" s="12" t="s">
        <v>8127</v>
      </c>
      <c r="D299" s="12" t="s">
        <v>7159</v>
      </c>
      <c r="E299" s="12" t="s">
        <v>8031</v>
      </c>
      <c r="F299" s="12" t="s">
        <v>7160</v>
      </c>
      <c r="G299" s="12" t="s">
        <v>7649</v>
      </c>
      <c r="H299" s="12">
        <v>75</v>
      </c>
      <c r="I299" s="12" t="s">
        <v>7647</v>
      </c>
      <c r="J299" s="80">
        <v>25</v>
      </c>
      <c r="K299" s="12" t="s">
        <v>7161</v>
      </c>
      <c r="L299" s="12" t="s">
        <v>21</v>
      </c>
      <c r="M299" s="12" t="s">
        <v>8110</v>
      </c>
      <c r="N299" s="12">
        <v>110</v>
      </c>
      <c r="O299" s="12">
        <v>0.123</v>
      </c>
      <c r="P299" s="12">
        <v>0.999</v>
      </c>
      <c r="Q299" s="12" t="s">
        <v>7206</v>
      </c>
      <c r="R299" s="12">
        <v>5.0000000000000001E-3</v>
      </c>
      <c r="S299" s="12">
        <v>0.27616600000000002</v>
      </c>
      <c r="T299" s="12">
        <v>267978</v>
      </c>
      <c r="U299" s="12">
        <v>8.8999999999999996E-2</v>
      </c>
      <c r="V299" s="12" t="s">
        <v>7661</v>
      </c>
      <c r="W299" s="12" t="s">
        <v>11</v>
      </c>
      <c r="X299" s="12">
        <v>162</v>
      </c>
      <c r="Y299" s="12" t="s">
        <v>8052</v>
      </c>
      <c r="Z299" s="12" t="s">
        <v>8052</v>
      </c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</row>
    <row r="300" spans="1:39" s="12" customFormat="1" x14ac:dyDescent="0.2">
      <c r="A300" s="12" t="s">
        <v>5553</v>
      </c>
      <c r="B300" s="12" t="s">
        <v>4532</v>
      </c>
      <c r="C300" s="12" t="s">
        <v>8127</v>
      </c>
      <c r="D300" s="12" t="s">
        <v>7159</v>
      </c>
      <c r="E300" s="12" t="s">
        <v>8031</v>
      </c>
      <c r="F300" s="12" t="s">
        <v>7160</v>
      </c>
      <c r="G300" s="12" t="s">
        <v>7649</v>
      </c>
      <c r="H300" s="12">
        <v>75</v>
      </c>
      <c r="I300" s="12" t="s">
        <v>7647</v>
      </c>
      <c r="J300" s="80">
        <v>25</v>
      </c>
      <c r="K300" s="12" t="s">
        <v>7161</v>
      </c>
      <c r="L300" s="12" t="s">
        <v>21</v>
      </c>
      <c r="M300" s="12" t="s">
        <v>8110</v>
      </c>
      <c r="N300" s="12">
        <v>117</v>
      </c>
      <c r="O300" s="12">
        <v>0.10299999999999999</v>
      </c>
      <c r="P300" s="12">
        <v>0.999</v>
      </c>
      <c r="Q300" s="12" t="s">
        <v>7196</v>
      </c>
      <c r="R300" s="12">
        <v>5.7999999999999996E-3</v>
      </c>
      <c r="S300" s="12">
        <v>0.267706</v>
      </c>
      <c r="T300" s="12">
        <v>262035</v>
      </c>
      <c r="U300" s="12">
        <v>7.5999999999999998E-2</v>
      </c>
      <c r="V300" s="12" t="s">
        <v>7661</v>
      </c>
      <c r="W300" s="12" t="s">
        <v>11</v>
      </c>
      <c r="X300" s="12">
        <v>168</v>
      </c>
      <c r="Y300" s="12" t="s">
        <v>8052</v>
      </c>
      <c r="Z300" s="12" t="s">
        <v>8052</v>
      </c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</row>
    <row r="301" spans="1:39" s="12" customFormat="1" x14ac:dyDescent="0.2">
      <c r="A301" s="12" t="s">
        <v>5548</v>
      </c>
      <c r="B301" s="12" t="s">
        <v>4529</v>
      </c>
      <c r="C301" s="12" t="s">
        <v>8127</v>
      </c>
      <c r="D301" s="12" t="s">
        <v>7159</v>
      </c>
      <c r="E301" s="12" t="s">
        <v>8031</v>
      </c>
      <c r="F301" s="12" t="s">
        <v>7160</v>
      </c>
      <c r="G301" s="12" t="s">
        <v>7649</v>
      </c>
      <c r="H301" s="12">
        <v>77</v>
      </c>
      <c r="I301" s="12" t="s">
        <v>7646</v>
      </c>
      <c r="J301" s="80">
        <v>25.666666666666664</v>
      </c>
      <c r="K301" s="12" t="s">
        <v>7161</v>
      </c>
      <c r="L301" s="12" t="s">
        <v>21</v>
      </c>
      <c r="M301" s="12" t="s">
        <v>8110</v>
      </c>
      <c r="N301" s="12">
        <v>9.61</v>
      </c>
      <c r="O301" s="12">
        <v>5.6000000000000001E-2</v>
      </c>
      <c r="P301" s="12">
        <v>0.93500000000000005</v>
      </c>
      <c r="Q301" s="12" t="s">
        <v>7180</v>
      </c>
      <c r="R301" s="12">
        <v>4.5999999999999999E-3</v>
      </c>
      <c r="S301" s="12">
        <v>2.1000000000000001E-2</v>
      </c>
      <c r="T301" s="12">
        <v>25144</v>
      </c>
      <c r="U301" s="12">
        <v>4.3999999999999997E-2</v>
      </c>
      <c r="V301" s="12" t="s">
        <v>7661</v>
      </c>
      <c r="W301" s="12" t="s">
        <v>11</v>
      </c>
      <c r="X301" s="12">
        <v>2</v>
      </c>
      <c r="Y301" s="12" t="s">
        <v>8052</v>
      </c>
      <c r="Z301" s="12" t="s">
        <v>8052</v>
      </c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</row>
    <row r="302" spans="1:39" s="12" customFormat="1" x14ac:dyDescent="0.2">
      <c r="A302" s="12" t="s">
        <v>5549</v>
      </c>
      <c r="B302" s="12" t="s">
        <v>4529</v>
      </c>
      <c r="C302" s="12" t="s">
        <v>8127</v>
      </c>
      <c r="D302" s="12" t="s">
        <v>7159</v>
      </c>
      <c r="E302" s="12" t="s">
        <v>8031</v>
      </c>
      <c r="F302" s="12" t="s">
        <v>7160</v>
      </c>
      <c r="G302" s="12" t="s">
        <v>7649</v>
      </c>
      <c r="H302" s="12">
        <v>77</v>
      </c>
      <c r="I302" s="12" t="s">
        <v>7647</v>
      </c>
      <c r="J302" s="80">
        <v>25.666666666666664</v>
      </c>
      <c r="K302" s="12" t="s">
        <v>7161</v>
      </c>
      <c r="L302" s="12" t="s">
        <v>21</v>
      </c>
      <c r="M302" s="12" t="s">
        <v>8110</v>
      </c>
      <c r="N302" s="12">
        <v>12.3</v>
      </c>
      <c r="O302" s="12">
        <v>5.7000000000000002E-2</v>
      </c>
      <c r="P302" s="12">
        <v>0.96899999999999997</v>
      </c>
      <c r="Q302" s="12" t="s">
        <v>7342</v>
      </c>
      <c r="R302" s="12">
        <v>2.5999999999999999E-3</v>
      </c>
      <c r="S302" s="12">
        <v>2.4022999999999999E-2</v>
      </c>
      <c r="T302" s="12">
        <v>28968</v>
      </c>
      <c r="U302" s="12">
        <v>6.5000000000000002E-2</v>
      </c>
      <c r="V302" s="12" t="s">
        <v>7661</v>
      </c>
      <c r="W302" s="12" t="s">
        <v>11</v>
      </c>
      <c r="X302" s="12">
        <v>1</v>
      </c>
      <c r="Y302" s="12" t="s">
        <v>8052</v>
      </c>
      <c r="Z302" s="12" t="s">
        <v>8052</v>
      </c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</row>
    <row r="303" spans="1:39" s="12" customFormat="1" x14ac:dyDescent="0.2">
      <c r="A303" s="12" t="s">
        <v>5550</v>
      </c>
      <c r="B303" s="12" t="s">
        <v>4529</v>
      </c>
      <c r="C303" s="12" t="s">
        <v>8127</v>
      </c>
      <c r="D303" s="12" t="s">
        <v>7159</v>
      </c>
      <c r="E303" s="12" t="s">
        <v>8031</v>
      </c>
      <c r="F303" s="12" t="s">
        <v>7160</v>
      </c>
      <c r="G303" s="12" t="s">
        <v>7649</v>
      </c>
      <c r="H303" s="12">
        <v>77</v>
      </c>
      <c r="I303" s="12" t="s">
        <v>7647</v>
      </c>
      <c r="J303" s="80">
        <v>25.666666666666664</v>
      </c>
      <c r="K303" s="12" t="s">
        <v>7161</v>
      </c>
      <c r="L303" s="12" t="s">
        <v>21</v>
      </c>
      <c r="M303" s="12" t="s">
        <v>8110</v>
      </c>
      <c r="N303" s="12">
        <v>14.7</v>
      </c>
      <c r="O303" s="12">
        <v>7.4999999999999997E-2</v>
      </c>
      <c r="P303" s="12">
        <v>0.96699999999999997</v>
      </c>
      <c r="Q303" s="12" t="s">
        <v>7382</v>
      </c>
      <c r="R303" s="12">
        <v>3.5999999999999999E-3</v>
      </c>
      <c r="S303" s="12">
        <v>3.2058999999999997E-2</v>
      </c>
      <c r="T303" s="12">
        <v>38281</v>
      </c>
      <c r="U303" s="12">
        <v>5.7000000000000002E-2</v>
      </c>
      <c r="V303" s="12" t="s">
        <v>7661</v>
      </c>
      <c r="W303" s="12" t="s">
        <v>11</v>
      </c>
      <c r="X303" s="12">
        <v>4</v>
      </c>
      <c r="Y303" s="12" t="s">
        <v>8052</v>
      </c>
      <c r="Z303" s="12" t="s">
        <v>8052</v>
      </c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</row>
    <row r="304" spans="1:39" s="12" customFormat="1" x14ac:dyDescent="0.2">
      <c r="A304" s="12" t="s">
        <v>1246</v>
      </c>
      <c r="B304" s="12" t="s">
        <v>1244</v>
      </c>
      <c r="C304" s="12" t="s">
        <v>8127</v>
      </c>
      <c r="D304" s="12" t="s">
        <v>7159</v>
      </c>
      <c r="E304" s="12" t="s">
        <v>8031</v>
      </c>
      <c r="F304" s="12" t="s">
        <v>7160</v>
      </c>
      <c r="G304" s="12" t="s">
        <v>7649</v>
      </c>
      <c r="H304" s="12">
        <v>86</v>
      </c>
      <c r="I304" s="12" t="s">
        <v>7646</v>
      </c>
      <c r="J304" s="80">
        <v>28.666666666666664</v>
      </c>
      <c r="K304" s="12" t="s">
        <v>7161</v>
      </c>
      <c r="L304" s="12" t="s">
        <v>21</v>
      </c>
      <c r="M304" s="12" t="s">
        <v>8110</v>
      </c>
      <c r="N304" s="12">
        <v>409</v>
      </c>
      <c r="O304" s="12">
        <v>8.7999999999999995E-2</v>
      </c>
      <c r="P304" s="12">
        <v>0.996</v>
      </c>
      <c r="Q304" s="12" t="s">
        <v>7236</v>
      </c>
      <c r="R304" s="12">
        <v>0.151</v>
      </c>
      <c r="S304" s="12">
        <v>0.47699999999999998</v>
      </c>
      <c r="T304" s="12">
        <v>417733</v>
      </c>
      <c r="U304" s="12">
        <v>8.5999999999999993E-2</v>
      </c>
      <c r="V304" s="12" t="s">
        <v>7661</v>
      </c>
      <c r="W304" s="12" t="s">
        <v>11</v>
      </c>
      <c r="X304" s="12">
        <v>386</v>
      </c>
      <c r="Y304" s="12">
        <v>1.1180000000000001E-3</v>
      </c>
      <c r="Z304" s="12">
        <v>0.29841368304142801</v>
      </c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</row>
    <row r="305" spans="1:56" s="12" customFormat="1" x14ac:dyDescent="0.2">
      <c r="A305" s="12" t="s">
        <v>1275</v>
      </c>
      <c r="B305" s="12" t="s">
        <v>1273</v>
      </c>
      <c r="C305" s="12" t="s">
        <v>8127</v>
      </c>
      <c r="D305" s="12" t="s">
        <v>7159</v>
      </c>
      <c r="E305" s="12" t="s">
        <v>8031</v>
      </c>
      <c r="F305" s="12" t="s">
        <v>7160</v>
      </c>
      <c r="G305" s="12" t="s">
        <v>7649</v>
      </c>
      <c r="H305" s="12">
        <v>65</v>
      </c>
      <c r="I305" s="12" t="s">
        <v>7646</v>
      </c>
      <c r="J305" s="80">
        <v>21.666666666666664</v>
      </c>
      <c r="K305" s="12" t="s">
        <v>7161</v>
      </c>
      <c r="L305" s="12" t="s">
        <v>21</v>
      </c>
      <c r="M305" s="12" t="s">
        <v>8110</v>
      </c>
      <c r="N305" s="12">
        <v>43.8</v>
      </c>
      <c r="O305" s="12">
        <v>9.5000000000000001E-2</v>
      </c>
      <c r="P305" s="12">
        <v>0.98199999999999998</v>
      </c>
      <c r="Q305" s="12" t="s">
        <v>7273</v>
      </c>
      <c r="R305" s="12">
        <v>2.1000000000000001E-2</v>
      </c>
      <c r="S305" s="12">
        <v>0.115</v>
      </c>
      <c r="T305" s="12">
        <v>125691</v>
      </c>
      <c r="U305" s="12">
        <v>6.8000000000000005E-2</v>
      </c>
      <c r="V305" s="12" t="s">
        <v>7661</v>
      </c>
      <c r="W305" s="12" t="s">
        <v>25</v>
      </c>
      <c r="X305" s="12">
        <v>115</v>
      </c>
      <c r="Y305" s="12" t="s">
        <v>6639</v>
      </c>
      <c r="Z305" s="12" t="s">
        <v>6639</v>
      </c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</row>
    <row r="306" spans="1:56" s="12" customFormat="1" x14ac:dyDescent="0.2">
      <c r="A306" s="12" t="s">
        <v>41</v>
      </c>
      <c r="B306" s="12" t="s">
        <v>38</v>
      </c>
      <c r="C306" s="12" t="s">
        <v>8127</v>
      </c>
      <c r="D306" s="12" t="s">
        <v>7159</v>
      </c>
      <c r="E306" s="12" t="s">
        <v>8031</v>
      </c>
      <c r="F306" s="12" t="s">
        <v>7160</v>
      </c>
      <c r="G306" s="12" t="s">
        <v>7649</v>
      </c>
      <c r="H306" s="12">
        <v>91</v>
      </c>
      <c r="I306" s="12" t="s">
        <v>7646</v>
      </c>
      <c r="J306" s="80">
        <v>30.333333333333332</v>
      </c>
      <c r="K306" s="12" t="s">
        <v>7161</v>
      </c>
      <c r="L306" s="12" t="s">
        <v>21</v>
      </c>
      <c r="M306" s="12" t="s">
        <v>8110</v>
      </c>
      <c r="N306" s="12">
        <v>169</v>
      </c>
      <c r="O306" s="12">
        <v>8.4000000000000005E-2</v>
      </c>
      <c r="P306" s="12">
        <v>0.99299999999999999</v>
      </c>
      <c r="Q306" s="12" t="s">
        <v>7240</v>
      </c>
      <c r="R306" s="12">
        <v>5.7000000000000002E-2</v>
      </c>
      <c r="S306" s="12">
        <v>0.30399999999999999</v>
      </c>
      <c r="T306" s="12">
        <v>291971</v>
      </c>
      <c r="U306" s="12">
        <v>0.05</v>
      </c>
      <c r="V306" s="12" t="s">
        <v>7661</v>
      </c>
      <c r="W306" s="12" t="s">
        <v>25</v>
      </c>
      <c r="X306" s="12">
        <v>590</v>
      </c>
      <c r="Y306" s="12" t="s">
        <v>6639</v>
      </c>
      <c r="Z306" s="12" t="s">
        <v>6639</v>
      </c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P306" s="12" t="s">
        <v>3151</v>
      </c>
      <c r="AQ306" s="12" t="s">
        <v>8050</v>
      </c>
      <c r="AR306" s="12" t="s">
        <v>8051</v>
      </c>
      <c r="AS306" s="12">
        <v>194</v>
      </c>
      <c r="AT306" s="12">
        <v>0.18</v>
      </c>
      <c r="AU306" s="12" t="s">
        <v>5770</v>
      </c>
      <c r="AV306" s="12">
        <v>0.99636199999999997</v>
      </c>
      <c r="AW306" s="12">
        <v>0.98530700000000004</v>
      </c>
      <c r="AX306" s="12">
        <v>0.99930399999999997</v>
      </c>
      <c r="AY306" s="12">
        <v>27486</v>
      </c>
      <c r="AZ306" s="12">
        <v>13444</v>
      </c>
      <c r="BA306" s="12">
        <v>0.1855</v>
      </c>
      <c r="BB306" s="12">
        <v>2565</v>
      </c>
      <c r="BC306" s="12">
        <v>2.00526315789473</v>
      </c>
      <c r="BD306" s="12">
        <v>3.81E-3</v>
      </c>
    </row>
    <row r="307" spans="1:56" s="12" customFormat="1" x14ac:dyDescent="0.2">
      <c r="A307" s="12" t="s">
        <v>1236</v>
      </c>
      <c r="B307" s="12" t="s">
        <v>1234</v>
      </c>
      <c r="C307" s="12" t="s">
        <v>8127</v>
      </c>
      <c r="D307" s="12" t="s">
        <v>7159</v>
      </c>
      <c r="E307" s="12" t="s">
        <v>8031</v>
      </c>
      <c r="F307" s="12" t="s">
        <v>7160</v>
      </c>
      <c r="G307" s="12" t="s">
        <v>7649</v>
      </c>
      <c r="H307" s="12">
        <v>62</v>
      </c>
      <c r="I307" s="12" t="s">
        <v>7646</v>
      </c>
      <c r="J307" s="80">
        <v>20.666666666666664</v>
      </c>
      <c r="K307" s="12" t="s">
        <v>7161</v>
      </c>
      <c r="L307" s="12" t="s">
        <v>21</v>
      </c>
      <c r="M307" s="12" t="s">
        <v>8110</v>
      </c>
      <c r="N307" s="12">
        <v>137</v>
      </c>
      <c r="O307" s="12">
        <v>7.0999999999999994E-2</v>
      </c>
      <c r="P307" s="12">
        <v>0.98599999999999999</v>
      </c>
      <c r="Q307" s="12" t="s">
        <v>7271</v>
      </c>
      <c r="R307" s="12">
        <v>6.2E-2</v>
      </c>
      <c r="S307" s="12">
        <v>0.495</v>
      </c>
      <c r="T307" s="12">
        <v>404396</v>
      </c>
      <c r="U307" s="12">
        <v>5.2999999999999999E-2</v>
      </c>
      <c r="V307" s="12" t="s">
        <v>7661</v>
      </c>
      <c r="W307" s="12" t="s">
        <v>11</v>
      </c>
      <c r="X307" s="12">
        <v>392</v>
      </c>
      <c r="Y307" s="12">
        <v>1.1934E-2</v>
      </c>
      <c r="Z307" s="12">
        <v>1.7892603895621979</v>
      </c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</row>
    <row r="308" spans="1:56" s="12" customFormat="1" x14ac:dyDescent="0.2">
      <c r="A308" s="12" t="s">
        <v>1291</v>
      </c>
      <c r="B308" s="12" t="s">
        <v>1289</v>
      </c>
      <c r="C308" s="12" t="s">
        <v>8127</v>
      </c>
      <c r="D308" s="12" t="s">
        <v>7159</v>
      </c>
      <c r="E308" s="12" t="s">
        <v>8031</v>
      </c>
      <c r="F308" s="12" t="s">
        <v>7160</v>
      </c>
      <c r="G308" s="12" t="s">
        <v>7649</v>
      </c>
      <c r="H308" s="12">
        <v>74</v>
      </c>
      <c r="I308" s="12" t="s">
        <v>7646</v>
      </c>
      <c r="J308" s="80">
        <v>24.666666666666664</v>
      </c>
      <c r="K308" s="12" t="s">
        <v>7161</v>
      </c>
      <c r="L308" s="12" t="s">
        <v>21</v>
      </c>
      <c r="M308" s="12" t="s">
        <v>8110</v>
      </c>
      <c r="N308" s="12">
        <v>101</v>
      </c>
      <c r="O308" s="12">
        <v>7.8E-2</v>
      </c>
      <c r="P308" s="12">
        <v>0.99399999999999999</v>
      </c>
      <c r="Q308" s="12" t="s">
        <v>7262</v>
      </c>
      <c r="R308" s="12">
        <v>0.03</v>
      </c>
      <c r="S308" s="12">
        <v>0.36299999999999999</v>
      </c>
      <c r="T308" s="12">
        <v>326464</v>
      </c>
      <c r="U308" s="12">
        <v>4.9000000000000002E-2</v>
      </c>
      <c r="V308" s="12" t="s">
        <v>7661</v>
      </c>
      <c r="W308" s="12" t="s">
        <v>25</v>
      </c>
      <c r="X308" s="12">
        <v>743</v>
      </c>
      <c r="Y308" s="12" t="s">
        <v>6639</v>
      </c>
      <c r="Z308" s="12" t="s">
        <v>6639</v>
      </c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</row>
    <row r="309" spans="1:56" s="12" customFormat="1" x14ac:dyDescent="0.2">
      <c r="A309" s="12" t="s">
        <v>1241</v>
      </c>
      <c r="B309" s="12" t="s">
        <v>1239</v>
      </c>
      <c r="C309" s="12" t="s">
        <v>8127</v>
      </c>
      <c r="D309" s="12" t="s">
        <v>7159</v>
      </c>
      <c r="E309" s="12" t="s">
        <v>8031</v>
      </c>
      <c r="F309" s="12" t="s">
        <v>7160</v>
      </c>
      <c r="G309" s="12" t="s">
        <v>7649</v>
      </c>
      <c r="H309" s="12">
        <v>67</v>
      </c>
      <c r="I309" s="12" t="s">
        <v>7646</v>
      </c>
      <c r="J309" s="80">
        <v>22.333333333333332</v>
      </c>
      <c r="K309" s="12" t="s">
        <v>7161</v>
      </c>
      <c r="L309" s="12" t="s">
        <v>21</v>
      </c>
      <c r="M309" s="12" t="s">
        <v>8110</v>
      </c>
      <c r="N309" s="12">
        <v>15.1</v>
      </c>
      <c r="O309" s="12">
        <v>9.4E-2</v>
      </c>
      <c r="P309" s="12">
        <v>0.93400000000000005</v>
      </c>
      <c r="Q309" s="12" t="s">
        <v>7272</v>
      </c>
      <c r="R309" s="12">
        <v>3.8E-3</v>
      </c>
      <c r="S309" s="12">
        <v>0.107</v>
      </c>
      <c r="T309" s="12">
        <v>118821</v>
      </c>
      <c r="U309" s="12" t="s">
        <v>17</v>
      </c>
      <c r="V309" s="12" t="s">
        <v>7661</v>
      </c>
      <c r="W309" s="12" t="s">
        <v>11</v>
      </c>
      <c r="X309" s="12">
        <v>26</v>
      </c>
      <c r="Y309" s="12" t="s">
        <v>8052</v>
      </c>
      <c r="Z309" s="12" t="s">
        <v>8052</v>
      </c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</row>
    <row r="310" spans="1:56" s="12" customFormat="1" x14ac:dyDescent="0.2">
      <c r="A310" s="12" t="s">
        <v>1300</v>
      </c>
      <c r="B310" s="12" t="s">
        <v>1298</v>
      </c>
      <c r="C310" s="12" t="s">
        <v>8127</v>
      </c>
      <c r="D310" s="12" t="s">
        <v>7159</v>
      </c>
      <c r="E310" s="12" t="s">
        <v>8031</v>
      </c>
      <c r="F310" s="12" t="s">
        <v>7160</v>
      </c>
      <c r="G310" s="12" t="s">
        <v>7649</v>
      </c>
      <c r="H310" s="12">
        <v>75</v>
      </c>
      <c r="I310" s="12" t="s">
        <v>7646</v>
      </c>
      <c r="J310" s="80">
        <v>25</v>
      </c>
      <c r="K310" s="12" t="s">
        <v>7161</v>
      </c>
      <c r="L310" s="12" t="s">
        <v>21</v>
      </c>
      <c r="M310" s="12" t="s">
        <v>8110</v>
      </c>
      <c r="N310" s="12">
        <v>313</v>
      </c>
      <c r="O310" s="12">
        <v>5.5E-2</v>
      </c>
      <c r="P310" s="12">
        <v>0.98899999999999999</v>
      </c>
      <c r="Q310" s="12" t="s">
        <v>7245</v>
      </c>
      <c r="R310" s="12">
        <v>0.16400000000000001</v>
      </c>
      <c r="S310" s="12">
        <v>1.6419999999999999</v>
      </c>
      <c r="T310" s="12">
        <v>717651</v>
      </c>
      <c r="U310" s="12">
        <v>4.3999999999999997E-2</v>
      </c>
      <c r="V310" s="12" t="s">
        <v>7661</v>
      </c>
      <c r="W310" s="12" t="s">
        <v>11</v>
      </c>
      <c r="X310" s="12">
        <v>2810</v>
      </c>
      <c r="Y310" s="12">
        <v>2.581E-3</v>
      </c>
      <c r="Z310" s="12">
        <v>1.9500438212094653</v>
      </c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</row>
    <row r="311" spans="1:56" s="12" customFormat="1" x14ac:dyDescent="0.2">
      <c r="A311" s="12" t="s">
        <v>5518</v>
      </c>
      <c r="B311" s="12" t="s">
        <v>4175</v>
      </c>
      <c r="C311" s="12" t="s">
        <v>8127</v>
      </c>
      <c r="D311" s="12" t="s">
        <v>7159</v>
      </c>
      <c r="E311" s="12" t="s">
        <v>8031</v>
      </c>
      <c r="F311" s="12" t="s">
        <v>7160</v>
      </c>
      <c r="G311" s="12" t="s">
        <v>7649</v>
      </c>
      <c r="H311" s="12">
        <v>82</v>
      </c>
      <c r="I311" s="12" t="s">
        <v>7646</v>
      </c>
      <c r="J311" s="80">
        <v>27.333333333333332</v>
      </c>
      <c r="K311" s="12" t="s">
        <v>7161</v>
      </c>
      <c r="L311" s="12" t="s">
        <v>21</v>
      </c>
      <c r="M311" s="12" t="s">
        <v>8110</v>
      </c>
      <c r="N311" s="12">
        <v>6.87</v>
      </c>
      <c r="O311" s="12">
        <v>9.2999999999999999E-2</v>
      </c>
      <c r="P311" s="12">
        <v>0.95899999999999996</v>
      </c>
      <c r="Q311" s="12" t="s">
        <v>7364</v>
      </c>
      <c r="R311" s="12">
        <v>1.8E-3</v>
      </c>
      <c r="S311" s="12">
        <v>2.1999999999999999E-2</v>
      </c>
      <c r="T311" s="12" t="s">
        <v>17</v>
      </c>
      <c r="U311" s="12">
        <v>4.1000000000000002E-2</v>
      </c>
      <c r="V311" s="12" t="s">
        <v>7661</v>
      </c>
      <c r="W311" s="12" t="s">
        <v>25</v>
      </c>
      <c r="X311" s="12">
        <v>16</v>
      </c>
      <c r="Y311" s="12" t="s">
        <v>6639</v>
      </c>
      <c r="Z311" s="12" t="s">
        <v>6639</v>
      </c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</row>
    <row r="312" spans="1:56" s="12" customFormat="1" x14ac:dyDescent="0.2">
      <c r="A312" s="12" t="s">
        <v>5517</v>
      </c>
      <c r="B312" s="12" t="s">
        <v>4175</v>
      </c>
      <c r="C312" s="12" t="s">
        <v>8127</v>
      </c>
      <c r="D312" s="12" t="s">
        <v>7159</v>
      </c>
      <c r="E312" s="12" t="s">
        <v>8031</v>
      </c>
      <c r="F312" s="12" t="s">
        <v>7160</v>
      </c>
      <c r="G312" s="12" t="s">
        <v>7649</v>
      </c>
      <c r="H312" s="12">
        <v>80</v>
      </c>
      <c r="I312" s="12" t="s">
        <v>7646</v>
      </c>
      <c r="J312" s="80">
        <v>26.666666666666664</v>
      </c>
      <c r="K312" s="12" t="s">
        <v>7161</v>
      </c>
      <c r="L312" s="12" t="s">
        <v>21</v>
      </c>
      <c r="M312" s="12" t="s">
        <v>8110</v>
      </c>
      <c r="N312" s="12">
        <v>53.7</v>
      </c>
      <c r="O312" s="12">
        <v>6.5000000000000002E-2</v>
      </c>
      <c r="P312" s="12">
        <v>0.98</v>
      </c>
      <c r="Q312" s="12" t="s">
        <v>7211</v>
      </c>
      <c r="R312" s="12">
        <v>5.3E-3</v>
      </c>
      <c r="S312" s="12">
        <v>0.315</v>
      </c>
      <c r="T312" s="12" t="s">
        <v>17</v>
      </c>
      <c r="U312" s="12">
        <v>4.1000000000000002E-2</v>
      </c>
      <c r="V312" s="12" t="s">
        <v>7661</v>
      </c>
      <c r="W312" s="12" t="s">
        <v>25</v>
      </c>
      <c r="X312" s="12">
        <v>622</v>
      </c>
      <c r="Y312" s="12" t="s">
        <v>6639</v>
      </c>
      <c r="Z312" s="12" t="s">
        <v>6639</v>
      </c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</row>
    <row r="313" spans="1:56" s="12" customFormat="1" x14ac:dyDescent="0.2">
      <c r="A313" s="12" t="s">
        <v>5709</v>
      </c>
      <c r="B313" s="12" t="s">
        <v>1626</v>
      </c>
      <c r="C313" s="12" t="s">
        <v>13</v>
      </c>
      <c r="D313" s="12" t="s">
        <v>7210</v>
      </c>
      <c r="E313" s="12" t="s">
        <v>8124</v>
      </c>
      <c r="F313" s="12" t="s">
        <v>7160</v>
      </c>
      <c r="G313" s="12" t="s">
        <v>7649</v>
      </c>
      <c r="H313" s="12">
        <v>74</v>
      </c>
      <c r="I313" s="12" t="s">
        <v>7647</v>
      </c>
      <c r="J313" s="80">
        <v>24.666666666666664</v>
      </c>
      <c r="K313" s="12" t="s">
        <v>7161</v>
      </c>
      <c r="L313" s="12" t="s">
        <v>21</v>
      </c>
      <c r="M313" s="12" t="s">
        <v>8110</v>
      </c>
      <c r="N313" s="12">
        <v>3.07</v>
      </c>
      <c r="O313" s="12">
        <v>0.109</v>
      </c>
      <c r="P313" s="12">
        <v>0.89400000000000002</v>
      </c>
      <c r="Q313" s="12" t="s">
        <v>7212</v>
      </c>
      <c r="R313" s="12">
        <v>4.5999999999999999E-3</v>
      </c>
      <c r="S313" s="12">
        <v>1.4838E-2</v>
      </c>
      <c r="T313" s="12">
        <v>17999</v>
      </c>
      <c r="U313" s="12">
        <v>6.7000000000000004E-2</v>
      </c>
      <c r="V313" s="12" t="s">
        <v>7661</v>
      </c>
      <c r="W313" s="12" t="s">
        <v>25</v>
      </c>
      <c r="X313" s="12">
        <v>2</v>
      </c>
      <c r="Y313" s="12" t="s">
        <v>6639</v>
      </c>
      <c r="Z313" s="12" t="s">
        <v>6639</v>
      </c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</row>
    <row r="314" spans="1:56" s="12" customFormat="1" x14ac:dyDescent="0.2">
      <c r="A314" s="12" t="s">
        <v>5710</v>
      </c>
      <c r="B314" s="12" t="s">
        <v>1626</v>
      </c>
      <c r="C314" s="12" t="s">
        <v>13</v>
      </c>
      <c r="D314" s="12" t="s">
        <v>7210</v>
      </c>
      <c r="E314" s="12" t="s">
        <v>8124</v>
      </c>
      <c r="F314" s="12" t="s">
        <v>7160</v>
      </c>
      <c r="G314" s="12" t="s">
        <v>7649</v>
      </c>
      <c r="H314" s="12">
        <v>74</v>
      </c>
      <c r="I314" s="12" t="s">
        <v>7647</v>
      </c>
      <c r="J314" s="80">
        <v>24.666666666666664</v>
      </c>
      <c r="K314" s="12" t="s">
        <v>7161</v>
      </c>
      <c r="L314" s="12" t="s">
        <v>21</v>
      </c>
      <c r="M314" s="12" t="s">
        <v>8110</v>
      </c>
      <c r="N314" s="12">
        <v>4.37</v>
      </c>
      <c r="O314" s="12">
        <v>9.5000000000000001E-2</v>
      </c>
      <c r="P314" s="12">
        <v>0.97499999999999998</v>
      </c>
      <c r="Q314" s="12" t="s">
        <v>7365</v>
      </c>
      <c r="R314" s="12">
        <v>0.01</v>
      </c>
      <c r="S314" s="12">
        <v>2.2542E-2</v>
      </c>
      <c r="T314" s="12">
        <v>27211</v>
      </c>
      <c r="U314" s="12">
        <v>6.4000000000000001E-2</v>
      </c>
      <c r="V314" s="12" t="s">
        <v>7661</v>
      </c>
      <c r="W314" s="12" t="s">
        <v>25</v>
      </c>
      <c r="X314" s="12">
        <v>5</v>
      </c>
      <c r="Y314" s="12" t="s">
        <v>6639</v>
      </c>
      <c r="Z314" s="12" t="s">
        <v>6639</v>
      </c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</row>
    <row r="315" spans="1:56" s="12" customFormat="1" x14ac:dyDescent="0.2">
      <c r="A315" s="12" t="s">
        <v>5711</v>
      </c>
      <c r="B315" s="12" t="s">
        <v>1631</v>
      </c>
      <c r="C315" s="12" t="s">
        <v>13</v>
      </c>
      <c r="D315" s="12" t="s">
        <v>7210</v>
      </c>
      <c r="E315" s="12" t="s">
        <v>8124</v>
      </c>
      <c r="F315" s="12" t="s">
        <v>7160</v>
      </c>
      <c r="G315" s="12" t="s">
        <v>7649</v>
      </c>
      <c r="H315" s="12">
        <v>76</v>
      </c>
      <c r="I315" s="12" t="s">
        <v>7647</v>
      </c>
      <c r="J315" s="80">
        <v>25.333333333333332</v>
      </c>
      <c r="K315" s="12" t="s">
        <v>7161</v>
      </c>
      <c r="L315" s="12" t="s">
        <v>21</v>
      </c>
      <c r="M315" s="12" t="s">
        <v>8110</v>
      </c>
      <c r="N315" s="12">
        <v>14</v>
      </c>
      <c r="O315" s="12">
        <v>0.13400000000000001</v>
      </c>
      <c r="P315" s="12">
        <v>0.91500000000000004</v>
      </c>
      <c r="Q315" s="12" t="s">
        <v>7213</v>
      </c>
      <c r="R315" s="12">
        <v>3.7999999999999999E-2</v>
      </c>
      <c r="S315" s="12">
        <v>0.124753</v>
      </c>
      <c r="T315" s="12">
        <v>140332</v>
      </c>
      <c r="U315" s="12">
        <v>8.4000000000000005E-2</v>
      </c>
      <c r="V315" s="12" t="s">
        <v>7661</v>
      </c>
      <c r="W315" s="12" t="s">
        <v>11</v>
      </c>
      <c r="X315" s="12">
        <v>29</v>
      </c>
      <c r="Y315" s="12" t="s">
        <v>8052</v>
      </c>
      <c r="Z315" s="12" t="s">
        <v>8052</v>
      </c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</row>
    <row r="316" spans="1:56" s="12" customFormat="1" x14ac:dyDescent="0.2">
      <c r="A316" s="12" t="s">
        <v>5712</v>
      </c>
      <c r="B316" s="12" t="s">
        <v>1631</v>
      </c>
      <c r="C316" s="12" t="s">
        <v>13</v>
      </c>
      <c r="D316" s="12" t="s">
        <v>7210</v>
      </c>
      <c r="E316" s="12" t="s">
        <v>8124</v>
      </c>
      <c r="F316" s="12" t="s">
        <v>7160</v>
      </c>
      <c r="G316" s="12" t="s">
        <v>7649</v>
      </c>
      <c r="H316" s="12">
        <v>76</v>
      </c>
      <c r="I316" s="12" t="s">
        <v>7647</v>
      </c>
      <c r="J316" s="80">
        <v>25.333333333333332</v>
      </c>
      <c r="K316" s="12" t="s">
        <v>7161</v>
      </c>
      <c r="L316" s="12" t="s">
        <v>21</v>
      </c>
      <c r="M316" s="12" t="s">
        <v>8110</v>
      </c>
      <c r="N316" s="12">
        <v>11.9</v>
      </c>
      <c r="O316" s="12">
        <v>0.12</v>
      </c>
      <c r="P316" s="12">
        <v>0.89400000000000002</v>
      </c>
      <c r="Q316" s="12" t="s">
        <v>7366</v>
      </c>
      <c r="R316" s="12">
        <v>3.6999999999999998E-2</v>
      </c>
      <c r="S316" s="12">
        <v>0.117705</v>
      </c>
      <c r="T316" s="12">
        <v>133426</v>
      </c>
      <c r="U316" s="12">
        <v>0.08</v>
      </c>
      <c r="V316" s="12" t="s">
        <v>7661</v>
      </c>
      <c r="W316" s="12" t="s">
        <v>11</v>
      </c>
      <c r="X316" s="12">
        <v>24</v>
      </c>
      <c r="Y316" s="12" t="s">
        <v>8052</v>
      </c>
      <c r="Z316" s="12" t="s">
        <v>8052</v>
      </c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</row>
    <row r="317" spans="1:56" s="12" customFormat="1" x14ac:dyDescent="0.2">
      <c r="A317" s="12" t="s">
        <v>5478</v>
      </c>
      <c r="B317" s="12" t="s">
        <v>1639</v>
      </c>
      <c r="C317" s="12" t="s">
        <v>13</v>
      </c>
      <c r="D317" s="12" t="s">
        <v>7210</v>
      </c>
      <c r="E317" s="12" t="s">
        <v>8124</v>
      </c>
      <c r="F317" s="12" t="s">
        <v>7160</v>
      </c>
      <c r="G317" s="12" t="s">
        <v>7649</v>
      </c>
      <c r="H317" s="12">
        <v>83</v>
      </c>
      <c r="I317" s="12" t="s">
        <v>7647</v>
      </c>
      <c r="J317" s="80">
        <v>27.666666666666664</v>
      </c>
      <c r="K317" s="12" t="s">
        <v>7161</v>
      </c>
      <c r="L317" s="12" t="s">
        <v>21</v>
      </c>
      <c r="M317" s="12" t="s">
        <v>8110</v>
      </c>
      <c r="N317" s="12">
        <v>10.3</v>
      </c>
      <c r="O317" s="12">
        <v>0.182</v>
      </c>
      <c r="P317" s="12">
        <v>0.98299999999999998</v>
      </c>
      <c r="Q317" s="12" t="s">
        <v>7214</v>
      </c>
      <c r="R317" s="12">
        <v>2.5999999999999999E-2</v>
      </c>
      <c r="S317" s="12">
        <v>7.8881000000000007E-2</v>
      </c>
      <c r="T317" s="12">
        <v>91087</v>
      </c>
      <c r="U317" s="12">
        <v>0.113</v>
      </c>
      <c r="V317" s="12" t="s">
        <v>7661</v>
      </c>
      <c r="W317" s="12" t="s">
        <v>11</v>
      </c>
      <c r="X317" s="12">
        <v>15</v>
      </c>
      <c r="Y317" s="12" t="s">
        <v>8052</v>
      </c>
      <c r="Z317" s="12" t="s">
        <v>8052</v>
      </c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</row>
    <row r="318" spans="1:56" s="12" customFormat="1" x14ac:dyDescent="0.2">
      <c r="A318" s="12" t="s">
        <v>5479</v>
      </c>
      <c r="B318" s="12" t="s">
        <v>1639</v>
      </c>
      <c r="C318" s="12" t="s">
        <v>13</v>
      </c>
      <c r="D318" s="12" t="s">
        <v>7210</v>
      </c>
      <c r="E318" s="12" t="s">
        <v>8124</v>
      </c>
      <c r="F318" s="12" t="s">
        <v>7160</v>
      </c>
      <c r="G318" s="12" t="s">
        <v>7649</v>
      </c>
      <c r="H318" s="12">
        <v>83</v>
      </c>
      <c r="I318" s="12" t="s">
        <v>7647</v>
      </c>
      <c r="J318" s="80">
        <v>27.666666666666664</v>
      </c>
      <c r="K318" s="12" t="s">
        <v>7161</v>
      </c>
      <c r="L318" s="12" t="s">
        <v>21</v>
      </c>
      <c r="M318" s="12" t="s">
        <v>8110</v>
      </c>
      <c r="N318" s="12">
        <v>12</v>
      </c>
      <c r="O318" s="12">
        <v>0.19800000000000001</v>
      </c>
      <c r="P318" s="12">
        <v>0.97</v>
      </c>
      <c r="Q318" s="12" t="s">
        <v>7367</v>
      </c>
      <c r="R318" s="12">
        <v>2.7E-2</v>
      </c>
      <c r="S318" s="12">
        <v>7.5791999999999998E-2</v>
      </c>
      <c r="T318" s="12">
        <v>87308</v>
      </c>
      <c r="U318" s="12">
        <v>0.115</v>
      </c>
      <c r="V318" s="12" t="s">
        <v>7661</v>
      </c>
      <c r="W318" s="12" t="s">
        <v>11</v>
      </c>
      <c r="X318" s="12">
        <v>14</v>
      </c>
      <c r="Y318" s="12" t="s">
        <v>8052</v>
      </c>
      <c r="Z318" s="12" t="s">
        <v>8052</v>
      </c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</row>
    <row r="319" spans="1:56" s="12" customFormat="1" x14ac:dyDescent="0.2">
      <c r="A319" s="12" t="s">
        <v>5472</v>
      </c>
      <c r="B319" s="12" t="s">
        <v>1602</v>
      </c>
      <c r="C319" s="12" t="s">
        <v>13</v>
      </c>
      <c r="D319" s="12" t="s">
        <v>7210</v>
      </c>
      <c r="E319" s="12" t="s">
        <v>8124</v>
      </c>
      <c r="F319" s="12" t="s">
        <v>7160</v>
      </c>
      <c r="G319" s="12" t="s">
        <v>7649</v>
      </c>
      <c r="H319" s="12">
        <v>73</v>
      </c>
      <c r="I319" s="12" t="s">
        <v>7646</v>
      </c>
      <c r="J319" s="80">
        <v>24.333333333333332</v>
      </c>
      <c r="K319" s="12" t="s">
        <v>7161</v>
      </c>
      <c r="L319" s="12" t="s">
        <v>21</v>
      </c>
      <c r="M319" s="12" t="s">
        <v>8110</v>
      </c>
      <c r="N319" s="12">
        <v>135</v>
      </c>
      <c r="O319" s="12">
        <v>0.13200000000000001</v>
      </c>
      <c r="P319" s="12">
        <v>0.99299999999999999</v>
      </c>
      <c r="Q319" s="12" t="s">
        <v>7181</v>
      </c>
      <c r="R319" s="12" t="s">
        <v>17</v>
      </c>
      <c r="S319" s="12">
        <v>0.93300000000000005</v>
      </c>
      <c r="T319" s="12">
        <v>577125</v>
      </c>
      <c r="U319" s="12">
        <v>0.11899999999999999</v>
      </c>
      <c r="V319" s="12" t="s">
        <v>7661</v>
      </c>
      <c r="W319" s="12" t="s">
        <v>11</v>
      </c>
      <c r="X319" s="12">
        <v>1243</v>
      </c>
      <c r="Y319" s="12">
        <v>3.1939999999999998E-3</v>
      </c>
      <c r="Z319" s="12">
        <v>1.5702337947349481</v>
      </c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</row>
    <row r="320" spans="1:56" s="12" customFormat="1" x14ac:dyDescent="0.2">
      <c r="A320" s="12" t="s">
        <v>5473</v>
      </c>
      <c r="B320" s="12" t="s">
        <v>1602</v>
      </c>
      <c r="C320" s="12" t="s">
        <v>13</v>
      </c>
      <c r="D320" s="12" t="s">
        <v>7210</v>
      </c>
      <c r="E320" s="12" t="s">
        <v>8124</v>
      </c>
      <c r="F320" s="12" t="s">
        <v>7160</v>
      </c>
      <c r="G320" s="12" t="s">
        <v>7649</v>
      </c>
      <c r="H320" s="12">
        <v>73</v>
      </c>
      <c r="I320" s="12" t="s">
        <v>7647</v>
      </c>
      <c r="J320" s="80">
        <v>24.333333333333332</v>
      </c>
      <c r="K320" s="12" t="s">
        <v>7161</v>
      </c>
      <c r="L320" s="12" t="s">
        <v>21</v>
      </c>
      <c r="M320" s="12" t="s">
        <v>8110</v>
      </c>
      <c r="N320" s="12">
        <v>127</v>
      </c>
      <c r="O320" s="12">
        <v>0.125</v>
      </c>
      <c r="P320" s="12">
        <v>0.997</v>
      </c>
      <c r="Q320" s="12" t="s">
        <v>7343</v>
      </c>
      <c r="R320" s="12">
        <v>0.219</v>
      </c>
      <c r="S320" s="12">
        <v>1.4739880000000001</v>
      </c>
      <c r="T320" s="12">
        <v>763921</v>
      </c>
      <c r="U320" s="12">
        <v>0.105</v>
      </c>
      <c r="V320" s="12" t="s">
        <v>7661</v>
      </c>
      <c r="W320" s="12" t="s">
        <v>11</v>
      </c>
      <c r="X320" s="12">
        <v>2241</v>
      </c>
      <c r="Y320" s="12">
        <v>4.8450000000000003E-3</v>
      </c>
      <c r="Z320" s="12">
        <v>2.4717723092118291</v>
      </c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</row>
    <row r="321" spans="1:56" s="12" customFormat="1" x14ac:dyDescent="0.2">
      <c r="A321" s="12" t="s">
        <v>5474</v>
      </c>
      <c r="B321" s="12" t="s">
        <v>1602</v>
      </c>
      <c r="C321" s="12" t="s">
        <v>13</v>
      </c>
      <c r="D321" s="12" t="s">
        <v>7210</v>
      </c>
      <c r="E321" s="12" t="s">
        <v>8124</v>
      </c>
      <c r="F321" s="12" t="s">
        <v>7160</v>
      </c>
      <c r="G321" s="12" t="s">
        <v>7649</v>
      </c>
      <c r="H321" s="12">
        <v>73</v>
      </c>
      <c r="I321" s="12" t="s">
        <v>7647</v>
      </c>
      <c r="J321" s="80">
        <v>24.333333333333332</v>
      </c>
      <c r="K321" s="12" t="s">
        <v>7161</v>
      </c>
      <c r="L321" s="12" t="s">
        <v>21</v>
      </c>
      <c r="M321" s="12" t="s">
        <v>8110</v>
      </c>
      <c r="N321" s="12">
        <v>80.599999999999994</v>
      </c>
      <c r="O321" s="12">
        <v>0.14099999999999999</v>
      </c>
      <c r="P321" s="12">
        <v>0.995</v>
      </c>
      <c r="Q321" s="12" t="s">
        <v>7256</v>
      </c>
      <c r="R321" s="12">
        <v>0.13400000000000001</v>
      </c>
      <c r="S321" s="12">
        <v>0.90983199999999997</v>
      </c>
      <c r="T321" s="12">
        <v>601076</v>
      </c>
      <c r="U321" s="12">
        <v>0.11799999999999999</v>
      </c>
      <c r="V321" s="12" t="s">
        <v>7661</v>
      </c>
      <c r="W321" s="12" t="s">
        <v>11</v>
      </c>
      <c r="X321" s="12">
        <v>1127</v>
      </c>
      <c r="Y321" s="12">
        <v>8.7379999999999992E-3</v>
      </c>
      <c r="Z321" s="12">
        <v>2.5194429315036184</v>
      </c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</row>
    <row r="322" spans="1:56" s="12" customFormat="1" x14ac:dyDescent="0.2">
      <c r="A322" s="12" t="s">
        <v>5713</v>
      </c>
      <c r="B322" s="12" t="s">
        <v>1615</v>
      </c>
      <c r="C322" s="12" t="s">
        <v>13</v>
      </c>
      <c r="D322" s="12" t="s">
        <v>7210</v>
      </c>
      <c r="E322" s="12" t="s">
        <v>8124</v>
      </c>
      <c r="F322" s="12" t="s">
        <v>7160</v>
      </c>
      <c r="G322" s="12" t="s">
        <v>7649</v>
      </c>
      <c r="H322" s="12">
        <v>74</v>
      </c>
      <c r="I322" s="12" t="s">
        <v>7647</v>
      </c>
      <c r="J322" s="80">
        <v>24.666666666666664</v>
      </c>
      <c r="K322" s="12" t="s">
        <v>7161</v>
      </c>
      <c r="L322" s="12" t="s">
        <v>21</v>
      </c>
      <c r="M322" s="12" t="s">
        <v>8110</v>
      </c>
      <c r="N322" s="12">
        <v>13.3</v>
      </c>
      <c r="O322" s="12">
        <v>0.24099999999999999</v>
      </c>
      <c r="P322" s="12">
        <v>0.93</v>
      </c>
      <c r="Q322" s="12" t="s">
        <v>7215</v>
      </c>
      <c r="R322" s="12">
        <v>5.5E-2</v>
      </c>
      <c r="S322" s="12">
        <v>5.0833999999999997E-2</v>
      </c>
      <c r="T322" s="12">
        <v>59373</v>
      </c>
      <c r="U322" s="12">
        <v>0.10199999999999999</v>
      </c>
      <c r="V322" s="12" t="s">
        <v>7661</v>
      </c>
      <c r="W322" s="12" t="s">
        <v>11</v>
      </c>
      <c r="X322" s="12">
        <v>8</v>
      </c>
      <c r="Y322" s="12" t="s">
        <v>8052</v>
      </c>
      <c r="Z322" s="12" t="s">
        <v>8052</v>
      </c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</row>
    <row r="323" spans="1:56" s="12" customFormat="1" x14ac:dyDescent="0.2">
      <c r="A323" s="12" t="s">
        <v>5714</v>
      </c>
      <c r="B323" s="12" t="s">
        <v>1615</v>
      </c>
      <c r="C323" s="12" t="s">
        <v>13</v>
      </c>
      <c r="D323" s="12" t="s">
        <v>7210</v>
      </c>
      <c r="E323" s="12" t="s">
        <v>8124</v>
      </c>
      <c r="F323" s="12" t="s">
        <v>7160</v>
      </c>
      <c r="G323" s="12" t="s">
        <v>7649</v>
      </c>
      <c r="H323" s="12">
        <v>74</v>
      </c>
      <c r="I323" s="12" t="s">
        <v>7647</v>
      </c>
      <c r="J323" s="80">
        <v>24.666666666666664</v>
      </c>
      <c r="K323" s="12" t="s">
        <v>7161</v>
      </c>
      <c r="L323" s="12" t="s">
        <v>21</v>
      </c>
      <c r="M323" s="12" t="s">
        <v>8110</v>
      </c>
      <c r="N323" s="12">
        <v>11.1</v>
      </c>
      <c r="O323" s="12">
        <v>0.246</v>
      </c>
      <c r="P323" s="12">
        <v>0.95199999999999996</v>
      </c>
      <c r="Q323" s="12" t="s">
        <v>7368</v>
      </c>
      <c r="R323" s="12">
        <v>4.8000000000000001E-2</v>
      </c>
      <c r="S323" s="12">
        <v>4.5363000000000001E-2</v>
      </c>
      <c r="T323" s="12">
        <v>53405</v>
      </c>
      <c r="U323" s="12">
        <v>0.1</v>
      </c>
      <c r="V323" s="12" t="s">
        <v>7661</v>
      </c>
      <c r="W323" s="12" t="s">
        <v>11</v>
      </c>
      <c r="X323" s="12">
        <v>3</v>
      </c>
      <c r="Y323" s="12" t="s">
        <v>8052</v>
      </c>
      <c r="Z323" s="12" t="s">
        <v>8052</v>
      </c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</row>
    <row r="324" spans="1:56" s="12" customFormat="1" x14ac:dyDescent="0.2">
      <c r="A324" s="12" t="s">
        <v>5470</v>
      </c>
      <c r="B324" s="12" t="s">
        <v>1620</v>
      </c>
      <c r="C324" s="12" t="s">
        <v>13</v>
      </c>
      <c r="D324" s="12" t="s">
        <v>7210</v>
      </c>
      <c r="E324" s="12" t="s">
        <v>8124</v>
      </c>
      <c r="F324" s="12" t="s">
        <v>7160</v>
      </c>
      <c r="G324" s="12" t="s">
        <v>7649</v>
      </c>
      <c r="H324" s="12">
        <v>78</v>
      </c>
      <c r="I324" s="12" t="s">
        <v>7647</v>
      </c>
      <c r="J324" s="80">
        <v>26</v>
      </c>
      <c r="K324" s="12" t="s">
        <v>7161</v>
      </c>
      <c r="L324" s="12" t="s">
        <v>21</v>
      </c>
      <c r="M324" s="12" t="s">
        <v>8110</v>
      </c>
      <c r="N324" s="12">
        <v>12.9</v>
      </c>
      <c r="O324" s="12">
        <v>0.32700000000000001</v>
      </c>
      <c r="P324" s="12">
        <v>0.98</v>
      </c>
      <c r="Q324" s="12" t="s">
        <v>7334</v>
      </c>
      <c r="R324" s="12">
        <v>3.5999999999999997E-2</v>
      </c>
      <c r="S324" s="12">
        <v>2.6148999999999999E-2</v>
      </c>
      <c r="T324" s="12">
        <v>31285</v>
      </c>
      <c r="U324" s="12">
        <v>7.8E-2</v>
      </c>
      <c r="V324" s="12" t="s">
        <v>7661</v>
      </c>
      <c r="W324" s="12" t="s">
        <v>25</v>
      </c>
      <c r="X324" s="12">
        <v>2</v>
      </c>
      <c r="Y324" s="12" t="s">
        <v>6639</v>
      </c>
      <c r="Z324" s="12" t="s">
        <v>6639</v>
      </c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</row>
    <row r="325" spans="1:56" s="12" customFormat="1" x14ac:dyDescent="0.2">
      <c r="A325" s="12" t="s">
        <v>5480</v>
      </c>
      <c r="B325" s="12" t="s">
        <v>1644</v>
      </c>
      <c r="C325" s="12" t="s">
        <v>13</v>
      </c>
      <c r="D325" s="12" t="s">
        <v>7210</v>
      </c>
      <c r="E325" s="12" t="s">
        <v>8124</v>
      </c>
      <c r="F325" s="12" t="s">
        <v>7160</v>
      </c>
      <c r="G325" s="12" t="s">
        <v>7649</v>
      </c>
      <c r="H325" s="12">
        <v>72</v>
      </c>
      <c r="I325" s="12" t="s">
        <v>7646</v>
      </c>
      <c r="J325" s="80">
        <v>24</v>
      </c>
      <c r="K325" s="12" t="s">
        <v>7161</v>
      </c>
      <c r="L325" s="12" t="s">
        <v>21</v>
      </c>
      <c r="M325" s="12" t="s">
        <v>8110</v>
      </c>
      <c r="N325" s="12">
        <v>18.399999999999999</v>
      </c>
      <c r="O325" s="12">
        <v>0.20100000000000001</v>
      </c>
      <c r="P325" s="12">
        <v>0.69699999999999995</v>
      </c>
      <c r="Q325" s="12" t="s">
        <v>7216</v>
      </c>
      <c r="R325" s="12">
        <v>3.5000000000000003E-2</v>
      </c>
      <c r="S325" s="12">
        <v>6.5000000000000002E-2</v>
      </c>
      <c r="T325" s="12">
        <v>73711</v>
      </c>
      <c r="U325" s="12">
        <v>7.5999999999999998E-2</v>
      </c>
      <c r="V325" s="12" t="s">
        <v>7661</v>
      </c>
      <c r="W325" s="12" t="s">
        <v>11</v>
      </c>
      <c r="X325" s="12">
        <v>19</v>
      </c>
      <c r="Y325" s="12" t="s">
        <v>8052</v>
      </c>
      <c r="Z325" s="12" t="s">
        <v>8052</v>
      </c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</row>
    <row r="326" spans="1:56" s="12" customFormat="1" x14ac:dyDescent="0.2">
      <c r="A326" s="12" t="s">
        <v>5481</v>
      </c>
      <c r="B326" s="12" t="s">
        <v>1644</v>
      </c>
      <c r="C326" s="12" t="s">
        <v>13</v>
      </c>
      <c r="D326" s="12" t="s">
        <v>7210</v>
      </c>
      <c r="E326" s="12" t="s">
        <v>8124</v>
      </c>
      <c r="F326" s="12" t="s">
        <v>7160</v>
      </c>
      <c r="G326" s="12" t="s">
        <v>7649</v>
      </c>
      <c r="H326" s="12">
        <v>72</v>
      </c>
      <c r="I326" s="12" t="s">
        <v>7647</v>
      </c>
      <c r="J326" s="80">
        <v>24</v>
      </c>
      <c r="K326" s="12" t="s">
        <v>7161</v>
      </c>
      <c r="L326" s="12" t="s">
        <v>21</v>
      </c>
      <c r="M326" s="12" t="s">
        <v>8110</v>
      </c>
      <c r="N326" s="12">
        <v>32.200000000000003</v>
      </c>
      <c r="O326" s="12">
        <v>0.20399999999999999</v>
      </c>
      <c r="P326" s="12">
        <v>0.81699999999999995</v>
      </c>
      <c r="Q326" s="12" t="s">
        <v>7369</v>
      </c>
      <c r="R326" s="12">
        <v>7.0000000000000007E-2</v>
      </c>
      <c r="S326" s="12">
        <v>0.13985300000000001</v>
      </c>
      <c r="T326" s="12">
        <v>152574</v>
      </c>
      <c r="U326" s="12">
        <v>8.5000000000000006E-2</v>
      </c>
      <c r="V326" s="12" t="s">
        <v>7661</v>
      </c>
      <c r="W326" s="12" t="s">
        <v>11</v>
      </c>
      <c r="X326" s="12">
        <v>37</v>
      </c>
      <c r="Y326" s="12" t="s">
        <v>8052</v>
      </c>
      <c r="Z326" s="12" t="s">
        <v>8052</v>
      </c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</row>
    <row r="327" spans="1:56" s="12" customFormat="1" x14ac:dyDescent="0.2">
      <c r="A327" s="12" t="s">
        <v>5475</v>
      </c>
      <c r="B327" s="12" t="s">
        <v>1607</v>
      </c>
      <c r="C327" s="12" t="s">
        <v>13</v>
      </c>
      <c r="D327" s="12" t="s">
        <v>7210</v>
      </c>
      <c r="E327" s="12" t="s">
        <v>8124</v>
      </c>
      <c r="F327" s="12" t="s">
        <v>7160</v>
      </c>
      <c r="G327" s="12" t="s">
        <v>7649</v>
      </c>
      <c r="H327" s="12">
        <v>77</v>
      </c>
      <c r="I327" s="12" t="s">
        <v>7646</v>
      </c>
      <c r="J327" s="80">
        <v>25.666666666666664</v>
      </c>
      <c r="K327" s="12" t="s">
        <v>7161</v>
      </c>
      <c r="L327" s="12" t="s">
        <v>21</v>
      </c>
      <c r="M327" s="12" t="s">
        <v>8110</v>
      </c>
      <c r="N327" s="12">
        <v>283</v>
      </c>
      <c r="O327" s="12">
        <v>0.14599999999999999</v>
      </c>
      <c r="P327" s="12">
        <v>0.96899999999999997</v>
      </c>
      <c r="Q327" s="12" t="s">
        <v>7182</v>
      </c>
      <c r="R327" s="12">
        <v>5.2999999999999999E-2</v>
      </c>
      <c r="S327" s="12">
        <v>1.657</v>
      </c>
      <c r="T327" s="12">
        <v>660779</v>
      </c>
      <c r="U327" s="12">
        <v>0.127</v>
      </c>
      <c r="V327" s="12" t="s">
        <v>7661</v>
      </c>
      <c r="W327" s="12" t="s">
        <v>11</v>
      </c>
      <c r="X327" s="12">
        <v>2477</v>
      </c>
      <c r="Y327" s="12">
        <v>6.3550000000000004E-3</v>
      </c>
      <c r="Z327" s="12">
        <v>3.1414130179562276</v>
      </c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</row>
    <row r="328" spans="1:56" s="12" customFormat="1" x14ac:dyDescent="0.2">
      <c r="A328" s="12" t="s">
        <v>5476</v>
      </c>
      <c r="B328" s="12" t="s">
        <v>1607</v>
      </c>
      <c r="C328" s="12" t="s">
        <v>13</v>
      </c>
      <c r="D328" s="12" t="s">
        <v>7210</v>
      </c>
      <c r="E328" s="12" t="s">
        <v>8124</v>
      </c>
      <c r="F328" s="12" t="s">
        <v>7160</v>
      </c>
      <c r="G328" s="12" t="s">
        <v>7649</v>
      </c>
      <c r="H328" s="12">
        <v>77</v>
      </c>
      <c r="I328" s="12" t="s">
        <v>7647</v>
      </c>
      <c r="J328" s="80">
        <v>25.666666666666664</v>
      </c>
      <c r="K328" s="12" t="s">
        <v>7161</v>
      </c>
      <c r="L328" s="12" t="s">
        <v>21</v>
      </c>
      <c r="M328" s="12" t="s">
        <v>8110</v>
      </c>
      <c r="N328" s="12">
        <v>70.599999999999994</v>
      </c>
      <c r="O328" s="12">
        <v>0.127</v>
      </c>
      <c r="P328" s="12">
        <v>0.96899999999999997</v>
      </c>
      <c r="Q328" s="12" t="s">
        <v>7344</v>
      </c>
      <c r="R328" s="12">
        <v>9.9000000000000005E-2</v>
      </c>
      <c r="S328" s="12">
        <v>1.5904849999999999</v>
      </c>
      <c r="T328" s="12">
        <v>716527</v>
      </c>
      <c r="U328" s="12">
        <v>9.8000000000000004E-2</v>
      </c>
      <c r="V328" s="12" t="s">
        <v>7661</v>
      </c>
      <c r="W328" s="12" t="s">
        <v>11</v>
      </c>
      <c r="X328" s="12">
        <v>2422</v>
      </c>
      <c r="Y328" s="12">
        <v>5.5279999999999999E-3</v>
      </c>
      <c r="Z328" s="12">
        <v>2.822000577877108</v>
      </c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</row>
    <row r="329" spans="1:56" s="12" customFormat="1" x14ac:dyDescent="0.2">
      <c r="A329" s="12" t="s">
        <v>5477</v>
      </c>
      <c r="B329" s="12" t="s">
        <v>1607</v>
      </c>
      <c r="C329" s="12" t="s">
        <v>13</v>
      </c>
      <c r="D329" s="12" t="s">
        <v>7210</v>
      </c>
      <c r="E329" s="12" t="s">
        <v>8124</v>
      </c>
      <c r="F329" s="12" t="s">
        <v>7160</v>
      </c>
      <c r="G329" s="12" t="s">
        <v>7649</v>
      </c>
      <c r="H329" s="12">
        <v>77</v>
      </c>
      <c r="I329" s="12" t="s">
        <v>7647</v>
      </c>
      <c r="J329" s="80">
        <v>25.666666666666664</v>
      </c>
      <c r="K329" s="12" t="s">
        <v>7161</v>
      </c>
      <c r="L329" s="12" t="s">
        <v>21</v>
      </c>
      <c r="M329" s="12" t="s">
        <v>8110</v>
      </c>
      <c r="N329" s="12">
        <v>59.5</v>
      </c>
      <c r="O329" s="12">
        <v>0.13200000000000001</v>
      </c>
      <c r="P329" s="12">
        <v>0.96499999999999997</v>
      </c>
      <c r="Q329" s="12" t="s">
        <v>7383</v>
      </c>
      <c r="R329" s="12">
        <v>7.6999999999999999E-2</v>
      </c>
      <c r="S329" s="12">
        <v>1.768092</v>
      </c>
      <c r="T329" s="12">
        <v>767809</v>
      </c>
      <c r="U329" s="12">
        <v>0.105</v>
      </c>
      <c r="V329" s="12" t="s">
        <v>7661</v>
      </c>
      <c r="W329" s="12" t="s">
        <v>11</v>
      </c>
      <c r="X329" s="12">
        <v>2781</v>
      </c>
      <c r="Y329" s="12">
        <v>6.581E-3</v>
      </c>
      <c r="Z329" s="12">
        <v>3.4049682216763144</v>
      </c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</row>
    <row r="330" spans="1:56" s="12" customFormat="1" x14ac:dyDescent="0.2">
      <c r="A330" s="12" t="s">
        <v>5421</v>
      </c>
      <c r="B330" s="12" t="s">
        <v>5420</v>
      </c>
      <c r="C330" s="12" t="s">
        <v>13</v>
      </c>
      <c r="D330" s="12" t="s">
        <v>7210</v>
      </c>
      <c r="E330" s="12" t="s">
        <v>8124</v>
      </c>
      <c r="F330" s="12" t="s">
        <v>7160</v>
      </c>
      <c r="G330" s="12" t="s">
        <v>7649</v>
      </c>
      <c r="H330" s="12">
        <v>66</v>
      </c>
      <c r="I330" s="12" t="s">
        <v>7646</v>
      </c>
      <c r="J330" s="80">
        <v>22</v>
      </c>
      <c r="K330" s="12" t="s">
        <v>7161</v>
      </c>
      <c r="L330" s="12" t="s">
        <v>21</v>
      </c>
      <c r="M330" s="12" t="s">
        <v>8110</v>
      </c>
      <c r="N330" s="12">
        <v>8.99</v>
      </c>
      <c r="O330" s="12">
        <v>0.11899999999999999</v>
      </c>
      <c r="P330" s="12">
        <v>0.81699999999999995</v>
      </c>
      <c r="Q330" s="12" t="s">
        <v>7288</v>
      </c>
      <c r="R330" s="12">
        <v>1.1000000000000001E-3</v>
      </c>
      <c r="S330" s="12">
        <v>2.7E-2</v>
      </c>
      <c r="T330" s="12">
        <v>31808</v>
      </c>
      <c r="U330" s="12">
        <v>0.04</v>
      </c>
      <c r="V330" s="12" t="s">
        <v>7661</v>
      </c>
      <c r="W330" s="12" t="s">
        <v>25</v>
      </c>
      <c r="X330" s="12">
        <v>5</v>
      </c>
      <c r="Y330" s="12" t="s">
        <v>6639</v>
      </c>
      <c r="Z330" s="12" t="s">
        <v>6639</v>
      </c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</row>
    <row r="331" spans="1:56" s="12" customFormat="1" x14ac:dyDescent="0.2">
      <c r="A331" s="12" t="s">
        <v>5416</v>
      </c>
      <c r="B331" s="12" t="s">
        <v>5414</v>
      </c>
      <c r="C331" s="12" t="s">
        <v>13</v>
      </c>
      <c r="D331" s="12" t="s">
        <v>7210</v>
      </c>
      <c r="E331" s="12" t="s">
        <v>8124</v>
      </c>
      <c r="F331" s="12" t="s">
        <v>7160</v>
      </c>
      <c r="G331" s="12" t="s">
        <v>7649</v>
      </c>
      <c r="H331" s="12">
        <v>75</v>
      </c>
      <c r="I331" s="12" t="s">
        <v>7646</v>
      </c>
      <c r="J331" s="80">
        <v>25</v>
      </c>
      <c r="K331" s="12" t="s">
        <v>7161</v>
      </c>
      <c r="L331" s="12" t="s">
        <v>21</v>
      </c>
      <c r="M331" s="12" t="s">
        <v>8110</v>
      </c>
      <c r="N331" s="12">
        <v>1160</v>
      </c>
      <c r="O331" s="12">
        <v>0.06</v>
      </c>
      <c r="P331" s="12">
        <v>0.997</v>
      </c>
      <c r="Q331" s="12" t="s">
        <v>7235</v>
      </c>
      <c r="R331" s="12">
        <v>0.873</v>
      </c>
      <c r="S331" s="12">
        <v>5.3460000000000001</v>
      </c>
      <c r="T331" s="12">
        <v>806210</v>
      </c>
      <c r="U331" s="12">
        <v>5.2999999999999999E-2</v>
      </c>
      <c r="V331" s="12" t="s">
        <v>7661</v>
      </c>
      <c r="W331" s="12" t="s">
        <v>25</v>
      </c>
      <c r="X331" s="12">
        <v>8860</v>
      </c>
      <c r="Y331" s="12" t="s">
        <v>6639</v>
      </c>
      <c r="Z331" s="12" t="s">
        <v>6639</v>
      </c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</row>
    <row r="332" spans="1:56" s="12" customFormat="1" x14ac:dyDescent="0.2">
      <c r="A332" s="12" t="s">
        <v>5561</v>
      </c>
      <c r="B332" s="12" t="s">
        <v>3948</v>
      </c>
      <c r="C332" s="12" t="s">
        <v>8127</v>
      </c>
      <c r="D332" s="12" t="s">
        <v>7159</v>
      </c>
      <c r="E332" s="12" t="s">
        <v>8031</v>
      </c>
      <c r="F332" s="12" t="s">
        <v>7160</v>
      </c>
      <c r="G332" s="12" t="s">
        <v>7649</v>
      </c>
      <c r="H332" s="12">
        <v>79</v>
      </c>
      <c r="I332" s="12" t="s">
        <v>7646</v>
      </c>
      <c r="J332" s="80">
        <v>26.333333333333332</v>
      </c>
      <c r="K332" s="12" t="s">
        <v>7161</v>
      </c>
      <c r="L332" s="12" t="s">
        <v>21</v>
      </c>
      <c r="M332" s="12" t="s">
        <v>8110</v>
      </c>
      <c r="N332" s="12">
        <v>15</v>
      </c>
      <c r="O332" s="12">
        <v>0.161</v>
      </c>
      <c r="P332" s="12">
        <v>0.98099999999999998</v>
      </c>
      <c r="Q332" s="12" t="s">
        <v>7162</v>
      </c>
      <c r="R332" s="12">
        <v>5.7999999999999996E-3</v>
      </c>
      <c r="S332" s="12">
        <v>2.1000000000000001E-2</v>
      </c>
      <c r="T332" s="12" t="s">
        <v>17</v>
      </c>
      <c r="U332" s="12">
        <v>0.128</v>
      </c>
      <c r="V332" s="12" t="s">
        <v>7661</v>
      </c>
      <c r="W332" s="12" t="s">
        <v>11</v>
      </c>
      <c r="X332" s="12">
        <v>7</v>
      </c>
      <c r="Y332" s="12" t="s">
        <v>8052</v>
      </c>
      <c r="Z332" s="12" t="s">
        <v>8052</v>
      </c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</row>
    <row r="333" spans="1:56" s="12" customFormat="1" x14ac:dyDescent="0.2">
      <c r="A333" s="12" t="s">
        <v>5562</v>
      </c>
      <c r="B333" s="12" t="s">
        <v>3948</v>
      </c>
      <c r="C333" s="12" t="s">
        <v>8127</v>
      </c>
      <c r="D333" s="12" t="s">
        <v>7159</v>
      </c>
      <c r="E333" s="12" t="s">
        <v>8031</v>
      </c>
      <c r="F333" s="12" t="s">
        <v>7160</v>
      </c>
      <c r="G333" s="12" t="s">
        <v>7649</v>
      </c>
      <c r="H333" s="12">
        <v>79</v>
      </c>
      <c r="I333" s="12" t="s">
        <v>7647</v>
      </c>
      <c r="J333" s="80">
        <v>26.333333333333332</v>
      </c>
      <c r="K333" s="12" t="s">
        <v>7161</v>
      </c>
      <c r="L333" s="12" t="s">
        <v>21</v>
      </c>
      <c r="M333" s="12" t="s">
        <v>8110</v>
      </c>
      <c r="N333" s="12">
        <v>28.5</v>
      </c>
      <c r="O333" s="12">
        <v>0.17100000000000001</v>
      </c>
      <c r="P333" s="12">
        <v>0.97699999999999998</v>
      </c>
      <c r="Q333" s="12" t="s">
        <v>7163</v>
      </c>
      <c r="R333" s="12">
        <v>7.4000000000000003E-3</v>
      </c>
      <c r="S333" s="12">
        <v>1.6906999999999998E-2</v>
      </c>
      <c r="T333" s="12">
        <v>20443</v>
      </c>
      <c r="U333" s="12">
        <v>0.115</v>
      </c>
      <c r="V333" s="12" t="s">
        <v>7661</v>
      </c>
      <c r="W333" s="12" t="s">
        <v>11</v>
      </c>
      <c r="X333" s="12" t="s">
        <v>17</v>
      </c>
      <c r="Y333" s="12" t="s">
        <v>17</v>
      </c>
      <c r="Z333" s="12" t="s">
        <v>17</v>
      </c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P333" s="12" t="s">
        <v>3244</v>
      </c>
      <c r="AQ333" s="12" t="s">
        <v>8047</v>
      </c>
      <c r="AR333" s="12" t="s">
        <v>8051</v>
      </c>
      <c r="AS333" s="12">
        <v>23.69</v>
      </c>
      <c r="AT333" s="12">
        <v>0.14249999999999999</v>
      </c>
      <c r="AU333" s="12" t="s">
        <v>4036</v>
      </c>
      <c r="AV333" s="12">
        <v>0.98393699999999995</v>
      </c>
      <c r="AW333" s="12">
        <v>0.963754</v>
      </c>
      <c r="AX333" s="12">
        <v>0.994197</v>
      </c>
      <c r="AY333" s="12">
        <v>3703</v>
      </c>
      <c r="AZ333" s="12">
        <v>2400</v>
      </c>
      <c r="BA333" s="12">
        <v>0.1575</v>
      </c>
      <c r="BB333" s="12">
        <v>100</v>
      </c>
      <c r="BC333" s="12">
        <v>-1.4142857142857099</v>
      </c>
      <c r="BD333" s="12">
        <v>-2.97E-3</v>
      </c>
    </row>
    <row r="334" spans="1:56" s="12" customFormat="1" x14ac:dyDescent="0.2">
      <c r="A334" s="12" t="s">
        <v>5563</v>
      </c>
      <c r="B334" s="12" t="s">
        <v>4056</v>
      </c>
      <c r="C334" s="12" t="s">
        <v>143</v>
      </c>
      <c r="D334" s="12" t="s">
        <v>7159</v>
      </c>
      <c r="E334" s="12" t="s">
        <v>8031</v>
      </c>
      <c r="F334" s="12" t="s">
        <v>7160</v>
      </c>
      <c r="G334" s="12" t="s">
        <v>7649</v>
      </c>
      <c r="H334" s="12">
        <v>78</v>
      </c>
      <c r="I334" s="12" t="s">
        <v>7646</v>
      </c>
      <c r="J334" s="80">
        <v>26</v>
      </c>
      <c r="K334" s="12" t="s">
        <v>7161</v>
      </c>
      <c r="L334" s="12" t="s">
        <v>21</v>
      </c>
      <c r="M334" s="12" t="s">
        <v>8110</v>
      </c>
      <c r="N334" s="12">
        <v>2.37</v>
      </c>
      <c r="O334" s="12">
        <v>0.184</v>
      </c>
      <c r="P334" s="12">
        <v>0.92600000000000005</v>
      </c>
      <c r="Q334" s="12" t="s">
        <v>7183</v>
      </c>
      <c r="R334" s="12">
        <v>2.3999999999999998E-3</v>
      </c>
      <c r="S334" s="12">
        <v>8.9999999999999993E-3</v>
      </c>
      <c r="T334" s="12">
        <v>10893</v>
      </c>
      <c r="U334" s="12" t="s">
        <v>17</v>
      </c>
      <c r="V334" s="12" t="s">
        <v>7661</v>
      </c>
      <c r="W334" s="12" t="s">
        <v>11</v>
      </c>
      <c r="X334" s="12">
        <v>3</v>
      </c>
      <c r="Y334" s="12" t="s">
        <v>8052</v>
      </c>
      <c r="Z334" s="12" t="s">
        <v>8052</v>
      </c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</row>
    <row r="335" spans="1:56" s="12" customFormat="1" x14ac:dyDescent="0.2">
      <c r="A335" s="12" t="s">
        <v>5564</v>
      </c>
      <c r="B335" s="12" t="s">
        <v>4056</v>
      </c>
      <c r="C335" s="12" t="s">
        <v>143</v>
      </c>
      <c r="D335" s="12" t="s">
        <v>7159</v>
      </c>
      <c r="E335" s="12" t="s">
        <v>8031</v>
      </c>
      <c r="F335" s="12" t="s">
        <v>7160</v>
      </c>
      <c r="G335" s="12" t="s">
        <v>7649</v>
      </c>
      <c r="H335" s="12">
        <v>78</v>
      </c>
      <c r="I335" s="12" t="s">
        <v>7647</v>
      </c>
      <c r="J335" s="80">
        <v>26</v>
      </c>
      <c r="K335" s="12" t="s">
        <v>7161</v>
      </c>
      <c r="L335" s="12" t="s">
        <v>21</v>
      </c>
      <c r="M335" s="12" t="s">
        <v>8110</v>
      </c>
      <c r="N335" s="12">
        <v>5.34</v>
      </c>
      <c r="O335" s="12">
        <v>0.191</v>
      </c>
      <c r="P335" s="12">
        <v>0.91300000000000003</v>
      </c>
      <c r="Q335" s="12" t="s">
        <v>7345</v>
      </c>
      <c r="R335" s="12">
        <v>3.8999999999999998E-3</v>
      </c>
      <c r="S335" s="12">
        <v>1.3488999999999999E-2</v>
      </c>
      <c r="T335" s="12">
        <v>16385</v>
      </c>
      <c r="U335" s="12">
        <v>0.11899999999999999</v>
      </c>
      <c r="V335" s="12" t="s">
        <v>7661</v>
      </c>
      <c r="W335" s="12" t="s">
        <v>11</v>
      </c>
      <c r="X335" s="12">
        <v>2</v>
      </c>
      <c r="Y335" s="12" t="s">
        <v>8052</v>
      </c>
      <c r="Z335" s="12" t="s">
        <v>8052</v>
      </c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</row>
    <row r="336" spans="1:56" s="12" customFormat="1" x14ac:dyDescent="0.2">
      <c r="A336" s="12" t="s">
        <v>5565</v>
      </c>
      <c r="B336" s="12" t="s">
        <v>4056</v>
      </c>
      <c r="C336" s="12" t="s">
        <v>143</v>
      </c>
      <c r="D336" s="12" t="s">
        <v>7159</v>
      </c>
      <c r="E336" s="12" t="s">
        <v>8031</v>
      </c>
      <c r="F336" s="12" t="s">
        <v>7160</v>
      </c>
      <c r="G336" s="12" t="s">
        <v>7649</v>
      </c>
      <c r="H336" s="12">
        <v>78</v>
      </c>
      <c r="I336" s="12" t="s">
        <v>7647</v>
      </c>
      <c r="J336" s="80">
        <v>26</v>
      </c>
      <c r="K336" s="12" t="s">
        <v>7161</v>
      </c>
      <c r="L336" s="12" t="s">
        <v>21</v>
      </c>
      <c r="M336" s="12" t="s">
        <v>8110</v>
      </c>
      <c r="N336" s="12">
        <v>5.55</v>
      </c>
      <c r="O336" s="12">
        <v>0.17699999999999999</v>
      </c>
      <c r="P336" s="12">
        <v>0.96899999999999997</v>
      </c>
      <c r="Q336" s="12" t="s">
        <v>7384</v>
      </c>
      <c r="R336" s="12">
        <v>4.1999999999999997E-3</v>
      </c>
      <c r="S336" s="12">
        <v>1.7011999999999999E-2</v>
      </c>
      <c r="T336" s="12">
        <v>20561</v>
      </c>
      <c r="U336" s="12">
        <v>0.11899999999999999</v>
      </c>
      <c r="V336" s="12" t="s">
        <v>7661</v>
      </c>
      <c r="W336" s="12" t="s">
        <v>11</v>
      </c>
      <c r="X336" s="12" t="s">
        <v>17</v>
      </c>
      <c r="Y336" s="12" t="s">
        <v>17</v>
      </c>
      <c r="Z336" s="12" t="s">
        <v>17</v>
      </c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</row>
    <row r="337" spans="1:39" s="12" customFormat="1" x14ac:dyDescent="0.2">
      <c r="A337" s="12" t="s">
        <v>5558</v>
      </c>
      <c r="B337" s="12" t="s">
        <v>3945</v>
      </c>
      <c r="C337" s="12" t="s">
        <v>143</v>
      </c>
      <c r="D337" s="12" t="s">
        <v>7159</v>
      </c>
      <c r="E337" s="12" t="s">
        <v>8031</v>
      </c>
      <c r="F337" s="12" t="s">
        <v>7160</v>
      </c>
      <c r="G337" s="12" t="s">
        <v>7649</v>
      </c>
      <c r="H337" s="12">
        <v>77</v>
      </c>
      <c r="I337" s="12" t="s">
        <v>7646</v>
      </c>
      <c r="J337" s="80">
        <v>25.666666666666664</v>
      </c>
      <c r="K337" s="12" t="s">
        <v>7161</v>
      </c>
      <c r="L337" s="12" t="s">
        <v>21</v>
      </c>
      <c r="M337" s="12" t="s">
        <v>8110</v>
      </c>
      <c r="N337" s="12">
        <v>78.599999999999994</v>
      </c>
      <c r="O337" s="12">
        <v>0.125</v>
      </c>
      <c r="P337" s="12">
        <v>0.99299999999999999</v>
      </c>
      <c r="Q337" s="12" t="s">
        <v>7184</v>
      </c>
      <c r="R337" s="12">
        <v>4.3E-3</v>
      </c>
      <c r="S337" s="12">
        <v>0.13400000000000001</v>
      </c>
      <c r="T337" s="12">
        <v>141530</v>
      </c>
      <c r="U337" s="12">
        <v>0.105</v>
      </c>
      <c r="V337" s="12" t="s">
        <v>7661</v>
      </c>
      <c r="W337" s="12" t="s">
        <v>25</v>
      </c>
      <c r="X337" s="12">
        <v>181</v>
      </c>
      <c r="Y337" s="12" t="s">
        <v>6639</v>
      </c>
      <c r="Z337" s="12" t="s">
        <v>6639</v>
      </c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</row>
    <row r="338" spans="1:39" s="12" customFormat="1" x14ac:dyDescent="0.2">
      <c r="A338" s="12" t="s">
        <v>5559</v>
      </c>
      <c r="B338" s="12" t="s">
        <v>3945</v>
      </c>
      <c r="C338" s="12" t="s">
        <v>143</v>
      </c>
      <c r="D338" s="12" t="s">
        <v>7159</v>
      </c>
      <c r="E338" s="12" t="s">
        <v>8031</v>
      </c>
      <c r="F338" s="12" t="s">
        <v>7160</v>
      </c>
      <c r="G338" s="12" t="s">
        <v>7649</v>
      </c>
      <c r="H338" s="12">
        <v>77</v>
      </c>
      <c r="I338" s="12" t="s">
        <v>7647</v>
      </c>
      <c r="J338" s="80">
        <v>25.666666666666664</v>
      </c>
      <c r="K338" s="12" t="s">
        <v>7161</v>
      </c>
      <c r="L338" s="12" t="s">
        <v>21</v>
      </c>
      <c r="M338" s="12" t="s">
        <v>8110</v>
      </c>
      <c r="N338" s="12">
        <v>85.6</v>
      </c>
      <c r="O338" s="12">
        <v>0.129</v>
      </c>
      <c r="P338" s="12">
        <v>0.99299999999999999</v>
      </c>
      <c r="Q338" s="12" t="s">
        <v>7184</v>
      </c>
      <c r="R338" s="12">
        <v>5.3E-3</v>
      </c>
      <c r="S338" s="12">
        <v>0.169686</v>
      </c>
      <c r="T338" s="12">
        <v>178806</v>
      </c>
      <c r="U338" s="12">
        <v>8.7999999999999995E-2</v>
      </c>
      <c r="V338" s="12" t="s">
        <v>7661</v>
      </c>
      <c r="W338" s="12" t="s">
        <v>25</v>
      </c>
      <c r="X338" s="12">
        <v>238</v>
      </c>
      <c r="Y338" s="12" t="s">
        <v>6639</v>
      </c>
      <c r="Z338" s="12" t="s">
        <v>6639</v>
      </c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</row>
    <row r="339" spans="1:39" s="12" customFormat="1" x14ac:dyDescent="0.2">
      <c r="A339" s="12" t="s">
        <v>5560</v>
      </c>
      <c r="B339" s="12" t="s">
        <v>3945</v>
      </c>
      <c r="C339" s="12" t="s">
        <v>143</v>
      </c>
      <c r="D339" s="12" t="s">
        <v>7159</v>
      </c>
      <c r="E339" s="12" t="s">
        <v>8031</v>
      </c>
      <c r="F339" s="12" t="s">
        <v>7160</v>
      </c>
      <c r="G339" s="12" t="s">
        <v>7649</v>
      </c>
      <c r="H339" s="12">
        <v>77</v>
      </c>
      <c r="I339" s="12" t="s">
        <v>7647</v>
      </c>
      <c r="J339" s="80">
        <v>25.666666666666664</v>
      </c>
      <c r="K339" s="12" t="s">
        <v>7161</v>
      </c>
      <c r="L339" s="12" t="s">
        <v>21</v>
      </c>
      <c r="M339" s="12" t="s">
        <v>8110</v>
      </c>
      <c r="N339" s="12">
        <v>74.400000000000006</v>
      </c>
      <c r="O339" s="12">
        <v>0.13700000000000001</v>
      </c>
      <c r="P339" s="12">
        <v>0.996</v>
      </c>
      <c r="Q339" s="12" t="s">
        <v>7202</v>
      </c>
      <c r="R339" s="12">
        <v>5.8999999999999999E-3</v>
      </c>
      <c r="S339" s="12">
        <v>0.15126400000000001</v>
      </c>
      <c r="T339" s="12">
        <v>160532</v>
      </c>
      <c r="U339" s="12">
        <v>9.2999999999999999E-2</v>
      </c>
      <c r="V339" s="12" t="s">
        <v>7661</v>
      </c>
      <c r="W339" s="12" t="s">
        <v>25</v>
      </c>
      <c r="X339" s="12">
        <v>229</v>
      </c>
      <c r="Y339" s="12" t="s">
        <v>6639</v>
      </c>
      <c r="Z339" s="12" t="s">
        <v>6639</v>
      </c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</row>
    <row r="340" spans="1:39" s="12" customFormat="1" x14ac:dyDescent="0.2">
      <c r="A340" s="12" t="s">
        <v>91</v>
      </c>
      <c r="B340" s="12" t="s">
        <v>89</v>
      </c>
      <c r="C340" s="12" t="s">
        <v>143</v>
      </c>
      <c r="D340" s="12" t="s">
        <v>7159</v>
      </c>
      <c r="E340" s="12" t="s">
        <v>8031</v>
      </c>
      <c r="F340" s="12" t="s">
        <v>7160</v>
      </c>
      <c r="G340" s="12" t="s">
        <v>7649</v>
      </c>
      <c r="H340" s="12">
        <v>83</v>
      </c>
      <c r="I340" s="12" t="s">
        <v>7646</v>
      </c>
      <c r="J340" s="80">
        <v>27.666666666666664</v>
      </c>
      <c r="K340" s="12" t="s">
        <v>7161</v>
      </c>
      <c r="L340" s="12" t="s">
        <v>21</v>
      </c>
      <c r="M340" s="12" t="s">
        <v>8110</v>
      </c>
      <c r="N340" s="12">
        <v>1580</v>
      </c>
      <c r="O340" s="12">
        <v>2.4E-2</v>
      </c>
      <c r="P340" s="12">
        <v>0.99099999999999999</v>
      </c>
      <c r="Q340" s="12" t="s">
        <v>7234</v>
      </c>
      <c r="R340" s="12">
        <v>0.41499999999999998</v>
      </c>
      <c r="S340" s="12">
        <v>4.7910000000000004</v>
      </c>
      <c r="T340" s="12">
        <v>864090</v>
      </c>
      <c r="U340" s="12">
        <v>1.2999999999999999E-2</v>
      </c>
      <c r="V340" s="12" t="s">
        <v>7661</v>
      </c>
      <c r="W340" s="12" t="s">
        <v>25</v>
      </c>
      <c r="X340" s="12">
        <v>10092</v>
      </c>
      <c r="Y340" s="12" t="s">
        <v>6639</v>
      </c>
      <c r="Z340" s="12" t="s">
        <v>6639</v>
      </c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</row>
    <row r="341" spans="1:39" s="12" customFormat="1" x14ac:dyDescent="0.2">
      <c r="A341" s="12" t="s">
        <v>48</v>
      </c>
      <c r="B341" s="12" t="s">
        <v>46</v>
      </c>
      <c r="C341" s="12" t="s">
        <v>143</v>
      </c>
      <c r="D341" s="12" t="s">
        <v>7159</v>
      </c>
      <c r="E341" s="12" t="s">
        <v>8031</v>
      </c>
      <c r="F341" s="12" t="s">
        <v>7160</v>
      </c>
      <c r="G341" s="12" t="s">
        <v>7649</v>
      </c>
      <c r="H341" s="12">
        <v>74</v>
      </c>
      <c r="I341" s="12" t="s">
        <v>7646</v>
      </c>
      <c r="J341" s="80">
        <v>24.666666666666664</v>
      </c>
      <c r="K341" s="12" t="s">
        <v>7161</v>
      </c>
      <c r="L341" s="12" t="s">
        <v>21</v>
      </c>
      <c r="M341" s="12" t="s">
        <v>8110</v>
      </c>
      <c r="N341" s="12">
        <v>392</v>
      </c>
      <c r="O341" s="12">
        <v>5.6000000000000001E-2</v>
      </c>
      <c r="P341" s="12">
        <v>0.998</v>
      </c>
      <c r="Q341" s="12" t="s">
        <v>7196</v>
      </c>
      <c r="R341" s="12">
        <v>8.5000000000000006E-2</v>
      </c>
      <c r="S341" s="12">
        <v>0.63500000000000001</v>
      </c>
      <c r="T341" s="12">
        <v>509531</v>
      </c>
      <c r="U341" s="12">
        <v>3.3000000000000002E-2</v>
      </c>
      <c r="V341" s="12" t="s">
        <v>7661</v>
      </c>
      <c r="W341" s="12" t="s">
        <v>11</v>
      </c>
      <c r="X341" s="12">
        <v>683</v>
      </c>
      <c r="Y341" s="12">
        <v>1.6249999999999999E-3</v>
      </c>
      <c r="Z341" s="12">
        <v>0.6330442885575589</v>
      </c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</row>
    <row r="342" spans="1:39" s="12" customFormat="1" x14ac:dyDescent="0.2">
      <c r="A342" s="12" t="s">
        <v>5658</v>
      </c>
      <c r="B342" s="12" t="s">
        <v>934</v>
      </c>
      <c r="C342" s="12" t="s">
        <v>8127</v>
      </c>
      <c r="D342" s="12" t="s">
        <v>7159</v>
      </c>
      <c r="E342" s="12" t="s">
        <v>8031</v>
      </c>
      <c r="F342" s="12" t="s">
        <v>7160</v>
      </c>
      <c r="G342" s="12" t="s">
        <v>7649</v>
      </c>
      <c r="H342" s="12">
        <v>72</v>
      </c>
      <c r="I342" s="12" t="s">
        <v>7646</v>
      </c>
      <c r="J342" s="80">
        <v>24</v>
      </c>
      <c r="K342" s="12" t="s">
        <v>7161</v>
      </c>
      <c r="L342" s="12" t="s">
        <v>21</v>
      </c>
      <c r="M342" s="12" t="s">
        <v>8110</v>
      </c>
      <c r="N342" s="12">
        <v>12.9</v>
      </c>
      <c r="O342" s="12">
        <v>8.7999999999999995E-2</v>
      </c>
      <c r="P342" s="12">
        <v>0.999</v>
      </c>
      <c r="Q342" s="12" t="s">
        <v>7185</v>
      </c>
      <c r="R342" s="12">
        <v>4.4999999999999997E-3</v>
      </c>
      <c r="S342" s="12">
        <v>6.4000000000000001E-2</v>
      </c>
      <c r="T342" s="12">
        <v>73715</v>
      </c>
      <c r="U342" s="12">
        <v>8.8999999999999996E-2</v>
      </c>
      <c r="V342" s="12" t="s">
        <v>7661</v>
      </c>
      <c r="W342" s="12" t="s">
        <v>11</v>
      </c>
      <c r="X342" s="12">
        <v>19</v>
      </c>
      <c r="Y342" s="12" t="s">
        <v>8052</v>
      </c>
      <c r="Z342" s="12" t="s">
        <v>8052</v>
      </c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</row>
    <row r="343" spans="1:39" s="12" customFormat="1" x14ac:dyDescent="0.2">
      <c r="A343" s="12" t="s">
        <v>5659</v>
      </c>
      <c r="B343" s="12" t="s">
        <v>934</v>
      </c>
      <c r="C343" s="12" t="s">
        <v>8127</v>
      </c>
      <c r="D343" s="12" t="s">
        <v>7159</v>
      </c>
      <c r="E343" s="12" t="s">
        <v>8031</v>
      </c>
      <c r="F343" s="12" t="s">
        <v>7160</v>
      </c>
      <c r="G343" s="12" t="s">
        <v>7649</v>
      </c>
      <c r="H343" s="12">
        <v>72</v>
      </c>
      <c r="I343" s="12" t="s">
        <v>7647</v>
      </c>
      <c r="J343" s="80">
        <v>24</v>
      </c>
      <c r="K343" s="12" t="s">
        <v>7161</v>
      </c>
      <c r="L343" s="12" t="s">
        <v>21</v>
      </c>
      <c r="M343" s="12" t="s">
        <v>8110</v>
      </c>
      <c r="N343" s="12">
        <v>28.5</v>
      </c>
      <c r="O343" s="12">
        <v>0.09</v>
      </c>
      <c r="P343" s="12">
        <v>0.97799999999999998</v>
      </c>
      <c r="Q343" s="12" t="s">
        <v>7346</v>
      </c>
      <c r="R343" s="12">
        <v>3.2000000000000002E-3</v>
      </c>
      <c r="S343" s="12">
        <v>3.2947999999999998E-2</v>
      </c>
      <c r="T343" s="12">
        <v>39318</v>
      </c>
      <c r="U343" s="12">
        <v>8.5999999999999993E-2</v>
      </c>
      <c r="V343" s="12" t="s">
        <v>7661</v>
      </c>
      <c r="W343" s="12" t="s">
        <v>11</v>
      </c>
      <c r="X343" s="12">
        <v>9</v>
      </c>
      <c r="Y343" s="12" t="s">
        <v>8052</v>
      </c>
      <c r="Z343" s="12" t="s">
        <v>8052</v>
      </c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</row>
    <row r="344" spans="1:39" s="12" customFormat="1" x14ac:dyDescent="0.2">
      <c r="A344" s="12" t="s">
        <v>5660</v>
      </c>
      <c r="B344" s="12" t="s">
        <v>934</v>
      </c>
      <c r="C344" s="12" t="s">
        <v>8127</v>
      </c>
      <c r="D344" s="12" t="s">
        <v>7159</v>
      </c>
      <c r="E344" s="12" t="s">
        <v>8031</v>
      </c>
      <c r="F344" s="12" t="s">
        <v>7160</v>
      </c>
      <c r="G344" s="12" t="s">
        <v>7649</v>
      </c>
      <c r="H344" s="12">
        <v>72</v>
      </c>
      <c r="I344" s="12" t="s">
        <v>7647</v>
      </c>
      <c r="J344" s="80">
        <v>24</v>
      </c>
      <c r="K344" s="12" t="s">
        <v>7161</v>
      </c>
      <c r="L344" s="12" t="s">
        <v>21</v>
      </c>
      <c r="M344" s="12" t="s">
        <v>8110</v>
      </c>
      <c r="N344" s="12">
        <v>23.7</v>
      </c>
      <c r="O344" s="12">
        <v>8.3000000000000004E-2</v>
      </c>
      <c r="P344" s="12">
        <v>0.98099999999999998</v>
      </c>
      <c r="Q344" s="12" t="s">
        <v>7385</v>
      </c>
      <c r="R344" s="12">
        <v>2.7000000000000001E-3</v>
      </c>
      <c r="S344" s="12">
        <v>3.3037999999999998E-2</v>
      </c>
      <c r="T344" s="12">
        <v>39420</v>
      </c>
      <c r="U344" s="12">
        <v>7.9000000000000001E-2</v>
      </c>
      <c r="V344" s="12" t="s">
        <v>7661</v>
      </c>
      <c r="W344" s="12" t="s">
        <v>11</v>
      </c>
      <c r="X344" s="12">
        <v>8</v>
      </c>
      <c r="Y344" s="12" t="s">
        <v>8052</v>
      </c>
      <c r="Z344" s="12" t="s">
        <v>8052</v>
      </c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</row>
    <row r="345" spans="1:39" s="12" customFormat="1" x14ac:dyDescent="0.2">
      <c r="A345" s="12" t="s">
        <v>5681</v>
      </c>
      <c r="B345" s="12" t="s">
        <v>968</v>
      </c>
      <c r="C345" s="12" t="s">
        <v>143</v>
      </c>
      <c r="D345" s="12" t="s">
        <v>7159</v>
      </c>
      <c r="E345" s="12" t="s">
        <v>8031</v>
      </c>
      <c r="F345" s="12" t="s">
        <v>7160</v>
      </c>
      <c r="G345" s="12" t="s">
        <v>7649</v>
      </c>
      <c r="H345" s="12">
        <v>75</v>
      </c>
      <c r="I345" s="12" t="s">
        <v>7646</v>
      </c>
      <c r="J345" s="80">
        <v>25</v>
      </c>
      <c r="K345" s="12" t="s">
        <v>7161</v>
      </c>
      <c r="L345" s="12" t="s">
        <v>21</v>
      </c>
      <c r="M345" s="12" t="s">
        <v>8110</v>
      </c>
      <c r="N345" s="12">
        <v>20.2</v>
      </c>
      <c r="O345" s="12">
        <v>0.17</v>
      </c>
      <c r="P345" s="12">
        <v>0.97699999999999998</v>
      </c>
      <c r="Q345" s="12" t="s">
        <v>7186</v>
      </c>
      <c r="R345" s="12">
        <v>7.4999999999999997E-3</v>
      </c>
      <c r="S345" s="12">
        <v>3.1E-2</v>
      </c>
      <c r="T345" s="12">
        <v>36398</v>
      </c>
      <c r="U345" s="12">
        <v>0.11700000000000001</v>
      </c>
      <c r="V345" s="12" t="s">
        <v>7661</v>
      </c>
      <c r="W345" s="12" t="s">
        <v>11</v>
      </c>
      <c r="X345" s="12">
        <v>8</v>
      </c>
      <c r="Y345" s="12" t="s">
        <v>8052</v>
      </c>
      <c r="Z345" s="12" t="s">
        <v>8052</v>
      </c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</row>
    <row r="346" spans="1:39" s="12" customFormat="1" x14ac:dyDescent="0.2">
      <c r="A346" s="12" t="s">
        <v>5682</v>
      </c>
      <c r="B346" s="12" t="s">
        <v>968</v>
      </c>
      <c r="C346" s="12" t="s">
        <v>143</v>
      </c>
      <c r="D346" s="12" t="s">
        <v>7159</v>
      </c>
      <c r="E346" s="12" t="s">
        <v>8031</v>
      </c>
      <c r="F346" s="12" t="s">
        <v>7160</v>
      </c>
      <c r="G346" s="12" t="s">
        <v>7649</v>
      </c>
      <c r="H346" s="12">
        <v>75</v>
      </c>
      <c r="I346" s="12" t="s">
        <v>7647</v>
      </c>
      <c r="J346" s="80">
        <v>25</v>
      </c>
      <c r="K346" s="12" t="s">
        <v>7161</v>
      </c>
      <c r="L346" s="12" t="s">
        <v>21</v>
      </c>
      <c r="M346" s="12" t="s">
        <v>8110</v>
      </c>
      <c r="N346" s="12">
        <v>48.8</v>
      </c>
      <c r="O346" s="12">
        <v>0.158</v>
      </c>
      <c r="P346" s="12">
        <v>0.999</v>
      </c>
      <c r="Q346" s="12" t="s">
        <v>7204</v>
      </c>
      <c r="R346" s="12">
        <v>8.8999999999999999E-3</v>
      </c>
      <c r="S346" s="12">
        <v>1.5859999999999999E-2</v>
      </c>
      <c r="T346" s="12">
        <v>19138</v>
      </c>
      <c r="U346" s="12">
        <v>9.4E-2</v>
      </c>
      <c r="V346" s="12" t="s">
        <v>7661</v>
      </c>
      <c r="W346" s="12" t="s">
        <v>11</v>
      </c>
      <c r="X346" s="12">
        <v>1</v>
      </c>
      <c r="Y346" s="12" t="s">
        <v>8052</v>
      </c>
      <c r="Z346" s="12" t="s">
        <v>8052</v>
      </c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</row>
    <row r="347" spans="1:39" s="12" customFormat="1" x14ac:dyDescent="0.2">
      <c r="A347" s="12" t="s">
        <v>5683</v>
      </c>
      <c r="B347" s="12" t="s">
        <v>968</v>
      </c>
      <c r="C347" s="12" t="s">
        <v>143</v>
      </c>
      <c r="D347" s="12" t="s">
        <v>7159</v>
      </c>
      <c r="E347" s="12" t="s">
        <v>8031</v>
      </c>
      <c r="F347" s="12" t="s">
        <v>7160</v>
      </c>
      <c r="G347" s="12" t="s">
        <v>7649</v>
      </c>
      <c r="H347" s="12">
        <v>75</v>
      </c>
      <c r="I347" s="12" t="s">
        <v>7647</v>
      </c>
      <c r="J347" s="80">
        <v>25</v>
      </c>
      <c r="K347" s="12" t="s">
        <v>7161</v>
      </c>
      <c r="L347" s="12" t="s">
        <v>21</v>
      </c>
      <c r="M347" s="12" t="s">
        <v>8110</v>
      </c>
      <c r="N347" s="12">
        <v>41.8</v>
      </c>
      <c r="O347" s="12">
        <v>0.14799999999999999</v>
      </c>
      <c r="P347" s="12">
        <v>0.99</v>
      </c>
      <c r="Q347" s="12" t="s">
        <v>7374</v>
      </c>
      <c r="R347" s="12">
        <v>7.6E-3</v>
      </c>
      <c r="S347" s="12">
        <v>1.7755E-2</v>
      </c>
      <c r="T347" s="12">
        <v>21464</v>
      </c>
      <c r="U347" s="12">
        <v>8.8999999999999996E-2</v>
      </c>
      <c r="V347" s="12" t="s">
        <v>7661</v>
      </c>
      <c r="W347" s="12" t="s">
        <v>11</v>
      </c>
      <c r="X347" s="12">
        <v>3</v>
      </c>
      <c r="Y347" s="12" t="s">
        <v>8052</v>
      </c>
      <c r="Z347" s="12" t="s">
        <v>8052</v>
      </c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</row>
    <row r="348" spans="1:39" s="12" customFormat="1" x14ac:dyDescent="0.2">
      <c r="A348" s="12" t="s">
        <v>5661</v>
      </c>
      <c r="B348" s="12" t="s">
        <v>941</v>
      </c>
      <c r="C348" s="12" t="s">
        <v>143</v>
      </c>
      <c r="D348" s="12" t="s">
        <v>7159</v>
      </c>
      <c r="E348" s="12" t="s">
        <v>8031</v>
      </c>
      <c r="F348" s="12" t="s">
        <v>7160</v>
      </c>
      <c r="G348" s="12" t="s">
        <v>7649</v>
      </c>
      <c r="H348" s="12">
        <v>81</v>
      </c>
      <c r="I348" s="12" t="s">
        <v>7646</v>
      </c>
      <c r="J348" s="80">
        <v>27</v>
      </c>
      <c r="K348" s="12" t="s">
        <v>7161</v>
      </c>
      <c r="L348" s="12" t="s">
        <v>21</v>
      </c>
      <c r="M348" s="12" t="s">
        <v>8110</v>
      </c>
      <c r="N348" s="12">
        <v>98.4</v>
      </c>
      <c r="O348" s="12">
        <v>0.1</v>
      </c>
      <c r="P348" s="12">
        <v>0.99399999999999999</v>
      </c>
      <c r="Q348" s="12" t="s">
        <v>7171</v>
      </c>
      <c r="R348" s="12">
        <v>7.7000000000000002E-3</v>
      </c>
      <c r="S348" s="12">
        <v>0.158</v>
      </c>
      <c r="T348" s="12">
        <v>165311</v>
      </c>
      <c r="U348" s="12">
        <v>0.10299999999999999</v>
      </c>
      <c r="V348" s="12" t="s">
        <v>7661</v>
      </c>
      <c r="W348" s="12" t="s">
        <v>25</v>
      </c>
      <c r="X348" s="12">
        <v>228</v>
      </c>
      <c r="Y348" s="12" t="s">
        <v>6639</v>
      </c>
      <c r="Z348" s="12" t="s">
        <v>6639</v>
      </c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</row>
    <row r="349" spans="1:39" s="12" customFormat="1" x14ac:dyDescent="0.2">
      <c r="A349" s="12" t="s">
        <v>5662</v>
      </c>
      <c r="B349" s="12" t="s">
        <v>941</v>
      </c>
      <c r="C349" s="12" t="s">
        <v>143</v>
      </c>
      <c r="D349" s="12" t="s">
        <v>7159</v>
      </c>
      <c r="E349" s="12" t="s">
        <v>8031</v>
      </c>
      <c r="F349" s="12" t="s">
        <v>7160</v>
      </c>
      <c r="G349" s="12" t="s">
        <v>7649</v>
      </c>
      <c r="H349" s="12">
        <v>81</v>
      </c>
      <c r="I349" s="12" t="s">
        <v>7647</v>
      </c>
      <c r="J349" s="80">
        <v>27</v>
      </c>
      <c r="K349" s="12" t="s">
        <v>7161</v>
      </c>
      <c r="L349" s="12" t="s">
        <v>21</v>
      </c>
      <c r="M349" s="12" t="s">
        <v>8110</v>
      </c>
      <c r="N349" s="12">
        <v>76.400000000000006</v>
      </c>
      <c r="O349" s="12">
        <v>0.107</v>
      </c>
      <c r="P349" s="12">
        <v>0.996</v>
      </c>
      <c r="Q349" s="12" t="s">
        <v>7235</v>
      </c>
      <c r="R349" s="12">
        <v>4.8999999999999998E-3</v>
      </c>
      <c r="S349" s="12">
        <v>8.7416999999999995E-2</v>
      </c>
      <c r="T349" s="12">
        <v>100166</v>
      </c>
      <c r="U349" s="12">
        <v>8.7999999999999995E-2</v>
      </c>
      <c r="V349" s="12" t="s">
        <v>7661</v>
      </c>
      <c r="W349" s="12" t="s">
        <v>25</v>
      </c>
      <c r="X349" s="12">
        <v>77</v>
      </c>
      <c r="Y349" s="12" t="s">
        <v>6639</v>
      </c>
      <c r="Z349" s="12" t="s">
        <v>6639</v>
      </c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</row>
    <row r="350" spans="1:39" s="12" customFormat="1" x14ac:dyDescent="0.2">
      <c r="A350" s="12" t="s">
        <v>5663</v>
      </c>
      <c r="B350" s="12" t="s">
        <v>941</v>
      </c>
      <c r="C350" s="12" t="s">
        <v>143</v>
      </c>
      <c r="D350" s="12" t="s">
        <v>7159</v>
      </c>
      <c r="E350" s="12" t="s">
        <v>8031</v>
      </c>
      <c r="F350" s="12" t="s">
        <v>7160</v>
      </c>
      <c r="G350" s="12" t="s">
        <v>7649</v>
      </c>
      <c r="H350" s="12">
        <v>81</v>
      </c>
      <c r="I350" s="12" t="s">
        <v>7647</v>
      </c>
      <c r="J350" s="80">
        <v>27</v>
      </c>
      <c r="K350" s="12" t="s">
        <v>7161</v>
      </c>
      <c r="L350" s="12" t="s">
        <v>21</v>
      </c>
      <c r="M350" s="12" t="s">
        <v>8110</v>
      </c>
      <c r="N350" s="12">
        <v>79.900000000000006</v>
      </c>
      <c r="O350" s="12">
        <v>0.11</v>
      </c>
      <c r="P350" s="12">
        <v>0.999</v>
      </c>
      <c r="Q350" s="12" t="s">
        <v>7179</v>
      </c>
      <c r="R350" s="12">
        <v>5.0000000000000001E-3</v>
      </c>
      <c r="S350" s="12">
        <v>0.10269499999999999</v>
      </c>
      <c r="T350" s="12">
        <v>115951</v>
      </c>
      <c r="U350" s="12">
        <v>9.5000000000000001E-2</v>
      </c>
      <c r="V350" s="12" t="s">
        <v>7661</v>
      </c>
      <c r="W350" s="12" t="s">
        <v>25</v>
      </c>
      <c r="X350" s="12">
        <v>119</v>
      </c>
      <c r="Y350" s="12" t="s">
        <v>6639</v>
      </c>
      <c r="Z350" s="12" t="s">
        <v>6639</v>
      </c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</row>
    <row r="351" spans="1:39" s="12" customFormat="1" x14ac:dyDescent="0.2">
      <c r="A351" s="12" t="s">
        <v>5687</v>
      </c>
      <c r="B351" s="12" t="s">
        <v>979</v>
      </c>
      <c r="C351" s="12" t="s">
        <v>143</v>
      </c>
      <c r="D351" s="12" t="s">
        <v>7159</v>
      </c>
      <c r="E351" s="12" t="s">
        <v>8031</v>
      </c>
      <c r="F351" s="12" t="s">
        <v>7160</v>
      </c>
      <c r="G351" s="12" t="s">
        <v>7649</v>
      </c>
      <c r="H351" s="12">
        <v>78</v>
      </c>
      <c r="I351" s="12" t="s">
        <v>7646</v>
      </c>
      <c r="J351" s="80">
        <v>26</v>
      </c>
      <c r="K351" s="12" t="s">
        <v>7161</v>
      </c>
      <c r="L351" s="12" t="s">
        <v>21</v>
      </c>
      <c r="M351" s="12" t="s">
        <v>8110</v>
      </c>
      <c r="N351" s="12">
        <v>24</v>
      </c>
      <c r="O351" s="12">
        <v>8.8999999999999996E-2</v>
      </c>
      <c r="P351" s="12">
        <v>0.97799999999999998</v>
      </c>
      <c r="Q351" s="12" t="s">
        <v>7187</v>
      </c>
      <c r="R351" s="12">
        <v>4.5999999999999999E-3</v>
      </c>
      <c r="S351" s="12">
        <v>0.127</v>
      </c>
      <c r="T351" s="12">
        <v>136008</v>
      </c>
      <c r="U351" s="12">
        <v>9.1999999999999998E-2</v>
      </c>
      <c r="V351" s="12" t="s">
        <v>7661</v>
      </c>
      <c r="W351" s="12" t="s">
        <v>25</v>
      </c>
      <c r="X351" s="12">
        <v>167</v>
      </c>
      <c r="Y351" s="12" t="s">
        <v>6639</v>
      </c>
      <c r="Z351" s="12" t="s">
        <v>6639</v>
      </c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</row>
    <row r="352" spans="1:39" s="12" customFormat="1" x14ac:dyDescent="0.2">
      <c r="A352" s="12" t="s">
        <v>5688</v>
      </c>
      <c r="B352" s="12" t="s">
        <v>979</v>
      </c>
      <c r="C352" s="12" t="s">
        <v>143</v>
      </c>
      <c r="D352" s="12" t="s">
        <v>7159</v>
      </c>
      <c r="E352" s="12" t="s">
        <v>8031</v>
      </c>
      <c r="F352" s="12" t="s">
        <v>7160</v>
      </c>
      <c r="G352" s="12" t="s">
        <v>7649</v>
      </c>
      <c r="H352" s="12">
        <v>78</v>
      </c>
      <c r="I352" s="12" t="s">
        <v>7647</v>
      </c>
      <c r="J352" s="80">
        <v>26</v>
      </c>
      <c r="K352" s="12" t="s">
        <v>7161</v>
      </c>
      <c r="L352" s="12" t="s">
        <v>21</v>
      </c>
      <c r="M352" s="12" t="s">
        <v>8110</v>
      </c>
      <c r="N352" s="12">
        <v>27.2</v>
      </c>
      <c r="O352" s="12">
        <v>0.09</v>
      </c>
      <c r="P352" s="12">
        <v>0.98699999999999999</v>
      </c>
      <c r="Q352" s="12" t="s">
        <v>7347</v>
      </c>
      <c r="R352" s="12">
        <v>2.8E-3</v>
      </c>
      <c r="S352" s="12">
        <v>4.9582000000000001E-2</v>
      </c>
      <c r="T352" s="12">
        <v>58414</v>
      </c>
      <c r="U352" s="12">
        <v>8.3000000000000004E-2</v>
      </c>
      <c r="V352" s="12" t="s">
        <v>7661</v>
      </c>
      <c r="W352" s="12" t="s">
        <v>25</v>
      </c>
      <c r="X352" s="12">
        <v>19</v>
      </c>
      <c r="Y352" s="12" t="s">
        <v>6639</v>
      </c>
      <c r="Z352" s="12" t="s">
        <v>6639</v>
      </c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</row>
    <row r="353" spans="1:39" s="12" customFormat="1" x14ac:dyDescent="0.2">
      <c r="A353" s="12" t="s">
        <v>5689</v>
      </c>
      <c r="B353" s="12" t="s">
        <v>979</v>
      </c>
      <c r="C353" s="12" t="s">
        <v>143</v>
      </c>
      <c r="D353" s="12" t="s">
        <v>7159</v>
      </c>
      <c r="E353" s="12" t="s">
        <v>8031</v>
      </c>
      <c r="F353" s="12" t="s">
        <v>7160</v>
      </c>
      <c r="G353" s="12" t="s">
        <v>7649</v>
      </c>
      <c r="H353" s="12">
        <v>78</v>
      </c>
      <c r="I353" s="12" t="s">
        <v>7647</v>
      </c>
      <c r="J353" s="80">
        <v>26</v>
      </c>
      <c r="K353" s="12" t="s">
        <v>7161</v>
      </c>
      <c r="L353" s="12" t="s">
        <v>21</v>
      </c>
      <c r="M353" s="12" t="s">
        <v>8110</v>
      </c>
      <c r="N353" s="12">
        <v>30.5</v>
      </c>
      <c r="O353" s="12">
        <v>0.09</v>
      </c>
      <c r="P353" s="12">
        <v>0.97799999999999998</v>
      </c>
      <c r="Q353" s="12" t="s">
        <v>7386</v>
      </c>
      <c r="R353" s="12">
        <v>2.3999999999999998E-3</v>
      </c>
      <c r="S353" s="12">
        <v>5.6481000000000003E-2</v>
      </c>
      <c r="T353" s="12">
        <v>66167</v>
      </c>
      <c r="U353" s="12">
        <v>8.4000000000000005E-2</v>
      </c>
      <c r="V353" s="12" t="s">
        <v>7661</v>
      </c>
      <c r="W353" s="12" t="s">
        <v>25</v>
      </c>
      <c r="X353" s="12">
        <v>35</v>
      </c>
      <c r="Y353" s="12" t="s">
        <v>6639</v>
      </c>
      <c r="Z353" s="12" t="s">
        <v>6639</v>
      </c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</row>
    <row r="354" spans="1:39" s="12" customFormat="1" x14ac:dyDescent="0.2">
      <c r="A354" s="12" t="s">
        <v>5698</v>
      </c>
      <c r="B354" s="12" t="s">
        <v>1105</v>
      </c>
      <c r="C354" s="12" t="s">
        <v>143</v>
      </c>
      <c r="D354" s="12" t="s">
        <v>7159</v>
      </c>
      <c r="E354" s="12" t="s">
        <v>8031</v>
      </c>
      <c r="F354" s="12" t="s">
        <v>7160</v>
      </c>
      <c r="G354" s="12" t="s">
        <v>7649</v>
      </c>
      <c r="H354" s="12">
        <v>82</v>
      </c>
      <c r="I354" s="12" t="s">
        <v>7646</v>
      </c>
      <c r="J354" s="80">
        <v>27.333333333333332</v>
      </c>
      <c r="K354" s="12" t="s">
        <v>7161</v>
      </c>
      <c r="L354" s="12" t="s">
        <v>21</v>
      </c>
      <c r="M354" s="12" t="s">
        <v>8110</v>
      </c>
      <c r="N354" s="12">
        <v>11</v>
      </c>
      <c r="O354" s="12">
        <v>8.1000000000000003E-2</v>
      </c>
      <c r="P354" s="12">
        <v>0.94099999999999995</v>
      </c>
      <c r="Q354" s="12" t="s">
        <v>7188</v>
      </c>
      <c r="R354" s="12">
        <v>1.8E-3</v>
      </c>
      <c r="S354" s="12">
        <v>8.9999999999999993E-3</v>
      </c>
      <c r="T354" s="12">
        <v>10677</v>
      </c>
      <c r="U354" s="12" t="s">
        <v>17</v>
      </c>
      <c r="V354" s="12" t="s">
        <v>7661</v>
      </c>
      <c r="W354" s="12" t="s">
        <v>25</v>
      </c>
      <c r="X354" s="12" t="s">
        <v>17</v>
      </c>
      <c r="Y354" s="12" t="s">
        <v>6639</v>
      </c>
      <c r="Z354" s="12" t="s">
        <v>6639</v>
      </c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</row>
    <row r="355" spans="1:39" s="12" customFormat="1" x14ac:dyDescent="0.2">
      <c r="A355" s="12" t="s">
        <v>5699</v>
      </c>
      <c r="B355" s="12" t="s">
        <v>1105</v>
      </c>
      <c r="C355" s="12" t="s">
        <v>143</v>
      </c>
      <c r="D355" s="12" t="s">
        <v>7159</v>
      </c>
      <c r="E355" s="12" t="s">
        <v>8031</v>
      </c>
      <c r="F355" s="12" t="s">
        <v>7160</v>
      </c>
      <c r="G355" s="12" t="s">
        <v>7649</v>
      </c>
      <c r="H355" s="12">
        <v>82</v>
      </c>
      <c r="I355" s="12" t="s">
        <v>7647</v>
      </c>
      <c r="J355" s="80">
        <v>27.333333333333332</v>
      </c>
      <c r="K355" s="12" t="s">
        <v>7161</v>
      </c>
      <c r="L355" s="12" t="s">
        <v>21</v>
      </c>
      <c r="M355" s="12" t="s">
        <v>8110</v>
      </c>
      <c r="N355" s="12">
        <v>11.5</v>
      </c>
      <c r="O355" s="12">
        <v>7.9000000000000001E-2</v>
      </c>
      <c r="P355" s="12">
        <v>0.98299999999999998</v>
      </c>
      <c r="Q355" s="12" t="s">
        <v>7348</v>
      </c>
      <c r="R355" s="12">
        <v>8.9999999999999998E-4</v>
      </c>
      <c r="S355" s="12">
        <v>3.0000000000000001E-3</v>
      </c>
      <c r="T355" s="12">
        <v>3045</v>
      </c>
      <c r="U355" s="12">
        <v>5.0999999999999997E-2</v>
      </c>
      <c r="V355" s="12" t="s">
        <v>7661</v>
      </c>
      <c r="W355" s="12" t="s">
        <v>25</v>
      </c>
      <c r="X355" s="12">
        <v>1</v>
      </c>
      <c r="Y355" s="12" t="s">
        <v>8052</v>
      </c>
      <c r="Z355" s="12" t="s">
        <v>8052</v>
      </c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</row>
    <row r="356" spans="1:39" s="12" customFormat="1" x14ac:dyDescent="0.2">
      <c r="A356" s="12" t="s">
        <v>5700</v>
      </c>
      <c r="B356" s="12" t="s">
        <v>1105</v>
      </c>
      <c r="C356" s="12" t="s">
        <v>143</v>
      </c>
      <c r="D356" s="12" t="s">
        <v>7159</v>
      </c>
      <c r="E356" s="12" t="s">
        <v>8031</v>
      </c>
      <c r="F356" s="12" t="s">
        <v>7160</v>
      </c>
      <c r="G356" s="12" t="s">
        <v>7649</v>
      </c>
      <c r="H356" s="12">
        <v>82</v>
      </c>
      <c r="I356" s="12" t="s">
        <v>7647</v>
      </c>
      <c r="J356" s="80">
        <v>27.333333333333332</v>
      </c>
      <c r="K356" s="12" t="s">
        <v>7161</v>
      </c>
      <c r="L356" s="12" t="s">
        <v>21</v>
      </c>
      <c r="M356" s="12" t="s">
        <v>8110</v>
      </c>
      <c r="N356" s="12">
        <v>12.8</v>
      </c>
      <c r="O356" s="12">
        <v>7.5999999999999998E-2</v>
      </c>
      <c r="P356" s="12">
        <v>0.98699999999999999</v>
      </c>
      <c r="Q356" s="12" t="s">
        <v>7387</v>
      </c>
      <c r="R356" s="12">
        <v>3.3E-3</v>
      </c>
      <c r="S356" s="12">
        <v>3.0000000000000001E-3</v>
      </c>
      <c r="T356" s="12">
        <v>3624</v>
      </c>
      <c r="U356" s="12">
        <v>6.0999999999999999E-2</v>
      </c>
      <c r="V356" s="12" t="s">
        <v>7661</v>
      </c>
      <c r="W356" s="12" t="s">
        <v>25</v>
      </c>
      <c r="X356" s="12">
        <v>2</v>
      </c>
      <c r="Y356" s="12" t="s">
        <v>6639</v>
      </c>
      <c r="Z356" s="12" t="s">
        <v>6639</v>
      </c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</row>
    <row r="357" spans="1:39" s="12" customFormat="1" x14ac:dyDescent="0.2">
      <c r="A357" s="12" t="s">
        <v>5704</v>
      </c>
      <c r="B357" s="12" t="s">
        <v>2065</v>
      </c>
      <c r="C357" s="12" t="s">
        <v>143</v>
      </c>
      <c r="D357" s="12" t="s">
        <v>7159</v>
      </c>
      <c r="E357" s="12" t="s">
        <v>8031</v>
      </c>
      <c r="F357" s="12" t="s">
        <v>7160</v>
      </c>
      <c r="G357" s="12" t="s">
        <v>7649</v>
      </c>
      <c r="H357" s="12">
        <v>54</v>
      </c>
      <c r="I357" s="12" t="s">
        <v>7646</v>
      </c>
      <c r="J357" s="80">
        <v>18</v>
      </c>
      <c r="K357" s="12" t="s">
        <v>7161</v>
      </c>
      <c r="L357" s="12" t="s">
        <v>21</v>
      </c>
      <c r="M357" s="12" t="s">
        <v>8110</v>
      </c>
      <c r="N357" s="12">
        <v>250</v>
      </c>
      <c r="O357" s="12">
        <v>6.9000000000000006E-2</v>
      </c>
      <c r="P357" s="12">
        <v>0.999</v>
      </c>
      <c r="Q357" s="12" t="s">
        <v>7165</v>
      </c>
      <c r="R357" s="12">
        <v>4.7000000000000002E-3</v>
      </c>
      <c r="S357" s="12">
        <v>0.17399999999999999</v>
      </c>
      <c r="T357" s="12">
        <v>180462</v>
      </c>
      <c r="U357" s="12" t="s">
        <v>17</v>
      </c>
      <c r="V357" s="12" t="s">
        <v>7661</v>
      </c>
      <c r="W357" s="12" t="s">
        <v>25</v>
      </c>
      <c r="X357" s="12" t="s">
        <v>17</v>
      </c>
      <c r="Y357" s="12" t="s">
        <v>6639</v>
      </c>
      <c r="Z357" s="12" t="s">
        <v>6639</v>
      </c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</row>
    <row r="358" spans="1:39" s="12" customFormat="1" x14ac:dyDescent="0.2">
      <c r="A358" s="12" t="s">
        <v>5705</v>
      </c>
      <c r="B358" s="12" t="s">
        <v>2065</v>
      </c>
      <c r="C358" s="12" t="s">
        <v>143</v>
      </c>
      <c r="D358" s="12" t="s">
        <v>7159</v>
      </c>
      <c r="E358" s="12" t="s">
        <v>8031</v>
      </c>
      <c r="F358" s="12" t="s">
        <v>7160</v>
      </c>
      <c r="G358" s="12" t="s">
        <v>7649</v>
      </c>
      <c r="H358" s="12">
        <v>54</v>
      </c>
      <c r="I358" s="12" t="s">
        <v>7647</v>
      </c>
      <c r="J358" s="80">
        <v>18</v>
      </c>
      <c r="K358" s="12" t="s">
        <v>7161</v>
      </c>
      <c r="L358" s="12" t="s">
        <v>21</v>
      </c>
      <c r="M358" s="12" t="s">
        <v>8110</v>
      </c>
      <c r="N358" s="12">
        <v>190</v>
      </c>
      <c r="O358" s="12">
        <v>6.6000000000000003E-2</v>
      </c>
      <c r="P358" s="12">
        <v>1</v>
      </c>
      <c r="Q358" s="12" t="s">
        <v>7169</v>
      </c>
      <c r="R358" s="12">
        <v>5.4999999999999997E-3</v>
      </c>
      <c r="S358" s="12">
        <v>8.831E-2</v>
      </c>
      <c r="T358" s="12">
        <v>101323</v>
      </c>
      <c r="U358" s="12">
        <v>6.6000000000000003E-2</v>
      </c>
      <c r="V358" s="12" t="s">
        <v>7661</v>
      </c>
      <c r="W358" s="12" t="s">
        <v>25</v>
      </c>
      <c r="X358" s="12">
        <v>83</v>
      </c>
      <c r="Y358" s="12" t="s">
        <v>6639</v>
      </c>
      <c r="Z358" s="12" t="s">
        <v>6639</v>
      </c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</row>
    <row r="359" spans="1:39" s="12" customFormat="1" x14ac:dyDescent="0.2">
      <c r="A359" s="12" t="s">
        <v>5706</v>
      </c>
      <c r="B359" s="12" t="s">
        <v>2065</v>
      </c>
      <c r="C359" s="12" t="s">
        <v>143</v>
      </c>
      <c r="D359" s="12" t="s">
        <v>7159</v>
      </c>
      <c r="E359" s="12" t="s">
        <v>8031</v>
      </c>
      <c r="F359" s="12" t="s">
        <v>7160</v>
      </c>
      <c r="G359" s="12" t="s">
        <v>7649</v>
      </c>
      <c r="H359" s="12">
        <v>54</v>
      </c>
      <c r="I359" s="12" t="s">
        <v>7647</v>
      </c>
      <c r="J359" s="80">
        <v>18</v>
      </c>
      <c r="K359" s="12" t="s">
        <v>7161</v>
      </c>
      <c r="L359" s="12" t="s">
        <v>21</v>
      </c>
      <c r="M359" s="12" t="s">
        <v>8110</v>
      </c>
      <c r="N359" s="12">
        <v>209</v>
      </c>
      <c r="O359" s="12">
        <v>7.2999999999999995E-2</v>
      </c>
      <c r="P359" s="12">
        <v>0.999</v>
      </c>
      <c r="Q359" s="12" t="s">
        <v>7179</v>
      </c>
      <c r="R359" s="12">
        <v>2.8999999999999998E-3</v>
      </c>
      <c r="S359" s="12">
        <v>7.9132999999999995E-2</v>
      </c>
      <c r="T359" s="12">
        <v>91216</v>
      </c>
      <c r="U359" s="12">
        <v>6.8000000000000005E-2</v>
      </c>
      <c r="V359" s="12" t="s">
        <v>7661</v>
      </c>
      <c r="W359" s="12" t="s">
        <v>25</v>
      </c>
      <c r="X359" s="12">
        <v>62</v>
      </c>
      <c r="Y359" s="12" t="s">
        <v>6639</v>
      </c>
      <c r="Z359" s="12" t="s">
        <v>6639</v>
      </c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</row>
    <row r="360" spans="1:39" s="12" customFormat="1" x14ac:dyDescent="0.2">
      <c r="A360" s="12" t="s">
        <v>5673</v>
      </c>
      <c r="B360" s="12" t="s">
        <v>959</v>
      </c>
      <c r="C360" s="12" t="s">
        <v>143</v>
      </c>
      <c r="D360" s="12" t="s">
        <v>7159</v>
      </c>
      <c r="E360" s="12" t="s">
        <v>8031</v>
      </c>
      <c r="F360" s="12" t="s">
        <v>7160</v>
      </c>
      <c r="G360" s="12" t="s">
        <v>7649</v>
      </c>
      <c r="H360" s="12">
        <v>80</v>
      </c>
      <c r="I360" s="12" t="s">
        <v>7646</v>
      </c>
      <c r="J360" s="80">
        <v>26.666666666666664</v>
      </c>
      <c r="K360" s="12" t="s">
        <v>7161</v>
      </c>
      <c r="L360" s="12" t="s">
        <v>21</v>
      </c>
      <c r="M360" s="12" t="s">
        <v>8110</v>
      </c>
      <c r="N360" s="12">
        <v>101</v>
      </c>
      <c r="O360" s="12">
        <v>6.3E-2</v>
      </c>
      <c r="P360" s="12">
        <v>1</v>
      </c>
      <c r="Q360" s="12" t="s">
        <v>7189</v>
      </c>
      <c r="R360" s="12">
        <v>3.0000000000000001E-3</v>
      </c>
      <c r="S360" s="12">
        <v>3.5999999999999997E-2</v>
      </c>
      <c r="T360" s="12">
        <v>41807</v>
      </c>
      <c r="U360" s="12">
        <v>7.2999999999999995E-2</v>
      </c>
      <c r="V360" s="12" t="s">
        <v>7661</v>
      </c>
      <c r="W360" s="12" t="s">
        <v>25</v>
      </c>
      <c r="X360" s="12">
        <v>30</v>
      </c>
      <c r="Y360" s="12" t="s">
        <v>6639</v>
      </c>
      <c r="Z360" s="12" t="s">
        <v>6639</v>
      </c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</row>
    <row r="361" spans="1:39" s="12" customFormat="1" x14ac:dyDescent="0.2">
      <c r="A361" s="12" t="s">
        <v>5674</v>
      </c>
      <c r="B361" s="12" t="s">
        <v>959</v>
      </c>
      <c r="C361" s="12" t="s">
        <v>143</v>
      </c>
      <c r="D361" s="12" t="s">
        <v>7159</v>
      </c>
      <c r="E361" s="12" t="s">
        <v>8031</v>
      </c>
      <c r="F361" s="12" t="s">
        <v>7160</v>
      </c>
      <c r="G361" s="12" t="s">
        <v>7649</v>
      </c>
      <c r="H361" s="12">
        <v>80</v>
      </c>
      <c r="I361" s="12" t="s">
        <v>7647</v>
      </c>
      <c r="J361" s="80">
        <v>26.666666666666664</v>
      </c>
      <c r="K361" s="12" t="s">
        <v>7161</v>
      </c>
      <c r="L361" s="12" t="s">
        <v>21</v>
      </c>
      <c r="M361" s="12" t="s">
        <v>8110</v>
      </c>
      <c r="N361" s="12">
        <v>132</v>
      </c>
      <c r="O361" s="12">
        <v>6.8000000000000005E-2</v>
      </c>
      <c r="P361" s="12">
        <v>0.999</v>
      </c>
      <c r="Q361" s="12" t="s">
        <v>7165</v>
      </c>
      <c r="R361" s="12">
        <v>2.2000000000000001E-3</v>
      </c>
      <c r="S361" s="12">
        <v>1.9781E-2</v>
      </c>
      <c r="T361" s="12">
        <v>23937</v>
      </c>
      <c r="U361" s="12">
        <v>8.1000000000000003E-2</v>
      </c>
      <c r="V361" s="12" t="s">
        <v>7661</v>
      </c>
      <c r="W361" s="12" t="s">
        <v>25</v>
      </c>
      <c r="X361" s="12">
        <v>10</v>
      </c>
      <c r="Y361" s="12" t="s">
        <v>6639</v>
      </c>
      <c r="Z361" s="12" t="s">
        <v>6639</v>
      </c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</row>
    <row r="362" spans="1:39" s="12" customFormat="1" x14ac:dyDescent="0.2">
      <c r="A362" s="12" t="s">
        <v>5675</v>
      </c>
      <c r="B362" s="12" t="s">
        <v>959</v>
      </c>
      <c r="C362" s="12" t="s">
        <v>143</v>
      </c>
      <c r="D362" s="12" t="s">
        <v>7159</v>
      </c>
      <c r="E362" s="12" t="s">
        <v>8031</v>
      </c>
      <c r="F362" s="12" t="s">
        <v>7160</v>
      </c>
      <c r="G362" s="12" t="s">
        <v>7649</v>
      </c>
      <c r="H362" s="12">
        <v>80</v>
      </c>
      <c r="I362" s="12" t="s">
        <v>7647</v>
      </c>
      <c r="J362" s="80">
        <v>26.666666666666664</v>
      </c>
      <c r="K362" s="12" t="s">
        <v>7161</v>
      </c>
      <c r="L362" s="12" t="s">
        <v>21</v>
      </c>
      <c r="M362" s="12" t="s">
        <v>8110</v>
      </c>
      <c r="N362" s="12">
        <v>116</v>
      </c>
      <c r="O362" s="12">
        <v>6.5000000000000002E-2</v>
      </c>
      <c r="P362" s="12">
        <v>0.998</v>
      </c>
      <c r="Q362" s="12" t="s">
        <v>7177</v>
      </c>
      <c r="R362" s="12">
        <v>2.7000000000000001E-3</v>
      </c>
      <c r="S362" s="12">
        <v>1.78E-2</v>
      </c>
      <c r="T362" s="12">
        <v>21582</v>
      </c>
      <c r="U362" s="12">
        <v>6.9000000000000006E-2</v>
      </c>
      <c r="V362" s="12" t="s">
        <v>7661</v>
      </c>
      <c r="W362" s="12" t="s">
        <v>25</v>
      </c>
      <c r="X362" s="12">
        <v>12</v>
      </c>
      <c r="Y362" s="12" t="s">
        <v>6639</v>
      </c>
      <c r="Z362" s="12" t="s">
        <v>6639</v>
      </c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</row>
    <row r="363" spans="1:39" s="12" customFormat="1" x14ac:dyDescent="0.2">
      <c r="A363" s="12" t="s">
        <v>5684</v>
      </c>
      <c r="B363" s="12" t="s">
        <v>975</v>
      </c>
      <c r="C363" s="12" t="s">
        <v>143</v>
      </c>
      <c r="D363" s="12" t="s">
        <v>7159</v>
      </c>
      <c r="E363" s="12" t="s">
        <v>8031</v>
      </c>
      <c r="F363" s="12" t="s">
        <v>7160</v>
      </c>
      <c r="G363" s="12" t="s">
        <v>7649</v>
      </c>
      <c r="H363" s="12">
        <v>72</v>
      </c>
      <c r="I363" s="12" t="s">
        <v>7646</v>
      </c>
      <c r="J363" s="80">
        <v>24</v>
      </c>
      <c r="K363" s="12" t="s">
        <v>7161</v>
      </c>
      <c r="L363" s="12" t="s">
        <v>21</v>
      </c>
      <c r="M363" s="12" t="s">
        <v>8110</v>
      </c>
      <c r="N363" s="12">
        <v>10.1</v>
      </c>
      <c r="O363" s="12">
        <v>7.1999999999999995E-2</v>
      </c>
      <c r="P363" s="12">
        <v>0.93700000000000006</v>
      </c>
      <c r="Q363" s="12" t="s">
        <v>7190</v>
      </c>
      <c r="R363" s="12">
        <v>2.8999999999999998E-3</v>
      </c>
      <c r="S363" s="12">
        <v>0.02</v>
      </c>
      <c r="T363" s="12">
        <v>24090</v>
      </c>
      <c r="U363" s="12" t="s">
        <v>17</v>
      </c>
      <c r="V363" s="12" t="s">
        <v>7661</v>
      </c>
      <c r="W363" s="12" t="s">
        <v>11</v>
      </c>
      <c r="X363" s="12" t="s">
        <v>17</v>
      </c>
      <c r="Y363" s="12" t="s">
        <v>17</v>
      </c>
      <c r="Z363" s="12" t="s">
        <v>17</v>
      </c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</row>
    <row r="364" spans="1:39" s="12" customFormat="1" x14ac:dyDescent="0.2">
      <c r="A364" s="12" t="s">
        <v>5685</v>
      </c>
      <c r="B364" s="12" t="s">
        <v>975</v>
      </c>
      <c r="C364" s="12" t="s">
        <v>143</v>
      </c>
      <c r="D364" s="12" t="s">
        <v>7159</v>
      </c>
      <c r="E364" s="12" t="s">
        <v>8031</v>
      </c>
      <c r="F364" s="12" t="s">
        <v>7160</v>
      </c>
      <c r="G364" s="12" t="s">
        <v>7649</v>
      </c>
      <c r="H364" s="12">
        <v>72</v>
      </c>
      <c r="I364" s="12" t="s">
        <v>7647</v>
      </c>
      <c r="J364" s="80">
        <v>24</v>
      </c>
      <c r="K364" s="12" t="s">
        <v>7161</v>
      </c>
      <c r="L364" s="12" t="s">
        <v>21</v>
      </c>
      <c r="M364" s="12" t="s">
        <v>8110</v>
      </c>
      <c r="N364" s="12">
        <v>9.58</v>
      </c>
      <c r="O364" s="12">
        <v>7.3999999999999996E-2</v>
      </c>
      <c r="P364" s="12">
        <v>0.96299999999999997</v>
      </c>
      <c r="Q364" s="12" t="s">
        <v>7349</v>
      </c>
      <c r="R364" s="12">
        <v>1.6999999999999999E-3</v>
      </c>
      <c r="S364" s="12">
        <v>5.0000000000000001E-3</v>
      </c>
      <c r="T364" s="12">
        <v>5822</v>
      </c>
      <c r="U364" s="12">
        <v>0.04</v>
      </c>
      <c r="V364" s="12" t="s">
        <v>7661</v>
      </c>
      <c r="W364" s="12" t="s">
        <v>11</v>
      </c>
      <c r="X364" s="12">
        <v>1</v>
      </c>
      <c r="Y364" s="12" t="s">
        <v>8052</v>
      </c>
      <c r="Z364" s="12" t="s">
        <v>8052</v>
      </c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</row>
    <row r="365" spans="1:39" s="12" customFormat="1" x14ac:dyDescent="0.2">
      <c r="A365" s="12" t="s">
        <v>5686</v>
      </c>
      <c r="B365" s="12" t="s">
        <v>975</v>
      </c>
      <c r="C365" s="12" t="s">
        <v>143</v>
      </c>
      <c r="D365" s="12" t="s">
        <v>7159</v>
      </c>
      <c r="E365" s="12" t="s">
        <v>8031</v>
      </c>
      <c r="F365" s="12" t="s">
        <v>7160</v>
      </c>
      <c r="G365" s="12" t="s">
        <v>7649</v>
      </c>
      <c r="H365" s="12">
        <v>72</v>
      </c>
      <c r="I365" s="12" t="s">
        <v>7647</v>
      </c>
      <c r="J365" s="80">
        <v>24</v>
      </c>
      <c r="K365" s="12" t="s">
        <v>7161</v>
      </c>
      <c r="L365" s="12" t="s">
        <v>21</v>
      </c>
      <c r="M365" s="12" t="s">
        <v>8110</v>
      </c>
      <c r="N365" s="12">
        <v>10.6</v>
      </c>
      <c r="O365" s="12">
        <v>7.0999999999999994E-2</v>
      </c>
      <c r="P365" s="12">
        <v>0.95299999999999996</v>
      </c>
      <c r="Q365" s="12" t="s">
        <v>7388</v>
      </c>
      <c r="R365" s="12">
        <v>1.9E-3</v>
      </c>
      <c r="S365" s="12">
        <v>5.0000000000000001E-3</v>
      </c>
      <c r="T365" s="12">
        <v>5953</v>
      </c>
      <c r="U365" s="12">
        <v>4.3999999999999997E-2</v>
      </c>
      <c r="V365" s="12" t="s">
        <v>7661</v>
      </c>
      <c r="W365" s="12" t="s">
        <v>11</v>
      </c>
      <c r="X365" s="12" t="s">
        <v>17</v>
      </c>
      <c r="Y365" s="12" t="s">
        <v>17</v>
      </c>
      <c r="Z365" s="12" t="s">
        <v>17</v>
      </c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</row>
    <row r="366" spans="1:39" s="12" customFormat="1" x14ac:dyDescent="0.2">
      <c r="A366" s="12" t="s">
        <v>5707</v>
      </c>
      <c r="B366" s="12" t="s">
        <v>820</v>
      </c>
      <c r="C366" s="12" t="s">
        <v>8127</v>
      </c>
      <c r="D366" s="12" t="s">
        <v>8126</v>
      </c>
      <c r="E366" s="12" t="s">
        <v>8124</v>
      </c>
      <c r="F366" s="12" t="s">
        <v>7160</v>
      </c>
      <c r="G366" s="12" t="s">
        <v>7649</v>
      </c>
      <c r="H366" s="12">
        <v>49</v>
      </c>
      <c r="I366" s="12" t="s">
        <v>7643</v>
      </c>
      <c r="J366" s="80">
        <v>16.333333333333332</v>
      </c>
      <c r="K366" s="12" t="s">
        <v>7161</v>
      </c>
      <c r="L366" s="12" t="s">
        <v>144</v>
      </c>
      <c r="M366" s="12" t="s">
        <v>8110</v>
      </c>
      <c r="N366" s="12">
        <v>29.4</v>
      </c>
      <c r="O366" s="12">
        <v>0.25900000000000001</v>
      </c>
      <c r="P366" s="12">
        <v>0.67800000000000005</v>
      </c>
      <c r="Q366" s="12" t="s">
        <v>7395</v>
      </c>
      <c r="R366" s="12">
        <v>2.5999999999999999E-2</v>
      </c>
      <c r="S366" s="12">
        <v>0.13400000000000001</v>
      </c>
      <c r="T366" s="12" t="s">
        <v>17</v>
      </c>
      <c r="U366" s="12">
        <v>0.17</v>
      </c>
      <c r="V366" s="12" t="s">
        <v>7661</v>
      </c>
      <c r="W366" s="12" t="s">
        <v>11</v>
      </c>
      <c r="X366" s="12">
        <v>69</v>
      </c>
      <c r="Y366" s="12" t="s">
        <v>8052</v>
      </c>
      <c r="Z366" s="12" t="s">
        <v>8052</v>
      </c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</row>
    <row r="367" spans="1:39" s="12" customFormat="1" x14ac:dyDescent="0.2">
      <c r="A367" s="12" t="s">
        <v>5708</v>
      </c>
      <c r="B367" s="12" t="s">
        <v>820</v>
      </c>
      <c r="C367" s="12" t="s">
        <v>8127</v>
      </c>
      <c r="D367" s="12" t="s">
        <v>8126</v>
      </c>
      <c r="E367" s="12" t="s">
        <v>8124</v>
      </c>
      <c r="F367" s="12" t="s">
        <v>7160</v>
      </c>
      <c r="G367" s="12" t="s">
        <v>7649</v>
      </c>
      <c r="H367" s="12">
        <v>49</v>
      </c>
      <c r="I367" s="12" t="s">
        <v>7647</v>
      </c>
      <c r="J367" s="80">
        <v>5.4444444444444438</v>
      </c>
      <c r="K367" s="12" t="s">
        <v>7161</v>
      </c>
      <c r="L367" s="12" t="s">
        <v>21</v>
      </c>
      <c r="M367" s="12" t="s">
        <v>8110</v>
      </c>
      <c r="N367" s="12">
        <v>1.62</v>
      </c>
      <c r="O367" s="12" t="s">
        <v>7796</v>
      </c>
      <c r="P367" s="12" t="s">
        <v>7796</v>
      </c>
      <c r="Q367" s="12" t="s">
        <v>7796</v>
      </c>
      <c r="R367" s="12">
        <v>1.7000000000000001E-2</v>
      </c>
      <c r="S367" s="12">
        <v>1.2408000000000001E-2</v>
      </c>
      <c r="T367" s="12">
        <v>14749</v>
      </c>
      <c r="U367" s="12">
        <v>4.9000000000000002E-2</v>
      </c>
      <c r="V367" s="12" t="s">
        <v>7661</v>
      </c>
      <c r="W367" s="12" t="s">
        <v>11</v>
      </c>
      <c r="X367" s="12">
        <v>10</v>
      </c>
      <c r="Y367" s="12" t="s">
        <v>8052</v>
      </c>
      <c r="Z367" s="12" t="s">
        <v>8052</v>
      </c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</row>
    <row r="368" spans="1:39" s="12" customFormat="1" x14ac:dyDescent="0.2">
      <c r="A368" s="12" t="s">
        <v>5488</v>
      </c>
      <c r="B368" s="12" t="s">
        <v>1980</v>
      </c>
      <c r="C368" s="12" t="s">
        <v>13</v>
      </c>
      <c r="D368" s="12" t="s">
        <v>7210</v>
      </c>
      <c r="E368" s="12" t="s">
        <v>8124</v>
      </c>
      <c r="F368" s="12" t="s">
        <v>7160</v>
      </c>
      <c r="G368" s="12" t="s">
        <v>7649</v>
      </c>
      <c r="H368" s="12">
        <v>71</v>
      </c>
      <c r="I368" s="12" t="s">
        <v>7647</v>
      </c>
      <c r="J368" s="80">
        <v>7.8888888888888884</v>
      </c>
      <c r="K368" s="12" t="s">
        <v>7161</v>
      </c>
      <c r="L368" s="12" t="s">
        <v>21</v>
      </c>
      <c r="M368" s="12" t="s">
        <v>8110</v>
      </c>
      <c r="N368" s="12">
        <v>43.4</v>
      </c>
      <c r="O368" s="12">
        <v>9.5000000000000001E-2</v>
      </c>
      <c r="P368" s="12">
        <v>0.99199999999999999</v>
      </c>
      <c r="Q368" s="12" t="s">
        <v>7164</v>
      </c>
      <c r="R368" s="12">
        <v>1.7000000000000001E-2</v>
      </c>
      <c r="S368" s="12">
        <v>0.13700000000000001</v>
      </c>
      <c r="T368" s="12">
        <v>152574</v>
      </c>
      <c r="U368" s="12">
        <v>7.3999999999999996E-2</v>
      </c>
      <c r="V368" s="12" t="s">
        <v>7661</v>
      </c>
      <c r="W368" s="12" t="s">
        <v>25</v>
      </c>
      <c r="X368" s="12">
        <v>66</v>
      </c>
      <c r="Y368" s="12" t="s">
        <v>6639</v>
      </c>
      <c r="Z368" s="12" t="s">
        <v>6639</v>
      </c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</row>
    <row r="369" spans="1:39" s="12" customFormat="1" x14ac:dyDescent="0.2">
      <c r="A369" s="12" t="s">
        <v>5489</v>
      </c>
      <c r="B369" s="12" t="s">
        <v>1980</v>
      </c>
      <c r="C369" s="12" t="s">
        <v>13</v>
      </c>
      <c r="D369" s="12" t="s">
        <v>7210</v>
      </c>
      <c r="E369" s="12" t="s">
        <v>8124</v>
      </c>
      <c r="F369" s="12" t="s">
        <v>7160</v>
      </c>
      <c r="G369" s="12" t="s">
        <v>7649</v>
      </c>
      <c r="H369" s="12">
        <v>71</v>
      </c>
      <c r="I369" s="12" t="s">
        <v>7647</v>
      </c>
      <c r="J369" s="80">
        <v>7.8888888888888884</v>
      </c>
      <c r="K369" s="12" t="s">
        <v>7161</v>
      </c>
      <c r="L369" s="12" t="s">
        <v>21</v>
      </c>
      <c r="M369" s="12" t="s">
        <v>8110</v>
      </c>
      <c r="N369" s="12">
        <v>52.5</v>
      </c>
      <c r="O369" s="12">
        <v>9.7000000000000003E-2</v>
      </c>
      <c r="P369" s="12">
        <v>0.98599999999999999</v>
      </c>
      <c r="Q369" s="12" t="s">
        <v>7335</v>
      </c>
      <c r="R369" s="12">
        <v>2.1000000000000001E-2</v>
      </c>
      <c r="S369" s="12">
        <v>0.14399999999999999</v>
      </c>
      <c r="T369" s="12">
        <v>158319</v>
      </c>
      <c r="U369" s="12">
        <v>7.8E-2</v>
      </c>
      <c r="V369" s="12" t="s">
        <v>7661</v>
      </c>
      <c r="W369" s="12" t="s">
        <v>25</v>
      </c>
      <c r="X369" s="12">
        <v>54</v>
      </c>
      <c r="Y369" s="12" t="s">
        <v>6639</v>
      </c>
      <c r="Z369" s="12" t="s">
        <v>6639</v>
      </c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</row>
    <row r="370" spans="1:39" s="12" customFormat="1" x14ac:dyDescent="0.2">
      <c r="A370" s="12" t="s">
        <v>5490</v>
      </c>
      <c r="B370" s="12" t="s">
        <v>1980</v>
      </c>
      <c r="C370" s="12" t="s">
        <v>13</v>
      </c>
      <c r="D370" s="12" t="s">
        <v>7210</v>
      </c>
      <c r="E370" s="12" t="s">
        <v>8124</v>
      </c>
      <c r="F370" s="12" t="s">
        <v>7160</v>
      </c>
      <c r="G370" s="12" t="s">
        <v>7649</v>
      </c>
      <c r="H370" s="12">
        <v>71</v>
      </c>
      <c r="I370" s="12" t="s">
        <v>7647</v>
      </c>
      <c r="J370" s="80">
        <v>7.8888888888888884</v>
      </c>
      <c r="K370" s="12" t="s">
        <v>7161</v>
      </c>
      <c r="L370" s="12" t="s">
        <v>21</v>
      </c>
      <c r="M370" s="12" t="s">
        <v>8110</v>
      </c>
      <c r="N370" s="12">
        <v>54.3</v>
      </c>
      <c r="O370" s="12">
        <v>9.0999999999999998E-2</v>
      </c>
      <c r="P370" s="12">
        <v>0.98199999999999998</v>
      </c>
      <c r="Q370" s="12" t="s">
        <v>7375</v>
      </c>
      <c r="R370" s="12">
        <v>1.9E-2</v>
      </c>
      <c r="S370" s="12">
        <v>0.153</v>
      </c>
      <c r="T370" s="12">
        <v>166960</v>
      </c>
      <c r="U370" s="12">
        <v>7.5999999999999998E-2</v>
      </c>
      <c r="V370" s="12" t="s">
        <v>7661</v>
      </c>
      <c r="W370" s="12" t="s">
        <v>25</v>
      </c>
      <c r="X370" s="12">
        <v>53</v>
      </c>
      <c r="Y370" s="12" t="s">
        <v>6639</v>
      </c>
      <c r="Z370" s="12" t="s">
        <v>6639</v>
      </c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</row>
    <row r="371" spans="1:39" s="12" customFormat="1" x14ac:dyDescent="0.2">
      <c r="A371" s="12" t="s">
        <v>5491</v>
      </c>
      <c r="B371" s="12" t="s">
        <v>1980</v>
      </c>
      <c r="C371" s="12" t="s">
        <v>13</v>
      </c>
      <c r="D371" s="12" t="s">
        <v>7210</v>
      </c>
      <c r="E371" s="12" t="s">
        <v>8124</v>
      </c>
      <c r="F371" s="12" t="s">
        <v>7160</v>
      </c>
      <c r="G371" s="12" t="s">
        <v>7649</v>
      </c>
      <c r="H371" s="12">
        <v>71</v>
      </c>
      <c r="I371" s="12" t="s">
        <v>7647</v>
      </c>
      <c r="J371" s="80">
        <v>7.8888888888888884</v>
      </c>
      <c r="K371" s="12" t="s">
        <v>7161</v>
      </c>
      <c r="L371" s="12" t="s">
        <v>21</v>
      </c>
      <c r="M371" s="12" t="s">
        <v>8110</v>
      </c>
      <c r="N371" s="12">
        <v>49.6</v>
      </c>
      <c r="O371" s="12">
        <v>9.5000000000000001E-2</v>
      </c>
      <c r="P371" s="12">
        <v>0.98499999999999999</v>
      </c>
      <c r="Q371" s="12" t="s">
        <v>7174</v>
      </c>
      <c r="R371" s="12">
        <v>1.9E-2</v>
      </c>
      <c r="S371" s="12">
        <v>0.14399999999999999</v>
      </c>
      <c r="T371" s="12">
        <v>157711</v>
      </c>
      <c r="U371" s="12">
        <v>7.3999999999999996E-2</v>
      </c>
      <c r="V371" s="12" t="s">
        <v>7661</v>
      </c>
      <c r="W371" s="12" t="s">
        <v>25</v>
      </c>
      <c r="X371" s="12">
        <v>54</v>
      </c>
      <c r="Y371" s="12" t="s">
        <v>6639</v>
      </c>
      <c r="Z371" s="12" t="s">
        <v>6639</v>
      </c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</row>
    <row r="372" spans="1:39" s="12" customFormat="1" x14ac:dyDescent="0.2">
      <c r="A372" s="12" t="s">
        <v>5492</v>
      </c>
      <c r="B372" s="12" t="s">
        <v>2000</v>
      </c>
      <c r="C372" s="12" t="s">
        <v>143</v>
      </c>
      <c r="D372" s="12" t="s">
        <v>8126</v>
      </c>
      <c r="E372" s="12" t="s">
        <v>8124</v>
      </c>
      <c r="F372" s="12" t="s">
        <v>7160</v>
      </c>
      <c r="G372" s="12" t="s">
        <v>7649</v>
      </c>
      <c r="H372" s="12">
        <v>73</v>
      </c>
      <c r="I372" s="12" t="s">
        <v>7647</v>
      </c>
      <c r="J372" s="80">
        <v>8.1111111111111107</v>
      </c>
      <c r="K372" s="12" t="s">
        <v>7161</v>
      </c>
      <c r="L372" s="12" t="s">
        <v>21</v>
      </c>
      <c r="M372" s="12" t="s">
        <v>8110</v>
      </c>
      <c r="N372" s="12">
        <v>525</v>
      </c>
      <c r="O372" s="12">
        <v>7.0000000000000007E-2</v>
      </c>
      <c r="P372" s="12">
        <v>0.999</v>
      </c>
      <c r="Q372" s="12" t="s">
        <v>7165</v>
      </c>
      <c r="R372" s="12">
        <v>6.1000000000000004E-3</v>
      </c>
      <c r="S372" s="12">
        <v>0.161</v>
      </c>
      <c r="T372" s="12">
        <v>173289</v>
      </c>
      <c r="U372" s="12">
        <v>4.2999999999999997E-2</v>
      </c>
      <c r="V372" s="12" t="s">
        <v>7661</v>
      </c>
      <c r="W372" s="12" t="s">
        <v>11</v>
      </c>
      <c r="X372" s="12">
        <v>28</v>
      </c>
      <c r="Y372" s="12" t="s">
        <v>8052</v>
      </c>
      <c r="Z372" s="12" t="s">
        <v>8052</v>
      </c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</row>
    <row r="373" spans="1:39" s="12" customFormat="1" x14ac:dyDescent="0.2">
      <c r="A373" s="12" t="s">
        <v>5493</v>
      </c>
      <c r="B373" s="12" t="s">
        <v>2000</v>
      </c>
      <c r="C373" s="12" t="s">
        <v>143</v>
      </c>
      <c r="D373" s="12" t="s">
        <v>8126</v>
      </c>
      <c r="E373" s="12" t="s">
        <v>8124</v>
      </c>
      <c r="F373" s="12" t="s">
        <v>7160</v>
      </c>
      <c r="G373" s="12" t="s">
        <v>7649</v>
      </c>
      <c r="H373" s="12">
        <v>73</v>
      </c>
      <c r="I373" s="12" t="s">
        <v>7647</v>
      </c>
      <c r="J373" s="80">
        <v>8.1111111111111107</v>
      </c>
      <c r="K373" s="12" t="s">
        <v>7161</v>
      </c>
      <c r="L373" s="12" t="s">
        <v>21</v>
      </c>
      <c r="M373" s="12" t="s">
        <v>8110</v>
      </c>
      <c r="N373" s="12">
        <v>484</v>
      </c>
      <c r="O373" s="12">
        <v>6.7000000000000004E-2</v>
      </c>
      <c r="P373" s="12">
        <v>0.999</v>
      </c>
      <c r="Q373" s="12" t="s">
        <v>7169</v>
      </c>
      <c r="R373" s="12">
        <v>7.3000000000000001E-3</v>
      </c>
      <c r="S373" s="12">
        <v>0.16200000000000001</v>
      </c>
      <c r="T373" s="12">
        <v>175301</v>
      </c>
      <c r="U373" s="12">
        <v>0.04</v>
      </c>
      <c r="V373" s="12" t="s">
        <v>7661</v>
      </c>
      <c r="W373" s="12" t="s">
        <v>11</v>
      </c>
      <c r="X373" s="12">
        <v>20</v>
      </c>
      <c r="Y373" s="12" t="s">
        <v>8052</v>
      </c>
      <c r="Z373" s="12" t="s">
        <v>8052</v>
      </c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</row>
    <row r="374" spans="1:39" s="12" customFormat="1" x14ac:dyDescent="0.2">
      <c r="A374" s="12" t="s">
        <v>5494</v>
      </c>
      <c r="B374" s="12" t="s">
        <v>2000</v>
      </c>
      <c r="C374" s="12" t="s">
        <v>143</v>
      </c>
      <c r="D374" s="12" t="s">
        <v>8126</v>
      </c>
      <c r="E374" s="12" t="s">
        <v>8124</v>
      </c>
      <c r="F374" s="12" t="s">
        <v>7160</v>
      </c>
      <c r="G374" s="12" t="s">
        <v>7649</v>
      </c>
      <c r="H374" s="12">
        <v>73</v>
      </c>
      <c r="I374" s="12" t="s">
        <v>7647</v>
      </c>
      <c r="J374" s="80">
        <v>8.1111111111111107</v>
      </c>
      <c r="K374" s="12" t="s">
        <v>7161</v>
      </c>
      <c r="L374" s="12" t="s">
        <v>21</v>
      </c>
      <c r="M374" s="12" t="s">
        <v>8110</v>
      </c>
      <c r="N374" s="12">
        <v>506</v>
      </c>
      <c r="O374" s="12">
        <v>6.5000000000000002E-2</v>
      </c>
      <c r="P374" s="12">
        <v>0.998</v>
      </c>
      <c r="Q374" s="12" t="s">
        <v>7179</v>
      </c>
      <c r="R374" s="12">
        <v>6.7000000000000002E-3</v>
      </c>
      <c r="S374" s="12">
        <v>0.14899999999999999</v>
      </c>
      <c r="T374" s="12">
        <v>162346</v>
      </c>
      <c r="U374" s="12">
        <v>3.9E-2</v>
      </c>
      <c r="V374" s="12" t="s">
        <v>7661</v>
      </c>
      <c r="W374" s="12" t="s">
        <v>11</v>
      </c>
      <c r="X374" s="12">
        <v>17</v>
      </c>
      <c r="Y374" s="12" t="s">
        <v>8052</v>
      </c>
      <c r="Z374" s="12" t="s">
        <v>8052</v>
      </c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</row>
    <row r="375" spans="1:39" s="12" customFormat="1" x14ac:dyDescent="0.2">
      <c r="A375" s="12" t="s">
        <v>5495</v>
      </c>
      <c r="B375" s="12" t="s">
        <v>2000</v>
      </c>
      <c r="C375" s="12" t="s">
        <v>143</v>
      </c>
      <c r="D375" s="12" t="s">
        <v>8126</v>
      </c>
      <c r="E375" s="12" t="s">
        <v>8124</v>
      </c>
      <c r="F375" s="12" t="s">
        <v>7160</v>
      </c>
      <c r="G375" s="12" t="s">
        <v>7649</v>
      </c>
      <c r="H375" s="12">
        <v>73</v>
      </c>
      <c r="I375" s="12" t="s">
        <v>7647</v>
      </c>
      <c r="J375" s="80">
        <v>8.1111111111111107</v>
      </c>
      <c r="K375" s="12" t="s">
        <v>7161</v>
      </c>
      <c r="L375" s="12" t="s">
        <v>21</v>
      </c>
      <c r="M375" s="12" t="s">
        <v>8110</v>
      </c>
      <c r="N375" s="12">
        <v>506</v>
      </c>
      <c r="O375" s="12">
        <v>6.7000000000000004E-2</v>
      </c>
      <c r="P375" s="12">
        <v>0.997</v>
      </c>
      <c r="Q375" s="12" t="s">
        <v>7194</v>
      </c>
      <c r="R375" s="12">
        <v>6.6E-3</v>
      </c>
      <c r="S375" s="12">
        <v>0.16800000000000001</v>
      </c>
      <c r="T375" s="12">
        <v>180756</v>
      </c>
      <c r="U375" s="12">
        <v>0.04</v>
      </c>
      <c r="V375" s="12" t="s">
        <v>7661</v>
      </c>
      <c r="W375" s="12" t="s">
        <v>11</v>
      </c>
      <c r="X375" s="12">
        <v>28</v>
      </c>
      <c r="Y375" s="12" t="s">
        <v>8052</v>
      </c>
      <c r="Z375" s="12" t="s">
        <v>8052</v>
      </c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</row>
    <row r="376" spans="1:39" s="12" customFormat="1" x14ac:dyDescent="0.2">
      <c r="A376" s="12" t="s">
        <v>5484</v>
      </c>
      <c r="B376" s="12" t="s">
        <v>1986</v>
      </c>
      <c r="C376" s="12" t="s">
        <v>143</v>
      </c>
      <c r="D376" s="12" t="s">
        <v>8126</v>
      </c>
      <c r="E376" s="12" t="s">
        <v>8124</v>
      </c>
      <c r="F376" s="12" t="s">
        <v>7160</v>
      </c>
      <c r="G376" s="12" t="s">
        <v>7649</v>
      </c>
      <c r="H376" s="12">
        <v>79</v>
      </c>
      <c r="I376" s="12" t="s">
        <v>7647</v>
      </c>
      <c r="J376" s="80">
        <v>8.7777777777777768</v>
      </c>
      <c r="K376" s="12" t="s">
        <v>7161</v>
      </c>
      <c r="L376" s="12" t="s">
        <v>21</v>
      </c>
      <c r="M376" s="12" t="s">
        <v>8110</v>
      </c>
      <c r="N376" s="12">
        <v>79.900000000000006</v>
      </c>
      <c r="O376" s="12">
        <v>0.13300000000000001</v>
      </c>
      <c r="P376" s="12">
        <v>1</v>
      </c>
      <c r="Q376" s="12" t="s">
        <v>7165</v>
      </c>
      <c r="R376" s="12">
        <v>5.1999999999999998E-3</v>
      </c>
      <c r="S376" s="12">
        <v>3.0000000000000001E-3</v>
      </c>
      <c r="T376" s="12">
        <v>3886</v>
      </c>
      <c r="U376" s="12" t="s">
        <v>17</v>
      </c>
      <c r="V376" s="12" t="s">
        <v>7661</v>
      </c>
      <c r="W376" s="12" t="s">
        <v>11</v>
      </c>
      <c r="X376" s="12" t="s">
        <v>17</v>
      </c>
      <c r="Y376" s="12" t="s">
        <v>17</v>
      </c>
      <c r="Z376" s="12" t="s">
        <v>17</v>
      </c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</row>
    <row r="377" spans="1:39" s="12" customFormat="1" x14ac:dyDescent="0.2">
      <c r="A377" s="12" t="s">
        <v>5485</v>
      </c>
      <c r="B377" s="12" t="s">
        <v>1986</v>
      </c>
      <c r="C377" s="12" t="s">
        <v>143</v>
      </c>
      <c r="D377" s="12" t="s">
        <v>8126</v>
      </c>
      <c r="E377" s="12" t="s">
        <v>8124</v>
      </c>
      <c r="F377" s="12" t="s">
        <v>7160</v>
      </c>
      <c r="G377" s="12" t="s">
        <v>7649</v>
      </c>
      <c r="H377" s="12">
        <v>79</v>
      </c>
      <c r="I377" s="12" t="s">
        <v>7647</v>
      </c>
      <c r="J377" s="80">
        <v>8.7777777777777768</v>
      </c>
      <c r="K377" s="12" t="s">
        <v>7161</v>
      </c>
      <c r="L377" s="12" t="s">
        <v>21</v>
      </c>
      <c r="M377" s="12" t="s">
        <v>8110</v>
      </c>
      <c r="N377" s="12">
        <v>97.5</v>
      </c>
      <c r="O377" s="12">
        <v>0.13600000000000001</v>
      </c>
      <c r="P377" s="12">
        <v>0.999</v>
      </c>
      <c r="Q377" s="12" t="s">
        <v>7179</v>
      </c>
      <c r="R377" s="12">
        <v>7.7999999999999996E-3</v>
      </c>
      <c r="S377" s="12">
        <v>4.0000000000000001E-3</v>
      </c>
      <c r="T377" s="12">
        <v>4598</v>
      </c>
      <c r="U377" s="12" t="s">
        <v>17</v>
      </c>
      <c r="V377" s="12" t="s">
        <v>7661</v>
      </c>
      <c r="W377" s="12" t="s">
        <v>11</v>
      </c>
      <c r="X377" s="12" t="s">
        <v>17</v>
      </c>
      <c r="Y377" s="12" t="s">
        <v>17</v>
      </c>
      <c r="Z377" s="12" t="s">
        <v>17</v>
      </c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</row>
    <row r="378" spans="1:39" s="12" customFormat="1" x14ac:dyDescent="0.2">
      <c r="A378" s="12" t="s">
        <v>5486</v>
      </c>
      <c r="B378" s="12" t="s">
        <v>1986</v>
      </c>
      <c r="C378" s="12" t="s">
        <v>143</v>
      </c>
      <c r="D378" s="12" t="s">
        <v>8126</v>
      </c>
      <c r="E378" s="12" t="s">
        <v>8124</v>
      </c>
      <c r="F378" s="12" t="s">
        <v>7160</v>
      </c>
      <c r="G378" s="12" t="s">
        <v>7649</v>
      </c>
      <c r="H378" s="12">
        <v>79</v>
      </c>
      <c r="I378" s="12" t="s">
        <v>7647</v>
      </c>
      <c r="J378" s="80">
        <v>8.7777777777777768</v>
      </c>
      <c r="K378" s="12" t="s">
        <v>7161</v>
      </c>
      <c r="L378" s="12" t="s">
        <v>21</v>
      </c>
      <c r="M378" s="12" t="s">
        <v>8110</v>
      </c>
      <c r="N378" s="12">
        <v>88.1</v>
      </c>
      <c r="O378" s="12">
        <v>0.13100000000000001</v>
      </c>
      <c r="P378" s="12">
        <v>1</v>
      </c>
      <c r="Q378" s="12" t="s">
        <v>7169</v>
      </c>
      <c r="R378" s="12">
        <v>7.7999999999999996E-3</v>
      </c>
      <c r="S378" s="12">
        <v>3.0000000000000001E-3</v>
      </c>
      <c r="T378" s="12">
        <v>4179</v>
      </c>
      <c r="U378" s="12" t="s">
        <v>17</v>
      </c>
      <c r="V378" s="12" t="s">
        <v>7661</v>
      </c>
      <c r="W378" s="12" t="s">
        <v>11</v>
      </c>
      <c r="X378" s="12" t="s">
        <v>17</v>
      </c>
      <c r="Y378" s="12" t="s">
        <v>17</v>
      </c>
      <c r="Z378" s="12" t="s">
        <v>17</v>
      </c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</row>
    <row r="379" spans="1:39" s="12" customFormat="1" x14ac:dyDescent="0.2">
      <c r="A379" s="12" t="s">
        <v>5487</v>
      </c>
      <c r="B379" s="12" t="s">
        <v>1986</v>
      </c>
      <c r="C379" s="12" t="s">
        <v>143</v>
      </c>
      <c r="D379" s="12" t="s">
        <v>8126</v>
      </c>
      <c r="E379" s="12" t="s">
        <v>8124</v>
      </c>
      <c r="F379" s="12" t="s">
        <v>7160</v>
      </c>
      <c r="G379" s="12" t="s">
        <v>7649</v>
      </c>
      <c r="H379" s="12">
        <v>79</v>
      </c>
      <c r="I379" s="12" t="s">
        <v>7647</v>
      </c>
      <c r="J379" s="80">
        <v>8.7777777777777768</v>
      </c>
      <c r="K379" s="12" t="s">
        <v>7161</v>
      </c>
      <c r="L379" s="12" t="s">
        <v>21</v>
      </c>
      <c r="M379" s="12" t="s">
        <v>8110</v>
      </c>
      <c r="N379" s="12">
        <v>97.4</v>
      </c>
      <c r="O379" s="12">
        <v>0.123</v>
      </c>
      <c r="P379" s="12">
        <v>1</v>
      </c>
      <c r="Q379" s="12" t="s">
        <v>7169</v>
      </c>
      <c r="R379" s="12">
        <v>7.1000000000000004E-3</v>
      </c>
      <c r="S379" s="12">
        <v>4.0000000000000001E-3</v>
      </c>
      <c r="T379" s="12">
        <v>4298</v>
      </c>
      <c r="U379" s="12" t="s">
        <v>17</v>
      </c>
      <c r="V379" s="12" t="s">
        <v>7661</v>
      </c>
      <c r="W379" s="12" t="s">
        <v>11</v>
      </c>
      <c r="X379" s="12" t="s">
        <v>17</v>
      </c>
      <c r="Y379" s="12" t="s">
        <v>17</v>
      </c>
      <c r="Z379" s="12" t="s">
        <v>17</v>
      </c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</row>
    <row r="380" spans="1:39" s="12" customFormat="1" x14ac:dyDescent="0.2">
      <c r="A380" s="12" t="s">
        <v>5515</v>
      </c>
      <c r="B380" s="12" t="s">
        <v>4657</v>
      </c>
      <c r="C380" s="12" t="s">
        <v>8127</v>
      </c>
      <c r="D380" s="12" t="s">
        <v>8126</v>
      </c>
      <c r="E380" s="12" t="s">
        <v>8124</v>
      </c>
      <c r="F380" s="12" t="s">
        <v>7160</v>
      </c>
      <c r="G380" s="12" t="s">
        <v>7649</v>
      </c>
      <c r="H380" s="12">
        <v>70</v>
      </c>
      <c r="I380" s="12" t="s">
        <v>7647</v>
      </c>
      <c r="J380" s="80">
        <v>7.7777777777777777</v>
      </c>
      <c r="K380" s="12" t="s">
        <v>7161</v>
      </c>
      <c r="L380" s="12" t="s">
        <v>21</v>
      </c>
      <c r="M380" s="12" t="s">
        <v>8110</v>
      </c>
      <c r="N380" s="12">
        <v>2.82</v>
      </c>
      <c r="O380" s="12">
        <v>0.08</v>
      </c>
      <c r="P380" s="12">
        <v>0.92100000000000004</v>
      </c>
      <c r="Q380" s="12" t="s">
        <v>7217</v>
      </c>
      <c r="R380" s="12">
        <v>7.4000000000000003E-3</v>
      </c>
      <c r="S380" s="12">
        <v>3.0000000000000001E-3</v>
      </c>
      <c r="T380" s="12">
        <v>3811</v>
      </c>
      <c r="U380" s="12" t="s">
        <v>17</v>
      </c>
      <c r="V380" s="12" t="s">
        <v>7661</v>
      </c>
      <c r="W380" s="12" t="s">
        <v>11</v>
      </c>
      <c r="X380" s="12" t="s">
        <v>17</v>
      </c>
      <c r="Y380" s="12" t="s">
        <v>17</v>
      </c>
      <c r="Z380" s="12" t="s">
        <v>17</v>
      </c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</row>
    <row r="381" spans="1:39" s="12" customFormat="1" x14ac:dyDescent="0.2">
      <c r="A381" s="12" t="s">
        <v>5516</v>
      </c>
      <c r="B381" s="12" t="s">
        <v>4657</v>
      </c>
      <c r="C381" s="12" t="s">
        <v>8127</v>
      </c>
      <c r="D381" s="12" t="s">
        <v>8126</v>
      </c>
      <c r="E381" s="12" t="s">
        <v>8124</v>
      </c>
      <c r="F381" s="12" t="s">
        <v>7160</v>
      </c>
      <c r="G381" s="12" t="s">
        <v>7649</v>
      </c>
      <c r="H381" s="12">
        <v>70</v>
      </c>
      <c r="I381" s="12" t="s">
        <v>7647</v>
      </c>
      <c r="J381" s="80">
        <v>7.7777777777777777</v>
      </c>
      <c r="K381" s="12" t="s">
        <v>7161</v>
      </c>
      <c r="L381" s="12" t="s">
        <v>21</v>
      </c>
      <c r="M381" s="12" t="s">
        <v>8110</v>
      </c>
      <c r="N381" s="12">
        <v>3.33</v>
      </c>
      <c r="O381" s="12">
        <v>7.8E-2</v>
      </c>
      <c r="P381" s="12">
        <v>0.93799999999999994</v>
      </c>
      <c r="Q381" s="12" t="s">
        <v>7370</v>
      </c>
      <c r="R381" s="12">
        <v>7.4999999999999997E-3</v>
      </c>
      <c r="S381" s="12">
        <v>4.0000000000000001E-3</v>
      </c>
      <c r="T381" s="12">
        <v>4813</v>
      </c>
      <c r="U381" s="12" t="s">
        <v>17</v>
      </c>
      <c r="V381" s="12" t="s">
        <v>7661</v>
      </c>
      <c r="W381" s="12" t="s">
        <v>11</v>
      </c>
      <c r="X381" s="12" t="s">
        <v>17</v>
      </c>
      <c r="Y381" s="12" t="s">
        <v>17</v>
      </c>
      <c r="Z381" s="12" t="s">
        <v>17</v>
      </c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</row>
    <row r="382" spans="1:39" s="12" customFormat="1" x14ac:dyDescent="0.2">
      <c r="A382" s="12" t="s">
        <v>5508</v>
      </c>
      <c r="B382" s="12" t="s">
        <v>4643</v>
      </c>
      <c r="C382" s="12" t="s">
        <v>143</v>
      </c>
      <c r="D382" s="12" t="s">
        <v>8126</v>
      </c>
      <c r="E382" s="12" t="s">
        <v>8124</v>
      </c>
      <c r="F382" s="12" t="s">
        <v>7160</v>
      </c>
      <c r="G382" s="12" t="s">
        <v>7649</v>
      </c>
      <c r="H382" s="12">
        <v>65</v>
      </c>
      <c r="I382" s="12" t="s">
        <v>7647</v>
      </c>
      <c r="J382" s="80">
        <v>7.2222222222222214</v>
      </c>
      <c r="K382" s="12" t="s">
        <v>7161</v>
      </c>
      <c r="L382" s="12" t="s">
        <v>21</v>
      </c>
      <c r="M382" s="12" t="s">
        <v>8110</v>
      </c>
      <c r="N382" s="12">
        <v>66.5</v>
      </c>
      <c r="O382" s="12">
        <v>0.123</v>
      </c>
      <c r="P382" s="12">
        <v>0.99099999999999999</v>
      </c>
      <c r="Q382" s="12" t="s">
        <v>7191</v>
      </c>
      <c r="R382" s="12">
        <v>2.7E-2</v>
      </c>
      <c r="S382" s="12">
        <v>0.20599999999999999</v>
      </c>
      <c r="T382" s="12">
        <v>219187</v>
      </c>
      <c r="U382" s="12">
        <v>8.4000000000000005E-2</v>
      </c>
      <c r="V382" s="12" t="s">
        <v>7661</v>
      </c>
      <c r="W382" s="12" t="s">
        <v>11</v>
      </c>
      <c r="X382" s="12">
        <v>35</v>
      </c>
      <c r="Y382" s="12" t="s">
        <v>8052</v>
      </c>
      <c r="Z382" s="12" t="s">
        <v>8052</v>
      </c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</row>
    <row r="383" spans="1:39" s="12" customFormat="1" x14ac:dyDescent="0.2">
      <c r="A383" s="12" t="s">
        <v>5509</v>
      </c>
      <c r="B383" s="12" t="s">
        <v>4643</v>
      </c>
      <c r="C383" s="12" t="s">
        <v>143</v>
      </c>
      <c r="D383" s="12" t="s">
        <v>8126</v>
      </c>
      <c r="E383" s="12" t="s">
        <v>8124</v>
      </c>
      <c r="F383" s="12" t="s">
        <v>7160</v>
      </c>
      <c r="G383" s="12" t="s">
        <v>7649</v>
      </c>
      <c r="H383" s="12">
        <v>65</v>
      </c>
      <c r="I383" s="12" t="s">
        <v>7647</v>
      </c>
      <c r="J383" s="80">
        <v>7.2222222222222214</v>
      </c>
      <c r="K383" s="12" t="s">
        <v>7161</v>
      </c>
      <c r="L383" s="12" t="s">
        <v>21</v>
      </c>
      <c r="M383" s="12" t="s">
        <v>8110</v>
      </c>
      <c r="N383" s="12">
        <v>72.099999999999994</v>
      </c>
      <c r="O383" s="12">
        <v>0.123</v>
      </c>
      <c r="P383" s="12">
        <v>0.998</v>
      </c>
      <c r="Q383" s="12" t="s">
        <v>7204</v>
      </c>
      <c r="R383" s="12">
        <v>2.5000000000000001E-2</v>
      </c>
      <c r="S383" s="12">
        <v>0.23799999999999999</v>
      </c>
      <c r="T383" s="12">
        <v>245642</v>
      </c>
      <c r="U383" s="12">
        <v>8.6999999999999994E-2</v>
      </c>
      <c r="V383" s="12" t="s">
        <v>7661</v>
      </c>
      <c r="W383" s="12" t="s">
        <v>11</v>
      </c>
      <c r="X383" s="12">
        <v>45</v>
      </c>
      <c r="Y383" s="12" t="s">
        <v>8052</v>
      </c>
      <c r="Z383" s="12" t="s">
        <v>8052</v>
      </c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</row>
    <row r="384" spans="1:39" s="12" customFormat="1" x14ac:dyDescent="0.2">
      <c r="A384" s="12" t="s">
        <v>5510</v>
      </c>
      <c r="B384" s="12" t="s">
        <v>4643</v>
      </c>
      <c r="C384" s="12" t="s">
        <v>143</v>
      </c>
      <c r="D384" s="12" t="s">
        <v>8126</v>
      </c>
      <c r="E384" s="12" t="s">
        <v>8124</v>
      </c>
      <c r="F384" s="12" t="s">
        <v>7160</v>
      </c>
      <c r="G384" s="12" t="s">
        <v>7649</v>
      </c>
      <c r="H384" s="12">
        <v>65</v>
      </c>
      <c r="I384" s="12" t="s">
        <v>7647</v>
      </c>
      <c r="J384" s="80">
        <v>7.2222222222222214</v>
      </c>
      <c r="K384" s="12" t="s">
        <v>7161</v>
      </c>
      <c r="L384" s="12" t="s">
        <v>21</v>
      </c>
      <c r="M384" s="12" t="s">
        <v>8110</v>
      </c>
      <c r="N384" s="12">
        <v>75.8</v>
      </c>
      <c r="O384" s="12">
        <v>0.121</v>
      </c>
      <c r="P384" s="12">
        <v>0.995</v>
      </c>
      <c r="Q384" s="12" t="s">
        <v>7256</v>
      </c>
      <c r="R384" s="12">
        <v>2.3E-2</v>
      </c>
      <c r="S384" s="12">
        <v>0.22900000000000001</v>
      </c>
      <c r="T384" s="12">
        <v>237900</v>
      </c>
      <c r="U384" s="12">
        <v>8.6999999999999994E-2</v>
      </c>
      <c r="V384" s="12" t="s">
        <v>7661</v>
      </c>
      <c r="W384" s="12" t="s">
        <v>11</v>
      </c>
      <c r="X384" s="12">
        <v>37</v>
      </c>
      <c r="Y384" s="12" t="s">
        <v>8052</v>
      </c>
      <c r="Z384" s="12" t="s">
        <v>8052</v>
      </c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</row>
    <row r="385" spans="1:56" s="12" customFormat="1" x14ac:dyDescent="0.2">
      <c r="A385" s="12" t="s">
        <v>5505</v>
      </c>
      <c r="B385" s="12" t="s">
        <v>4639</v>
      </c>
      <c r="C385" s="12" t="s">
        <v>13</v>
      </c>
      <c r="D385" s="12" t="s">
        <v>7210</v>
      </c>
      <c r="E385" s="12" t="s">
        <v>8124</v>
      </c>
      <c r="F385" s="12" t="s">
        <v>7160</v>
      </c>
      <c r="G385" s="12" t="s">
        <v>7649</v>
      </c>
      <c r="H385" s="12">
        <v>70</v>
      </c>
      <c r="I385" s="12" t="s">
        <v>7646</v>
      </c>
      <c r="J385" s="80">
        <v>23.333333333333332</v>
      </c>
      <c r="K385" s="12" t="s">
        <v>7161</v>
      </c>
      <c r="L385" s="12" t="s">
        <v>21</v>
      </c>
      <c r="M385" s="12" t="s">
        <v>8110</v>
      </c>
      <c r="N385" s="12">
        <v>21.6</v>
      </c>
      <c r="O385" s="12">
        <v>0.26600000000000001</v>
      </c>
      <c r="P385" s="12">
        <v>0.97799999999999998</v>
      </c>
      <c r="Q385" s="12" t="s">
        <v>7192</v>
      </c>
      <c r="R385" s="12">
        <v>3.5000000000000003E-2</v>
      </c>
      <c r="S385" s="12">
        <v>0.08</v>
      </c>
      <c r="T385" s="12">
        <v>87313</v>
      </c>
      <c r="U385" s="12">
        <v>0.14199999999999999</v>
      </c>
      <c r="V385" s="12" t="s">
        <v>7661</v>
      </c>
      <c r="W385" s="12" t="s">
        <v>11</v>
      </c>
      <c r="X385" s="12">
        <v>16</v>
      </c>
      <c r="Y385" s="12" t="s">
        <v>8052</v>
      </c>
      <c r="Z385" s="12" t="s">
        <v>8052</v>
      </c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</row>
    <row r="386" spans="1:56" s="12" customFormat="1" x14ac:dyDescent="0.2">
      <c r="A386" s="12" t="s">
        <v>5506</v>
      </c>
      <c r="B386" s="12" t="s">
        <v>4639</v>
      </c>
      <c r="C386" s="12" t="s">
        <v>13</v>
      </c>
      <c r="D386" s="12" t="s">
        <v>7210</v>
      </c>
      <c r="E386" s="12" t="s">
        <v>8124</v>
      </c>
      <c r="F386" s="12" t="s">
        <v>7160</v>
      </c>
      <c r="G386" s="12" t="s">
        <v>7649</v>
      </c>
      <c r="H386" s="12">
        <v>70</v>
      </c>
      <c r="I386" s="12" t="s">
        <v>7647</v>
      </c>
      <c r="J386" s="80">
        <v>23.333333333333332</v>
      </c>
      <c r="K386" s="12" t="s">
        <v>7161</v>
      </c>
      <c r="L386" s="12" t="s">
        <v>21</v>
      </c>
      <c r="M386" s="12" t="s">
        <v>8110</v>
      </c>
      <c r="N386" s="12">
        <v>18.600000000000001</v>
      </c>
      <c r="O386" s="12">
        <v>0.25900000000000001</v>
      </c>
      <c r="P386" s="12">
        <v>0.97</v>
      </c>
      <c r="Q386" s="12" t="s">
        <v>7350</v>
      </c>
      <c r="R386" s="12">
        <v>0.06</v>
      </c>
      <c r="S386" s="12">
        <v>8.9069999999999996E-2</v>
      </c>
      <c r="T386" s="12">
        <v>97933</v>
      </c>
      <c r="U386" s="12">
        <v>0.11899999999999999</v>
      </c>
      <c r="V386" s="12" t="s">
        <v>7661</v>
      </c>
      <c r="W386" s="12" t="s">
        <v>11</v>
      </c>
      <c r="X386" s="12">
        <v>24</v>
      </c>
      <c r="Y386" s="12" t="s">
        <v>8052</v>
      </c>
      <c r="Z386" s="12" t="s">
        <v>8052</v>
      </c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</row>
    <row r="387" spans="1:56" s="12" customFormat="1" x14ac:dyDescent="0.2">
      <c r="A387" s="12" t="s">
        <v>5507</v>
      </c>
      <c r="B387" s="12" t="s">
        <v>4639</v>
      </c>
      <c r="C387" s="12" t="s">
        <v>13</v>
      </c>
      <c r="D387" s="12" t="s">
        <v>7210</v>
      </c>
      <c r="E387" s="12" t="s">
        <v>8124</v>
      </c>
      <c r="F387" s="12" t="s">
        <v>7160</v>
      </c>
      <c r="G387" s="12" t="s">
        <v>7649</v>
      </c>
      <c r="H387" s="12">
        <v>70</v>
      </c>
      <c r="I387" s="12" t="s">
        <v>7647</v>
      </c>
      <c r="J387" s="80">
        <v>23.333333333333332</v>
      </c>
      <c r="K387" s="12" t="s">
        <v>7161</v>
      </c>
      <c r="L387" s="12" t="s">
        <v>21</v>
      </c>
      <c r="M387" s="12" t="s">
        <v>8110</v>
      </c>
      <c r="N387" s="12">
        <v>15.2</v>
      </c>
      <c r="O387" s="12">
        <v>0.251</v>
      </c>
      <c r="P387" s="12">
        <v>0.98199999999999998</v>
      </c>
      <c r="Q387" s="12" t="s">
        <v>7389</v>
      </c>
      <c r="R387" s="12">
        <v>4.9000000000000002E-2</v>
      </c>
      <c r="S387" s="12">
        <v>0.103114</v>
      </c>
      <c r="T387" s="12">
        <v>112418</v>
      </c>
      <c r="U387" s="12">
        <v>0.106</v>
      </c>
      <c r="V387" s="12" t="s">
        <v>7661</v>
      </c>
      <c r="W387" s="12" t="s">
        <v>11</v>
      </c>
      <c r="X387" s="12">
        <v>20</v>
      </c>
      <c r="Y387" s="12" t="s">
        <v>8052</v>
      </c>
      <c r="Z387" s="12" t="s">
        <v>8052</v>
      </c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</row>
    <row r="388" spans="1:56" s="12" customFormat="1" x14ac:dyDescent="0.2">
      <c r="A388" s="12" t="s">
        <v>4622</v>
      </c>
      <c r="B388" s="12" t="s">
        <v>4620</v>
      </c>
      <c r="C388" s="12" t="s">
        <v>13</v>
      </c>
      <c r="D388" s="12" t="s">
        <v>7210</v>
      </c>
      <c r="E388" s="12" t="s">
        <v>8124</v>
      </c>
      <c r="F388" s="12" t="s">
        <v>7160</v>
      </c>
      <c r="G388" s="12" t="s">
        <v>7649</v>
      </c>
      <c r="H388" s="12">
        <v>61</v>
      </c>
      <c r="I388" s="12" t="s">
        <v>7646</v>
      </c>
      <c r="J388" s="80">
        <v>20.333333333333332</v>
      </c>
      <c r="K388" s="12" t="s">
        <v>7161</v>
      </c>
      <c r="L388" s="12" t="s">
        <v>21</v>
      </c>
      <c r="M388" s="12" t="s">
        <v>8110</v>
      </c>
      <c r="N388" s="12">
        <v>359</v>
      </c>
      <c r="O388" s="12">
        <v>0.129</v>
      </c>
      <c r="P388" s="12">
        <v>0.99099999999999999</v>
      </c>
      <c r="Q388" s="12" t="s">
        <v>7234</v>
      </c>
      <c r="R388" s="12">
        <v>0.23</v>
      </c>
      <c r="S388" s="12">
        <v>1.8260000000000001</v>
      </c>
      <c r="T388" s="12">
        <v>634820</v>
      </c>
      <c r="U388" s="12">
        <v>0.10299999999999999</v>
      </c>
      <c r="V388" s="12" t="s">
        <v>7661</v>
      </c>
      <c r="W388" s="12" t="s">
        <v>25</v>
      </c>
      <c r="X388" s="12">
        <v>4936</v>
      </c>
      <c r="Y388" s="12" t="s">
        <v>6639</v>
      </c>
      <c r="Z388" s="12" t="s">
        <v>6639</v>
      </c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</row>
    <row r="389" spans="1:56" s="12" customFormat="1" x14ac:dyDescent="0.2">
      <c r="A389" s="12" t="s">
        <v>4614</v>
      </c>
      <c r="B389" s="12" t="s">
        <v>4612</v>
      </c>
      <c r="C389" s="12" t="s">
        <v>13</v>
      </c>
      <c r="D389" s="12" t="s">
        <v>7210</v>
      </c>
      <c r="E389" s="12" t="s">
        <v>8124</v>
      </c>
      <c r="F389" s="12" t="s">
        <v>7160</v>
      </c>
      <c r="G389" s="12" t="s">
        <v>7649</v>
      </c>
      <c r="H389" s="12">
        <v>69</v>
      </c>
      <c r="I389" s="12" t="s">
        <v>7646</v>
      </c>
      <c r="J389" s="80">
        <v>23</v>
      </c>
      <c r="K389" s="12" t="s">
        <v>7161</v>
      </c>
      <c r="L389" s="12" t="s">
        <v>21</v>
      </c>
      <c r="M389" s="12" t="s">
        <v>8110</v>
      </c>
      <c r="N389" s="12">
        <v>894</v>
      </c>
      <c r="O389" s="12">
        <v>0.08</v>
      </c>
      <c r="P389" s="12">
        <v>0.93500000000000005</v>
      </c>
      <c r="Q389" s="12" t="s">
        <v>7233</v>
      </c>
      <c r="R389" s="12">
        <v>0.70699999999999996</v>
      </c>
      <c r="S389" s="12">
        <v>5.5540000000000003</v>
      </c>
      <c r="T389" s="12">
        <v>745066</v>
      </c>
      <c r="U389" s="12">
        <v>6.7000000000000004E-2</v>
      </c>
      <c r="V389" s="12" t="s">
        <v>7661</v>
      </c>
      <c r="W389" s="12" t="s">
        <v>11</v>
      </c>
      <c r="X389" s="12">
        <v>5121</v>
      </c>
      <c r="Y389" s="12">
        <v>4.8409999999999998E-3</v>
      </c>
      <c r="Z389" s="12">
        <v>4.8180755963127444</v>
      </c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</row>
    <row r="390" spans="1:56" s="12" customFormat="1" x14ac:dyDescent="0.2">
      <c r="A390" s="12" t="s">
        <v>5512</v>
      </c>
      <c r="B390" s="12" t="s">
        <v>4652</v>
      </c>
      <c r="C390" s="12" t="s">
        <v>8127</v>
      </c>
      <c r="D390" s="12" t="s">
        <v>8126</v>
      </c>
      <c r="E390" s="12" t="s">
        <v>8124</v>
      </c>
      <c r="F390" s="12" t="s">
        <v>7160</v>
      </c>
      <c r="G390" s="12" t="s">
        <v>7649</v>
      </c>
      <c r="H390" s="12">
        <v>72</v>
      </c>
      <c r="I390" s="12" t="s">
        <v>7646</v>
      </c>
      <c r="J390" s="80">
        <v>24</v>
      </c>
      <c r="K390" s="12" t="s">
        <v>7161</v>
      </c>
      <c r="L390" s="12" t="s">
        <v>21</v>
      </c>
      <c r="M390" s="12" t="s">
        <v>8110</v>
      </c>
      <c r="N390" s="12">
        <v>11.1</v>
      </c>
      <c r="O390" s="12">
        <v>8.3000000000000004E-2</v>
      </c>
      <c r="P390" s="12">
        <v>0.97399999999999998</v>
      </c>
      <c r="Q390" s="12" t="s">
        <v>7193</v>
      </c>
      <c r="R390" s="12">
        <v>4.7999999999999996E-3</v>
      </c>
      <c r="S390" s="12">
        <v>1.7999999999999999E-2</v>
      </c>
      <c r="T390" s="12">
        <v>21838</v>
      </c>
      <c r="U390" s="12" t="s">
        <v>17</v>
      </c>
      <c r="V390" s="12" t="s">
        <v>7661</v>
      </c>
      <c r="W390" s="12" t="s">
        <v>25</v>
      </c>
      <c r="X390" s="12">
        <v>3</v>
      </c>
      <c r="Y390" s="12" t="s">
        <v>6639</v>
      </c>
      <c r="Z390" s="12" t="s">
        <v>6639</v>
      </c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</row>
    <row r="391" spans="1:56" s="12" customFormat="1" x14ac:dyDescent="0.2">
      <c r="A391" s="12" t="s">
        <v>5513</v>
      </c>
      <c r="B391" s="12" t="s">
        <v>4652</v>
      </c>
      <c r="C391" s="12" t="s">
        <v>8127</v>
      </c>
      <c r="D391" s="12" t="s">
        <v>8126</v>
      </c>
      <c r="E391" s="12" t="s">
        <v>8124</v>
      </c>
      <c r="F391" s="12" t="s">
        <v>7160</v>
      </c>
      <c r="G391" s="12" t="s">
        <v>7649</v>
      </c>
      <c r="H391" s="12">
        <v>72</v>
      </c>
      <c r="I391" s="12" t="s">
        <v>7647</v>
      </c>
      <c r="J391" s="80">
        <v>24</v>
      </c>
      <c r="K391" s="12" t="s">
        <v>7161</v>
      </c>
      <c r="L391" s="12" t="s">
        <v>21</v>
      </c>
      <c r="M391" s="12" t="s">
        <v>8110</v>
      </c>
      <c r="N391" s="12">
        <v>12</v>
      </c>
      <c r="O391" s="12">
        <v>7.6999999999999999E-2</v>
      </c>
      <c r="P391" s="12">
        <v>0.97299999999999998</v>
      </c>
      <c r="Q391" s="12" t="s">
        <v>7351</v>
      </c>
      <c r="R391" s="12">
        <v>7.1999999999999998E-3</v>
      </c>
      <c r="S391" s="12">
        <v>1.7967E-2</v>
      </c>
      <c r="T391" s="12">
        <v>21725</v>
      </c>
      <c r="U391" s="12">
        <v>5.1999999999999998E-2</v>
      </c>
      <c r="V391" s="12" t="s">
        <v>7661</v>
      </c>
      <c r="W391" s="12" t="s">
        <v>25</v>
      </c>
      <c r="X391" s="12">
        <v>3</v>
      </c>
      <c r="Y391" s="12" t="s">
        <v>8052</v>
      </c>
      <c r="Z391" s="12" t="s">
        <v>8052</v>
      </c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</row>
    <row r="392" spans="1:56" s="12" customFormat="1" x14ac:dyDescent="0.2">
      <c r="A392" s="12" t="s">
        <v>5514</v>
      </c>
      <c r="B392" s="12" t="s">
        <v>4652</v>
      </c>
      <c r="C392" s="12" t="s">
        <v>8127</v>
      </c>
      <c r="D392" s="12" t="s">
        <v>8126</v>
      </c>
      <c r="E392" s="12" t="s">
        <v>8124</v>
      </c>
      <c r="F392" s="12" t="s">
        <v>7160</v>
      </c>
      <c r="G392" s="12" t="s">
        <v>7649</v>
      </c>
      <c r="H392" s="12">
        <v>72</v>
      </c>
      <c r="I392" s="12" t="s">
        <v>7647</v>
      </c>
      <c r="J392" s="80">
        <v>24</v>
      </c>
      <c r="K392" s="12" t="s">
        <v>7161</v>
      </c>
      <c r="L392" s="12" t="s">
        <v>21</v>
      </c>
      <c r="M392" s="12" t="s">
        <v>8110</v>
      </c>
      <c r="N392" s="12">
        <v>1.07</v>
      </c>
      <c r="O392" s="12" t="s">
        <v>7796</v>
      </c>
      <c r="P392" s="12" t="s">
        <v>7796</v>
      </c>
      <c r="Q392" s="12" t="s">
        <v>7796</v>
      </c>
      <c r="R392" s="12">
        <v>8.9999999999999993E-3</v>
      </c>
      <c r="S392" s="12">
        <v>3.5860000000000002E-3</v>
      </c>
      <c r="T392" s="12">
        <v>4182</v>
      </c>
      <c r="U392" s="12">
        <v>1.6E-2</v>
      </c>
      <c r="V392" s="12" t="s">
        <v>7661</v>
      </c>
      <c r="W392" s="12" t="s">
        <v>25</v>
      </c>
      <c r="X392" s="12">
        <v>6</v>
      </c>
      <c r="Y392" s="12" t="s">
        <v>6639</v>
      </c>
      <c r="Z392" s="12" t="s">
        <v>6639</v>
      </c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</row>
    <row r="393" spans="1:56" s="12" customFormat="1" x14ac:dyDescent="0.2">
      <c r="A393" s="12" t="s">
        <v>5742</v>
      </c>
      <c r="B393" s="12" t="s">
        <v>4648</v>
      </c>
      <c r="C393" s="12" t="s">
        <v>8127</v>
      </c>
      <c r="D393" s="12" t="s">
        <v>8126</v>
      </c>
      <c r="E393" s="12" t="s">
        <v>8124</v>
      </c>
      <c r="F393" s="12" t="s">
        <v>7160</v>
      </c>
      <c r="G393" s="12" t="s">
        <v>7649</v>
      </c>
      <c r="H393" s="12">
        <v>72</v>
      </c>
      <c r="I393" s="12" t="s">
        <v>7647</v>
      </c>
      <c r="J393" s="80">
        <v>24</v>
      </c>
      <c r="K393" s="12" t="s">
        <v>7161</v>
      </c>
      <c r="L393" s="12" t="s">
        <v>21</v>
      </c>
      <c r="M393" s="12" t="s">
        <v>8110</v>
      </c>
      <c r="N393" s="12">
        <v>24.9</v>
      </c>
      <c r="O393" s="12">
        <v>9.4E-2</v>
      </c>
      <c r="P393" s="12">
        <v>0.99099999999999999</v>
      </c>
      <c r="Q393" s="12" t="s">
        <v>7371</v>
      </c>
      <c r="R393" s="12">
        <v>9.9000000000000008E-3</v>
      </c>
      <c r="S393" s="12">
        <v>8.6488999999999996E-2</v>
      </c>
      <c r="T393" s="12">
        <v>99413</v>
      </c>
      <c r="U393" s="12">
        <v>4.7E-2</v>
      </c>
      <c r="V393" s="12" t="s">
        <v>7661</v>
      </c>
      <c r="W393" s="12" t="s">
        <v>25</v>
      </c>
      <c r="X393" s="12">
        <v>51</v>
      </c>
      <c r="Y393" s="12" t="s">
        <v>6639</v>
      </c>
      <c r="Z393" s="12" t="s">
        <v>6639</v>
      </c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</row>
    <row r="394" spans="1:56" s="12" customFormat="1" x14ac:dyDescent="0.2">
      <c r="A394" s="12" t="s">
        <v>5511</v>
      </c>
      <c r="B394" s="12" t="s">
        <v>4648</v>
      </c>
      <c r="C394" s="12" t="s">
        <v>8127</v>
      </c>
      <c r="D394" s="12" t="s">
        <v>8126</v>
      </c>
      <c r="E394" s="12" t="s">
        <v>8124</v>
      </c>
      <c r="F394" s="12" t="s">
        <v>7160</v>
      </c>
      <c r="G394" s="12" t="s">
        <v>7649</v>
      </c>
      <c r="H394" s="12">
        <v>84</v>
      </c>
      <c r="I394" s="12" t="s">
        <v>7646</v>
      </c>
      <c r="J394" s="80">
        <v>28</v>
      </c>
      <c r="K394" s="12" t="s">
        <v>7161</v>
      </c>
      <c r="L394" s="12" t="s">
        <v>21</v>
      </c>
      <c r="M394" s="12" t="s">
        <v>8110</v>
      </c>
      <c r="N394" s="12">
        <v>31.6</v>
      </c>
      <c r="O394" s="12">
        <v>6.4000000000000001E-2</v>
      </c>
      <c r="P394" s="12">
        <v>1</v>
      </c>
      <c r="Q394" s="12" t="s">
        <v>7165</v>
      </c>
      <c r="R394" s="12">
        <v>6.8999999999999999E-3</v>
      </c>
      <c r="S394" s="12">
        <v>8.8999999999999996E-2</v>
      </c>
      <c r="T394" s="12">
        <v>100734</v>
      </c>
      <c r="U394" s="12">
        <v>0.04</v>
      </c>
      <c r="V394" s="12" t="s">
        <v>7661</v>
      </c>
      <c r="W394" s="12" t="s">
        <v>25</v>
      </c>
      <c r="X394" s="12">
        <v>62</v>
      </c>
      <c r="Y394" s="12" t="s">
        <v>6639</v>
      </c>
      <c r="Z394" s="12" t="s">
        <v>6639</v>
      </c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</row>
    <row r="395" spans="1:56" s="12" customFormat="1" x14ac:dyDescent="0.2">
      <c r="A395" s="12" t="s">
        <v>4647</v>
      </c>
      <c r="B395" s="12" t="s">
        <v>4648</v>
      </c>
      <c r="C395" s="12" t="s">
        <v>8127</v>
      </c>
      <c r="D395" s="12" t="s">
        <v>8126</v>
      </c>
      <c r="E395" s="12" t="s">
        <v>8124</v>
      </c>
      <c r="F395" s="12" t="s">
        <v>7160</v>
      </c>
      <c r="G395" s="12" t="s">
        <v>7649</v>
      </c>
      <c r="H395" s="12">
        <v>84</v>
      </c>
      <c r="I395" s="12" t="s">
        <v>7647</v>
      </c>
      <c r="J395" s="80">
        <v>28</v>
      </c>
      <c r="K395" s="12" t="s">
        <v>7161</v>
      </c>
      <c r="L395" s="12" t="s">
        <v>21</v>
      </c>
      <c r="M395" s="12" t="s">
        <v>8110</v>
      </c>
      <c r="N395" s="12" t="s">
        <v>17</v>
      </c>
      <c r="O395" s="12" t="s">
        <v>17</v>
      </c>
      <c r="P395" s="12" t="s">
        <v>17</v>
      </c>
      <c r="Q395" s="12" t="s">
        <v>17</v>
      </c>
      <c r="R395" s="12" t="s">
        <v>17</v>
      </c>
      <c r="S395" s="12">
        <v>9.2193999999999998E-2</v>
      </c>
      <c r="T395" s="12">
        <v>101743</v>
      </c>
      <c r="U395" s="12">
        <v>6.9000000000000006E-2</v>
      </c>
      <c r="V395" s="12" t="s">
        <v>7661</v>
      </c>
      <c r="W395" s="12" t="s">
        <v>25</v>
      </c>
      <c r="X395" s="12">
        <v>104</v>
      </c>
      <c r="Y395" s="12" t="s">
        <v>6639</v>
      </c>
      <c r="Z395" s="12" t="s">
        <v>6639</v>
      </c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</row>
    <row r="396" spans="1:56" s="12" customFormat="1" x14ac:dyDescent="0.2">
      <c r="A396" s="12" t="s">
        <v>5496</v>
      </c>
      <c r="B396" s="12" t="s">
        <v>4608</v>
      </c>
      <c r="C396" s="12" t="s">
        <v>8127</v>
      </c>
      <c r="D396" s="12" t="s">
        <v>8126</v>
      </c>
      <c r="E396" s="12" t="s">
        <v>8124</v>
      </c>
      <c r="F396" s="12" t="s">
        <v>7160</v>
      </c>
      <c r="G396" s="12" t="s">
        <v>7649</v>
      </c>
      <c r="H396" s="12">
        <v>75</v>
      </c>
      <c r="I396" s="12" t="s">
        <v>7646</v>
      </c>
      <c r="J396" s="80">
        <v>25</v>
      </c>
      <c r="K396" s="12" t="s">
        <v>7161</v>
      </c>
      <c r="L396" s="12" t="s">
        <v>21</v>
      </c>
      <c r="M396" s="12" t="s">
        <v>8110</v>
      </c>
      <c r="N396" s="12">
        <v>67.7</v>
      </c>
      <c r="O396" s="12">
        <v>7.3999999999999996E-2</v>
      </c>
      <c r="P396" s="12">
        <v>0.997</v>
      </c>
      <c r="Q396" s="12" t="s">
        <v>7194</v>
      </c>
      <c r="R396" s="12">
        <v>2.8999999999999998E-3</v>
      </c>
      <c r="S396" s="12">
        <v>0.11</v>
      </c>
      <c r="T396" s="12">
        <v>121397</v>
      </c>
      <c r="U396" s="12">
        <v>6.6000000000000003E-2</v>
      </c>
      <c r="V396" s="12" t="s">
        <v>7661</v>
      </c>
      <c r="W396" s="12" t="s">
        <v>25</v>
      </c>
      <c r="X396" s="12" t="s">
        <v>17</v>
      </c>
      <c r="Y396" s="12" t="s">
        <v>6639</v>
      </c>
      <c r="Z396" s="12" t="s">
        <v>6639</v>
      </c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</row>
    <row r="397" spans="1:56" s="12" customFormat="1" x14ac:dyDescent="0.2">
      <c r="A397" s="12" t="s">
        <v>5497</v>
      </c>
      <c r="B397" s="12" t="s">
        <v>4608</v>
      </c>
      <c r="C397" s="12" t="s">
        <v>8127</v>
      </c>
      <c r="D397" s="12" t="s">
        <v>8126</v>
      </c>
      <c r="E397" s="12" t="s">
        <v>8124</v>
      </c>
      <c r="F397" s="12" t="s">
        <v>7160</v>
      </c>
      <c r="G397" s="12" t="s">
        <v>7649</v>
      </c>
      <c r="H397" s="12">
        <v>75</v>
      </c>
      <c r="I397" s="12" t="s">
        <v>7647</v>
      </c>
      <c r="J397" s="80">
        <v>25</v>
      </c>
      <c r="K397" s="12" t="s">
        <v>7161</v>
      </c>
      <c r="L397" s="12" t="s">
        <v>21</v>
      </c>
      <c r="M397" s="12" t="s">
        <v>8110</v>
      </c>
      <c r="N397" s="12">
        <v>22.6</v>
      </c>
      <c r="O397" s="12">
        <v>8.8999999999999996E-2</v>
      </c>
      <c r="P397" s="12">
        <v>0.997</v>
      </c>
      <c r="Q397" s="12" t="s">
        <v>7231</v>
      </c>
      <c r="R397" s="12">
        <v>5.7999999999999996E-3</v>
      </c>
      <c r="S397" s="12">
        <v>8.4678000000000003E-2</v>
      </c>
      <c r="T397" s="12">
        <v>96505</v>
      </c>
      <c r="U397" s="12">
        <v>7.4999999999999997E-2</v>
      </c>
      <c r="V397" s="12" t="s">
        <v>7661</v>
      </c>
      <c r="W397" s="12" t="s">
        <v>25</v>
      </c>
      <c r="X397" s="12">
        <v>86</v>
      </c>
      <c r="Y397" s="12" t="s">
        <v>6639</v>
      </c>
      <c r="Z397" s="12" t="s">
        <v>6639</v>
      </c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</row>
    <row r="398" spans="1:56" s="12" customFormat="1" x14ac:dyDescent="0.2">
      <c r="A398" s="12" t="s">
        <v>5498</v>
      </c>
      <c r="B398" s="12" t="s">
        <v>4608</v>
      </c>
      <c r="C398" s="12" t="s">
        <v>8127</v>
      </c>
      <c r="D398" s="12" t="s">
        <v>8126</v>
      </c>
      <c r="E398" s="12" t="s">
        <v>8124</v>
      </c>
      <c r="F398" s="12" t="s">
        <v>7160</v>
      </c>
      <c r="G398" s="12" t="s">
        <v>7649</v>
      </c>
      <c r="H398" s="12">
        <v>75</v>
      </c>
      <c r="I398" s="12" t="s">
        <v>7647</v>
      </c>
      <c r="J398" s="80">
        <v>25</v>
      </c>
      <c r="K398" s="12" t="s">
        <v>7161</v>
      </c>
      <c r="L398" s="12" t="s">
        <v>21</v>
      </c>
      <c r="M398" s="12" t="s">
        <v>8110</v>
      </c>
      <c r="N398" s="12">
        <v>17.899999999999999</v>
      </c>
      <c r="O398" s="12">
        <v>7.8E-2</v>
      </c>
      <c r="P398" s="12">
        <v>0.99199999999999999</v>
      </c>
      <c r="Q398" s="12" t="s">
        <v>7390</v>
      </c>
      <c r="R398" s="12">
        <v>4.8999999999999998E-3</v>
      </c>
      <c r="S398" s="12">
        <v>6.3514000000000001E-2</v>
      </c>
      <c r="T398" s="12">
        <v>74315</v>
      </c>
      <c r="U398" s="12">
        <v>7.0999999999999994E-2</v>
      </c>
      <c r="V398" s="12" t="s">
        <v>7661</v>
      </c>
      <c r="W398" s="12" t="s">
        <v>25</v>
      </c>
      <c r="X398" s="12">
        <v>44</v>
      </c>
      <c r="Y398" s="12" t="s">
        <v>6639</v>
      </c>
      <c r="Z398" s="12" t="s">
        <v>6639</v>
      </c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</row>
    <row r="399" spans="1:56" s="12" customFormat="1" x14ac:dyDescent="0.2">
      <c r="A399" s="12" t="s">
        <v>4631</v>
      </c>
      <c r="B399" s="12" t="s">
        <v>4629</v>
      </c>
      <c r="C399" s="12" t="s">
        <v>13</v>
      </c>
      <c r="D399" s="12" t="s">
        <v>7210</v>
      </c>
      <c r="E399" s="12" t="s">
        <v>8124</v>
      </c>
      <c r="F399" s="12" t="s">
        <v>7160</v>
      </c>
      <c r="G399" s="12" t="s">
        <v>7649</v>
      </c>
      <c r="H399" s="12">
        <v>78</v>
      </c>
      <c r="I399" s="12" t="s">
        <v>7646</v>
      </c>
      <c r="J399" s="80">
        <v>26</v>
      </c>
      <c r="K399" s="12" t="s">
        <v>7161</v>
      </c>
      <c r="L399" s="12" t="s">
        <v>21</v>
      </c>
      <c r="M399" s="12" t="s">
        <v>8110</v>
      </c>
      <c r="N399" s="12">
        <v>123</v>
      </c>
      <c r="O399" s="12">
        <v>0.14799999999999999</v>
      </c>
      <c r="P399" s="12">
        <v>0.997</v>
      </c>
      <c r="Q399" s="12" t="s">
        <v>7235</v>
      </c>
      <c r="R399" s="12">
        <v>4.2999999999999997E-2</v>
      </c>
      <c r="S399" s="12">
        <v>1.35</v>
      </c>
      <c r="T399" s="12">
        <v>576483</v>
      </c>
      <c r="U399" s="12">
        <v>0.121</v>
      </c>
      <c r="V399" s="12" t="s">
        <v>7661</v>
      </c>
      <c r="W399" s="12" t="s">
        <v>11</v>
      </c>
      <c r="X399" s="12">
        <v>1744</v>
      </c>
      <c r="Y399" s="12">
        <v>2.604E-3</v>
      </c>
      <c r="Z399" s="12">
        <v>1.4934164079664933</v>
      </c>
      <c r="AD399" s="63"/>
      <c r="AE399" s="63"/>
      <c r="AF399" s="70"/>
      <c r="AG399" s="70"/>
      <c r="AH399" s="70"/>
      <c r="AI399" s="70"/>
      <c r="AJ399" s="70"/>
      <c r="AK399" s="70"/>
      <c r="AL399" s="63"/>
      <c r="AM399" s="63"/>
      <c r="AN399" s="63"/>
      <c r="AP399" s="12" t="s">
        <v>3216</v>
      </c>
      <c r="AQ399" s="12" t="s">
        <v>8048</v>
      </c>
      <c r="AR399" s="12" t="s">
        <v>8051</v>
      </c>
      <c r="AS399" s="12">
        <v>12.36</v>
      </c>
      <c r="AT399" s="12">
        <v>0.16249999999999901</v>
      </c>
      <c r="AU399" s="12" t="s">
        <v>11</v>
      </c>
      <c r="AV399" s="12">
        <v>0.96367700000000001</v>
      </c>
      <c r="AW399" s="12">
        <v>0.91714899999999999</v>
      </c>
      <c r="AX399" s="12">
        <v>0.984317</v>
      </c>
      <c r="AY399" s="12">
        <v>2712</v>
      </c>
      <c r="AZ399" s="12">
        <v>29</v>
      </c>
      <c r="BA399" s="12">
        <v>0.19800000000000001</v>
      </c>
      <c r="BB399" s="12">
        <v>57</v>
      </c>
      <c r="BC399" s="12">
        <v>3.2641509433962201</v>
      </c>
      <c r="BD399" s="12">
        <v>0.17299999999999999</v>
      </c>
    </row>
    <row r="400" spans="1:56" s="12" customFormat="1" x14ac:dyDescent="0.2">
      <c r="A400" s="12" t="s">
        <v>4604</v>
      </c>
      <c r="B400" s="12" t="s">
        <v>4601</v>
      </c>
      <c r="C400" s="12" t="s">
        <v>13</v>
      </c>
      <c r="D400" s="12" t="s">
        <v>7210</v>
      </c>
      <c r="E400" s="12" t="s">
        <v>8124</v>
      </c>
      <c r="F400" s="12" t="s">
        <v>7160</v>
      </c>
      <c r="G400" s="12" t="s">
        <v>7649</v>
      </c>
      <c r="H400" s="12">
        <v>75</v>
      </c>
      <c r="I400" s="12" t="s">
        <v>7646</v>
      </c>
      <c r="J400" s="80">
        <v>25</v>
      </c>
      <c r="K400" s="12" t="s">
        <v>7161</v>
      </c>
      <c r="L400" s="12" t="s">
        <v>21</v>
      </c>
      <c r="M400" s="12" t="s">
        <v>8110</v>
      </c>
      <c r="N400" s="12">
        <v>454</v>
      </c>
      <c r="O400" s="12">
        <v>5.2999999999999999E-2</v>
      </c>
      <c r="P400" s="12">
        <v>0.995</v>
      </c>
      <c r="Q400" s="12" t="s">
        <v>7202</v>
      </c>
      <c r="R400" s="12">
        <v>0.33800000000000002</v>
      </c>
      <c r="S400" s="12">
        <v>1.3859999999999999</v>
      </c>
      <c r="T400" s="12">
        <v>601080</v>
      </c>
      <c r="U400" s="12">
        <v>4.8000000000000001E-2</v>
      </c>
      <c r="V400" s="12" t="s">
        <v>7661</v>
      </c>
      <c r="W400" s="12" t="s">
        <v>25</v>
      </c>
      <c r="X400" s="12">
        <v>3873</v>
      </c>
      <c r="Y400" s="12" t="s">
        <v>6639</v>
      </c>
      <c r="Z400" s="12" t="s">
        <v>6639</v>
      </c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</row>
    <row r="401" spans="1:39" s="12" customFormat="1" x14ac:dyDescent="0.2">
      <c r="A401" s="12" t="s">
        <v>4636</v>
      </c>
      <c r="B401" s="12" t="s">
        <v>4634</v>
      </c>
      <c r="C401" s="12" t="s">
        <v>13</v>
      </c>
      <c r="D401" s="12" t="s">
        <v>7210</v>
      </c>
      <c r="E401" s="12" t="s">
        <v>8124</v>
      </c>
      <c r="F401" s="12" t="s">
        <v>7160</v>
      </c>
      <c r="G401" s="12" t="s">
        <v>7649</v>
      </c>
      <c r="H401" s="12">
        <v>70</v>
      </c>
      <c r="I401" s="12" t="s">
        <v>7646</v>
      </c>
      <c r="J401" s="80">
        <v>23.333333333333332</v>
      </c>
      <c r="K401" s="12" t="s">
        <v>7161</v>
      </c>
      <c r="L401" s="12" t="s">
        <v>21</v>
      </c>
      <c r="M401" s="12" t="s">
        <v>8110</v>
      </c>
      <c r="N401" s="12">
        <v>448</v>
      </c>
      <c r="O401" s="12">
        <v>0.12</v>
      </c>
      <c r="P401" s="12">
        <v>0.997</v>
      </c>
      <c r="Q401" s="12" t="s">
        <v>7236</v>
      </c>
      <c r="R401" s="12">
        <v>0.317</v>
      </c>
      <c r="S401" s="12">
        <v>1.8839999999999999</v>
      </c>
      <c r="T401" s="12">
        <v>664720</v>
      </c>
      <c r="U401" s="12">
        <v>0.104</v>
      </c>
      <c r="V401" s="12" t="s">
        <v>7661</v>
      </c>
      <c r="W401" s="12" t="s">
        <v>25</v>
      </c>
      <c r="X401" s="12">
        <v>5189</v>
      </c>
      <c r="Y401" s="12" t="s">
        <v>6639</v>
      </c>
      <c r="Z401" s="12" t="s">
        <v>6639</v>
      </c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</row>
    <row r="402" spans="1:39" s="12" customFormat="1" x14ac:dyDescent="0.2">
      <c r="A402" s="12" t="s">
        <v>5499</v>
      </c>
      <c r="B402" s="12" t="s">
        <v>4616</v>
      </c>
      <c r="C402" s="12" t="s">
        <v>13</v>
      </c>
      <c r="D402" s="12" t="s">
        <v>7210</v>
      </c>
      <c r="E402" s="12" t="s">
        <v>8124</v>
      </c>
      <c r="F402" s="12" t="s">
        <v>7160</v>
      </c>
      <c r="G402" s="12" t="s">
        <v>7649</v>
      </c>
      <c r="H402" s="12">
        <v>81</v>
      </c>
      <c r="I402" s="12" t="s">
        <v>7646</v>
      </c>
      <c r="J402" s="80">
        <v>27</v>
      </c>
      <c r="K402" s="12" t="s">
        <v>7161</v>
      </c>
      <c r="L402" s="12" t="s">
        <v>21</v>
      </c>
      <c r="M402" s="12" t="s">
        <v>8110</v>
      </c>
      <c r="N402" s="12">
        <v>32.799999999999997</v>
      </c>
      <c r="O402" s="12">
        <v>0.19400000000000001</v>
      </c>
      <c r="P402" s="12">
        <v>0.996</v>
      </c>
      <c r="Q402" s="12" t="s">
        <v>7195</v>
      </c>
      <c r="R402" s="12">
        <v>5.8999999999999999E-3</v>
      </c>
      <c r="S402" s="12">
        <v>0.16800000000000001</v>
      </c>
      <c r="T402" s="12">
        <v>164721</v>
      </c>
      <c r="U402" s="12">
        <v>0.122</v>
      </c>
      <c r="V402" s="12" t="s">
        <v>7661</v>
      </c>
      <c r="W402" s="12" t="s">
        <v>11</v>
      </c>
      <c r="X402" s="12">
        <v>79</v>
      </c>
      <c r="Y402" s="12" t="s">
        <v>8052</v>
      </c>
      <c r="Z402" s="12" t="s">
        <v>8052</v>
      </c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</row>
    <row r="403" spans="1:39" s="12" customFormat="1" x14ac:dyDescent="0.2">
      <c r="A403" s="12" t="s">
        <v>5500</v>
      </c>
      <c r="B403" s="12" t="s">
        <v>4616</v>
      </c>
      <c r="C403" s="12" t="s">
        <v>13</v>
      </c>
      <c r="D403" s="12" t="s">
        <v>7210</v>
      </c>
      <c r="E403" s="12" t="s">
        <v>8124</v>
      </c>
      <c r="F403" s="12" t="s">
        <v>7160</v>
      </c>
      <c r="G403" s="12" t="s">
        <v>7649</v>
      </c>
      <c r="H403" s="12">
        <v>81</v>
      </c>
      <c r="I403" s="12" t="s">
        <v>7647</v>
      </c>
      <c r="J403" s="80">
        <v>27</v>
      </c>
      <c r="K403" s="12" t="s">
        <v>7161</v>
      </c>
      <c r="L403" s="12" t="s">
        <v>21</v>
      </c>
      <c r="M403" s="12" t="s">
        <v>8110</v>
      </c>
      <c r="N403" s="12">
        <v>11.6</v>
      </c>
      <c r="O403" s="12">
        <v>0.221</v>
      </c>
      <c r="P403" s="12">
        <v>0.995</v>
      </c>
      <c r="Q403" s="12" t="s">
        <v>7352</v>
      </c>
      <c r="R403" s="12">
        <v>0.01</v>
      </c>
      <c r="S403" s="12">
        <v>0.109623</v>
      </c>
      <c r="T403" s="12">
        <v>118112</v>
      </c>
      <c r="U403" s="12">
        <v>0.11600000000000001</v>
      </c>
      <c r="V403" s="12" t="s">
        <v>7661</v>
      </c>
      <c r="W403" s="12" t="s">
        <v>11</v>
      </c>
      <c r="X403" s="12">
        <v>66</v>
      </c>
      <c r="Y403" s="12" t="s">
        <v>8052</v>
      </c>
      <c r="Z403" s="12" t="s">
        <v>8052</v>
      </c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</row>
    <row r="404" spans="1:39" s="12" customFormat="1" x14ac:dyDescent="0.2">
      <c r="A404" s="12" t="s">
        <v>5501</v>
      </c>
      <c r="B404" s="12" t="s">
        <v>4616</v>
      </c>
      <c r="C404" s="12" t="s">
        <v>13</v>
      </c>
      <c r="D404" s="12" t="s">
        <v>7210</v>
      </c>
      <c r="E404" s="12" t="s">
        <v>8124</v>
      </c>
      <c r="F404" s="12" t="s">
        <v>7160</v>
      </c>
      <c r="G404" s="12" t="s">
        <v>7649</v>
      </c>
      <c r="H404" s="12">
        <v>81</v>
      </c>
      <c r="I404" s="12" t="s">
        <v>7647</v>
      </c>
      <c r="J404" s="80">
        <v>27</v>
      </c>
      <c r="K404" s="12" t="s">
        <v>7161</v>
      </c>
      <c r="L404" s="12" t="s">
        <v>21</v>
      </c>
      <c r="M404" s="12" t="s">
        <v>8110</v>
      </c>
      <c r="N404" s="12">
        <v>10.5</v>
      </c>
      <c r="O404" s="12">
        <v>0.223</v>
      </c>
      <c r="P404" s="12">
        <v>0.999</v>
      </c>
      <c r="Q404" s="12" t="s">
        <v>7391</v>
      </c>
      <c r="R404" s="12">
        <v>8.3999999999999995E-3</v>
      </c>
      <c r="S404" s="12">
        <v>0.110333</v>
      </c>
      <c r="T404" s="12">
        <v>118852</v>
      </c>
      <c r="U404" s="12">
        <v>0.11799999999999999</v>
      </c>
      <c r="V404" s="12" t="s">
        <v>7661</v>
      </c>
      <c r="W404" s="12" t="s">
        <v>11</v>
      </c>
      <c r="X404" s="12">
        <v>61</v>
      </c>
      <c r="Y404" s="12" t="s">
        <v>8052</v>
      </c>
      <c r="Z404" s="12" t="s">
        <v>8052</v>
      </c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</row>
    <row r="405" spans="1:39" s="12" customFormat="1" x14ac:dyDescent="0.2">
      <c r="A405" s="12" t="s">
        <v>5502</v>
      </c>
      <c r="B405" s="12" t="s">
        <v>4625</v>
      </c>
      <c r="C405" s="12" t="s">
        <v>13</v>
      </c>
      <c r="D405" s="12" t="s">
        <v>7210</v>
      </c>
      <c r="E405" s="12" t="s">
        <v>8124</v>
      </c>
      <c r="F405" s="12" t="s">
        <v>7160</v>
      </c>
      <c r="G405" s="12" t="s">
        <v>7649</v>
      </c>
      <c r="H405" s="12">
        <v>73</v>
      </c>
      <c r="I405" s="12" t="s">
        <v>7646</v>
      </c>
      <c r="J405" s="80">
        <v>24.333333333333332</v>
      </c>
      <c r="K405" s="12" t="s">
        <v>7161</v>
      </c>
      <c r="L405" s="12" t="s">
        <v>21</v>
      </c>
      <c r="M405" s="12" t="s">
        <v>8110</v>
      </c>
      <c r="N405" s="12">
        <v>73.400000000000006</v>
      </c>
      <c r="O405" s="12">
        <v>7.8E-2</v>
      </c>
      <c r="P405" s="12">
        <v>0.998</v>
      </c>
      <c r="Q405" s="12" t="s">
        <v>7196</v>
      </c>
      <c r="R405" s="12">
        <v>9.4E-2</v>
      </c>
      <c r="S405" s="12">
        <v>6.4000000000000001E-2</v>
      </c>
      <c r="T405" s="12">
        <v>73837</v>
      </c>
      <c r="U405" s="12">
        <v>4.1000000000000002E-2</v>
      </c>
      <c r="V405" s="12" t="s">
        <v>7661</v>
      </c>
      <c r="W405" s="12" t="s">
        <v>25</v>
      </c>
      <c r="X405" s="12">
        <v>28</v>
      </c>
      <c r="Y405" s="12" t="s">
        <v>6639</v>
      </c>
      <c r="Z405" s="12" t="s">
        <v>6639</v>
      </c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</row>
    <row r="406" spans="1:39" s="12" customFormat="1" x14ac:dyDescent="0.2">
      <c r="A406" s="12" t="s">
        <v>5503</v>
      </c>
      <c r="B406" s="12" t="s">
        <v>4625</v>
      </c>
      <c r="C406" s="12" t="s">
        <v>13</v>
      </c>
      <c r="D406" s="12" t="s">
        <v>7210</v>
      </c>
      <c r="E406" s="12" t="s">
        <v>8124</v>
      </c>
      <c r="F406" s="12" t="s">
        <v>7160</v>
      </c>
      <c r="G406" s="12" t="s">
        <v>7649</v>
      </c>
      <c r="H406" s="12">
        <v>73</v>
      </c>
      <c r="I406" s="12" t="s">
        <v>7647</v>
      </c>
      <c r="J406" s="80">
        <v>24.333333333333332</v>
      </c>
      <c r="K406" s="12" t="s">
        <v>7161</v>
      </c>
      <c r="L406" s="12" t="s">
        <v>21</v>
      </c>
      <c r="M406" s="12" t="s">
        <v>8110</v>
      </c>
      <c r="N406" s="12">
        <v>63.1</v>
      </c>
      <c r="O406" s="12">
        <v>8.8999999999999996E-2</v>
      </c>
      <c r="P406" s="12">
        <v>1</v>
      </c>
      <c r="Q406" s="12" t="s">
        <v>7179</v>
      </c>
      <c r="R406" s="12">
        <v>0.188</v>
      </c>
      <c r="S406" s="12">
        <v>6.4569000000000001E-2</v>
      </c>
      <c r="T406" s="12">
        <v>75745</v>
      </c>
      <c r="U406" s="12">
        <v>5.2999999999999999E-2</v>
      </c>
      <c r="V406" s="12" t="s">
        <v>7661</v>
      </c>
      <c r="W406" s="12" t="s">
        <v>25</v>
      </c>
      <c r="X406" s="12">
        <v>17</v>
      </c>
      <c r="Y406" s="12" t="s">
        <v>6639</v>
      </c>
      <c r="Z406" s="12" t="s">
        <v>6639</v>
      </c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</row>
    <row r="407" spans="1:39" s="12" customFormat="1" x14ac:dyDescent="0.2">
      <c r="A407" s="12" t="s">
        <v>5504</v>
      </c>
      <c r="B407" s="12" t="s">
        <v>4625</v>
      </c>
      <c r="C407" s="12" t="s">
        <v>13</v>
      </c>
      <c r="D407" s="12" t="s">
        <v>7210</v>
      </c>
      <c r="E407" s="12" t="s">
        <v>8124</v>
      </c>
      <c r="F407" s="12" t="s">
        <v>7160</v>
      </c>
      <c r="G407" s="12" t="s">
        <v>7649</v>
      </c>
      <c r="H407" s="12">
        <v>73</v>
      </c>
      <c r="I407" s="12" t="s">
        <v>7647</v>
      </c>
      <c r="J407" s="80">
        <v>24.333333333333332</v>
      </c>
      <c r="K407" s="12" t="s">
        <v>7161</v>
      </c>
      <c r="L407" s="12" t="s">
        <v>21</v>
      </c>
      <c r="M407" s="12" t="s">
        <v>8110</v>
      </c>
      <c r="N407" s="12">
        <v>71.099999999999994</v>
      </c>
      <c r="O407" s="12">
        <v>8.6999999999999994E-2</v>
      </c>
      <c r="P407" s="12">
        <v>1</v>
      </c>
      <c r="Q407" s="12" t="s">
        <v>7169</v>
      </c>
      <c r="R407" s="12">
        <v>0.189</v>
      </c>
      <c r="S407" s="12">
        <v>7.3289999999999994E-2</v>
      </c>
      <c r="T407" s="12">
        <v>85182</v>
      </c>
      <c r="U407" s="12">
        <v>5.2999999999999999E-2</v>
      </c>
      <c r="V407" s="12" t="s">
        <v>7661</v>
      </c>
      <c r="W407" s="12" t="s">
        <v>25</v>
      </c>
      <c r="X407" s="12">
        <v>39</v>
      </c>
      <c r="Y407" s="12" t="s">
        <v>6639</v>
      </c>
      <c r="Z407" s="12" t="s">
        <v>6639</v>
      </c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</row>
    <row r="408" spans="1:39" s="12" customFormat="1" x14ac:dyDescent="0.2">
      <c r="A408" s="12" t="s">
        <v>4526</v>
      </c>
      <c r="B408" s="12" t="s">
        <v>4523</v>
      </c>
      <c r="C408" s="12" t="s">
        <v>8127</v>
      </c>
      <c r="D408" s="12" t="s">
        <v>7159</v>
      </c>
      <c r="E408" s="12" t="s">
        <v>8031</v>
      </c>
      <c r="F408" s="12" t="s">
        <v>7160</v>
      </c>
      <c r="G408" s="12" t="s">
        <v>7649</v>
      </c>
      <c r="H408" s="12">
        <v>61</v>
      </c>
      <c r="I408" s="12" t="s">
        <v>7646</v>
      </c>
      <c r="J408" s="80">
        <v>20.333333333333332</v>
      </c>
      <c r="K408" s="12" t="s">
        <v>7161</v>
      </c>
      <c r="L408" s="12" t="s">
        <v>21</v>
      </c>
      <c r="M408" s="12" t="s">
        <v>8110</v>
      </c>
      <c r="N408" s="12">
        <v>3.93</v>
      </c>
      <c r="O408" s="12">
        <v>0.123</v>
      </c>
      <c r="P408" s="12">
        <v>0.74</v>
      </c>
      <c r="Q408" s="12" t="s">
        <v>7255</v>
      </c>
      <c r="R408" s="12">
        <v>3.5999999999999999E-3</v>
      </c>
      <c r="S408" s="12">
        <v>5.0000000000000001E-3</v>
      </c>
      <c r="T408" s="12">
        <v>5697</v>
      </c>
      <c r="U408" s="12">
        <v>3.4000000000000002E-2</v>
      </c>
      <c r="V408" s="12" t="s">
        <v>7661</v>
      </c>
      <c r="W408" s="12" t="s">
        <v>11</v>
      </c>
      <c r="X408" s="12">
        <v>1</v>
      </c>
      <c r="Y408" s="12" t="s">
        <v>8052</v>
      </c>
      <c r="Z408" s="12" t="s">
        <v>8052</v>
      </c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</row>
    <row r="409" spans="1:39" s="12" customFormat="1" x14ac:dyDescent="0.2">
      <c r="A409" s="12" t="s">
        <v>4528</v>
      </c>
      <c r="B409" s="12" t="s">
        <v>4527</v>
      </c>
      <c r="C409" s="12" t="s">
        <v>143</v>
      </c>
      <c r="D409" s="12" t="s">
        <v>7159</v>
      </c>
      <c r="E409" s="12" t="s">
        <v>8031</v>
      </c>
      <c r="F409" s="12" t="s">
        <v>7160</v>
      </c>
      <c r="G409" s="12" t="s">
        <v>7649</v>
      </c>
      <c r="H409" s="12">
        <v>78</v>
      </c>
      <c r="I409" s="12" t="s">
        <v>7646</v>
      </c>
      <c r="J409" s="80">
        <v>26</v>
      </c>
      <c r="K409" s="12" t="s">
        <v>7161</v>
      </c>
      <c r="L409" s="12" t="s">
        <v>21</v>
      </c>
      <c r="M409" s="12" t="s">
        <v>8110</v>
      </c>
      <c r="N409" s="12">
        <v>8.32</v>
      </c>
      <c r="O409" s="12">
        <v>0.187</v>
      </c>
      <c r="P409" s="12">
        <v>0.91100000000000003</v>
      </c>
      <c r="Q409" s="12" t="s">
        <v>7261</v>
      </c>
      <c r="R409" s="12">
        <v>1.6999999999999999E-3</v>
      </c>
      <c r="S409" s="12">
        <v>8.9999999999999993E-3</v>
      </c>
      <c r="T409" s="12">
        <v>11121</v>
      </c>
      <c r="U409" s="12">
        <v>7.3999999999999996E-2</v>
      </c>
      <c r="V409" s="12" t="s">
        <v>7661</v>
      </c>
      <c r="W409" s="12" t="s">
        <v>11</v>
      </c>
      <c r="X409" s="12">
        <v>1</v>
      </c>
      <c r="Y409" s="12" t="s">
        <v>8052</v>
      </c>
      <c r="Z409" s="12" t="s">
        <v>8052</v>
      </c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</row>
    <row r="410" spans="1:39" s="12" customFormat="1" x14ac:dyDescent="0.2">
      <c r="A410" s="12" t="s">
        <v>4540</v>
      </c>
      <c r="B410" s="12" t="s">
        <v>4539</v>
      </c>
      <c r="C410" s="12" t="s">
        <v>143</v>
      </c>
      <c r="D410" s="12" t="s">
        <v>7159</v>
      </c>
      <c r="E410" s="12" t="s">
        <v>8031</v>
      </c>
      <c r="F410" s="12" t="s">
        <v>7160</v>
      </c>
      <c r="G410" s="12" t="s">
        <v>7649</v>
      </c>
      <c r="H410" s="12">
        <v>74</v>
      </c>
      <c r="I410" s="12" t="s">
        <v>7646</v>
      </c>
      <c r="J410" s="80">
        <v>24.666666666666664</v>
      </c>
      <c r="K410" s="12" t="s">
        <v>7161</v>
      </c>
      <c r="L410" s="12" t="s">
        <v>21</v>
      </c>
      <c r="M410" s="12" t="s">
        <v>8110</v>
      </c>
      <c r="N410" s="12">
        <v>210</v>
      </c>
      <c r="O410" s="12">
        <v>0.106</v>
      </c>
      <c r="P410" s="12">
        <v>0.99399999999999999</v>
      </c>
      <c r="Q410" s="12" t="s">
        <v>7262</v>
      </c>
      <c r="R410" s="12">
        <v>3.9E-2</v>
      </c>
      <c r="S410" s="12">
        <v>1.4350000000000001</v>
      </c>
      <c r="T410" s="12">
        <v>625567</v>
      </c>
      <c r="U410" s="12">
        <v>9.8000000000000004E-2</v>
      </c>
      <c r="V410" s="12" t="s">
        <v>7661</v>
      </c>
      <c r="W410" s="12" t="s">
        <v>11</v>
      </c>
      <c r="X410" s="12">
        <v>2182</v>
      </c>
      <c r="Y410" s="12">
        <v>5.3020000000000003E-3</v>
      </c>
      <c r="Z410" s="12">
        <v>2.9093024149075686</v>
      </c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</row>
    <row r="411" spans="1:39" s="12" customFormat="1" x14ac:dyDescent="0.2">
      <c r="A411" s="12" t="s">
        <v>5554</v>
      </c>
      <c r="B411" s="12" t="s">
        <v>4543</v>
      </c>
      <c r="C411" s="12" t="s">
        <v>8127</v>
      </c>
      <c r="D411" s="12" t="s">
        <v>7159</v>
      </c>
      <c r="E411" s="12" t="s">
        <v>8031</v>
      </c>
      <c r="F411" s="12" t="s">
        <v>7160</v>
      </c>
      <c r="G411" s="12" t="s">
        <v>7649</v>
      </c>
      <c r="H411" s="12">
        <v>69</v>
      </c>
      <c r="I411" s="12" t="s">
        <v>7647</v>
      </c>
      <c r="J411" s="80">
        <v>2.2999999999999998</v>
      </c>
      <c r="K411" s="12" t="s">
        <v>7161</v>
      </c>
      <c r="L411" s="12" t="s">
        <v>21</v>
      </c>
      <c r="M411" s="12" t="s">
        <v>8110</v>
      </c>
      <c r="N411" s="12">
        <v>27.2</v>
      </c>
      <c r="O411" s="12">
        <v>7.1999999999999995E-2</v>
      </c>
      <c r="P411" s="12">
        <v>0.98799999999999999</v>
      </c>
      <c r="Q411" s="12" t="s">
        <v>7166</v>
      </c>
      <c r="R411" s="12">
        <v>5.4999999999999997E-3</v>
      </c>
      <c r="S411" s="12">
        <v>8.7999999999999995E-2</v>
      </c>
      <c r="T411" s="12">
        <v>102074</v>
      </c>
      <c r="U411" s="12">
        <v>4.1000000000000002E-2</v>
      </c>
      <c r="V411" s="12" t="s">
        <v>7661</v>
      </c>
      <c r="W411" s="12" t="s">
        <v>11</v>
      </c>
      <c r="X411" s="12">
        <v>25</v>
      </c>
      <c r="Y411" s="12" t="s">
        <v>8052</v>
      </c>
      <c r="Z411" s="12" t="s">
        <v>8052</v>
      </c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</row>
    <row r="412" spans="1:39" s="12" customFormat="1" x14ac:dyDescent="0.2">
      <c r="A412" s="12" t="s">
        <v>5555</v>
      </c>
      <c r="B412" s="12" t="s">
        <v>4543</v>
      </c>
      <c r="C412" s="12" t="s">
        <v>143</v>
      </c>
      <c r="D412" s="12" t="s">
        <v>7159</v>
      </c>
      <c r="E412" s="12" t="s">
        <v>8031</v>
      </c>
      <c r="F412" s="12" t="s">
        <v>7160</v>
      </c>
      <c r="G412" s="12" t="s">
        <v>7649</v>
      </c>
      <c r="H412" s="12">
        <v>76</v>
      </c>
      <c r="I412" s="12" t="s">
        <v>7646</v>
      </c>
      <c r="J412" s="80">
        <v>25.333333333333332</v>
      </c>
      <c r="K412" s="12" t="s">
        <v>7161</v>
      </c>
      <c r="L412" s="12" t="s">
        <v>21</v>
      </c>
      <c r="M412" s="12" t="s">
        <v>8110</v>
      </c>
      <c r="N412" s="12">
        <v>51.1</v>
      </c>
      <c r="O412" s="12">
        <v>7.5999999999999998E-2</v>
      </c>
      <c r="P412" s="12">
        <v>0.98899999999999999</v>
      </c>
      <c r="Q412" s="12" t="s">
        <v>7224</v>
      </c>
      <c r="R412" s="12">
        <v>3.8E-3</v>
      </c>
      <c r="S412" s="12">
        <v>8.3000000000000004E-2</v>
      </c>
      <c r="T412" s="12">
        <v>94553</v>
      </c>
      <c r="U412" s="12">
        <v>4.3999999999999997E-2</v>
      </c>
      <c r="V412" s="12" t="s">
        <v>7661</v>
      </c>
      <c r="W412" s="12" t="s">
        <v>11</v>
      </c>
      <c r="X412" s="12">
        <v>17</v>
      </c>
      <c r="Y412" s="12" t="s">
        <v>8052</v>
      </c>
      <c r="Z412" s="12" t="s">
        <v>8052</v>
      </c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</row>
    <row r="413" spans="1:39" s="12" customFormat="1" x14ac:dyDescent="0.2">
      <c r="A413" s="12" t="s">
        <v>5556</v>
      </c>
      <c r="B413" s="12" t="s">
        <v>4543</v>
      </c>
      <c r="C413" s="12" t="s">
        <v>143</v>
      </c>
      <c r="D413" s="12" t="s">
        <v>7159</v>
      </c>
      <c r="E413" s="12" t="s">
        <v>8031</v>
      </c>
      <c r="F413" s="12" t="s">
        <v>7160</v>
      </c>
      <c r="G413" s="12" t="s">
        <v>7649</v>
      </c>
      <c r="H413" s="12">
        <v>76</v>
      </c>
      <c r="I413" s="12" t="s">
        <v>7647</v>
      </c>
      <c r="J413" s="80">
        <v>25.333333333333332</v>
      </c>
      <c r="K413" s="12" t="s">
        <v>7161</v>
      </c>
      <c r="L413" s="12" t="s">
        <v>21</v>
      </c>
      <c r="M413" s="12" t="s">
        <v>8110</v>
      </c>
      <c r="N413" s="12">
        <v>41.8</v>
      </c>
      <c r="O413" s="12">
        <v>7.0999999999999994E-2</v>
      </c>
      <c r="P413" s="12">
        <v>0.999</v>
      </c>
      <c r="Q413" s="12" t="s">
        <v>7204</v>
      </c>
      <c r="R413" s="12">
        <v>7.7999999999999996E-3</v>
      </c>
      <c r="S413" s="12">
        <v>0.17701600000000001</v>
      </c>
      <c r="T413" s="12">
        <v>188573</v>
      </c>
      <c r="U413" s="12">
        <v>5.7000000000000002E-2</v>
      </c>
      <c r="V413" s="12" t="s">
        <v>7661</v>
      </c>
      <c r="W413" s="12" t="s">
        <v>11</v>
      </c>
      <c r="X413" s="12">
        <v>148</v>
      </c>
      <c r="Y413" s="12" t="s">
        <v>8052</v>
      </c>
      <c r="Z413" s="12" t="s">
        <v>8052</v>
      </c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</row>
    <row r="414" spans="1:39" s="12" customFormat="1" x14ac:dyDescent="0.2">
      <c r="A414" s="12" t="s">
        <v>5557</v>
      </c>
      <c r="B414" s="12" t="s">
        <v>4543</v>
      </c>
      <c r="C414" s="12" t="s">
        <v>143</v>
      </c>
      <c r="D414" s="12" t="s">
        <v>7159</v>
      </c>
      <c r="E414" s="12" t="s">
        <v>8031</v>
      </c>
      <c r="F414" s="12" t="s">
        <v>7160</v>
      </c>
      <c r="G414" s="12" t="s">
        <v>7649</v>
      </c>
      <c r="H414" s="12">
        <v>76</v>
      </c>
      <c r="I414" s="12" t="s">
        <v>7647</v>
      </c>
      <c r="J414" s="80">
        <v>25.333333333333332</v>
      </c>
      <c r="K414" s="12" t="s">
        <v>7161</v>
      </c>
      <c r="L414" s="12" t="s">
        <v>21</v>
      </c>
      <c r="M414" s="12" t="s">
        <v>8110</v>
      </c>
      <c r="N414" s="12">
        <v>29.5</v>
      </c>
      <c r="O414" s="12">
        <v>6.6000000000000003E-2</v>
      </c>
      <c r="P414" s="12">
        <v>0.99099999999999999</v>
      </c>
      <c r="Q414" s="12" t="s">
        <v>7394</v>
      </c>
      <c r="R414" s="12">
        <v>5.7000000000000002E-3</v>
      </c>
      <c r="S414" s="12">
        <v>0.110997</v>
      </c>
      <c r="T414" s="12">
        <v>125084</v>
      </c>
      <c r="U414" s="12">
        <v>5.7000000000000002E-2</v>
      </c>
      <c r="V414" s="12" t="s">
        <v>7661</v>
      </c>
      <c r="W414" s="12" t="s">
        <v>11</v>
      </c>
      <c r="X414" s="12">
        <v>46</v>
      </c>
      <c r="Y414" s="12" t="s">
        <v>8052</v>
      </c>
      <c r="Z414" s="12" t="s">
        <v>8052</v>
      </c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</row>
    <row r="415" spans="1:39" s="12" customFormat="1" x14ac:dyDescent="0.2">
      <c r="A415" s="12" t="s">
        <v>5571</v>
      </c>
      <c r="B415" s="12" t="s">
        <v>4042</v>
      </c>
      <c r="C415" s="12" t="s">
        <v>143</v>
      </c>
      <c r="D415" s="12" t="s">
        <v>7159</v>
      </c>
      <c r="E415" s="12" t="s">
        <v>8031</v>
      </c>
      <c r="F415" s="12" t="s">
        <v>7160</v>
      </c>
      <c r="G415" s="12" t="s">
        <v>7649</v>
      </c>
      <c r="H415" s="12">
        <v>72</v>
      </c>
      <c r="I415" s="12" t="s">
        <v>7647</v>
      </c>
      <c r="J415" s="80">
        <v>8</v>
      </c>
      <c r="K415" s="12" t="s">
        <v>7161</v>
      </c>
      <c r="L415" s="12" t="s">
        <v>21</v>
      </c>
      <c r="M415" s="12" t="s">
        <v>8110</v>
      </c>
      <c r="N415" s="12">
        <v>6.21</v>
      </c>
      <c r="O415" s="12">
        <v>0.127</v>
      </c>
      <c r="P415" s="12">
        <v>0.98799999999999999</v>
      </c>
      <c r="Q415" s="12" t="s">
        <v>7372</v>
      </c>
      <c r="R415" s="12">
        <v>2.8E-3</v>
      </c>
      <c r="S415" s="12">
        <v>1.7444000000000001E-2</v>
      </c>
      <c r="T415" s="12">
        <v>21110</v>
      </c>
      <c r="U415" s="12">
        <v>0.08</v>
      </c>
      <c r="V415" s="12" t="s">
        <v>7661</v>
      </c>
      <c r="W415" s="12" t="s">
        <v>25</v>
      </c>
      <c r="X415" s="12">
        <v>8</v>
      </c>
      <c r="Y415" s="12" t="s">
        <v>8052</v>
      </c>
      <c r="Z415" s="12" t="s">
        <v>8052</v>
      </c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</row>
    <row r="416" spans="1:39" s="12" customFormat="1" x14ac:dyDescent="0.2">
      <c r="A416" s="12" t="s">
        <v>5570</v>
      </c>
      <c r="B416" s="12" t="s">
        <v>4042</v>
      </c>
      <c r="C416" s="12" t="s">
        <v>13</v>
      </c>
      <c r="D416" s="12" t="s">
        <v>7210</v>
      </c>
      <c r="E416" s="12" t="s">
        <v>8031</v>
      </c>
      <c r="F416" s="12" t="s">
        <v>7160</v>
      </c>
      <c r="G416" s="12" t="s">
        <v>7649</v>
      </c>
      <c r="H416" s="12">
        <v>84</v>
      </c>
      <c r="I416" s="12" t="s">
        <v>7647</v>
      </c>
      <c r="J416" s="80">
        <v>9.3333333333333321</v>
      </c>
      <c r="K416" s="12" t="s">
        <v>7161</v>
      </c>
      <c r="L416" s="12" t="s">
        <v>21</v>
      </c>
      <c r="M416" s="12" t="s">
        <v>8110</v>
      </c>
      <c r="N416" s="12">
        <v>63.6</v>
      </c>
      <c r="O416" s="12">
        <v>0.17899999999999999</v>
      </c>
      <c r="P416" s="12">
        <v>0.95899999999999996</v>
      </c>
      <c r="Q416" s="12" t="s">
        <v>7218</v>
      </c>
      <c r="R416" s="12">
        <v>0.107</v>
      </c>
      <c r="S416" s="12">
        <v>1.122484</v>
      </c>
      <c r="T416" s="12">
        <v>644830</v>
      </c>
      <c r="U416" s="12">
        <v>0.158</v>
      </c>
      <c r="V416" s="12" t="s">
        <v>7661</v>
      </c>
      <c r="W416" s="12" t="s">
        <v>25</v>
      </c>
      <c r="X416" s="12">
        <v>3774</v>
      </c>
      <c r="Y416" s="12" t="s">
        <v>6639</v>
      </c>
      <c r="Z416" s="12" t="s">
        <v>6639</v>
      </c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</row>
    <row r="417" spans="1:39" s="12" customFormat="1" x14ac:dyDescent="0.2">
      <c r="A417" s="12" t="s">
        <v>5572</v>
      </c>
      <c r="B417" s="12" t="s">
        <v>4047</v>
      </c>
      <c r="C417" s="12" t="s">
        <v>143</v>
      </c>
      <c r="D417" s="12" t="s">
        <v>7159</v>
      </c>
      <c r="E417" s="12" t="s">
        <v>8031</v>
      </c>
      <c r="F417" s="12" t="s">
        <v>7160</v>
      </c>
      <c r="G417" s="12" t="s">
        <v>7649</v>
      </c>
      <c r="H417" s="12">
        <v>79</v>
      </c>
      <c r="I417" s="12" t="s">
        <v>7646</v>
      </c>
      <c r="J417" s="80">
        <v>26.333333333333332</v>
      </c>
      <c r="K417" s="12" t="s">
        <v>7161</v>
      </c>
      <c r="L417" s="12" t="s">
        <v>21</v>
      </c>
      <c r="M417" s="12" t="s">
        <v>8110</v>
      </c>
      <c r="N417" s="12">
        <v>1.23</v>
      </c>
      <c r="O417" s="12" t="s">
        <v>7796</v>
      </c>
      <c r="P417" s="12" t="s">
        <v>7796</v>
      </c>
      <c r="Q417" s="12" t="s">
        <v>7796</v>
      </c>
      <c r="R417" s="12">
        <v>3.8999999999999998E-3</v>
      </c>
      <c r="S417" s="12">
        <v>7.2009999999999999E-3</v>
      </c>
      <c r="T417" s="12">
        <v>8692</v>
      </c>
      <c r="U417" s="12">
        <v>4.8000000000000001E-2</v>
      </c>
      <c r="V417" s="12" t="s">
        <v>7661</v>
      </c>
      <c r="W417" s="12" t="s">
        <v>11</v>
      </c>
      <c r="X417" s="12" t="s">
        <v>17</v>
      </c>
      <c r="Y417" s="12" t="s">
        <v>17</v>
      </c>
      <c r="Z417" s="12" t="s">
        <v>17</v>
      </c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</row>
    <row r="418" spans="1:39" s="12" customFormat="1" x14ac:dyDescent="0.2">
      <c r="A418" s="12" t="s">
        <v>5573</v>
      </c>
      <c r="B418" s="12" t="s">
        <v>4047</v>
      </c>
      <c r="C418" s="12" t="s">
        <v>13</v>
      </c>
      <c r="D418" s="12" t="s">
        <v>7210</v>
      </c>
      <c r="E418" s="12" t="s">
        <v>8031</v>
      </c>
      <c r="F418" s="12" t="s">
        <v>7160</v>
      </c>
      <c r="G418" s="12" t="s">
        <v>7649</v>
      </c>
      <c r="H418" s="12">
        <v>79</v>
      </c>
      <c r="I418" s="12" t="s">
        <v>7647</v>
      </c>
      <c r="J418" s="80">
        <v>8.7777777777777768</v>
      </c>
      <c r="K418" s="12" t="s">
        <v>7161</v>
      </c>
      <c r="L418" s="12" t="s">
        <v>21</v>
      </c>
      <c r="M418" s="12" t="s">
        <v>8110</v>
      </c>
      <c r="N418" s="12">
        <v>1.84</v>
      </c>
      <c r="O418" s="12" t="s">
        <v>7796</v>
      </c>
      <c r="P418" s="12" t="s">
        <v>7796</v>
      </c>
      <c r="Q418" s="12" t="s">
        <v>7796</v>
      </c>
      <c r="R418" s="12">
        <v>5.5999999999999999E-3</v>
      </c>
      <c r="S418" s="12">
        <v>1.4406E-2</v>
      </c>
      <c r="T418" s="12">
        <v>17479</v>
      </c>
      <c r="U418" s="12">
        <v>7.5999999999999998E-2</v>
      </c>
      <c r="V418" s="12" t="s">
        <v>7661</v>
      </c>
      <c r="W418" s="12" t="s">
        <v>11</v>
      </c>
      <c r="X418" s="12">
        <v>1</v>
      </c>
      <c r="Y418" s="12" t="s">
        <v>8052</v>
      </c>
      <c r="Z418" s="12" t="s">
        <v>8052</v>
      </c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</row>
    <row r="419" spans="1:39" s="12" customFormat="1" x14ac:dyDescent="0.2">
      <c r="A419" s="12" t="s">
        <v>5574</v>
      </c>
      <c r="B419" s="12" t="s">
        <v>4051</v>
      </c>
      <c r="C419" s="12" t="s">
        <v>143</v>
      </c>
      <c r="D419" s="12" t="s">
        <v>7159</v>
      </c>
      <c r="E419" s="12" t="s">
        <v>8031</v>
      </c>
      <c r="F419" s="12" t="s">
        <v>7160</v>
      </c>
      <c r="G419" s="12" t="s">
        <v>7649</v>
      </c>
      <c r="H419" s="12">
        <v>80</v>
      </c>
      <c r="I419" s="12" t="s">
        <v>7646</v>
      </c>
      <c r="J419" s="80">
        <v>26.666666666666664</v>
      </c>
      <c r="K419" s="12" t="s">
        <v>7161</v>
      </c>
      <c r="L419" s="12" t="s">
        <v>21</v>
      </c>
      <c r="M419" s="12" t="s">
        <v>8110</v>
      </c>
      <c r="N419" s="12">
        <v>13.6</v>
      </c>
      <c r="O419" s="12">
        <v>0.14000000000000001</v>
      </c>
      <c r="P419" s="12">
        <v>0.999</v>
      </c>
      <c r="Q419" s="12" t="s">
        <v>7199</v>
      </c>
      <c r="R419" s="12">
        <v>6.1999999999999998E-3</v>
      </c>
      <c r="S419" s="12">
        <v>1.4E-2</v>
      </c>
      <c r="T419" s="12">
        <v>16248</v>
      </c>
      <c r="U419" s="12">
        <v>0.104</v>
      </c>
      <c r="V419" s="12" t="s">
        <v>7661</v>
      </c>
      <c r="W419" s="12" t="s">
        <v>11</v>
      </c>
      <c r="X419" s="12">
        <v>3</v>
      </c>
      <c r="Y419" s="12" t="s">
        <v>8052</v>
      </c>
      <c r="Z419" s="12" t="s">
        <v>8052</v>
      </c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</row>
    <row r="420" spans="1:39" s="12" customFormat="1" x14ac:dyDescent="0.2">
      <c r="A420" s="12" t="s">
        <v>5575</v>
      </c>
      <c r="B420" s="12" t="s">
        <v>4051</v>
      </c>
      <c r="C420" s="12" t="s">
        <v>143</v>
      </c>
      <c r="D420" s="12" t="s">
        <v>7159</v>
      </c>
      <c r="E420" s="12" t="s">
        <v>8031</v>
      </c>
      <c r="F420" s="12" t="s">
        <v>7160</v>
      </c>
      <c r="G420" s="12" t="s">
        <v>7649</v>
      </c>
      <c r="H420" s="12">
        <v>80</v>
      </c>
      <c r="I420" s="12" t="s">
        <v>7647</v>
      </c>
      <c r="J420" s="80">
        <v>26.666666666666664</v>
      </c>
      <c r="K420" s="12" t="s">
        <v>7161</v>
      </c>
      <c r="L420" s="12" t="s">
        <v>21</v>
      </c>
      <c r="M420" s="12" t="s">
        <v>8110</v>
      </c>
      <c r="N420" s="12">
        <v>6.68</v>
      </c>
      <c r="O420" s="12">
        <v>0.17299999999999999</v>
      </c>
      <c r="P420" s="12">
        <v>0.998</v>
      </c>
      <c r="Q420" s="12" t="s">
        <v>7355</v>
      </c>
      <c r="R420" s="12">
        <v>3.3999999999999998E-3</v>
      </c>
      <c r="S420" s="12">
        <v>2.1627E-2</v>
      </c>
      <c r="T420" s="12">
        <v>26130</v>
      </c>
      <c r="U420" s="12">
        <v>0.121</v>
      </c>
      <c r="V420" s="12" t="s">
        <v>7661</v>
      </c>
      <c r="W420" s="12" t="s">
        <v>11</v>
      </c>
      <c r="X420" s="12" t="s">
        <v>17</v>
      </c>
      <c r="Y420" s="12" t="s">
        <v>17</v>
      </c>
      <c r="Z420" s="12" t="s">
        <v>17</v>
      </c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</row>
    <row r="421" spans="1:39" s="12" customFormat="1" x14ac:dyDescent="0.2">
      <c r="A421" s="12" t="s">
        <v>5576</v>
      </c>
      <c r="B421" s="12" t="s">
        <v>4051</v>
      </c>
      <c r="C421" s="12" t="s">
        <v>13</v>
      </c>
      <c r="D421" s="12" t="s">
        <v>7210</v>
      </c>
      <c r="E421" s="12" t="s">
        <v>8031</v>
      </c>
      <c r="F421" s="12" t="s">
        <v>7160</v>
      </c>
      <c r="G421" s="12" t="s">
        <v>7649</v>
      </c>
      <c r="H421" s="12">
        <v>75</v>
      </c>
      <c r="I421" s="12" t="s">
        <v>7647</v>
      </c>
      <c r="J421" s="80">
        <v>8.3333333333333321</v>
      </c>
      <c r="K421" s="12" t="s">
        <v>7161</v>
      </c>
      <c r="L421" s="12" t="s">
        <v>21</v>
      </c>
      <c r="M421" s="12" t="s">
        <v>8110</v>
      </c>
      <c r="N421" s="12">
        <v>89.5</v>
      </c>
      <c r="O421" s="12">
        <v>0.16200000000000001</v>
      </c>
      <c r="P421" s="12">
        <v>0.995</v>
      </c>
      <c r="Q421" s="12" t="s">
        <v>7259</v>
      </c>
      <c r="R421" s="12">
        <v>0.33</v>
      </c>
      <c r="S421" s="12">
        <v>2.9873820000000002</v>
      </c>
      <c r="T421" s="12">
        <v>847586</v>
      </c>
      <c r="U421" s="12">
        <v>0.153</v>
      </c>
      <c r="V421" s="12" t="s">
        <v>7661</v>
      </c>
      <c r="W421" s="12" t="s">
        <v>11</v>
      </c>
      <c r="X421" s="12">
        <v>4427</v>
      </c>
      <c r="Y421" s="12">
        <v>7.5500000000000003E-3</v>
      </c>
      <c r="Z421" s="12">
        <v>5.0416621592203654</v>
      </c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</row>
    <row r="422" spans="1:39" s="12" customFormat="1" x14ac:dyDescent="0.2">
      <c r="A422" s="12" t="s">
        <v>1081</v>
      </c>
      <c r="B422" s="12" t="s">
        <v>1080</v>
      </c>
      <c r="C422" s="12" t="s">
        <v>8127</v>
      </c>
      <c r="D422" s="12" t="s">
        <v>7159</v>
      </c>
      <c r="E422" s="12" t="s">
        <v>8031</v>
      </c>
      <c r="F422" s="12" t="s">
        <v>7160</v>
      </c>
      <c r="G422" s="12" t="s">
        <v>7649</v>
      </c>
      <c r="H422" s="12">
        <v>80</v>
      </c>
      <c r="I422" s="12" t="s">
        <v>7647</v>
      </c>
      <c r="J422" s="80">
        <v>8.8888888888888893</v>
      </c>
      <c r="K422" s="12" t="s">
        <v>7161</v>
      </c>
      <c r="L422" s="12" t="s">
        <v>21</v>
      </c>
      <c r="M422" s="12" t="s">
        <v>8110</v>
      </c>
      <c r="N422" s="12">
        <v>1.63</v>
      </c>
      <c r="O422" s="12" t="s">
        <v>7796</v>
      </c>
      <c r="P422" s="12" t="s">
        <v>7796</v>
      </c>
      <c r="Q422" s="12" t="s">
        <v>7796</v>
      </c>
      <c r="R422" s="12">
        <v>3.0000000000000001E-3</v>
      </c>
      <c r="S422" s="12">
        <v>1.1838E-2</v>
      </c>
      <c r="T422" s="12">
        <v>13880</v>
      </c>
      <c r="U422" s="12">
        <v>6.7000000000000004E-2</v>
      </c>
      <c r="V422" s="12" t="s">
        <v>7661</v>
      </c>
      <c r="W422" s="12" t="s">
        <v>25</v>
      </c>
      <c r="X422" s="12">
        <v>4</v>
      </c>
      <c r="Y422" s="12" t="s">
        <v>6639</v>
      </c>
      <c r="Z422" s="12" t="s">
        <v>6639</v>
      </c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</row>
    <row r="423" spans="1:39" s="12" customFormat="1" x14ac:dyDescent="0.2">
      <c r="A423" s="12" t="s">
        <v>5664</v>
      </c>
      <c r="B423" s="12" t="s">
        <v>947</v>
      </c>
      <c r="C423" s="12" t="s">
        <v>143</v>
      </c>
      <c r="D423" s="12" t="s">
        <v>7159</v>
      </c>
      <c r="E423" s="12" t="s">
        <v>8031</v>
      </c>
      <c r="F423" s="12" t="s">
        <v>7160</v>
      </c>
      <c r="G423" s="12" t="s">
        <v>7649</v>
      </c>
      <c r="H423" s="12">
        <v>78</v>
      </c>
      <c r="I423" s="12" t="s">
        <v>7646</v>
      </c>
      <c r="J423" s="80">
        <v>26</v>
      </c>
      <c r="K423" s="12" t="s">
        <v>7161</v>
      </c>
      <c r="L423" s="12" t="s">
        <v>21</v>
      </c>
      <c r="M423" s="12" t="s">
        <v>8110</v>
      </c>
      <c r="N423" s="12">
        <v>58</v>
      </c>
      <c r="O423" s="12">
        <v>0.10199999999999999</v>
      </c>
      <c r="P423" s="12">
        <v>0.90900000000000003</v>
      </c>
      <c r="Q423" s="12" t="s">
        <v>7197</v>
      </c>
      <c r="R423" s="12">
        <v>4.3E-3</v>
      </c>
      <c r="S423" s="12" t="s">
        <v>17</v>
      </c>
      <c r="T423" s="12" t="s">
        <v>17</v>
      </c>
      <c r="U423" s="12" t="s">
        <v>17</v>
      </c>
      <c r="V423" s="12" t="s">
        <v>7661</v>
      </c>
      <c r="W423" s="12" t="s">
        <v>25</v>
      </c>
      <c r="X423" s="12">
        <v>38</v>
      </c>
      <c r="Y423" s="12" t="s">
        <v>6639</v>
      </c>
      <c r="Z423" s="12" t="s">
        <v>6639</v>
      </c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</row>
    <row r="424" spans="1:39" s="12" customFormat="1" x14ac:dyDescent="0.2">
      <c r="A424" s="12" t="s">
        <v>5665</v>
      </c>
      <c r="B424" s="12" t="s">
        <v>947</v>
      </c>
      <c r="C424" s="12" t="s">
        <v>143</v>
      </c>
      <c r="D424" s="12" t="s">
        <v>7159</v>
      </c>
      <c r="E424" s="12" t="s">
        <v>8031</v>
      </c>
      <c r="F424" s="12" t="s">
        <v>7160</v>
      </c>
      <c r="G424" s="12" t="s">
        <v>7649</v>
      </c>
      <c r="H424" s="12">
        <v>78</v>
      </c>
      <c r="I424" s="12" t="s">
        <v>7647</v>
      </c>
      <c r="J424" s="80">
        <v>26</v>
      </c>
      <c r="K424" s="12" t="s">
        <v>7161</v>
      </c>
      <c r="L424" s="12" t="s">
        <v>21</v>
      </c>
      <c r="M424" s="12" t="s">
        <v>8110</v>
      </c>
      <c r="N424" s="12">
        <v>37</v>
      </c>
      <c r="O424" s="12">
        <v>0.11899999999999999</v>
      </c>
      <c r="P424" s="12">
        <v>0.96099999999999997</v>
      </c>
      <c r="Q424" s="12" t="s">
        <v>7353</v>
      </c>
      <c r="R424" s="12">
        <v>6.7999999999999996E-3</v>
      </c>
      <c r="S424" s="12">
        <v>7.8650999999999999E-2</v>
      </c>
      <c r="T424" s="12">
        <v>91342</v>
      </c>
      <c r="U424" s="12">
        <v>7.8E-2</v>
      </c>
      <c r="V424" s="12" t="s">
        <v>7661</v>
      </c>
      <c r="W424" s="12" t="s">
        <v>25</v>
      </c>
      <c r="X424" s="12">
        <v>76</v>
      </c>
      <c r="Y424" s="12" t="s">
        <v>6639</v>
      </c>
      <c r="Z424" s="12" t="s">
        <v>6639</v>
      </c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</row>
    <row r="425" spans="1:39" s="12" customFormat="1" x14ac:dyDescent="0.2">
      <c r="A425" s="12" t="s">
        <v>5666</v>
      </c>
      <c r="B425" s="12" t="s">
        <v>947</v>
      </c>
      <c r="C425" s="12" t="s">
        <v>143</v>
      </c>
      <c r="D425" s="12" t="s">
        <v>7159</v>
      </c>
      <c r="E425" s="12" t="s">
        <v>8031</v>
      </c>
      <c r="F425" s="12" t="s">
        <v>7160</v>
      </c>
      <c r="G425" s="12" t="s">
        <v>7649</v>
      </c>
      <c r="H425" s="12">
        <v>78</v>
      </c>
      <c r="I425" s="12" t="s">
        <v>7647</v>
      </c>
      <c r="J425" s="80">
        <v>26</v>
      </c>
      <c r="K425" s="12" t="s">
        <v>7161</v>
      </c>
      <c r="L425" s="12" t="s">
        <v>21</v>
      </c>
      <c r="M425" s="12" t="s">
        <v>8110</v>
      </c>
      <c r="N425" s="12">
        <v>36</v>
      </c>
      <c r="O425" s="12">
        <v>0.123</v>
      </c>
      <c r="P425" s="12">
        <v>0.94899999999999995</v>
      </c>
      <c r="Q425" s="12" t="s">
        <v>7392</v>
      </c>
      <c r="R425" s="12">
        <v>4.8999999999999998E-3</v>
      </c>
      <c r="S425" s="12">
        <v>8.1664E-2</v>
      </c>
      <c r="T425" s="12">
        <v>94531</v>
      </c>
      <c r="U425" s="12">
        <v>8.1000000000000003E-2</v>
      </c>
      <c r="V425" s="12" t="s">
        <v>7661</v>
      </c>
      <c r="W425" s="12" t="s">
        <v>25</v>
      </c>
      <c r="X425" s="12">
        <v>72</v>
      </c>
      <c r="Y425" s="12" t="s">
        <v>6639</v>
      </c>
      <c r="Z425" s="12" t="s">
        <v>6639</v>
      </c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</row>
    <row r="426" spans="1:39" s="12" customFormat="1" x14ac:dyDescent="0.2">
      <c r="A426" s="12" t="s">
        <v>5581</v>
      </c>
      <c r="B426" s="12" t="s">
        <v>109</v>
      </c>
      <c r="C426" s="12" t="s">
        <v>13</v>
      </c>
      <c r="D426" s="12" t="s">
        <v>7210</v>
      </c>
      <c r="E426" s="12" t="s">
        <v>8124</v>
      </c>
      <c r="F426" s="12" t="s">
        <v>7160</v>
      </c>
      <c r="G426" s="12" t="s">
        <v>7649</v>
      </c>
      <c r="H426" s="12">
        <v>78</v>
      </c>
      <c r="I426" s="12" t="s">
        <v>7647</v>
      </c>
      <c r="J426" s="80">
        <v>8.6666666666666661</v>
      </c>
      <c r="K426" s="12" t="s">
        <v>7161</v>
      </c>
      <c r="L426" s="12" t="s">
        <v>21</v>
      </c>
      <c r="M426" s="12" t="s">
        <v>8110</v>
      </c>
      <c r="N426" s="12">
        <v>128</v>
      </c>
      <c r="O426" s="12">
        <v>7.0000000000000007E-2</v>
      </c>
      <c r="P426" s="12">
        <v>0.98299999999999998</v>
      </c>
      <c r="Q426" s="12" t="s">
        <v>7220</v>
      </c>
      <c r="R426" s="12">
        <v>0.27600000000000002</v>
      </c>
      <c r="S426" s="12">
        <v>0.81579100000000004</v>
      </c>
      <c r="T426" s="12">
        <v>593466</v>
      </c>
      <c r="U426" s="12">
        <v>5.1999999999999998E-2</v>
      </c>
      <c r="V426" s="12" t="s">
        <v>7661</v>
      </c>
      <c r="W426" s="12" t="s">
        <v>11</v>
      </c>
      <c r="X426" s="12">
        <v>1005</v>
      </c>
      <c r="Y426" s="12">
        <v>9.887E-3</v>
      </c>
      <c r="Z426" s="12">
        <v>2.6292254887282627</v>
      </c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</row>
    <row r="427" spans="1:39" s="12" customFormat="1" x14ac:dyDescent="0.2">
      <c r="A427" s="12" t="s">
        <v>5582</v>
      </c>
      <c r="B427" s="12" t="s">
        <v>109</v>
      </c>
      <c r="C427" s="12" t="s">
        <v>13</v>
      </c>
      <c r="D427" s="12" t="s">
        <v>8032</v>
      </c>
      <c r="E427" s="12" t="s">
        <v>8124</v>
      </c>
      <c r="F427" s="12" t="s">
        <v>7160</v>
      </c>
      <c r="G427" s="12" t="s">
        <v>7649</v>
      </c>
      <c r="H427" s="12">
        <v>75</v>
      </c>
      <c r="I427" s="12" t="s">
        <v>7647</v>
      </c>
      <c r="J427" s="80">
        <v>8.3333333333333321</v>
      </c>
      <c r="K427" s="12" t="s">
        <v>7161</v>
      </c>
      <c r="L427" s="12" t="s">
        <v>21</v>
      </c>
      <c r="M427" s="12" t="s">
        <v>8110</v>
      </c>
      <c r="N427" s="12">
        <v>225</v>
      </c>
      <c r="O427" s="12">
        <v>0.08</v>
      </c>
      <c r="P427" s="12">
        <v>0.98299999999999998</v>
      </c>
      <c r="Q427" s="12" t="s">
        <v>7220</v>
      </c>
      <c r="R427" s="12">
        <v>0.36299999999999999</v>
      </c>
      <c r="S427" s="12">
        <v>2.359</v>
      </c>
      <c r="T427" s="12">
        <v>899825</v>
      </c>
      <c r="U427" s="12">
        <v>6.0999999999999999E-2</v>
      </c>
      <c r="V427" s="12" t="s">
        <v>7661</v>
      </c>
      <c r="W427" s="12" t="s">
        <v>11</v>
      </c>
      <c r="X427" s="12">
        <v>4380</v>
      </c>
      <c r="Y427" s="12">
        <v>5.8469999999999998E-3</v>
      </c>
      <c r="Z427" s="12">
        <v>4.4613732972272642</v>
      </c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</row>
    <row r="428" spans="1:39" s="12" customFormat="1" x14ac:dyDescent="0.2">
      <c r="A428" s="12" t="s">
        <v>97</v>
      </c>
      <c r="B428" s="12" t="s">
        <v>95</v>
      </c>
      <c r="C428" s="12" t="s">
        <v>13</v>
      </c>
      <c r="D428" s="12" t="s">
        <v>7210</v>
      </c>
      <c r="E428" s="12" t="s">
        <v>8124</v>
      </c>
      <c r="F428" s="12" t="s">
        <v>7160</v>
      </c>
      <c r="G428" s="12" t="s">
        <v>7649</v>
      </c>
      <c r="H428" s="12">
        <v>68</v>
      </c>
      <c r="I428" s="12" t="s">
        <v>7646</v>
      </c>
      <c r="J428" s="80">
        <v>22.666666666666664</v>
      </c>
      <c r="K428" s="12" t="s">
        <v>7161</v>
      </c>
      <c r="L428" s="12" t="s">
        <v>21</v>
      </c>
      <c r="M428" s="12" t="s">
        <v>8110</v>
      </c>
      <c r="N428" s="12">
        <v>570</v>
      </c>
      <c r="O428" s="12">
        <v>0.10299999999999999</v>
      </c>
      <c r="P428" s="12">
        <v>0.995</v>
      </c>
      <c r="Q428" s="12" t="s">
        <v>7202</v>
      </c>
      <c r="R428" s="12">
        <v>0.59299999999999997</v>
      </c>
      <c r="S428" s="12">
        <v>2.6970000000000001</v>
      </c>
      <c r="T428" s="12">
        <v>702290</v>
      </c>
      <c r="U428" s="12">
        <v>8.5000000000000006E-2</v>
      </c>
      <c r="V428" s="12" t="s">
        <v>7661</v>
      </c>
      <c r="W428" s="12" t="s">
        <v>25</v>
      </c>
      <c r="X428" s="12">
        <v>6351</v>
      </c>
      <c r="Y428" s="12" t="s">
        <v>6639</v>
      </c>
      <c r="Z428" s="12" t="s">
        <v>6639</v>
      </c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</row>
    <row r="429" spans="1:39" s="12" customFormat="1" x14ac:dyDescent="0.2">
      <c r="A429" s="12" t="s">
        <v>1342</v>
      </c>
      <c r="B429" s="12" t="s">
        <v>1340</v>
      </c>
      <c r="C429" s="12" t="s">
        <v>13</v>
      </c>
      <c r="D429" s="12" t="s">
        <v>7210</v>
      </c>
      <c r="E429" s="12" t="s">
        <v>8124</v>
      </c>
      <c r="F429" s="12" t="s">
        <v>7160</v>
      </c>
      <c r="G429" s="12" t="s">
        <v>7649</v>
      </c>
      <c r="H429" s="12">
        <v>73</v>
      </c>
      <c r="I429" s="12" t="s">
        <v>7646</v>
      </c>
      <c r="J429" s="80">
        <v>24.333333333333332</v>
      </c>
      <c r="K429" s="12" t="s">
        <v>7161</v>
      </c>
      <c r="L429" s="12" t="s">
        <v>21</v>
      </c>
      <c r="M429" s="12" t="s">
        <v>8110</v>
      </c>
      <c r="N429" s="12">
        <v>828</v>
      </c>
      <c r="O429" s="12">
        <v>5.7000000000000002E-2</v>
      </c>
      <c r="P429" s="12">
        <v>0.98</v>
      </c>
      <c r="Q429" s="12" t="s">
        <v>7276</v>
      </c>
      <c r="R429" s="12">
        <v>0.82399999999999995</v>
      </c>
      <c r="S429" s="12">
        <v>4.5999999999999996</v>
      </c>
      <c r="T429" s="12">
        <v>822898</v>
      </c>
      <c r="U429" s="12">
        <v>4.9000000000000002E-2</v>
      </c>
      <c r="V429" s="12" t="s">
        <v>7661</v>
      </c>
      <c r="W429" s="12" t="s">
        <v>11</v>
      </c>
      <c r="X429" s="12">
        <v>5625</v>
      </c>
      <c r="Y429" s="12">
        <v>3.0839999999999999E-3</v>
      </c>
      <c r="Z429" s="12">
        <v>3.8152942329180219</v>
      </c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</row>
    <row r="430" spans="1:39" s="12" customFormat="1" x14ac:dyDescent="0.2">
      <c r="A430" s="12" t="s">
        <v>1347</v>
      </c>
      <c r="B430" s="12" t="s">
        <v>1345</v>
      </c>
      <c r="C430" s="12" t="s">
        <v>13</v>
      </c>
      <c r="D430" s="12" t="s">
        <v>7210</v>
      </c>
      <c r="E430" s="12" t="s">
        <v>8124</v>
      </c>
      <c r="F430" s="12" t="s">
        <v>7160</v>
      </c>
      <c r="G430" s="12" t="s">
        <v>7649</v>
      </c>
      <c r="H430" s="12">
        <v>72</v>
      </c>
      <c r="I430" s="12" t="s">
        <v>7646</v>
      </c>
      <c r="J430" s="80">
        <v>24</v>
      </c>
      <c r="K430" s="12" t="s">
        <v>7161</v>
      </c>
      <c r="L430" s="12" t="s">
        <v>21</v>
      </c>
      <c r="M430" s="12" t="s">
        <v>8110</v>
      </c>
      <c r="N430" s="12">
        <v>722</v>
      </c>
      <c r="O430" s="12">
        <v>8.4000000000000005E-2</v>
      </c>
      <c r="P430" s="12">
        <v>0.99399999999999999</v>
      </c>
      <c r="Q430" s="12" t="s">
        <v>7262</v>
      </c>
      <c r="R430" s="12">
        <v>0.73299999999999998</v>
      </c>
      <c r="S430" s="12">
        <v>3.367</v>
      </c>
      <c r="T430" s="12">
        <v>792629</v>
      </c>
      <c r="U430" s="12">
        <v>7.2999999999999995E-2</v>
      </c>
      <c r="V430" s="12" t="s">
        <v>7661</v>
      </c>
      <c r="W430" s="12" t="s">
        <v>25</v>
      </c>
      <c r="X430" s="12">
        <v>7863</v>
      </c>
      <c r="Y430" s="12" t="s">
        <v>6639</v>
      </c>
      <c r="Z430" s="12" t="s">
        <v>6639</v>
      </c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</row>
    <row r="431" spans="1:39" s="12" customFormat="1" x14ac:dyDescent="0.2">
      <c r="A431" s="12" t="s">
        <v>1350</v>
      </c>
      <c r="B431" s="12" t="s">
        <v>1348</v>
      </c>
      <c r="C431" s="12" t="s">
        <v>13</v>
      </c>
      <c r="D431" s="12" t="s">
        <v>7210</v>
      </c>
      <c r="E431" s="12" t="s">
        <v>8124</v>
      </c>
      <c r="F431" s="12" t="s">
        <v>7160</v>
      </c>
      <c r="G431" s="12" t="s">
        <v>7649</v>
      </c>
      <c r="H431" s="12">
        <v>68</v>
      </c>
      <c r="I431" s="12" t="s">
        <v>7646</v>
      </c>
      <c r="J431" s="80">
        <v>22.666666666666664</v>
      </c>
      <c r="K431" s="12" t="s">
        <v>7161</v>
      </c>
      <c r="L431" s="12" t="s">
        <v>21</v>
      </c>
      <c r="M431" s="12" t="s">
        <v>8110</v>
      </c>
      <c r="N431" s="12">
        <v>540</v>
      </c>
      <c r="O431" s="12">
        <v>9.6000000000000002E-2</v>
      </c>
      <c r="P431" s="12">
        <v>0.99199999999999999</v>
      </c>
      <c r="Q431" s="12" t="s">
        <v>7275</v>
      </c>
      <c r="R431" s="12">
        <v>0.54200000000000004</v>
      </c>
      <c r="S431" s="12">
        <v>1.9319999999999999</v>
      </c>
      <c r="T431" s="12">
        <v>774254</v>
      </c>
      <c r="U431" s="12">
        <v>7.5999999999999998E-2</v>
      </c>
      <c r="V431" s="12" t="s">
        <v>7661</v>
      </c>
      <c r="W431" s="12" t="s">
        <v>11</v>
      </c>
      <c r="X431" s="12">
        <v>3248</v>
      </c>
      <c r="Y431" s="12">
        <v>9.2379999999999997E-3</v>
      </c>
      <c r="Z431" s="12">
        <v>4.9432103363287965</v>
      </c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</row>
    <row r="432" spans="1:39" s="12" customFormat="1" x14ac:dyDescent="0.2">
      <c r="A432" s="12" t="s">
        <v>1355</v>
      </c>
      <c r="B432" s="12" t="s">
        <v>1353</v>
      </c>
      <c r="C432" s="12" t="s">
        <v>13</v>
      </c>
      <c r="D432" s="12" t="s">
        <v>7210</v>
      </c>
      <c r="E432" s="12" t="s">
        <v>8124</v>
      </c>
      <c r="F432" s="12" t="s">
        <v>7160</v>
      </c>
      <c r="G432" s="12" t="s">
        <v>7649</v>
      </c>
      <c r="H432" s="12">
        <v>69</v>
      </c>
      <c r="I432" s="12" t="s">
        <v>7646</v>
      </c>
      <c r="J432" s="80">
        <v>23</v>
      </c>
      <c r="K432" s="12" t="s">
        <v>7161</v>
      </c>
      <c r="L432" s="12" t="s">
        <v>21</v>
      </c>
      <c r="M432" s="12" t="s">
        <v>8110</v>
      </c>
      <c r="N432" s="12">
        <v>449</v>
      </c>
      <c r="O432" s="12">
        <v>8.8999999999999996E-2</v>
      </c>
      <c r="P432" s="12">
        <v>0.99</v>
      </c>
      <c r="Q432" s="12" t="s">
        <v>7277</v>
      </c>
      <c r="R432" s="12">
        <v>0.67400000000000004</v>
      </c>
      <c r="S432" s="12">
        <v>2.1880000000000002</v>
      </c>
      <c r="T432" s="12">
        <v>777732</v>
      </c>
      <c r="U432" s="12">
        <v>7.6999999999999999E-2</v>
      </c>
      <c r="V432" s="12" t="s">
        <v>7661</v>
      </c>
      <c r="W432" s="12" t="s">
        <v>11</v>
      </c>
      <c r="X432" s="12">
        <v>3791</v>
      </c>
      <c r="Y432" s="12">
        <v>4.2059999999999997E-3</v>
      </c>
      <c r="Z432" s="12">
        <v>3.3086170358378442</v>
      </c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</row>
    <row r="433" spans="1:56" s="12" customFormat="1" x14ac:dyDescent="0.2">
      <c r="A433" s="12" t="s">
        <v>1383</v>
      </c>
      <c r="B433" s="12" t="s">
        <v>1381</v>
      </c>
      <c r="C433" s="12" t="s">
        <v>13</v>
      </c>
      <c r="D433" s="12" t="s">
        <v>7210</v>
      </c>
      <c r="E433" s="12" t="s">
        <v>8124</v>
      </c>
      <c r="F433" s="12" t="s">
        <v>7160</v>
      </c>
      <c r="G433" s="12" t="s">
        <v>7649</v>
      </c>
      <c r="H433" s="12">
        <v>80</v>
      </c>
      <c r="I433" s="12" t="s">
        <v>7646</v>
      </c>
      <c r="J433" s="80">
        <v>26.666666666666664</v>
      </c>
      <c r="K433" s="12" t="s">
        <v>7161</v>
      </c>
      <c r="L433" s="12" t="s">
        <v>21</v>
      </c>
      <c r="M433" s="12" t="s">
        <v>8110</v>
      </c>
      <c r="N433" s="12">
        <v>257</v>
      </c>
      <c r="O433" s="12">
        <v>0.10299999999999999</v>
      </c>
      <c r="P433" s="12">
        <v>0.97399999999999998</v>
      </c>
      <c r="Q433" s="12" t="s">
        <v>7279</v>
      </c>
      <c r="R433" s="12">
        <v>0.33400000000000002</v>
      </c>
      <c r="S433" s="12">
        <v>1.18</v>
      </c>
      <c r="T433" s="12">
        <v>676099</v>
      </c>
      <c r="U433" s="12">
        <v>7.9000000000000001E-2</v>
      </c>
      <c r="V433" s="12" t="s">
        <v>7661</v>
      </c>
      <c r="W433" s="12" t="s">
        <v>11</v>
      </c>
      <c r="X433" s="12">
        <v>1719</v>
      </c>
      <c r="Y433" s="12">
        <v>1.0401000000000001E-2</v>
      </c>
      <c r="Z433" s="12">
        <v>3.5649884611732965</v>
      </c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</row>
    <row r="434" spans="1:56" s="12" customFormat="1" x14ac:dyDescent="0.2">
      <c r="A434" s="12" t="s">
        <v>1358</v>
      </c>
      <c r="B434" s="12" t="s">
        <v>1356</v>
      </c>
      <c r="C434" s="12" t="s">
        <v>13</v>
      </c>
      <c r="D434" s="12" t="s">
        <v>7210</v>
      </c>
      <c r="E434" s="12" t="s">
        <v>8124</v>
      </c>
      <c r="F434" s="12" t="s">
        <v>7160</v>
      </c>
      <c r="G434" s="12" t="s">
        <v>7649</v>
      </c>
      <c r="H434" s="12">
        <v>72</v>
      </c>
      <c r="I434" s="12" t="s">
        <v>7646</v>
      </c>
      <c r="J434" s="80">
        <v>24</v>
      </c>
      <c r="K434" s="12" t="s">
        <v>7161</v>
      </c>
      <c r="L434" s="12" t="s">
        <v>21</v>
      </c>
      <c r="M434" s="12" t="s">
        <v>8110</v>
      </c>
      <c r="N434" s="12">
        <v>538</v>
      </c>
      <c r="O434" s="12">
        <v>8.2000000000000003E-2</v>
      </c>
      <c r="P434" s="12">
        <v>0.99</v>
      </c>
      <c r="Q434" s="12" t="s">
        <v>7278</v>
      </c>
      <c r="R434" s="12">
        <v>0.65</v>
      </c>
      <c r="S434" s="12">
        <v>2.7589999999999999</v>
      </c>
      <c r="T434" s="12">
        <v>811090</v>
      </c>
      <c r="U434" s="12" t="s">
        <v>17</v>
      </c>
      <c r="V434" s="12" t="s">
        <v>7661</v>
      </c>
      <c r="W434" s="12" t="s">
        <v>11</v>
      </c>
      <c r="X434" s="12">
        <v>4539</v>
      </c>
      <c r="Y434" s="12">
        <v>4.1469999999999996E-3</v>
      </c>
      <c r="Z434" s="12">
        <v>3.8785536651724208</v>
      </c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</row>
    <row r="435" spans="1:56" s="12" customFormat="1" x14ac:dyDescent="0.2">
      <c r="A435" s="12" t="s">
        <v>1361</v>
      </c>
      <c r="B435" s="12" t="s">
        <v>1359</v>
      </c>
      <c r="C435" s="12" t="s">
        <v>13</v>
      </c>
      <c r="D435" s="12" t="s">
        <v>7210</v>
      </c>
      <c r="E435" s="12" t="s">
        <v>8124</v>
      </c>
      <c r="F435" s="12" t="s">
        <v>7160</v>
      </c>
      <c r="G435" s="12" t="s">
        <v>7649</v>
      </c>
      <c r="H435" s="12">
        <v>74</v>
      </c>
      <c r="I435" s="12" t="s">
        <v>7646</v>
      </c>
      <c r="J435" s="80">
        <v>24.666666666666664</v>
      </c>
      <c r="K435" s="12" t="s">
        <v>7161</v>
      </c>
      <c r="L435" s="12" t="s">
        <v>21</v>
      </c>
      <c r="M435" s="12" t="s">
        <v>8110</v>
      </c>
      <c r="N435" s="12">
        <v>672</v>
      </c>
      <c r="O435" s="12">
        <v>6.3E-2</v>
      </c>
      <c r="P435" s="12">
        <v>0.996</v>
      </c>
      <c r="Q435" s="12" t="s">
        <v>7241</v>
      </c>
      <c r="R435" s="12">
        <v>0.754</v>
      </c>
      <c r="S435" s="12">
        <v>3.7789999999999999</v>
      </c>
      <c r="T435" s="12">
        <v>801039</v>
      </c>
      <c r="U435" s="12">
        <v>5.6000000000000001E-2</v>
      </c>
      <c r="V435" s="12" t="s">
        <v>7661</v>
      </c>
      <c r="W435" s="12" t="s">
        <v>25</v>
      </c>
      <c r="X435" s="12">
        <v>8284</v>
      </c>
      <c r="Y435" s="12" t="s">
        <v>6639</v>
      </c>
      <c r="Z435" s="12" t="s">
        <v>6639</v>
      </c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</row>
    <row r="436" spans="1:56" s="12" customFormat="1" x14ac:dyDescent="0.2">
      <c r="A436" s="12" t="s">
        <v>1364</v>
      </c>
      <c r="B436" s="12" t="s">
        <v>1362</v>
      </c>
      <c r="C436" s="12" t="s">
        <v>13</v>
      </c>
      <c r="D436" s="12" t="s">
        <v>7210</v>
      </c>
      <c r="E436" s="12" t="s">
        <v>8124</v>
      </c>
      <c r="F436" s="12" t="s">
        <v>7160</v>
      </c>
      <c r="G436" s="12" t="s">
        <v>7649</v>
      </c>
      <c r="H436" s="12">
        <v>79</v>
      </c>
      <c r="I436" s="12" t="s">
        <v>7646</v>
      </c>
      <c r="J436" s="80">
        <v>26.333333333333332</v>
      </c>
      <c r="K436" s="12" t="s">
        <v>7161</v>
      </c>
      <c r="L436" s="12" t="s">
        <v>21</v>
      </c>
      <c r="M436" s="12" t="s">
        <v>8110</v>
      </c>
      <c r="N436" s="12">
        <v>696</v>
      </c>
      <c r="O436" s="12">
        <v>5.8000000000000003E-2</v>
      </c>
      <c r="P436" s="12">
        <v>0.995</v>
      </c>
      <c r="Q436" s="12" t="s">
        <v>7202</v>
      </c>
      <c r="R436" s="12">
        <v>0.79100000000000004</v>
      </c>
      <c r="S436" s="12">
        <v>3.4830000000000001</v>
      </c>
      <c r="T436" s="12">
        <v>789432</v>
      </c>
      <c r="U436" s="12">
        <v>4.5999999999999999E-2</v>
      </c>
      <c r="V436" s="12" t="s">
        <v>7661</v>
      </c>
      <c r="W436" s="12" t="s">
        <v>11</v>
      </c>
      <c r="X436" s="12">
        <v>4747</v>
      </c>
      <c r="Y436" s="12">
        <v>4.1590000000000004E-3</v>
      </c>
      <c r="Z436" s="12">
        <v>4.2602761363689909</v>
      </c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</row>
    <row r="437" spans="1:56" s="12" customFormat="1" x14ac:dyDescent="0.2">
      <c r="A437" s="12" t="s">
        <v>1489</v>
      </c>
      <c r="B437" s="12" t="s">
        <v>1487</v>
      </c>
      <c r="C437" s="12" t="s">
        <v>8127</v>
      </c>
      <c r="D437" s="12" t="s">
        <v>7159</v>
      </c>
      <c r="E437" s="12" t="s">
        <v>8031</v>
      </c>
      <c r="F437" s="12" t="s">
        <v>7160</v>
      </c>
      <c r="G437" s="12" t="s">
        <v>7649</v>
      </c>
      <c r="H437" s="12">
        <v>82</v>
      </c>
      <c r="I437" s="12" t="s">
        <v>7646</v>
      </c>
      <c r="J437" s="80">
        <v>27.333333333333332</v>
      </c>
      <c r="K437" s="12" t="s">
        <v>7161</v>
      </c>
      <c r="L437" s="12" t="s">
        <v>21</v>
      </c>
      <c r="M437" s="12" t="s">
        <v>8110</v>
      </c>
      <c r="N437" s="12">
        <v>400</v>
      </c>
      <c r="O437" s="12">
        <v>0.124</v>
      </c>
      <c r="P437" s="12">
        <v>0.98799999999999999</v>
      </c>
      <c r="Q437" s="12" t="s">
        <v>7238</v>
      </c>
      <c r="R437" s="12">
        <v>0.80100000000000005</v>
      </c>
      <c r="S437" s="12">
        <v>3.7280000000000002</v>
      </c>
      <c r="T437" s="12">
        <v>775219</v>
      </c>
      <c r="U437" s="12">
        <v>0.109</v>
      </c>
      <c r="V437" s="12" t="s">
        <v>7661</v>
      </c>
      <c r="W437" s="12" t="s">
        <v>25</v>
      </c>
      <c r="X437" s="12">
        <v>7615</v>
      </c>
      <c r="Y437" s="12" t="s">
        <v>6639</v>
      </c>
      <c r="Z437" s="12" t="s">
        <v>6639</v>
      </c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</row>
    <row r="438" spans="1:56" s="12" customFormat="1" x14ac:dyDescent="0.2">
      <c r="A438" s="12" t="s">
        <v>5519</v>
      </c>
      <c r="B438" s="12" t="s">
        <v>4185</v>
      </c>
      <c r="C438" s="12" t="s">
        <v>8127</v>
      </c>
      <c r="D438" s="12" t="s">
        <v>7159</v>
      </c>
      <c r="E438" s="12" t="s">
        <v>8031</v>
      </c>
      <c r="F438" s="12" t="s">
        <v>7160</v>
      </c>
      <c r="G438" s="12" t="s">
        <v>7649</v>
      </c>
      <c r="H438" s="12">
        <v>41</v>
      </c>
      <c r="I438" s="12" t="s">
        <v>7646</v>
      </c>
      <c r="J438" s="80">
        <v>13.666666666666666</v>
      </c>
      <c r="K438" s="12" t="s">
        <v>7161</v>
      </c>
      <c r="L438" s="12" t="s">
        <v>21</v>
      </c>
      <c r="M438" s="12" t="s">
        <v>8110</v>
      </c>
      <c r="N438" s="12">
        <v>11.9</v>
      </c>
      <c r="O438" s="12">
        <v>8.1000000000000003E-2</v>
      </c>
      <c r="P438" s="12">
        <v>0.97099999999999997</v>
      </c>
      <c r="Q438" s="12" t="s">
        <v>7198</v>
      </c>
      <c r="R438" s="12">
        <v>2.3E-2</v>
      </c>
      <c r="S438" s="12">
        <v>1.7000000000000001E-2</v>
      </c>
      <c r="T438" s="12">
        <v>19625</v>
      </c>
      <c r="U438" s="12">
        <v>4.9000000000000002E-2</v>
      </c>
      <c r="V438" s="12" t="s">
        <v>7661</v>
      </c>
      <c r="W438" s="12" t="s">
        <v>25</v>
      </c>
      <c r="X438" s="12">
        <v>4</v>
      </c>
      <c r="Y438" s="12" t="s">
        <v>6639</v>
      </c>
      <c r="Z438" s="12" t="s">
        <v>6639</v>
      </c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</row>
    <row r="439" spans="1:56" s="12" customFormat="1" x14ac:dyDescent="0.2">
      <c r="A439" s="12" t="s">
        <v>5521</v>
      </c>
      <c r="B439" s="12" t="s">
        <v>4185</v>
      </c>
      <c r="C439" s="12" t="s">
        <v>8127</v>
      </c>
      <c r="D439" s="12" t="s">
        <v>7159</v>
      </c>
      <c r="E439" s="12" t="s">
        <v>8031</v>
      </c>
      <c r="F439" s="12" t="s">
        <v>7160</v>
      </c>
      <c r="G439" s="12" t="s">
        <v>7649</v>
      </c>
      <c r="H439" s="12">
        <v>41</v>
      </c>
      <c r="I439" s="12" t="s">
        <v>7647</v>
      </c>
      <c r="J439" s="80">
        <v>13.666666666666666</v>
      </c>
      <c r="K439" s="12" t="s">
        <v>7161</v>
      </c>
      <c r="L439" s="12" t="s">
        <v>21</v>
      </c>
      <c r="M439" s="12" t="s">
        <v>8110</v>
      </c>
      <c r="N439" s="12">
        <v>11.5</v>
      </c>
      <c r="O439" s="12">
        <v>8.3000000000000004E-2</v>
      </c>
      <c r="P439" s="12">
        <v>0.98299999999999998</v>
      </c>
      <c r="Q439" s="12" t="s">
        <v>7393</v>
      </c>
      <c r="R439" s="12">
        <v>6.7000000000000002E-3</v>
      </c>
      <c r="S439" s="12">
        <v>0.106809</v>
      </c>
      <c r="T439" s="12">
        <v>120017</v>
      </c>
      <c r="U439" s="12">
        <v>5.5E-2</v>
      </c>
      <c r="V439" s="12" t="s">
        <v>7661</v>
      </c>
      <c r="W439" s="12" t="s">
        <v>25</v>
      </c>
      <c r="X439" s="12">
        <v>214</v>
      </c>
      <c r="Y439" s="12" t="s">
        <v>6639</v>
      </c>
      <c r="Z439" s="12" t="s">
        <v>6639</v>
      </c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</row>
    <row r="440" spans="1:56" s="12" customFormat="1" x14ac:dyDescent="0.2">
      <c r="A440" s="12" t="s">
        <v>5520</v>
      </c>
      <c r="B440" s="12" t="s">
        <v>4185</v>
      </c>
      <c r="C440" s="12" t="s">
        <v>8127</v>
      </c>
      <c r="D440" s="12" t="s">
        <v>7159</v>
      </c>
      <c r="E440" s="12" t="s">
        <v>8031</v>
      </c>
      <c r="F440" s="12" t="s">
        <v>7160</v>
      </c>
      <c r="G440" s="12" t="s">
        <v>7649</v>
      </c>
      <c r="H440" s="12">
        <v>41</v>
      </c>
      <c r="I440" s="12" t="s">
        <v>7647</v>
      </c>
      <c r="J440" s="80">
        <v>13.666666666666666</v>
      </c>
      <c r="K440" s="12" t="s">
        <v>7161</v>
      </c>
      <c r="L440" s="12" t="s">
        <v>21</v>
      </c>
      <c r="M440" s="12" t="s">
        <v>8110</v>
      </c>
      <c r="N440" s="12">
        <v>14.7</v>
      </c>
      <c r="O440" s="12">
        <v>0.08</v>
      </c>
      <c r="P440" s="12">
        <v>0.99</v>
      </c>
      <c r="Q440" s="12" t="s">
        <v>7354</v>
      </c>
      <c r="R440" s="12">
        <v>6.8999999999999999E-3</v>
      </c>
      <c r="S440" s="12">
        <v>0.121</v>
      </c>
      <c r="T440" s="12">
        <v>129532</v>
      </c>
      <c r="U440" s="12">
        <v>5.1999999999999998E-2</v>
      </c>
      <c r="V440" s="12" t="s">
        <v>7661</v>
      </c>
      <c r="W440" s="12" t="s">
        <v>25</v>
      </c>
      <c r="X440" s="12">
        <v>228</v>
      </c>
      <c r="Y440" s="12" t="s">
        <v>6639</v>
      </c>
      <c r="Z440" s="12" t="s">
        <v>6639</v>
      </c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</row>
    <row r="441" spans="1:56" s="12" customFormat="1" x14ac:dyDescent="0.2">
      <c r="A441" s="12" t="s">
        <v>4083</v>
      </c>
      <c r="B441" s="12" t="s">
        <v>4079</v>
      </c>
      <c r="C441" s="12" t="s">
        <v>8127</v>
      </c>
      <c r="D441" s="12" t="s">
        <v>7159</v>
      </c>
      <c r="E441" s="12" t="s">
        <v>8031</v>
      </c>
      <c r="F441" s="12" t="s">
        <v>7160</v>
      </c>
      <c r="G441" s="12" t="s">
        <v>7649</v>
      </c>
      <c r="H441" s="12">
        <v>41</v>
      </c>
      <c r="I441" s="12" t="s">
        <v>7646</v>
      </c>
      <c r="J441" s="80">
        <v>13.666666666666666</v>
      </c>
      <c r="K441" s="12" t="s">
        <v>7161</v>
      </c>
      <c r="L441" s="12" t="s">
        <v>21</v>
      </c>
      <c r="M441" s="12" t="s">
        <v>8110</v>
      </c>
      <c r="N441" s="12">
        <v>239</v>
      </c>
      <c r="O441" s="12">
        <v>5.5E-2</v>
      </c>
      <c r="P441" s="12">
        <v>0.99399999999999999</v>
      </c>
      <c r="Q441" s="12" t="s">
        <v>7171</v>
      </c>
      <c r="R441" s="12">
        <v>0.03</v>
      </c>
      <c r="S441" s="12">
        <v>0.754</v>
      </c>
      <c r="T441" s="12">
        <v>508194</v>
      </c>
      <c r="U441" s="12">
        <v>4.2999999999999997E-2</v>
      </c>
      <c r="V441" s="12" t="s">
        <v>7661</v>
      </c>
      <c r="W441" s="12" t="s">
        <v>25</v>
      </c>
      <c r="X441" s="12">
        <v>2547</v>
      </c>
      <c r="Y441" s="12" t="s">
        <v>6639</v>
      </c>
      <c r="Z441" s="12" t="s">
        <v>6639</v>
      </c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</row>
    <row r="442" spans="1:56" s="12" customFormat="1" x14ac:dyDescent="0.2">
      <c r="A442" s="12" t="s">
        <v>4594</v>
      </c>
      <c r="B442" s="12" t="s">
        <v>4591</v>
      </c>
      <c r="C442" s="12" t="s">
        <v>8127</v>
      </c>
      <c r="D442" s="12" t="s">
        <v>7159</v>
      </c>
      <c r="E442" s="12" t="s">
        <v>8031</v>
      </c>
      <c r="F442" s="12" t="s">
        <v>7160</v>
      </c>
      <c r="G442" s="12" t="s">
        <v>7649</v>
      </c>
      <c r="H442" s="12">
        <v>65</v>
      </c>
      <c r="I442" s="12" t="s">
        <v>7647</v>
      </c>
      <c r="J442" s="80">
        <v>7.2222222222222214</v>
      </c>
      <c r="K442" s="12" t="s">
        <v>7161</v>
      </c>
      <c r="L442" s="12" t="s">
        <v>21</v>
      </c>
      <c r="M442" s="12" t="s">
        <v>8110</v>
      </c>
      <c r="N442" s="12">
        <v>1.87</v>
      </c>
      <c r="O442" s="12" t="s">
        <v>7796</v>
      </c>
      <c r="P442" s="12" t="s">
        <v>7796</v>
      </c>
      <c r="Q442" s="12" t="s">
        <v>7796</v>
      </c>
      <c r="R442" s="12">
        <v>6.4000000000000003E-3</v>
      </c>
      <c r="S442" s="12">
        <v>7.4460000000000004E-3</v>
      </c>
      <c r="T442" s="12">
        <v>8696</v>
      </c>
      <c r="U442" s="12">
        <v>2.4E-2</v>
      </c>
      <c r="V442" s="12" t="s">
        <v>7661</v>
      </c>
      <c r="W442" s="12" t="s">
        <v>11</v>
      </c>
      <c r="X442" s="12">
        <v>7</v>
      </c>
      <c r="Y442" s="12" t="s">
        <v>8052</v>
      </c>
      <c r="Z442" s="12" t="s">
        <v>8052</v>
      </c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</row>
    <row r="443" spans="1:56" s="12" customFormat="1" x14ac:dyDescent="0.2">
      <c r="A443" s="12" t="s">
        <v>5538</v>
      </c>
      <c r="B443" s="12" t="s">
        <v>4587</v>
      </c>
      <c r="C443" s="12" t="s">
        <v>8127</v>
      </c>
      <c r="D443" s="12" t="s">
        <v>7159</v>
      </c>
      <c r="E443" s="12" t="s">
        <v>8031</v>
      </c>
      <c r="F443" s="12" t="s">
        <v>7160</v>
      </c>
      <c r="G443" s="12" t="s">
        <v>7649</v>
      </c>
      <c r="H443" s="12">
        <v>51</v>
      </c>
      <c r="I443" s="12" t="s">
        <v>7646</v>
      </c>
      <c r="J443" s="80">
        <v>17</v>
      </c>
      <c r="K443" s="12" t="s">
        <v>7161</v>
      </c>
      <c r="L443" s="12" t="s">
        <v>21</v>
      </c>
      <c r="M443" s="12" t="s">
        <v>8110</v>
      </c>
      <c r="N443" s="12">
        <v>4.57</v>
      </c>
      <c r="O443" s="12">
        <v>6.2E-2</v>
      </c>
      <c r="P443" s="12">
        <v>0.97599999999999998</v>
      </c>
      <c r="Q443" s="12" t="s">
        <v>7219</v>
      </c>
      <c r="R443" s="12">
        <v>6.1999999999999998E-3</v>
      </c>
      <c r="S443" s="12">
        <v>1.0999999999999999E-2</v>
      </c>
      <c r="T443" s="12">
        <v>12500</v>
      </c>
      <c r="U443" s="12">
        <v>0.02</v>
      </c>
      <c r="V443" s="12" t="s">
        <v>7661</v>
      </c>
      <c r="W443" s="12" t="s">
        <v>11</v>
      </c>
      <c r="X443" s="12">
        <v>5</v>
      </c>
      <c r="Y443" s="12" t="s">
        <v>8052</v>
      </c>
      <c r="Z443" s="12" t="s">
        <v>8052</v>
      </c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P443" s="12" t="s">
        <v>3151</v>
      </c>
      <c r="AQ443" s="12" t="s">
        <v>8048</v>
      </c>
      <c r="AR443" s="12" t="s">
        <v>8051</v>
      </c>
      <c r="AS443" s="12">
        <v>194</v>
      </c>
      <c r="AT443" s="12">
        <v>0.18</v>
      </c>
      <c r="AU443" s="12" t="s">
        <v>5770</v>
      </c>
      <c r="AV443" s="12">
        <v>0.99636199999999997</v>
      </c>
      <c r="AW443" s="12">
        <v>0.98530700000000004</v>
      </c>
      <c r="AX443" s="12">
        <v>0.99930399999999997</v>
      </c>
      <c r="AY443" s="12">
        <v>27486</v>
      </c>
      <c r="AZ443" s="12">
        <v>13444</v>
      </c>
      <c r="BA443" s="12">
        <v>0.1855</v>
      </c>
      <c r="BB443" s="12">
        <v>2565</v>
      </c>
      <c r="BC443" s="12">
        <v>2.00526315789473</v>
      </c>
      <c r="BD443" s="12">
        <v>3.81E-3</v>
      </c>
    </row>
    <row r="444" spans="1:56" s="12" customFormat="1" x14ac:dyDescent="0.2">
      <c r="A444" s="12" t="s">
        <v>5539</v>
      </c>
      <c r="B444" s="12" t="s">
        <v>4587</v>
      </c>
      <c r="C444" s="12" t="s">
        <v>8127</v>
      </c>
      <c r="D444" s="12" t="s">
        <v>7159</v>
      </c>
      <c r="E444" s="12" t="s">
        <v>8031</v>
      </c>
      <c r="F444" s="12" t="s">
        <v>7160</v>
      </c>
      <c r="G444" s="12" t="s">
        <v>7649</v>
      </c>
      <c r="H444" s="12">
        <v>51</v>
      </c>
      <c r="I444" s="12" t="s">
        <v>7647</v>
      </c>
      <c r="J444" s="80">
        <v>17</v>
      </c>
      <c r="K444" s="12" t="s">
        <v>7161</v>
      </c>
      <c r="L444" s="12" t="s">
        <v>21</v>
      </c>
      <c r="M444" s="12" t="s">
        <v>8110</v>
      </c>
      <c r="N444" s="12">
        <v>5.22</v>
      </c>
      <c r="O444" s="12">
        <v>6.0999999999999999E-2</v>
      </c>
      <c r="P444" s="12">
        <v>0.99099999999999999</v>
      </c>
      <c r="Q444" s="12" t="s">
        <v>7275</v>
      </c>
      <c r="R444" s="12">
        <v>7.4999999999999997E-3</v>
      </c>
      <c r="S444" s="12">
        <v>9.2079999999999992E-3</v>
      </c>
      <c r="T444" s="12">
        <v>10476</v>
      </c>
      <c r="U444" s="12">
        <v>2.5000000000000001E-2</v>
      </c>
      <c r="V444" s="12" t="s">
        <v>7661</v>
      </c>
      <c r="W444" s="12" t="s">
        <v>11</v>
      </c>
      <c r="X444" s="12">
        <v>4</v>
      </c>
      <c r="Y444" s="12" t="s">
        <v>8052</v>
      </c>
      <c r="Z444" s="12" t="s">
        <v>8052</v>
      </c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</row>
    <row r="445" spans="1:56" s="12" customFormat="1" x14ac:dyDescent="0.2">
      <c r="A445" s="12" t="s">
        <v>4091</v>
      </c>
      <c r="B445" s="12" t="s">
        <v>4090</v>
      </c>
      <c r="C445" s="12" t="s">
        <v>143</v>
      </c>
      <c r="D445" s="12" t="s">
        <v>7159</v>
      </c>
      <c r="E445" s="12" t="s">
        <v>8031</v>
      </c>
      <c r="F445" s="12" t="s">
        <v>7160</v>
      </c>
      <c r="G445" s="12" t="s">
        <v>7649</v>
      </c>
      <c r="H445" s="12">
        <v>72</v>
      </c>
      <c r="I445" s="12" t="s">
        <v>7646</v>
      </c>
      <c r="J445" s="80">
        <v>8</v>
      </c>
      <c r="K445" s="12" t="s">
        <v>7161</v>
      </c>
      <c r="L445" s="12" t="s">
        <v>21</v>
      </c>
      <c r="M445" s="12" t="s">
        <v>8110</v>
      </c>
      <c r="N445" s="12">
        <v>383</v>
      </c>
      <c r="O445" s="12">
        <v>5.6000000000000001E-2</v>
      </c>
      <c r="P445" s="12">
        <v>0.997</v>
      </c>
      <c r="Q445" s="12" t="s">
        <v>7235</v>
      </c>
      <c r="R445" s="12">
        <v>7.2999999999999995E-2</v>
      </c>
      <c r="S445" s="12">
        <v>1.9730000000000001</v>
      </c>
      <c r="T445" s="12">
        <v>745643</v>
      </c>
      <c r="U445" s="12">
        <v>3.4000000000000002E-2</v>
      </c>
      <c r="V445" s="12" t="s">
        <v>7661</v>
      </c>
      <c r="W445" s="12" t="s">
        <v>11</v>
      </c>
      <c r="X445" s="12">
        <v>3486</v>
      </c>
      <c r="Y445" s="12">
        <v>3.1020000000000002E-3</v>
      </c>
      <c r="Z445" s="12">
        <v>2.7941289064435204</v>
      </c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</row>
    <row r="446" spans="1:56" s="12" customFormat="1" x14ac:dyDescent="0.2">
      <c r="A446" s="12" t="s">
        <v>4115</v>
      </c>
      <c r="B446" s="12" t="s">
        <v>4113</v>
      </c>
      <c r="C446" s="12" t="s">
        <v>143</v>
      </c>
      <c r="D446" s="12" t="s">
        <v>7159</v>
      </c>
      <c r="E446" s="12" t="s">
        <v>8031</v>
      </c>
      <c r="F446" s="12" t="s">
        <v>7160</v>
      </c>
      <c r="G446" s="12" t="s">
        <v>7649</v>
      </c>
      <c r="H446" s="12">
        <v>85</v>
      </c>
      <c r="I446" s="12" t="s">
        <v>7646</v>
      </c>
      <c r="J446" s="80">
        <v>9.4444444444444446</v>
      </c>
      <c r="K446" s="12" t="s">
        <v>7161</v>
      </c>
      <c r="L446" s="12" t="s">
        <v>21</v>
      </c>
      <c r="M446" s="12" t="s">
        <v>8110</v>
      </c>
      <c r="N446" s="12">
        <v>542</v>
      </c>
      <c r="O446" s="12">
        <v>9.2999999999999999E-2</v>
      </c>
      <c r="P446" s="12">
        <v>0.996</v>
      </c>
      <c r="Q446" s="12" t="s">
        <v>7250</v>
      </c>
      <c r="R446" s="12">
        <v>0.13</v>
      </c>
      <c r="S446" s="12">
        <v>1.5049999999999999</v>
      </c>
      <c r="T446" s="12">
        <v>724973</v>
      </c>
      <c r="U446" s="12">
        <v>5.8999999999999997E-2</v>
      </c>
      <c r="V446" s="12" t="s">
        <v>7661</v>
      </c>
      <c r="W446" s="12" t="s">
        <v>11</v>
      </c>
      <c r="X446" s="12">
        <v>2465</v>
      </c>
      <c r="Y446" s="12">
        <v>3.5539999999999999E-3</v>
      </c>
      <c r="Z446" s="12">
        <v>2.211633540909931</v>
      </c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</row>
    <row r="447" spans="1:56" s="12" customFormat="1" x14ac:dyDescent="0.2">
      <c r="A447" s="12" t="s">
        <v>5137</v>
      </c>
      <c r="B447" s="12" t="s">
        <v>5134</v>
      </c>
      <c r="C447" s="12" t="s">
        <v>143</v>
      </c>
      <c r="D447" s="12" t="s">
        <v>7159</v>
      </c>
      <c r="E447" s="12" t="s">
        <v>8031</v>
      </c>
      <c r="F447" s="12" t="s">
        <v>7160</v>
      </c>
      <c r="G447" s="12" t="s">
        <v>7649</v>
      </c>
      <c r="H447" s="12">
        <v>84</v>
      </c>
      <c r="I447" s="12" t="s">
        <v>7646</v>
      </c>
      <c r="J447" s="80">
        <v>9.3333333333333321</v>
      </c>
      <c r="K447" s="12" t="s">
        <v>7161</v>
      </c>
      <c r="L447" s="12" t="s">
        <v>21</v>
      </c>
      <c r="M447" s="12" t="s">
        <v>8110</v>
      </c>
      <c r="N447" s="12">
        <v>482</v>
      </c>
      <c r="O447" s="12">
        <v>6.8000000000000005E-2</v>
      </c>
      <c r="P447" s="12">
        <v>0.997</v>
      </c>
      <c r="Q447" s="12" t="s">
        <v>7194</v>
      </c>
      <c r="R447" s="12">
        <v>0.28799999999999998</v>
      </c>
      <c r="S447" s="12">
        <v>1.877</v>
      </c>
      <c r="T447" s="12">
        <v>769075</v>
      </c>
      <c r="U447" s="12">
        <v>4.2999999999999997E-2</v>
      </c>
      <c r="V447" s="12" t="s">
        <v>7661</v>
      </c>
      <c r="W447" s="12" t="s">
        <v>11</v>
      </c>
      <c r="X447" s="12">
        <v>3150</v>
      </c>
      <c r="Y447" s="12">
        <v>7.6010000000000001E-3</v>
      </c>
      <c r="Z447" s="12">
        <v>4.0850546975979283</v>
      </c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</row>
    <row r="448" spans="1:56" s="12" customFormat="1" x14ac:dyDescent="0.2">
      <c r="A448" s="12" t="s">
        <v>4121</v>
      </c>
      <c r="B448" s="12" t="s">
        <v>4118</v>
      </c>
      <c r="C448" s="12" t="s">
        <v>143</v>
      </c>
      <c r="D448" s="12" t="s">
        <v>7159</v>
      </c>
      <c r="E448" s="12" t="s">
        <v>8031</v>
      </c>
      <c r="F448" s="12" t="s">
        <v>7160</v>
      </c>
      <c r="G448" s="12" t="s">
        <v>7649</v>
      </c>
      <c r="H448" s="12">
        <v>66</v>
      </c>
      <c r="I448" s="12" t="s">
        <v>7646</v>
      </c>
      <c r="J448" s="80">
        <v>7.333333333333333</v>
      </c>
      <c r="K448" s="12" t="s">
        <v>7161</v>
      </c>
      <c r="L448" s="12" t="s">
        <v>21</v>
      </c>
      <c r="M448" s="12" t="s">
        <v>8110</v>
      </c>
      <c r="N448" s="12">
        <v>938</v>
      </c>
      <c r="O448" s="12">
        <v>8.1000000000000003E-2</v>
      </c>
      <c r="P448" s="12">
        <v>0.999</v>
      </c>
      <c r="Q448" s="12" t="s">
        <v>7169</v>
      </c>
      <c r="R448" s="12">
        <v>0.439</v>
      </c>
      <c r="S448" s="12">
        <v>1.7529999999999999</v>
      </c>
      <c r="T448" s="12">
        <v>733200</v>
      </c>
      <c r="U448" s="12">
        <v>4.9000000000000002E-2</v>
      </c>
      <c r="V448" s="12" t="s">
        <v>7661</v>
      </c>
      <c r="W448" s="12" t="s">
        <v>25</v>
      </c>
      <c r="X448" s="12">
        <v>6062</v>
      </c>
      <c r="Y448" s="12" t="s">
        <v>6639</v>
      </c>
      <c r="Z448" s="12" t="s">
        <v>6639</v>
      </c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</row>
    <row r="449" spans="1:39" s="12" customFormat="1" x14ac:dyDescent="0.2">
      <c r="A449" s="12" t="s">
        <v>1324</v>
      </c>
      <c r="B449" s="12" t="s">
        <v>1322</v>
      </c>
      <c r="C449" s="12" t="s">
        <v>143</v>
      </c>
      <c r="D449" s="12" t="s">
        <v>7159</v>
      </c>
      <c r="E449" s="12" t="s">
        <v>8031</v>
      </c>
      <c r="F449" s="12" t="s">
        <v>7160</v>
      </c>
      <c r="G449" s="12" t="s">
        <v>7649</v>
      </c>
      <c r="H449" s="12">
        <v>83</v>
      </c>
      <c r="I449" s="12" t="s">
        <v>7646</v>
      </c>
      <c r="J449" s="80">
        <v>9.2222222222222214</v>
      </c>
      <c r="K449" s="12" t="s">
        <v>7161</v>
      </c>
      <c r="L449" s="12" t="s">
        <v>21</v>
      </c>
      <c r="M449" s="12" t="s">
        <v>8110</v>
      </c>
      <c r="N449" s="12">
        <v>477</v>
      </c>
      <c r="O449" s="12">
        <v>9.0999999999999998E-2</v>
      </c>
      <c r="P449" s="12">
        <v>1</v>
      </c>
      <c r="Q449" s="12" t="s">
        <v>7165</v>
      </c>
      <c r="R449" s="12">
        <v>0.04</v>
      </c>
      <c r="S449" s="12">
        <v>1.0169999999999999</v>
      </c>
      <c r="T449" s="12">
        <v>618137</v>
      </c>
      <c r="U449" s="12">
        <v>5.5E-2</v>
      </c>
      <c r="V449" s="12" t="s">
        <v>7661</v>
      </c>
      <c r="W449" s="12" t="s">
        <v>11</v>
      </c>
      <c r="X449" s="12">
        <v>1387</v>
      </c>
      <c r="Y449" s="12">
        <v>7.4219999999999998E-3</v>
      </c>
      <c r="Z449" s="12">
        <v>2.4639839054244494</v>
      </c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</row>
    <row r="450" spans="1:39" s="12" customFormat="1" x14ac:dyDescent="0.2">
      <c r="A450" s="12" t="s">
        <v>4088</v>
      </c>
      <c r="B450" s="12" t="s">
        <v>4086</v>
      </c>
      <c r="C450" s="12" t="s">
        <v>143</v>
      </c>
      <c r="D450" s="12" t="s">
        <v>7159</v>
      </c>
      <c r="E450" s="12" t="s">
        <v>8031</v>
      </c>
      <c r="F450" s="12" t="s">
        <v>7160</v>
      </c>
      <c r="G450" s="12" t="s">
        <v>7649</v>
      </c>
      <c r="H450" s="12">
        <v>70</v>
      </c>
      <c r="I450" s="12" t="s">
        <v>7646</v>
      </c>
      <c r="J450" s="80">
        <v>7.7777777777777777</v>
      </c>
      <c r="K450" s="12" t="s">
        <v>7161</v>
      </c>
      <c r="L450" s="12" t="s">
        <v>21</v>
      </c>
      <c r="M450" s="12" t="s">
        <v>8110</v>
      </c>
      <c r="N450" s="12">
        <v>708</v>
      </c>
      <c r="O450" s="12">
        <v>5.2999999999999999E-2</v>
      </c>
      <c r="P450" s="12">
        <v>0.998</v>
      </c>
      <c r="Q450" s="12" t="s">
        <v>7177</v>
      </c>
      <c r="R450" s="12">
        <v>0.31900000000000001</v>
      </c>
      <c r="S450" s="12">
        <v>1.8109999999999999</v>
      </c>
      <c r="T450" s="12">
        <v>746643</v>
      </c>
      <c r="U450" s="12">
        <v>2.7E-2</v>
      </c>
      <c r="V450" s="12" t="s">
        <v>7661</v>
      </c>
      <c r="W450" s="12" t="s">
        <v>25</v>
      </c>
      <c r="X450" s="12">
        <v>6110</v>
      </c>
      <c r="Y450" s="12" t="s">
        <v>6639</v>
      </c>
      <c r="Z450" s="12" t="s">
        <v>6639</v>
      </c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</row>
    <row r="451" spans="1:39" s="12" customFormat="1" x14ac:dyDescent="0.2">
      <c r="A451" s="12" t="s">
        <v>1305</v>
      </c>
      <c r="B451" s="12" t="s">
        <v>1303</v>
      </c>
      <c r="C451" s="12" t="s">
        <v>143</v>
      </c>
      <c r="D451" s="12" t="s">
        <v>7159</v>
      </c>
      <c r="E451" s="12" t="s">
        <v>8031</v>
      </c>
      <c r="F451" s="12" t="s">
        <v>7160</v>
      </c>
      <c r="G451" s="12" t="s">
        <v>7649</v>
      </c>
      <c r="H451" s="12">
        <v>63</v>
      </c>
      <c r="I451" s="12" t="s">
        <v>7647</v>
      </c>
      <c r="J451" s="80">
        <v>7</v>
      </c>
      <c r="K451" s="12" t="s">
        <v>7161</v>
      </c>
      <c r="L451" s="12" t="s">
        <v>21</v>
      </c>
      <c r="M451" s="12" t="s">
        <v>8110</v>
      </c>
      <c r="N451" s="12">
        <v>141</v>
      </c>
      <c r="O451" s="12">
        <v>7.6999999999999999E-2</v>
      </c>
      <c r="P451" s="12">
        <v>0.997</v>
      </c>
      <c r="Q451" s="12" t="s">
        <v>7177</v>
      </c>
      <c r="R451" s="12">
        <v>5.1999999999999998E-3</v>
      </c>
      <c r="S451" s="12">
        <v>0.33900000000000002</v>
      </c>
      <c r="T451" s="12">
        <v>302934</v>
      </c>
      <c r="U451" s="12">
        <v>7.5999999999999998E-2</v>
      </c>
      <c r="V451" s="12" t="s">
        <v>7661</v>
      </c>
      <c r="W451" s="12" t="s">
        <v>11</v>
      </c>
      <c r="X451" s="12">
        <v>254</v>
      </c>
      <c r="Y451" s="12">
        <v>2.7469999999999999E-3</v>
      </c>
      <c r="Z451" s="12">
        <v>0.41424889527344572</v>
      </c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</row>
    <row r="452" spans="1:39" s="12" customFormat="1" x14ac:dyDescent="0.2">
      <c r="A452" s="12" t="s">
        <v>4212</v>
      </c>
      <c r="B452" s="12" t="s">
        <v>4209</v>
      </c>
      <c r="C452" s="12" t="s">
        <v>143</v>
      </c>
      <c r="D452" s="12" t="s">
        <v>7159</v>
      </c>
      <c r="E452" s="12" t="s">
        <v>8031</v>
      </c>
      <c r="F452" s="12" t="s">
        <v>7160</v>
      </c>
      <c r="G452" s="12" t="s">
        <v>7649</v>
      </c>
      <c r="H452" s="12">
        <v>78</v>
      </c>
      <c r="I452" s="12" t="s">
        <v>7646</v>
      </c>
      <c r="J452" s="80">
        <v>8.6666666666666661</v>
      </c>
      <c r="K452" s="12" t="s">
        <v>7161</v>
      </c>
      <c r="L452" s="12" t="s">
        <v>21</v>
      </c>
      <c r="M452" s="12" t="s">
        <v>8110</v>
      </c>
      <c r="N452" s="12">
        <v>272</v>
      </c>
      <c r="O452" s="12">
        <v>8.2000000000000003E-2</v>
      </c>
      <c r="P452" s="12">
        <v>1</v>
      </c>
      <c r="Q452" s="12" t="s">
        <v>7169</v>
      </c>
      <c r="R452" s="12">
        <v>9.2999999999999992E-3</v>
      </c>
      <c r="S452" s="12">
        <v>0.26400000000000001</v>
      </c>
      <c r="T452" s="12">
        <v>238218</v>
      </c>
      <c r="U452" s="12">
        <v>0.04</v>
      </c>
      <c r="V452" s="12" t="s">
        <v>7661</v>
      </c>
      <c r="W452" s="12" t="s">
        <v>11</v>
      </c>
      <c r="X452" s="12">
        <v>173</v>
      </c>
      <c r="Y452" s="12" t="s">
        <v>8052</v>
      </c>
      <c r="Z452" s="12" t="s">
        <v>8052</v>
      </c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</row>
    <row r="453" spans="1:39" s="12" customFormat="1" x14ac:dyDescent="0.2">
      <c r="A453" s="12" t="s">
        <v>1319</v>
      </c>
      <c r="B453" s="12" t="s">
        <v>1317</v>
      </c>
      <c r="C453" s="12" t="s">
        <v>143</v>
      </c>
      <c r="D453" s="12" t="s">
        <v>7159</v>
      </c>
      <c r="E453" s="12" t="s">
        <v>8031</v>
      </c>
      <c r="F453" s="12" t="s">
        <v>7160</v>
      </c>
      <c r="G453" s="12" t="s">
        <v>7649</v>
      </c>
      <c r="H453" s="12">
        <v>80</v>
      </c>
      <c r="I453" s="12" t="s">
        <v>7646</v>
      </c>
      <c r="J453" s="80">
        <v>8.8888888888888893</v>
      </c>
      <c r="K453" s="12" t="s">
        <v>7161</v>
      </c>
      <c r="L453" s="12" t="s">
        <v>21</v>
      </c>
      <c r="M453" s="12" t="s">
        <v>8110</v>
      </c>
      <c r="N453" s="12">
        <v>120</v>
      </c>
      <c r="O453" s="12">
        <v>7.2999999999999995E-2</v>
      </c>
      <c r="P453" s="12">
        <v>0.96</v>
      </c>
      <c r="Q453" s="12" t="s">
        <v>7247</v>
      </c>
      <c r="R453" s="12">
        <v>4.9000000000000002E-2</v>
      </c>
      <c r="S453" s="12">
        <v>0.59399999999999997</v>
      </c>
      <c r="T453" s="12">
        <v>397566</v>
      </c>
      <c r="U453" s="12">
        <v>4.5999999999999999E-2</v>
      </c>
      <c r="V453" s="12" t="s">
        <v>7661</v>
      </c>
      <c r="W453" s="12" t="s">
        <v>25</v>
      </c>
      <c r="X453" s="12">
        <v>1669</v>
      </c>
      <c r="Y453" s="12" t="s">
        <v>6639</v>
      </c>
      <c r="Z453" s="12" t="s">
        <v>6639</v>
      </c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</row>
    <row r="454" spans="1:39" s="12" customFormat="1" x14ac:dyDescent="0.2">
      <c r="A454" s="12" t="s">
        <v>5092</v>
      </c>
      <c r="B454" s="12" t="s">
        <v>5090</v>
      </c>
      <c r="C454" s="12" t="s">
        <v>143</v>
      </c>
      <c r="D454" s="12" t="s">
        <v>7159</v>
      </c>
      <c r="E454" s="12" t="s">
        <v>8031</v>
      </c>
      <c r="F454" s="12" t="s">
        <v>7160</v>
      </c>
      <c r="G454" s="12" t="s">
        <v>7649</v>
      </c>
      <c r="H454" s="12">
        <v>75</v>
      </c>
      <c r="I454" s="12" t="s">
        <v>7646</v>
      </c>
      <c r="J454" s="80">
        <v>8.3333333333333321</v>
      </c>
      <c r="K454" s="12" t="s">
        <v>7161</v>
      </c>
      <c r="L454" s="12" t="s">
        <v>21</v>
      </c>
      <c r="M454" s="12" t="s">
        <v>8110</v>
      </c>
      <c r="N454" s="12">
        <v>345</v>
      </c>
      <c r="O454" s="12">
        <v>7.1999999999999995E-2</v>
      </c>
      <c r="P454" s="12">
        <v>0.999</v>
      </c>
      <c r="Q454" s="12" t="s">
        <v>7206</v>
      </c>
      <c r="R454" s="12">
        <v>4.9000000000000002E-2</v>
      </c>
      <c r="S454" s="12">
        <v>0.51700000000000002</v>
      </c>
      <c r="T454" s="12">
        <v>379892</v>
      </c>
      <c r="U454" s="12">
        <v>4.5999999999999999E-2</v>
      </c>
      <c r="V454" s="12" t="s">
        <v>7661</v>
      </c>
      <c r="W454" s="12" t="s">
        <v>25</v>
      </c>
      <c r="X454" s="12">
        <v>1368</v>
      </c>
      <c r="Y454" s="12" t="s">
        <v>6639</v>
      </c>
      <c r="Z454" s="12" t="s">
        <v>6639</v>
      </c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</row>
    <row r="455" spans="1:39" s="12" customFormat="1" x14ac:dyDescent="0.2">
      <c r="A455" s="12" t="s">
        <v>156</v>
      </c>
      <c r="B455" s="12" t="s">
        <v>153</v>
      </c>
      <c r="C455" s="12" t="s">
        <v>13</v>
      </c>
      <c r="D455" s="12" t="s">
        <v>7210</v>
      </c>
      <c r="E455" s="12" t="s">
        <v>8124</v>
      </c>
      <c r="F455" s="12" t="s">
        <v>7160</v>
      </c>
      <c r="G455" s="12" t="s">
        <v>7649</v>
      </c>
      <c r="H455" s="12">
        <v>72</v>
      </c>
      <c r="I455" s="12" t="s">
        <v>7646</v>
      </c>
      <c r="J455" s="80">
        <v>8</v>
      </c>
      <c r="K455" s="12" t="s">
        <v>7161</v>
      </c>
      <c r="L455" s="12" t="s">
        <v>21</v>
      </c>
      <c r="M455" s="12" t="s">
        <v>8110</v>
      </c>
      <c r="N455" s="12">
        <v>589</v>
      </c>
      <c r="O455" s="12">
        <v>0.10100000000000001</v>
      </c>
      <c r="P455" s="12">
        <v>1</v>
      </c>
      <c r="Q455" s="12" t="s">
        <v>7169</v>
      </c>
      <c r="R455" s="12">
        <v>0.80100000000000005</v>
      </c>
      <c r="S455" s="12">
        <v>3.9279999999999999</v>
      </c>
      <c r="T455" s="12">
        <v>771654</v>
      </c>
      <c r="U455" s="12">
        <v>8.4000000000000005E-2</v>
      </c>
      <c r="V455" s="12" t="s">
        <v>7661</v>
      </c>
      <c r="W455" s="12" t="s">
        <v>11</v>
      </c>
      <c r="X455" s="12">
        <v>4577</v>
      </c>
      <c r="Y455" s="12">
        <v>4.2859999999999999E-3</v>
      </c>
      <c r="Z455" s="12">
        <v>3.7191979514039843</v>
      </c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</row>
    <row r="456" spans="1:39" s="12" customFormat="1" x14ac:dyDescent="0.2">
      <c r="A456" s="12" t="s">
        <v>66</v>
      </c>
      <c r="B456" s="12" t="s">
        <v>64</v>
      </c>
      <c r="C456" s="12" t="s">
        <v>13</v>
      </c>
      <c r="D456" s="12" t="s">
        <v>7210</v>
      </c>
      <c r="E456" s="12" t="s">
        <v>8124</v>
      </c>
      <c r="F456" s="12" t="s">
        <v>7160</v>
      </c>
      <c r="G456" s="12" t="s">
        <v>7649</v>
      </c>
      <c r="H456" s="12">
        <v>70</v>
      </c>
      <c r="I456" s="12" t="s">
        <v>7646</v>
      </c>
      <c r="J456" s="80">
        <v>7.7777777777777777</v>
      </c>
      <c r="K456" s="12" t="s">
        <v>7161</v>
      </c>
      <c r="L456" s="12" t="s">
        <v>21</v>
      </c>
      <c r="M456" s="12" t="s">
        <v>8110</v>
      </c>
      <c r="N456" s="12">
        <v>8.33</v>
      </c>
      <c r="O456" s="12">
        <v>0.108</v>
      </c>
      <c r="P456" s="12">
        <v>0.96499999999999997</v>
      </c>
      <c r="Q456" s="12" t="s">
        <v>7267</v>
      </c>
      <c r="R456" s="12">
        <v>0.85799999999999998</v>
      </c>
      <c r="S456" s="12">
        <v>3.7589999999999999</v>
      </c>
      <c r="T456" s="12">
        <v>768534</v>
      </c>
      <c r="U456" s="12">
        <v>9.5000000000000001E-2</v>
      </c>
      <c r="V456" s="12" t="s">
        <v>7661</v>
      </c>
      <c r="W456" s="12" t="s">
        <v>11</v>
      </c>
      <c r="X456" s="12">
        <v>4559</v>
      </c>
      <c r="Y456" s="12">
        <v>6.0340000000000003E-3</v>
      </c>
      <c r="Z456" s="12">
        <v>4.8437851202517423</v>
      </c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</row>
    <row r="457" spans="1:39" s="12" customFormat="1" x14ac:dyDescent="0.2">
      <c r="A457" s="12" t="s">
        <v>135</v>
      </c>
      <c r="B457" s="12" t="s">
        <v>133</v>
      </c>
      <c r="C457" s="12" t="s">
        <v>13</v>
      </c>
      <c r="D457" s="12" t="s">
        <v>7210</v>
      </c>
      <c r="E457" s="12" t="s">
        <v>8124</v>
      </c>
      <c r="F457" s="12" t="s">
        <v>7160</v>
      </c>
      <c r="G457" s="12" t="s">
        <v>7649</v>
      </c>
      <c r="H457" s="12">
        <v>69</v>
      </c>
      <c r="I457" s="12" t="s">
        <v>7646</v>
      </c>
      <c r="J457" s="80">
        <v>7.6666666666666661</v>
      </c>
      <c r="K457" s="12" t="s">
        <v>7161</v>
      </c>
      <c r="L457" s="12" t="s">
        <v>21</v>
      </c>
      <c r="M457" s="12" t="s">
        <v>8110</v>
      </c>
      <c r="N457" s="12">
        <v>454</v>
      </c>
      <c r="O457" s="12">
        <v>0.13700000000000001</v>
      </c>
      <c r="P457" s="12">
        <v>0.98899999999999999</v>
      </c>
      <c r="Q457" s="12" t="s">
        <v>7238</v>
      </c>
      <c r="R457" s="12">
        <v>0.86</v>
      </c>
      <c r="S457" s="12">
        <v>3.742</v>
      </c>
      <c r="T457" s="12">
        <v>755085</v>
      </c>
      <c r="U457" s="12">
        <v>0.11</v>
      </c>
      <c r="V457" s="12" t="s">
        <v>7661</v>
      </c>
      <c r="W457" s="12" t="s">
        <v>25</v>
      </c>
      <c r="X457" s="12">
        <v>7223</v>
      </c>
      <c r="Y457" s="12" t="s">
        <v>6639</v>
      </c>
      <c r="Z457" s="12" t="s">
        <v>6639</v>
      </c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</row>
    <row r="458" spans="1:39" s="12" customFormat="1" x14ac:dyDescent="0.2">
      <c r="A458" s="12" t="s">
        <v>5579</v>
      </c>
      <c r="B458" s="12" t="s">
        <v>52</v>
      </c>
      <c r="C458" s="12" t="s">
        <v>13</v>
      </c>
      <c r="D458" s="12" t="s">
        <v>7210</v>
      </c>
      <c r="E458" s="12" t="s">
        <v>8124</v>
      </c>
      <c r="F458" s="12" t="s">
        <v>7160</v>
      </c>
      <c r="G458" s="12" t="s">
        <v>7649</v>
      </c>
      <c r="H458" s="12">
        <v>70</v>
      </c>
      <c r="I458" s="12" t="s">
        <v>7646</v>
      </c>
      <c r="J458" s="80">
        <v>7.7777777777777777</v>
      </c>
      <c r="K458" s="12" t="s">
        <v>7161</v>
      </c>
      <c r="L458" s="12" t="s">
        <v>21</v>
      </c>
      <c r="M458" s="12" t="s">
        <v>8110</v>
      </c>
      <c r="N458" s="12">
        <v>598</v>
      </c>
      <c r="O458" s="12">
        <v>9.5000000000000001E-2</v>
      </c>
      <c r="P458" s="12">
        <v>0.98699999999999999</v>
      </c>
      <c r="Q458" s="12" t="s">
        <v>7166</v>
      </c>
      <c r="R458" s="12">
        <v>0.84299999999999997</v>
      </c>
      <c r="S458" s="12" t="s">
        <v>17</v>
      </c>
      <c r="T458" s="12" t="s">
        <v>17</v>
      </c>
      <c r="U458" s="12">
        <v>7.1999999999999995E-2</v>
      </c>
      <c r="V458" s="12" t="s">
        <v>7661</v>
      </c>
      <c r="W458" s="12" t="s">
        <v>11</v>
      </c>
      <c r="X458" s="12">
        <v>4549</v>
      </c>
      <c r="Y458" s="12">
        <v>3.7190000000000001E-3</v>
      </c>
      <c r="Z458" s="12">
        <v>3.5756246046045663</v>
      </c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</row>
    <row r="459" spans="1:39" s="12" customFormat="1" x14ac:dyDescent="0.2">
      <c r="A459" s="12" t="s">
        <v>5580</v>
      </c>
      <c r="B459" s="12" t="s">
        <v>52</v>
      </c>
      <c r="C459" s="12" t="s">
        <v>13</v>
      </c>
      <c r="D459" s="12" t="s">
        <v>7210</v>
      </c>
      <c r="E459" s="12" t="s">
        <v>8124</v>
      </c>
      <c r="F459" s="12" t="s">
        <v>7160</v>
      </c>
      <c r="G459" s="12" t="s">
        <v>7649</v>
      </c>
      <c r="H459" s="12">
        <v>69</v>
      </c>
      <c r="I459" s="12" t="s">
        <v>7646</v>
      </c>
      <c r="J459" s="80">
        <v>7.6666666666666661</v>
      </c>
      <c r="K459" s="12" t="s">
        <v>7161</v>
      </c>
      <c r="L459" s="12" t="s">
        <v>21</v>
      </c>
      <c r="M459" s="12" t="s">
        <v>8110</v>
      </c>
      <c r="N459" s="12">
        <v>363</v>
      </c>
      <c r="O459" s="12">
        <v>9.1999999999999998E-2</v>
      </c>
      <c r="P459" s="12">
        <v>0.997</v>
      </c>
      <c r="Q459" s="12" t="s">
        <v>7235</v>
      </c>
      <c r="R459" s="12">
        <v>0.79500000000000004</v>
      </c>
      <c r="S459" s="12">
        <v>4.1050000000000004</v>
      </c>
      <c r="T459" s="12">
        <v>843693</v>
      </c>
      <c r="U459" s="12">
        <v>7.2999999999999995E-2</v>
      </c>
      <c r="V459" s="12" t="s">
        <v>7661</v>
      </c>
      <c r="W459" s="12" t="s">
        <v>11</v>
      </c>
      <c r="X459" s="12">
        <v>5167</v>
      </c>
      <c r="Y459" s="12">
        <v>3.5140000000000002E-3</v>
      </c>
      <c r="Z459" s="12">
        <v>4.1739731984358412</v>
      </c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</row>
    <row r="460" spans="1:39" s="12" customFormat="1" x14ac:dyDescent="0.2">
      <c r="A460" s="12" t="s">
        <v>62</v>
      </c>
      <c r="B460" s="12" t="s">
        <v>60</v>
      </c>
      <c r="C460" s="12" t="s">
        <v>13</v>
      </c>
      <c r="D460" s="12" t="s">
        <v>7210</v>
      </c>
      <c r="E460" s="12" t="s">
        <v>8124</v>
      </c>
      <c r="F460" s="12" t="s">
        <v>7160</v>
      </c>
      <c r="G460" s="12" t="s">
        <v>7649</v>
      </c>
      <c r="H460" s="12">
        <v>69</v>
      </c>
      <c r="I460" s="12" t="s">
        <v>7646</v>
      </c>
      <c r="J460" s="80">
        <v>7.6666666666666661</v>
      </c>
      <c r="K460" s="12" t="s">
        <v>7161</v>
      </c>
      <c r="L460" s="12" t="s">
        <v>21</v>
      </c>
      <c r="M460" s="12" t="s">
        <v>8110</v>
      </c>
      <c r="N460" s="12">
        <v>294</v>
      </c>
      <c r="O460" s="12">
        <v>0.11600000000000001</v>
      </c>
      <c r="P460" s="12">
        <v>0.99299999999999999</v>
      </c>
      <c r="Q460" s="12" t="s">
        <v>7181</v>
      </c>
      <c r="R460" s="12">
        <v>0.85499999999999998</v>
      </c>
      <c r="S460" s="12">
        <v>4.8879999999999999</v>
      </c>
      <c r="T460" s="12">
        <v>810871</v>
      </c>
      <c r="U460" s="12">
        <v>9.4E-2</v>
      </c>
      <c r="V460" s="12" t="s">
        <v>7661</v>
      </c>
      <c r="W460" s="12" t="s">
        <v>25</v>
      </c>
      <c r="X460" s="12">
        <v>8331</v>
      </c>
      <c r="Y460" s="12" t="s">
        <v>6639</v>
      </c>
      <c r="Z460" s="12" t="s">
        <v>6639</v>
      </c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</row>
    <row r="461" spans="1:39" s="12" customFormat="1" x14ac:dyDescent="0.2">
      <c r="A461" s="12" t="s">
        <v>4097</v>
      </c>
      <c r="B461" s="12" t="s">
        <v>4096</v>
      </c>
      <c r="C461" s="12" t="s">
        <v>143</v>
      </c>
      <c r="D461" s="12" t="s">
        <v>7159</v>
      </c>
      <c r="E461" s="12" t="s">
        <v>8031</v>
      </c>
      <c r="F461" s="12" t="s">
        <v>7160</v>
      </c>
      <c r="G461" s="12" t="s">
        <v>7649</v>
      </c>
      <c r="H461" s="12">
        <v>74</v>
      </c>
      <c r="I461" s="12" t="s">
        <v>7646</v>
      </c>
      <c r="J461" s="80">
        <v>8.2222222222222214</v>
      </c>
      <c r="K461" s="12" t="s">
        <v>7161</v>
      </c>
      <c r="L461" s="12" t="s">
        <v>21</v>
      </c>
      <c r="M461" s="12" t="s">
        <v>8110</v>
      </c>
      <c r="N461" s="12">
        <v>459</v>
      </c>
      <c r="O461" s="12">
        <v>6.0999999999999999E-2</v>
      </c>
      <c r="P461" s="12">
        <v>0.99399999999999999</v>
      </c>
      <c r="Q461" s="12" t="s">
        <v>7246</v>
      </c>
      <c r="R461" s="12">
        <v>0.33500000000000002</v>
      </c>
      <c r="S461" s="12">
        <v>1.429</v>
      </c>
      <c r="T461" s="12">
        <v>736054</v>
      </c>
      <c r="U461" s="12">
        <v>3.9E-2</v>
      </c>
      <c r="V461" s="12" t="s">
        <v>7661</v>
      </c>
      <c r="W461" s="12" t="s">
        <v>11</v>
      </c>
      <c r="X461" s="12">
        <v>2214</v>
      </c>
      <c r="Y461" s="12">
        <v>2.1250000000000002E-3</v>
      </c>
      <c r="Z461" s="12">
        <v>1.5028277914937826</v>
      </c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</row>
    <row r="462" spans="1:39" s="12" customFormat="1" x14ac:dyDescent="0.2">
      <c r="A462" s="12" t="s">
        <v>4094</v>
      </c>
      <c r="B462" s="12" t="s">
        <v>4093</v>
      </c>
      <c r="C462" s="12" t="s">
        <v>143</v>
      </c>
      <c r="D462" s="12" t="s">
        <v>7159</v>
      </c>
      <c r="E462" s="12" t="s">
        <v>8031</v>
      </c>
      <c r="F462" s="12" t="s">
        <v>7160</v>
      </c>
      <c r="G462" s="12" t="s">
        <v>7649</v>
      </c>
      <c r="H462" s="12">
        <v>82</v>
      </c>
      <c r="I462" s="12" t="s">
        <v>7646</v>
      </c>
      <c r="J462" s="80">
        <v>9.1111111111111107</v>
      </c>
      <c r="K462" s="12" t="s">
        <v>7161</v>
      </c>
      <c r="L462" s="12" t="s">
        <v>21</v>
      </c>
      <c r="M462" s="12" t="s">
        <v>8110</v>
      </c>
      <c r="N462" s="12">
        <v>368</v>
      </c>
      <c r="O462" s="12">
        <v>5.5E-2</v>
      </c>
      <c r="P462" s="12">
        <v>0.99299999999999999</v>
      </c>
      <c r="Q462" s="12" t="s">
        <v>7171</v>
      </c>
      <c r="R462" s="12">
        <v>0.17</v>
      </c>
      <c r="S462" s="12">
        <v>1.7989999999999999</v>
      </c>
      <c r="T462" s="12">
        <v>754202</v>
      </c>
      <c r="U462" s="12">
        <v>5.1999999999999998E-2</v>
      </c>
      <c r="V462" s="12" t="s">
        <v>7661</v>
      </c>
      <c r="W462" s="12" t="s">
        <v>11</v>
      </c>
      <c r="X462" s="12">
        <v>2827</v>
      </c>
      <c r="Y462" s="12">
        <v>2.081E-3</v>
      </c>
      <c r="Z462" s="12">
        <v>1.7207206685756384</v>
      </c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</row>
    <row r="463" spans="1:39" s="12" customFormat="1" x14ac:dyDescent="0.2">
      <c r="A463" s="12" t="s">
        <v>3335</v>
      </c>
      <c r="B463" s="12" t="s">
        <v>3332</v>
      </c>
      <c r="C463" s="12" t="s">
        <v>13</v>
      </c>
      <c r="D463" s="12" t="s">
        <v>8032</v>
      </c>
      <c r="E463" s="12" t="s">
        <v>8124</v>
      </c>
      <c r="F463" s="12" t="s">
        <v>7160</v>
      </c>
      <c r="G463" s="12" t="s">
        <v>7649</v>
      </c>
      <c r="H463" s="12">
        <v>69</v>
      </c>
      <c r="I463" s="12" t="s">
        <v>7646</v>
      </c>
      <c r="J463" s="80">
        <v>7.6666666666666661</v>
      </c>
      <c r="K463" s="12" t="s">
        <v>7161</v>
      </c>
      <c r="L463" s="12" t="s">
        <v>21</v>
      </c>
      <c r="M463" s="12" t="s">
        <v>8110</v>
      </c>
      <c r="N463" s="12">
        <v>324</v>
      </c>
      <c r="O463" s="12">
        <v>0.114</v>
      </c>
      <c r="P463" s="12">
        <v>0.99199999999999999</v>
      </c>
      <c r="Q463" s="12" t="s">
        <v>7223</v>
      </c>
      <c r="R463" s="12">
        <v>0.52800000000000002</v>
      </c>
      <c r="S463" s="12">
        <v>1.294</v>
      </c>
      <c r="T463" s="12">
        <v>659729</v>
      </c>
      <c r="U463" s="12">
        <v>0.111</v>
      </c>
      <c r="V463" s="12" t="s">
        <v>7661</v>
      </c>
      <c r="W463" s="12" t="s">
        <v>11</v>
      </c>
      <c r="X463" s="12">
        <v>1789</v>
      </c>
      <c r="Y463" s="12">
        <v>1.6001999999999999E-2</v>
      </c>
      <c r="Z463" s="12">
        <v>4.7410467633956346</v>
      </c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</row>
    <row r="464" spans="1:39" s="12" customFormat="1" x14ac:dyDescent="0.2">
      <c r="A464" s="12" t="s">
        <v>3340</v>
      </c>
      <c r="B464" s="12" t="s">
        <v>3338</v>
      </c>
      <c r="C464" s="12" t="s">
        <v>13</v>
      </c>
      <c r="D464" s="12" t="s">
        <v>8032</v>
      </c>
      <c r="E464" s="12" t="s">
        <v>8124</v>
      </c>
      <c r="F464" s="12" t="s">
        <v>7160</v>
      </c>
      <c r="G464" s="12" t="s">
        <v>7649</v>
      </c>
      <c r="H464" s="12">
        <v>66</v>
      </c>
      <c r="I464" s="12" t="s">
        <v>7646</v>
      </c>
      <c r="J464" s="80">
        <v>7.333333333333333</v>
      </c>
      <c r="K464" s="12" t="s">
        <v>7161</v>
      </c>
      <c r="L464" s="12" t="s">
        <v>21</v>
      </c>
      <c r="M464" s="12" t="s">
        <v>8110</v>
      </c>
      <c r="N464" s="12">
        <v>344</v>
      </c>
      <c r="O464" s="12">
        <v>0.122</v>
      </c>
      <c r="P464" s="12">
        <v>0.99099999999999999</v>
      </c>
      <c r="Q464" s="12" t="s">
        <v>7277</v>
      </c>
      <c r="R464" s="12">
        <v>0.433</v>
      </c>
      <c r="S464" s="12">
        <v>1.9950000000000001</v>
      </c>
      <c r="T464" s="12">
        <v>721350</v>
      </c>
      <c r="U464" s="12">
        <v>0.122</v>
      </c>
      <c r="V464" s="12" t="s">
        <v>7661</v>
      </c>
      <c r="W464" s="12" t="s">
        <v>25</v>
      </c>
      <c r="X464" s="12">
        <v>5775</v>
      </c>
      <c r="Y464" s="12" t="s">
        <v>6639</v>
      </c>
      <c r="Z464" s="12" t="s">
        <v>6639</v>
      </c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</row>
    <row r="465" spans="1:56" s="12" customFormat="1" x14ac:dyDescent="0.2">
      <c r="A465" s="12" t="s">
        <v>3344</v>
      </c>
      <c r="B465" s="12" t="s">
        <v>3342</v>
      </c>
      <c r="C465" s="12" t="s">
        <v>13</v>
      </c>
      <c r="D465" s="12" t="s">
        <v>8032</v>
      </c>
      <c r="E465" s="12" t="s">
        <v>8124</v>
      </c>
      <c r="F465" s="12" t="s">
        <v>7160</v>
      </c>
      <c r="G465" s="12" t="s">
        <v>7649</v>
      </c>
      <c r="H465" s="12">
        <v>78</v>
      </c>
      <c r="I465" s="12" t="s">
        <v>7646</v>
      </c>
      <c r="J465" s="80">
        <v>8.6666666666666661</v>
      </c>
      <c r="K465" s="12" t="s">
        <v>7161</v>
      </c>
      <c r="L465" s="12" t="s">
        <v>21</v>
      </c>
      <c r="M465" s="12" t="s">
        <v>8110</v>
      </c>
      <c r="N465" s="12">
        <v>302</v>
      </c>
      <c r="O465" s="12">
        <v>0.11</v>
      </c>
      <c r="P465" s="12">
        <v>0.98899999999999999</v>
      </c>
      <c r="Q465" s="12" t="s">
        <v>7316</v>
      </c>
      <c r="R465" s="12">
        <v>0.32800000000000001</v>
      </c>
      <c r="S465" s="12">
        <v>2.9020000000000001</v>
      </c>
      <c r="T465" s="12">
        <v>803294</v>
      </c>
      <c r="U465" s="12">
        <v>0.11</v>
      </c>
      <c r="V465" s="12" t="s">
        <v>7661</v>
      </c>
      <c r="W465" s="12" t="s">
        <v>11</v>
      </c>
      <c r="X465" s="12">
        <v>4368</v>
      </c>
      <c r="Y465" s="12">
        <v>1.1166000000000001E-2</v>
      </c>
      <c r="Z465" s="12">
        <v>7.053245497286655</v>
      </c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</row>
    <row r="466" spans="1:56" s="12" customFormat="1" x14ac:dyDescent="0.2">
      <c r="A466" s="12" t="s">
        <v>1329</v>
      </c>
      <c r="B466" s="12" t="s">
        <v>1327</v>
      </c>
      <c r="C466" s="12" t="s">
        <v>13</v>
      </c>
      <c r="D466" s="12" t="s">
        <v>7159</v>
      </c>
      <c r="E466" s="12" t="s">
        <v>8031</v>
      </c>
      <c r="F466" s="12" t="s">
        <v>7160</v>
      </c>
      <c r="G466" s="12" t="s">
        <v>7649</v>
      </c>
      <c r="H466" s="12">
        <v>67</v>
      </c>
      <c r="I466" s="12" t="s">
        <v>7646</v>
      </c>
      <c r="J466" s="80">
        <v>7.4444444444444438</v>
      </c>
      <c r="K466" s="12" t="s">
        <v>7161</v>
      </c>
      <c r="L466" s="12" t="s">
        <v>21</v>
      </c>
      <c r="M466" s="12" t="s">
        <v>8110</v>
      </c>
      <c r="N466" s="12">
        <v>41.7</v>
      </c>
      <c r="O466" s="12">
        <v>0.13900000000000001</v>
      </c>
      <c r="P466" s="12">
        <v>0.98799999999999999</v>
      </c>
      <c r="Q466" s="12" t="s">
        <v>7325</v>
      </c>
      <c r="R466" s="12">
        <v>2.9000000000000001E-2</v>
      </c>
      <c r="S466" s="12">
        <v>0.63500000000000001</v>
      </c>
      <c r="T466" s="12">
        <v>421725</v>
      </c>
      <c r="U466" s="12">
        <v>0.13300000000000001</v>
      </c>
      <c r="V466" s="12" t="s">
        <v>7661</v>
      </c>
      <c r="W466" s="12" t="s">
        <v>11</v>
      </c>
      <c r="X466" s="12">
        <v>667</v>
      </c>
      <c r="Y466" s="12">
        <v>2.0036000000000002E-2</v>
      </c>
      <c r="Z466" s="12">
        <v>3.0855423338071399</v>
      </c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</row>
    <row r="467" spans="1:56" s="12" customFormat="1" x14ac:dyDescent="0.2">
      <c r="A467" s="12" t="s">
        <v>1012</v>
      </c>
      <c r="B467" s="12" t="s">
        <v>1011</v>
      </c>
      <c r="C467" s="12" t="s">
        <v>13</v>
      </c>
      <c r="D467" s="12" t="s">
        <v>7159</v>
      </c>
      <c r="E467" s="12" t="s">
        <v>8031</v>
      </c>
      <c r="F467" s="12" t="s">
        <v>7160</v>
      </c>
      <c r="G467" s="12" t="s">
        <v>7649</v>
      </c>
      <c r="H467" s="12">
        <v>71</v>
      </c>
      <c r="I467" s="12" t="s">
        <v>7646</v>
      </c>
      <c r="J467" s="80">
        <v>7.8888888888888884</v>
      </c>
      <c r="K467" s="12" t="s">
        <v>7161</v>
      </c>
      <c r="L467" s="12" t="s">
        <v>21</v>
      </c>
      <c r="M467" s="12" t="s">
        <v>8110</v>
      </c>
      <c r="N467" s="12">
        <v>2.5299999999999998</v>
      </c>
      <c r="O467" s="12">
        <v>0.216</v>
      </c>
      <c r="P467" s="12">
        <v>0.99199999999999999</v>
      </c>
      <c r="Q467" s="12" t="s">
        <v>7317</v>
      </c>
      <c r="R467" s="12">
        <v>2.0999999999999999E-3</v>
      </c>
      <c r="S467" s="12">
        <v>0.02</v>
      </c>
      <c r="T467" s="12">
        <v>24080</v>
      </c>
      <c r="U467" s="12">
        <v>0.128</v>
      </c>
      <c r="V467" s="12" t="s">
        <v>7661</v>
      </c>
      <c r="W467" s="12" t="s">
        <v>11</v>
      </c>
      <c r="X467" s="12">
        <v>2</v>
      </c>
      <c r="Y467" s="12" t="s">
        <v>8052</v>
      </c>
      <c r="Z467" s="12" t="s">
        <v>8052</v>
      </c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</row>
    <row r="468" spans="1:56" s="12" customFormat="1" x14ac:dyDescent="0.2">
      <c r="A468" s="12" t="s">
        <v>1016</v>
      </c>
      <c r="B468" s="12" t="s">
        <v>1015</v>
      </c>
      <c r="C468" s="12" t="s">
        <v>13</v>
      </c>
      <c r="D468" s="12" t="s">
        <v>7159</v>
      </c>
      <c r="E468" s="12" t="s">
        <v>8031</v>
      </c>
      <c r="F468" s="12" t="s">
        <v>7160</v>
      </c>
      <c r="G468" s="12" t="s">
        <v>7649</v>
      </c>
      <c r="H468" s="12">
        <v>71</v>
      </c>
      <c r="I468" s="12" t="s">
        <v>7646</v>
      </c>
      <c r="J468" s="80">
        <v>7.8888888888888884</v>
      </c>
      <c r="K468" s="12" t="s">
        <v>7161</v>
      </c>
      <c r="L468" s="12" t="s">
        <v>21</v>
      </c>
      <c r="M468" s="12" t="s">
        <v>8110</v>
      </c>
      <c r="N468" s="12">
        <v>44.1</v>
      </c>
      <c r="O468" s="12">
        <v>0.12</v>
      </c>
      <c r="P468" s="12">
        <v>0.98</v>
      </c>
      <c r="Q468" s="12" t="s">
        <v>7318</v>
      </c>
      <c r="R468" s="12">
        <v>6.7000000000000002E-3</v>
      </c>
      <c r="S468" s="12">
        <v>0.29332200000000003</v>
      </c>
      <c r="T468" s="12">
        <v>281113</v>
      </c>
      <c r="U468" s="12">
        <v>0.108</v>
      </c>
      <c r="V468" s="12" t="s">
        <v>7661</v>
      </c>
      <c r="W468" s="12" t="s">
        <v>11</v>
      </c>
      <c r="X468" s="12">
        <v>175</v>
      </c>
      <c r="Y468" s="12" t="s">
        <v>8052</v>
      </c>
      <c r="Z468" s="12" t="s">
        <v>8052</v>
      </c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</row>
    <row r="469" spans="1:56" s="12" customFormat="1" x14ac:dyDescent="0.2">
      <c r="A469" s="12" t="s">
        <v>1104</v>
      </c>
      <c r="B469" s="12" t="s">
        <v>1101</v>
      </c>
      <c r="C469" s="12" t="s">
        <v>13</v>
      </c>
      <c r="D469" s="12" t="s">
        <v>7159</v>
      </c>
      <c r="E469" s="12" t="s">
        <v>8031</v>
      </c>
      <c r="F469" s="12" t="s">
        <v>7160</v>
      </c>
      <c r="G469" s="12" t="s">
        <v>7649</v>
      </c>
      <c r="H469" s="12">
        <v>67</v>
      </c>
      <c r="I469" s="12" t="s">
        <v>7646</v>
      </c>
      <c r="J469" s="80">
        <v>7.4444444444444438</v>
      </c>
      <c r="K469" s="12" t="s">
        <v>7161</v>
      </c>
      <c r="L469" s="12" t="s">
        <v>21</v>
      </c>
      <c r="M469" s="12" t="s">
        <v>8110</v>
      </c>
      <c r="N469" s="12">
        <v>3.06</v>
      </c>
      <c r="O469" s="12">
        <v>9.8000000000000004E-2</v>
      </c>
      <c r="P469" s="12">
        <v>0.78200000000000003</v>
      </c>
      <c r="Q469" s="12" t="s">
        <v>7321</v>
      </c>
      <c r="R469" s="12">
        <v>3.0999999999999999E-3</v>
      </c>
      <c r="S469" s="12">
        <v>8.9949999999999995E-3</v>
      </c>
      <c r="T469" s="12">
        <v>10710</v>
      </c>
      <c r="U469" s="12">
        <v>5.5E-2</v>
      </c>
      <c r="V469" s="12" t="s">
        <v>7661</v>
      </c>
      <c r="W469" s="12" t="s">
        <v>11</v>
      </c>
      <c r="X469" s="12">
        <v>2</v>
      </c>
      <c r="Y469" s="12" t="s">
        <v>8052</v>
      </c>
      <c r="Z469" s="12" t="s">
        <v>8052</v>
      </c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</row>
    <row r="470" spans="1:56" s="12" customFormat="1" x14ac:dyDescent="0.2">
      <c r="A470" s="12" t="s">
        <v>1019</v>
      </c>
      <c r="B470" s="12" t="s">
        <v>1018</v>
      </c>
      <c r="C470" s="12" t="s">
        <v>13</v>
      </c>
      <c r="D470" s="12" t="s">
        <v>7159</v>
      </c>
      <c r="E470" s="12" t="s">
        <v>8031</v>
      </c>
      <c r="F470" s="12" t="s">
        <v>7160</v>
      </c>
      <c r="G470" s="12" t="s">
        <v>7649</v>
      </c>
      <c r="H470" s="12">
        <v>70</v>
      </c>
      <c r="I470" s="12" t="s">
        <v>7646</v>
      </c>
      <c r="J470" s="80">
        <v>7.7777777777777777</v>
      </c>
      <c r="K470" s="12" t="s">
        <v>7161</v>
      </c>
      <c r="L470" s="12" t="s">
        <v>21</v>
      </c>
      <c r="M470" s="12" t="s">
        <v>8110</v>
      </c>
      <c r="N470" s="12">
        <v>22.7</v>
      </c>
      <c r="O470" s="12">
        <v>0.15</v>
      </c>
      <c r="P470" s="12">
        <v>0.96799999999999997</v>
      </c>
      <c r="Q470" s="12" t="s">
        <v>7319</v>
      </c>
      <c r="R470" s="12">
        <v>1.4E-2</v>
      </c>
      <c r="S470" s="12">
        <v>0.26500000000000001</v>
      </c>
      <c r="T470" s="12">
        <v>242409</v>
      </c>
      <c r="U470" s="12">
        <v>0.11899999999999999</v>
      </c>
      <c r="V470" s="12" t="s">
        <v>7661</v>
      </c>
      <c r="W470" s="12" t="s">
        <v>11</v>
      </c>
      <c r="X470" s="12">
        <v>174</v>
      </c>
      <c r="Y470" s="12" t="s">
        <v>8052</v>
      </c>
      <c r="Z470" s="12" t="s">
        <v>8052</v>
      </c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P470" s="12" t="s">
        <v>4718</v>
      </c>
      <c r="AQ470" s="12" t="s">
        <v>8050</v>
      </c>
      <c r="AR470" s="12" t="s">
        <v>8051</v>
      </c>
      <c r="AS470" s="12">
        <v>273.2</v>
      </c>
      <c r="AT470" s="12">
        <v>0.14849999999999999</v>
      </c>
      <c r="AU470" s="12" t="s">
        <v>1265</v>
      </c>
      <c r="AV470" s="12">
        <v>0.99015900000000001</v>
      </c>
      <c r="AW470" s="12">
        <v>0.98154799999999998</v>
      </c>
      <c r="AX470" s="12">
        <v>0.99468199999999996</v>
      </c>
      <c r="AY470" s="12">
        <v>113161</v>
      </c>
      <c r="AZ470" s="12">
        <v>861</v>
      </c>
      <c r="BA470" s="12">
        <v>0.161</v>
      </c>
      <c r="BB470" s="12">
        <v>8230</v>
      </c>
      <c r="BC470" s="12">
        <v>60.196078431372499</v>
      </c>
      <c r="BD470" s="12">
        <v>0.307</v>
      </c>
    </row>
    <row r="471" spans="1:56" s="12" customFormat="1" x14ac:dyDescent="0.2">
      <c r="A471" s="12" t="s">
        <v>4156</v>
      </c>
      <c r="B471" s="12" t="s">
        <v>4155</v>
      </c>
      <c r="C471" s="12" t="s">
        <v>13</v>
      </c>
      <c r="D471" s="12" t="s">
        <v>7159</v>
      </c>
      <c r="E471" s="12" t="s">
        <v>8031</v>
      </c>
      <c r="F471" s="12" t="s">
        <v>7160</v>
      </c>
      <c r="G471" s="12" t="s">
        <v>7649</v>
      </c>
      <c r="H471" s="12">
        <v>70</v>
      </c>
      <c r="I471" s="12" t="s">
        <v>7646</v>
      </c>
      <c r="J471" s="80">
        <v>7.7777777777777777</v>
      </c>
      <c r="K471" s="12" t="s">
        <v>7161</v>
      </c>
      <c r="L471" s="12" t="s">
        <v>21</v>
      </c>
      <c r="M471" s="12" t="s">
        <v>8110</v>
      </c>
      <c r="N471" s="12">
        <v>164</v>
      </c>
      <c r="O471" s="12">
        <v>0.10100000000000001</v>
      </c>
      <c r="P471" s="12">
        <v>0.98699999999999999</v>
      </c>
      <c r="Q471" s="12" t="s">
        <v>7290</v>
      </c>
      <c r="R471" s="12">
        <v>8.5999999999999993E-2</v>
      </c>
      <c r="S471" s="12">
        <v>2.452</v>
      </c>
      <c r="T471" s="12">
        <v>829426</v>
      </c>
      <c r="U471" s="12">
        <v>8.5999999999999993E-2</v>
      </c>
      <c r="V471" s="12" t="s">
        <v>7661</v>
      </c>
      <c r="W471" s="12" t="s">
        <v>25</v>
      </c>
      <c r="X471" s="12">
        <v>8157</v>
      </c>
      <c r="Y471" s="12" t="s">
        <v>6639</v>
      </c>
      <c r="Z471" s="12" t="s">
        <v>6639</v>
      </c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</row>
    <row r="472" spans="1:56" s="12" customFormat="1" x14ac:dyDescent="0.2">
      <c r="A472" s="12" t="s">
        <v>1034</v>
      </c>
      <c r="B472" s="12" t="s">
        <v>1033</v>
      </c>
      <c r="C472" s="12" t="s">
        <v>13</v>
      </c>
      <c r="D472" s="12" t="s">
        <v>7159</v>
      </c>
      <c r="E472" s="12" t="s">
        <v>8031</v>
      </c>
      <c r="F472" s="12" t="s">
        <v>7160</v>
      </c>
      <c r="G472" s="12" t="s">
        <v>7649</v>
      </c>
      <c r="H472" s="12">
        <v>65</v>
      </c>
      <c r="I472" s="12" t="s">
        <v>7646</v>
      </c>
      <c r="J472" s="80">
        <v>7.2222222222222214</v>
      </c>
      <c r="K472" s="12" t="s">
        <v>7161</v>
      </c>
      <c r="L472" s="12" t="s">
        <v>21</v>
      </c>
      <c r="M472" s="12" t="s">
        <v>8110</v>
      </c>
      <c r="N472" s="12">
        <v>46.1</v>
      </c>
      <c r="O472" s="12">
        <v>0.11600000000000001</v>
      </c>
      <c r="P472" s="12">
        <v>0.99099999999999999</v>
      </c>
      <c r="Q472" s="12" t="s">
        <v>7324</v>
      </c>
      <c r="R472" s="12">
        <v>0.05</v>
      </c>
      <c r="S472" s="12">
        <v>1.6080000000000001</v>
      </c>
      <c r="T472" s="12">
        <v>712798</v>
      </c>
      <c r="U472" s="12">
        <v>0.114</v>
      </c>
      <c r="V472" s="12" t="s">
        <v>7661</v>
      </c>
      <c r="W472" s="12" t="s">
        <v>25</v>
      </c>
      <c r="X472" s="12">
        <v>5530</v>
      </c>
      <c r="Y472" s="12" t="s">
        <v>6639</v>
      </c>
      <c r="Z472" s="12" t="s">
        <v>6639</v>
      </c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</row>
    <row r="473" spans="1:56" s="12" customFormat="1" x14ac:dyDescent="0.2">
      <c r="A473" s="12" t="s">
        <v>868</v>
      </c>
      <c r="B473" s="12" t="s">
        <v>867</v>
      </c>
      <c r="C473" s="12" t="s">
        <v>13</v>
      </c>
      <c r="D473" s="12" t="s">
        <v>7159</v>
      </c>
      <c r="E473" s="12" t="s">
        <v>8031</v>
      </c>
      <c r="F473" s="12" t="s">
        <v>7160</v>
      </c>
      <c r="G473" s="12" t="s">
        <v>7649</v>
      </c>
      <c r="H473" s="12">
        <v>68</v>
      </c>
      <c r="I473" s="12" t="s">
        <v>7646</v>
      </c>
      <c r="J473" s="80">
        <v>7.5555555555555554</v>
      </c>
      <c r="K473" s="12" t="s">
        <v>7161</v>
      </c>
      <c r="L473" s="12" t="s">
        <v>21</v>
      </c>
      <c r="M473" s="12" t="s">
        <v>8110</v>
      </c>
      <c r="N473" s="12">
        <v>37.1</v>
      </c>
      <c r="O473" s="12">
        <v>0.155</v>
      </c>
      <c r="P473" s="12">
        <v>0.98499999999999999</v>
      </c>
      <c r="Q473" s="12" t="s">
        <v>7323</v>
      </c>
      <c r="R473" s="12">
        <v>3.1E-2</v>
      </c>
      <c r="S473" s="12">
        <v>0.9</v>
      </c>
      <c r="T473" s="12">
        <v>571489</v>
      </c>
      <c r="U473" s="12" t="s">
        <v>17</v>
      </c>
      <c r="V473" s="12" t="s">
        <v>7661</v>
      </c>
      <c r="W473" s="12" t="s">
        <v>25</v>
      </c>
      <c r="X473" s="12">
        <v>2875</v>
      </c>
      <c r="Y473" s="12" t="s">
        <v>6639</v>
      </c>
      <c r="Z473" s="12" t="s">
        <v>6639</v>
      </c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</row>
    <row r="474" spans="1:56" s="12" customFormat="1" x14ac:dyDescent="0.2">
      <c r="A474" s="12" t="s">
        <v>1993</v>
      </c>
      <c r="B474" s="12" t="s">
        <v>1991</v>
      </c>
      <c r="C474" s="12" t="s">
        <v>13</v>
      </c>
      <c r="D474" s="12" t="s">
        <v>7210</v>
      </c>
      <c r="E474" s="12" t="s">
        <v>8031</v>
      </c>
      <c r="F474" s="12" t="s">
        <v>7160</v>
      </c>
      <c r="G474" s="12" t="s">
        <v>7649</v>
      </c>
      <c r="H474" s="12">
        <v>75</v>
      </c>
      <c r="I474" s="12" t="s">
        <v>7647</v>
      </c>
      <c r="J474" s="80">
        <v>8.3333333333333321</v>
      </c>
      <c r="K474" s="12" t="s">
        <v>7161</v>
      </c>
      <c r="L474" s="12" t="s">
        <v>21</v>
      </c>
      <c r="M474" s="12" t="s">
        <v>8110</v>
      </c>
      <c r="N474" s="12">
        <v>116</v>
      </c>
      <c r="O474" s="12">
        <v>0.108</v>
      </c>
      <c r="P474" s="12">
        <v>0.98099999999999998</v>
      </c>
      <c r="Q474" s="12" t="s">
        <v>7229</v>
      </c>
      <c r="R474" s="12">
        <v>0.193</v>
      </c>
      <c r="S474" s="12">
        <v>2.4616259999999999</v>
      </c>
      <c r="T474" s="12">
        <v>863861</v>
      </c>
      <c r="U474" s="12">
        <v>9.7000000000000003E-2</v>
      </c>
      <c r="V474" s="12" t="s">
        <v>7661</v>
      </c>
      <c r="W474" s="12" t="s">
        <v>11</v>
      </c>
      <c r="X474" s="12">
        <v>4420</v>
      </c>
      <c r="Y474" s="12">
        <v>6.9449999999999998E-3</v>
      </c>
      <c r="Z474" s="12">
        <v>4.5965493779932176</v>
      </c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</row>
    <row r="475" spans="1:56" s="12" customFormat="1" x14ac:dyDescent="0.2">
      <c r="A475" s="12" t="s">
        <v>1970</v>
      </c>
      <c r="B475" s="12" t="s">
        <v>1967</v>
      </c>
      <c r="C475" s="12" t="s">
        <v>13</v>
      </c>
      <c r="D475" s="12" t="s">
        <v>7210</v>
      </c>
      <c r="E475" s="12" t="s">
        <v>8031</v>
      </c>
      <c r="F475" s="12" t="s">
        <v>7160</v>
      </c>
      <c r="G475" s="12" t="s">
        <v>7649</v>
      </c>
      <c r="H475" s="12">
        <v>75</v>
      </c>
      <c r="I475" s="12" t="s">
        <v>7647</v>
      </c>
      <c r="J475" s="80">
        <v>8.3333333333333321</v>
      </c>
      <c r="K475" s="12" t="s">
        <v>7161</v>
      </c>
      <c r="L475" s="12" t="s">
        <v>21</v>
      </c>
      <c r="M475" s="12" t="s">
        <v>8110</v>
      </c>
      <c r="N475" s="12">
        <v>265</v>
      </c>
      <c r="O475" s="12">
        <v>0.11899999999999999</v>
      </c>
      <c r="P475" s="12">
        <v>0.99199999999999999</v>
      </c>
      <c r="Q475" s="12" t="s">
        <v>7228</v>
      </c>
      <c r="R475" s="12">
        <v>0.82099999999999995</v>
      </c>
      <c r="S475" s="12">
        <v>3.6801010000000001</v>
      </c>
      <c r="T475" s="12">
        <v>874858</v>
      </c>
      <c r="U475" s="12">
        <v>0.105</v>
      </c>
      <c r="V475" s="12" t="s">
        <v>7661</v>
      </c>
      <c r="W475" s="12" t="s">
        <v>25</v>
      </c>
      <c r="X475" s="12">
        <v>9422</v>
      </c>
      <c r="Y475" s="12" t="s">
        <v>6639</v>
      </c>
      <c r="Z475" s="12" t="s">
        <v>6639</v>
      </c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</row>
    <row r="476" spans="1:56" s="12" customFormat="1" x14ac:dyDescent="0.2">
      <c r="A476" s="12" t="s">
        <v>1333</v>
      </c>
      <c r="B476" s="12" t="s">
        <v>1332</v>
      </c>
      <c r="C476" s="12" t="s">
        <v>13</v>
      </c>
      <c r="D476" s="12" t="s">
        <v>7210</v>
      </c>
      <c r="E476" s="12" t="s">
        <v>8031</v>
      </c>
      <c r="F476" s="12" t="s">
        <v>7160</v>
      </c>
      <c r="G476" s="12" t="s">
        <v>7649</v>
      </c>
      <c r="H476" s="12">
        <v>71</v>
      </c>
      <c r="I476" s="12" t="s">
        <v>7646</v>
      </c>
      <c r="J476" s="80">
        <v>7.8888888888888884</v>
      </c>
      <c r="K476" s="12" t="s">
        <v>7161</v>
      </c>
      <c r="L476" s="12" t="s">
        <v>21</v>
      </c>
      <c r="M476" s="12" t="s">
        <v>8110</v>
      </c>
      <c r="N476" s="12">
        <v>317</v>
      </c>
      <c r="O476" s="12">
        <v>9.2999999999999999E-2</v>
      </c>
      <c r="P476" s="12">
        <v>0.97599999999999998</v>
      </c>
      <c r="Q476" s="12" t="s">
        <v>7200</v>
      </c>
      <c r="R476" s="12">
        <v>0.17399999999999999</v>
      </c>
      <c r="S476" s="12">
        <v>2.4860000000000002</v>
      </c>
      <c r="T476" s="12">
        <v>732809</v>
      </c>
      <c r="U476" s="12">
        <v>0.10100000000000001</v>
      </c>
      <c r="V476" s="12" t="s">
        <v>7661</v>
      </c>
      <c r="W476" s="12" t="s">
        <v>11</v>
      </c>
      <c r="X476" s="12">
        <v>3704</v>
      </c>
      <c r="Y476" s="12">
        <v>5.2009999999999999E-3</v>
      </c>
      <c r="Z476" s="12">
        <v>3.6245973637517959</v>
      </c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</row>
    <row r="477" spans="1:56" s="12" customFormat="1" x14ac:dyDescent="0.2">
      <c r="A477" s="12" t="s">
        <v>4139</v>
      </c>
      <c r="B477" s="12" t="s">
        <v>4136</v>
      </c>
      <c r="C477" s="12" t="s">
        <v>13</v>
      </c>
      <c r="D477" s="12" t="s">
        <v>7210</v>
      </c>
      <c r="E477" s="12" t="s">
        <v>8031</v>
      </c>
      <c r="F477" s="12" t="s">
        <v>7160</v>
      </c>
      <c r="G477" s="12" t="s">
        <v>7649</v>
      </c>
      <c r="H477" s="12">
        <v>73</v>
      </c>
      <c r="I477" s="12" t="s">
        <v>7646</v>
      </c>
      <c r="J477" s="80">
        <v>8.1111111111111107</v>
      </c>
      <c r="K477" s="12" t="s">
        <v>7161</v>
      </c>
      <c r="L477" s="12" t="s">
        <v>21</v>
      </c>
      <c r="M477" s="12" t="s">
        <v>8110</v>
      </c>
      <c r="N477" s="12">
        <v>531</v>
      </c>
      <c r="O477" s="12">
        <v>0.08</v>
      </c>
      <c r="P477" s="12">
        <v>0.89100000000000001</v>
      </c>
      <c r="Q477" s="12" t="s">
        <v>7289</v>
      </c>
      <c r="R477" s="12" t="s">
        <v>17</v>
      </c>
      <c r="S477" s="12">
        <v>3.3540000000000001</v>
      </c>
      <c r="T477" s="12">
        <v>755420</v>
      </c>
      <c r="U477" s="12">
        <v>7.0999999999999994E-2</v>
      </c>
      <c r="V477" s="12" t="s">
        <v>7661</v>
      </c>
      <c r="W477" s="12" t="s">
        <v>25</v>
      </c>
      <c r="X477" s="12">
        <v>7254</v>
      </c>
      <c r="Y477" s="12" t="s">
        <v>6639</v>
      </c>
      <c r="Z477" s="12" t="s">
        <v>6639</v>
      </c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</row>
    <row r="478" spans="1:56" s="12" customFormat="1" x14ac:dyDescent="0.2">
      <c r="A478" s="12" t="s">
        <v>4145</v>
      </c>
      <c r="B478" s="12" t="s">
        <v>4144</v>
      </c>
      <c r="C478" s="12" t="s">
        <v>13</v>
      </c>
      <c r="D478" s="12" t="s">
        <v>7210</v>
      </c>
      <c r="E478" s="12" t="s">
        <v>8031</v>
      </c>
      <c r="F478" s="12" t="s">
        <v>7160</v>
      </c>
      <c r="G478" s="12" t="s">
        <v>7649</v>
      </c>
      <c r="H478" s="12">
        <v>69</v>
      </c>
      <c r="I478" s="12" t="s">
        <v>7646</v>
      </c>
      <c r="J478" s="80">
        <v>7.6666666666666661</v>
      </c>
      <c r="K478" s="12" t="s">
        <v>7161</v>
      </c>
      <c r="L478" s="12" t="s">
        <v>21</v>
      </c>
      <c r="M478" s="12" t="s">
        <v>8110</v>
      </c>
      <c r="N478" s="12">
        <v>283</v>
      </c>
      <c r="O478" s="12">
        <v>0.13</v>
      </c>
      <c r="P478" s="12">
        <v>0.99099999999999999</v>
      </c>
      <c r="Q478" s="12" t="s">
        <v>7234</v>
      </c>
      <c r="R478" s="12">
        <v>0.61899999999999999</v>
      </c>
      <c r="S478" s="12">
        <v>3.2349999999999999</v>
      </c>
      <c r="T478" s="12">
        <v>758945</v>
      </c>
      <c r="U478" s="12">
        <v>0.128</v>
      </c>
      <c r="V478" s="12" t="s">
        <v>7661</v>
      </c>
      <c r="W478" s="12" t="s">
        <v>25</v>
      </c>
      <c r="X478" s="12">
        <v>7326</v>
      </c>
      <c r="Y478" s="12" t="s">
        <v>6639</v>
      </c>
      <c r="Z478" s="12" t="s">
        <v>6639</v>
      </c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</row>
    <row r="479" spans="1:56" s="12" customFormat="1" x14ac:dyDescent="0.2">
      <c r="A479" s="12" t="s">
        <v>3325</v>
      </c>
      <c r="B479" s="12" t="s">
        <v>3324</v>
      </c>
      <c r="C479" s="12" t="s">
        <v>13</v>
      </c>
      <c r="D479" s="12" t="s">
        <v>7210</v>
      </c>
      <c r="E479" s="12" t="s">
        <v>8031</v>
      </c>
      <c r="F479" s="12" t="s">
        <v>7160</v>
      </c>
      <c r="G479" s="12" t="s">
        <v>7649</v>
      </c>
      <c r="H479" s="12">
        <v>80</v>
      </c>
      <c r="I479" s="12" t="s">
        <v>7646</v>
      </c>
      <c r="J479" s="80">
        <v>8.8888888888888893</v>
      </c>
      <c r="K479" s="12" t="s">
        <v>7161</v>
      </c>
      <c r="L479" s="12" t="s">
        <v>21</v>
      </c>
      <c r="M479" s="12" t="s">
        <v>8110</v>
      </c>
      <c r="N479" s="12">
        <v>232</v>
      </c>
      <c r="O479" s="12">
        <v>0.127</v>
      </c>
      <c r="P479" s="12">
        <v>0.98599999999999999</v>
      </c>
      <c r="Q479" s="12" t="s">
        <v>7174</v>
      </c>
      <c r="R479" s="12">
        <v>0.248</v>
      </c>
      <c r="S479" s="12">
        <v>1.716</v>
      </c>
      <c r="T479" s="12">
        <v>677966</v>
      </c>
      <c r="U479" s="12" t="s">
        <v>17</v>
      </c>
      <c r="V479" s="12" t="s">
        <v>7661</v>
      </c>
      <c r="W479" s="12" t="s">
        <v>25</v>
      </c>
      <c r="X479" s="12">
        <v>5315</v>
      </c>
      <c r="Y479" s="12" t="s">
        <v>6639</v>
      </c>
      <c r="Z479" s="12" t="s">
        <v>6639</v>
      </c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</row>
    <row r="480" spans="1:56" s="12" customFormat="1" x14ac:dyDescent="0.2">
      <c r="A480" s="12" t="s">
        <v>5158</v>
      </c>
      <c r="B480" s="12" t="s">
        <v>5157</v>
      </c>
      <c r="C480" s="12" t="s">
        <v>13</v>
      </c>
      <c r="D480" s="12" t="s">
        <v>7210</v>
      </c>
      <c r="E480" s="12" t="s">
        <v>8031</v>
      </c>
      <c r="F480" s="12" t="s">
        <v>7160</v>
      </c>
      <c r="G480" s="12" t="s">
        <v>7649</v>
      </c>
      <c r="H480" s="12">
        <v>69</v>
      </c>
      <c r="I480" s="12" t="s">
        <v>7646</v>
      </c>
      <c r="J480" s="80">
        <v>7.6666666666666661</v>
      </c>
      <c r="K480" s="12" t="s">
        <v>7161</v>
      </c>
      <c r="L480" s="12" t="s">
        <v>21</v>
      </c>
      <c r="M480" s="12" t="s">
        <v>8110</v>
      </c>
      <c r="N480" s="12">
        <v>394</v>
      </c>
      <c r="O480" s="12">
        <v>8.5999999999999993E-2</v>
      </c>
      <c r="P480" s="12">
        <v>0.98199999999999998</v>
      </c>
      <c r="Q480" s="12" t="s">
        <v>7176</v>
      </c>
      <c r="R480" s="12">
        <v>0.52100000000000002</v>
      </c>
      <c r="S480" s="12">
        <v>3.1110000000000002</v>
      </c>
      <c r="T480" s="12">
        <v>778899</v>
      </c>
      <c r="U480" s="12">
        <v>7.9000000000000001E-2</v>
      </c>
      <c r="V480" s="12" t="s">
        <v>7661</v>
      </c>
      <c r="W480" s="12" t="s">
        <v>11</v>
      </c>
      <c r="X480" s="12">
        <v>4527</v>
      </c>
      <c r="Y480" s="12">
        <v>5.5170000000000002E-3</v>
      </c>
      <c r="Z480" s="12">
        <v>4.9032547052847972</v>
      </c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</row>
    <row r="481" spans="1:56" s="12" customFormat="1" x14ac:dyDescent="0.2">
      <c r="A481" s="12" t="s">
        <v>5125</v>
      </c>
      <c r="B481" s="12" t="s">
        <v>5123</v>
      </c>
      <c r="C481" s="12" t="s">
        <v>13</v>
      </c>
      <c r="D481" s="12" t="s">
        <v>7210</v>
      </c>
      <c r="E481" s="12" t="s">
        <v>8031</v>
      </c>
      <c r="F481" s="12" t="s">
        <v>7160</v>
      </c>
      <c r="G481" s="12" t="s">
        <v>7649</v>
      </c>
      <c r="H481" s="12">
        <v>72</v>
      </c>
      <c r="I481" s="12" t="s">
        <v>7646</v>
      </c>
      <c r="J481" s="80">
        <v>8</v>
      </c>
      <c r="K481" s="12" t="s">
        <v>7161</v>
      </c>
      <c r="L481" s="12" t="s">
        <v>21</v>
      </c>
      <c r="M481" s="12" t="s">
        <v>8110</v>
      </c>
      <c r="N481" s="12">
        <v>555</v>
      </c>
      <c r="O481" s="12">
        <v>7.6999999999999999E-2</v>
      </c>
      <c r="P481" s="12">
        <v>0.99299999999999999</v>
      </c>
      <c r="Q481" s="12" t="s">
        <v>7240</v>
      </c>
      <c r="R481" s="12">
        <v>0.74</v>
      </c>
      <c r="S481" s="12">
        <v>1.085</v>
      </c>
      <c r="T481" s="12">
        <v>499717</v>
      </c>
      <c r="U481" s="12">
        <v>7.1999999999999995E-2</v>
      </c>
      <c r="V481" s="12" t="s">
        <v>7661</v>
      </c>
      <c r="W481" s="12" t="s">
        <v>11</v>
      </c>
      <c r="X481" s="12">
        <v>1368</v>
      </c>
      <c r="Y481" s="12">
        <v>4.3400000000000001E-3</v>
      </c>
      <c r="Z481" s="12">
        <v>1.9419769504339468</v>
      </c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</row>
    <row r="482" spans="1:56" s="12" customFormat="1" x14ac:dyDescent="0.2">
      <c r="A482" s="12" t="s">
        <v>5088</v>
      </c>
      <c r="B482" s="12" t="s">
        <v>5087</v>
      </c>
      <c r="C482" s="12" t="s">
        <v>13</v>
      </c>
      <c r="D482" s="12" t="s">
        <v>7210</v>
      </c>
      <c r="E482" s="12" t="s">
        <v>8031</v>
      </c>
      <c r="F482" s="12" t="s">
        <v>7160</v>
      </c>
      <c r="G482" s="12" t="s">
        <v>7649</v>
      </c>
      <c r="H482" s="12">
        <v>70</v>
      </c>
      <c r="I482" s="12" t="s">
        <v>7646</v>
      </c>
      <c r="J482" s="80">
        <v>7.7777777777777777</v>
      </c>
      <c r="K482" s="12" t="s">
        <v>7161</v>
      </c>
      <c r="L482" s="12" t="s">
        <v>21</v>
      </c>
      <c r="M482" s="12" t="s">
        <v>8110</v>
      </c>
      <c r="N482" s="12">
        <v>418</v>
      </c>
      <c r="O482" s="12">
        <v>0.123</v>
      </c>
      <c r="P482" s="12">
        <v>0.996</v>
      </c>
      <c r="Q482" s="12" t="s">
        <v>7237</v>
      </c>
      <c r="R482" s="12">
        <v>0.629</v>
      </c>
      <c r="S482" s="12">
        <v>4.2460000000000004</v>
      </c>
      <c r="T482" s="12">
        <v>806683</v>
      </c>
      <c r="U482" s="12">
        <v>0.111</v>
      </c>
      <c r="V482" s="12" t="s">
        <v>7661</v>
      </c>
      <c r="W482" s="12" t="s">
        <v>25</v>
      </c>
      <c r="X482" s="12">
        <v>8371</v>
      </c>
      <c r="Y482" s="12" t="s">
        <v>6639</v>
      </c>
      <c r="Z482" s="12" t="s">
        <v>6639</v>
      </c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</row>
    <row r="483" spans="1:56" s="12" customFormat="1" x14ac:dyDescent="0.2">
      <c r="A483" s="12" t="s">
        <v>5085</v>
      </c>
      <c r="B483" s="12" t="s">
        <v>5084</v>
      </c>
      <c r="C483" s="12" t="s">
        <v>13</v>
      </c>
      <c r="D483" s="12" t="s">
        <v>7210</v>
      </c>
      <c r="E483" s="12" t="s">
        <v>8031</v>
      </c>
      <c r="F483" s="12" t="s">
        <v>7160</v>
      </c>
      <c r="G483" s="12" t="s">
        <v>7649</v>
      </c>
      <c r="H483" s="12">
        <v>78</v>
      </c>
      <c r="I483" s="12" t="s">
        <v>7646</v>
      </c>
      <c r="J483" s="80">
        <v>8.6666666666666661</v>
      </c>
      <c r="K483" s="12" t="s">
        <v>7161</v>
      </c>
      <c r="L483" s="12" t="s">
        <v>21</v>
      </c>
      <c r="M483" s="12" t="s">
        <v>8110</v>
      </c>
      <c r="N483" s="12">
        <v>744</v>
      </c>
      <c r="O483" s="12">
        <v>0.14099999999999999</v>
      </c>
      <c r="P483" s="12">
        <v>0.99199999999999999</v>
      </c>
      <c r="Q483" s="12" t="s">
        <v>7228</v>
      </c>
      <c r="R483" s="12">
        <v>0.60599999999999998</v>
      </c>
      <c r="S483" s="12">
        <v>3.964</v>
      </c>
      <c r="T483" s="12">
        <v>804977</v>
      </c>
      <c r="U483" s="12">
        <v>0.115</v>
      </c>
      <c r="V483" s="12" t="s">
        <v>7661</v>
      </c>
      <c r="W483" s="12" t="s">
        <v>11</v>
      </c>
      <c r="X483" s="12">
        <v>5038</v>
      </c>
      <c r="Y483" s="12">
        <v>3.7810000000000001E-3</v>
      </c>
      <c r="Z483" s="12">
        <v>4.0269122561273818</v>
      </c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</row>
    <row r="484" spans="1:56" s="12" customFormat="1" x14ac:dyDescent="0.2">
      <c r="A484" s="12" t="s">
        <v>4100</v>
      </c>
      <c r="B484" s="12" t="s">
        <v>4099</v>
      </c>
      <c r="C484" s="12" t="s">
        <v>13</v>
      </c>
      <c r="D484" s="12" t="s">
        <v>7210</v>
      </c>
      <c r="E484" s="12" t="s">
        <v>8031</v>
      </c>
      <c r="F484" s="12" t="s">
        <v>7160</v>
      </c>
      <c r="G484" s="12" t="s">
        <v>7649</v>
      </c>
      <c r="H484" s="12">
        <v>72</v>
      </c>
      <c r="I484" s="12" t="s">
        <v>7646</v>
      </c>
      <c r="J484" s="80">
        <v>8</v>
      </c>
      <c r="K484" s="12" t="s">
        <v>7161</v>
      </c>
      <c r="L484" s="12" t="s">
        <v>21</v>
      </c>
      <c r="M484" s="12" t="s">
        <v>8110</v>
      </c>
      <c r="N484" s="12">
        <v>677</v>
      </c>
      <c r="O484" s="12">
        <v>8.4000000000000005E-2</v>
      </c>
      <c r="P484" s="12">
        <v>0.996</v>
      </c>
      <c r="Q484" s="12" t="s">
        <v>7250</v>
      </c>
      <c r="R484" s="12">
        <v>0.78700000000000003</v>
      </c>
      <c r="S484" s="12">
        <v>3.7610000000000001</v>
      </c>
      <c r="T484" s="12">
        <v>788293</v>
      </c>
      <c r="U484" s="12">
        <v>7.1999999999999995E-2</v>
      </c>
      <c r="V484" s="12" t="s">
        <v>7661</v>
      </c>
      <c r="W484" s="12" t="s">
        <v>11</v>
      </c>
      <c r="X484" s="12">
        <v>4800</v>
      </c>
      <c r="Y484" s="12">
        <v>5.1139999999999996E-3</v>
      </c>
      <c r="Z484" s="12">
        <v>4.537875823344061</v>
      </c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</row>
    <row r="485" spans="1:56" s="12" customFormat="1" x14ac:dyDescent="0.2">
      <c r="A485" s="12" t="s">
        <v>890</v>
      </c>
      <c r="B485" s="12" t="s">
        <v>888</v>
      </c>
      <c r="C485" s="12" t="s">
        <v>13</v>
      </c>
      <c r="D485" s="12" t="s">
        <v>7159</v>
      </c>
      <c r="E485" s="12" t="s">
        <v>8031</v>
      </c>
      <c r="F485" s="12" t="s">
        <v>7160</v>
      </c>
      <c r="G485" s="12" t="s">
        <v>7649</v>
      </c>
      <c r="H485" s="12">
        <v>65</v>
      </c>
      <c r="I485" s="12" t="s">
        <v>7646</v>
      </c>
      <c r="J485" s="80">
        <v>7.2222222222222214</v>
      </c>
      <c r="K485" s="12" t="s">
        <v>7161</v>
      </c>
      <c r="L485" s="12" t="s">
        <v>21</v>
      </c>
      <c r="M485" s="12" t="s">
        <v>8110</v>
      </c>
      <c r="N485" s="12">
        <v>34.5</v>
      </c>
      <c r="O485" s="12">
        <v>0.106</v>
      </c>
      <c r="P485" s="12">
        <v>0.996</v>
      </c>
      <c r="Q485" s="12" t="s">
        <v>7328</v>
      </c>
      <c r="R485" s="12">
        <v>6.3E-2</v>
      </c>
      <c r="S485" s="12">
        <v>0.34100000000000003</v>
      </c>
      <c r="T485" s="12">
        <v>316114</v>
      </c>
      <c r="U485" s="12" t="s">
        <v>17</v>
      </c>
      <c r="V485" s="12" t="s">
        <v>7661</v>
      </c>
      <c r="W485" s="12" t="s">
        <v>11</v>
      </c>
      <c r="X485" s="12">
        <v>225</v>
      </c>
      <c r="Y485" s="12">
        <v>2.2488999999999999E-2</v>
      </c>
      <c r="Z485" s="12">
        <v>1.7927421405607409</v>
      </c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</row>
    <row r="486" spans="1:56" s="12" customFormat="1" x14ac:dyDescent="0.2">
      <c r="A486" s="12" t="s">
        <v>910</v>
      </c>
      <c r="B486" s="12" t="s">
        <v>909</v>
      </c>
      <c r="C486" s="12" t="s">
        <v>13</v>
      </c>
      <c r="D486" s="12" t="s">
        <v>7159</v>
      </c>
      <c r="E486" s="12" t="s">
        <v>8031</v>
      </c>
      <c r="F486" s="12" t="s">
        <v>7160</v>
      </c>
      <c r="G486" s="12" t="s">
        <v>7649</v>
      </c>
      <c r="H486" s="12">
        <v>65</v>
      </c>
      <c r="I486" s="12" t="s">
        <v>7646</v>
      </c>
      <c r="J486" s="80">
        <v>7.2222222222222214</v>
      </c>
      <c r="K486" s="12" t="s">
        <v>7161</v>
      </c>
      <c r="L486" s="12" t="s">
        <v>21</v>
      </c>
      <c r="M486" s="12" t="s">
        <v>8110</v>
      </c>
      <c r="N486" s="12">
        <v>196</v>
      </c>
      <c r="O486" s="12">
        <v>7.6999999999999999E-2</v>
      </c>
      <c r="P486" s="12">
        <v>0.995</v>
      </c>
      <c r="Q486" s="12" t="s">
        <v>7330</v>
      </c>
      <c r="R486" s="12">
        <v>0.109</v>
      </c>
      <c r="S486" s="12">
        <v>2.1339999999999999</v>
      </c>
      <c r="T486" s="12">
        <v>730935</v>
      </c>
      <c r="U486" s="12">
        <v>8.6999999999999994E-2</v>
      </c>
      <c r="V486" s="12" t="s">
        <v>7661</v>
      </c>
      <c r="W486" s="12" t="s">
        <v>25</v>
      </c>
      <c r="X486" s="12">
        <v>6411</v>
      </c>
      <c r="Y486" s="12" t="s">
        <v>6639</v>
      </c>
      <c r="Z486" s="12" t="s">
        <v>6639</v>
      </c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</row>
    <row r="487" spans="1:56" s="12" customFormat="1" x14ac:dyDescent="0.2">
      <c r="A487" s="12" t="s">
        <v>1027</v>
      </c>
      <c r="B487" s="12" t="s">
        <v>1026</v>
      </c>
      <c r="C487" s="12" t="s">
        <v>13</v>
      </c>
      <c r="D487" s="12" t="s">
        <v>7159</v>
      </c>
      <c r="E487" s="12" t="s">
        <v>8031</v>
      </c>
      <c r="F487" s="12" t="s">
        <v>7160</v>
      </c>
      <c r="G487" s="12" t="s">
        <v>7649</v>
      </c>
      <c r="H487" s="12">
        <v>67</v>
      </c>
      <c r="I487" s="12" t="s">
        <v>7646</v>
      </c>
      <c r="J487" s="80">
        <v>7.4444444444444438</v>
      </c>
      <c r="K487" s="12" t="s">
        <v>7161</v>
      </c>
      <c r="L487" s="12" t="s">
        <v>21</v>
      </c>
      <c r="M487" s="12" t="s">
        <v>8110</v>
      </c>
      <c r="N487" s="12">
        <v>66.900000000000006</v>
      </c>
      <c r="O487" s="12">
        <v>0.11799999999999999</v>
      </c>
      <c r="P487" s="12">
        <v>0.98099999999999998</v>
      </c>
      <c r="Q487" s="12" t="s">
        <v>7332</v>
      </c>
      <c r="R487" s="12">
        <v>0.105</v>
      </c>
      <c r="S487" s="12">
        <v>0.54500000000000004</v>
      </c>
      <c r="T487" s="12">
        <v>437892</v>
      </c>
      <c r="U487" s="12">
        <v>0.11</v>
      </c>
      <c r="V487" s="12" t="s">
        <v>7661</v>
      </c>
      <c r="W487" s="12" t="s">
        <v>25</v>
      </c>
      <c r="X487" s="12">
        <v>1551</v>
      </c>
      <c r="Y487" s="12" t="s">
        <v>6639</v>
      </c>
      <c r="Z487" s="12" t="s">
        <v>6639</v>
      </c>
      <c r="AD487" s="63"/>
      <c r="AE487" s="63"/>
      <c r="AF487" s="70"/>
      <c r="AG487" s="70"/>
      <c r="AH487" s="70"/>
      <c r="AI487" s="70"/>
      <c r="AJ487" s="70"/>
      <c r="AK487" s="70"/>
      <c r="AL487" s="63"/>
      <c r="AM487" s="63"/>
      <c r="AN487" s="63"/>
      <c r="AP487" s="12" t="s">
        <v>3257</v>
      </c>
      <c r="AQ487" s="12" t="s">
        <v>8048</v>
      </c>
      <c r="AR487" s="12" t="s">
        <v>8051</v>
      </c>
      <c r="AS487" s="12">
        <v>5.9720000000000004</v>
      </c>
      <c r="AT487" s="12">
        <v>0.14699999999999999</v>
      </c>
      <c r="AU487" s="12" t="s">
        <v>5771</v>
      </c>
      <c r="AV487" s="12">
        <v>0.94532499999999997</v>
      </c>
      <c r="AW487" s="12">
        <v>0.89464399999999999</v>
      </c>
      <c r="AX487" s="12">
        <v>0.97219699999999998</v>
      </c>
      <c r="AY487" s="12">
        <v>993</v>
      </c>
      <c r="AZ487" s="12">
        <v>655</v>
      </c>
      <c r="BA487" s="12">
        <v>0.16649999999999901</v>
      </c>
      <c r="BB487" s="12">
        <v>10</v>
      </c>
      <c r="BC487" s="12">
        <v>0</v>
      </c>
      <c r="BD487" s="12">
        <v>-1</v>
      </c>
    </row>
    <row r="488" spans="1:56" s="12" customFormat="1" x14ac:dyDescent="0.2">
      <c r="A488" s="12" t="s">
        <v>914</v>
      </c>
      <c r="B488" s="12" t="s">
        <v>913</v>
      </c>
      <c r="C488" s="12" t="s">
        <v>13</v>
      </c>
      <c r="D488" s="12" t="s">
        <v>7159</v>
      </c>
      <c r="E488" s="12" t="s">
        <v>8031</v>
      </c>
      <c r="F488" s="12" t="s">
        <v>7160</v>
      </c>
      <c r="G488" s="12" t="s">
        <v>7649</v>
      </c>
      <c r="H488" s="12">
        <v>66</v>
      </c>
      <c r="I488" s="12" t="s">
        <v>7646</v>
      </c>
      <c r="J488" s="80">
        <v>7.333333333333333</v>
      </c>
      <c r="K488" s="12" t="s">
        <v>7161</v>
      </c>
      <c r="L488" s="12" t="s">
        <v>21</v>
      </c>
      <c r="M488" s="12" t="s">
        <v>8110</v>
      </c>
      <c r="N488" s="12">
        <v>87.2</v>
      </c>
      <c r="O488" s="12">
        <v>0.13200000000000001</v>
      </c>
      <c r="P488" s="12">
        <v>0.995</v>
      </c>
      <c r="Q488" s="12" t="s">
        <v>7256</v>
      </c>
      <c r="R488" s="12">
        <v>0.186</v>
      </c>
      <c r="S488" s="12">
        <v>1.5289999999999999</v>
      </c>
      <c r="T488" s="12">
        <v>661883</v>
      </c>
      <c r="U488" s="12">
        <v>0.13900000000000001</v>
      </c>
      <c r="V488" s="12" t="s">
        <v>7661</v>
      </c>
      <c r="W488" s="12" t="s">
        <v>25</v>
      </c>
      <c r="X488" s="12">
        <v>4753</v>
      </c>
      <c r="Y488" s="12" t="s">
        <v>6639</v>
      </c>
      <c r="Z488" s="12" t="s">
        <v>6639</v>
      </c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</row>
    <row r="489" spans="1:56" s="12" customFormat="1" x14ac:dyDescent="0.2">
      <c r="A489" s="12" t="s">
        <v>5650</v>
      </c>
      <c r="B489" s="12" t="s">
        <v>3791</v>
      </c>
      <c r="C489" s="12" t="s">
        <v>13</v>
      </c>
      <c r="D489" s="12" t="s">
        <v>7159</v>
      </c>
      <c r="E489" s="12" t="s">
        <v>8031</v>
      </c>
      <c r="F489" s="12" t="s">
        <v>7160</v>
      </c>
      <c r="G489" s="12" t="s">
        <v>7649</v>
      </c>
      <c r="H489" s="12">
        <v>71</v>
      </c>
      <c r="I489" s="12" t="s">
        <v>7646</v>
      </c>
      <c r="J489" s="80">
        <v>7.8888888888888884</v>
      </c>
      <c r="K489" s="12" t="s">
        <v>7161</v>
      </c>
      <c r="L489" s="12" t="s">
        <v>21</v>
      </c>
      <c r="M489" s="12" t="s">
        <v>8110</v>
      </c>
      <c r="N489" s="12">
        <v>7.46</v>
      </c>
      <c r="O489" s="12">
        <v>0.13900000000000001</v>
      </c>
      <c r="P489" s="12">
        <v>0.89800000000000002</v>
      </c>
      <c r="Q489" s="12" t="s">
        <v>7167</v>
      </c>
      <c r="R489" s="12">
        <v>6.8999999999999999E-3</v>
      </c>
      <c r="S489" s="12">
        <v>5.8999999999999997E-2</v>
      </c>
      <c r="T489" s="12">
        <v>69422</v>
      </c>
      <c r="U489" s="12">
        <v>0.13800000000000001</v>
      </c>
      <c r="V489" s="12" t="s">
        <v>7661</v>
      </c>
      <c r="W489" s="12" t="s">
        <v>25</v>
      </c>
      <c r="X489" s="12" t="s">
        <v>17</v>
      </c>
      <c r="Y489" s="12" t="s">
        <v>6639</v>
      </c>
      <c r="Z489" s="12" t="s">
        <v>6639</v>
      </c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</row>
    <row r="490" spans="1:56" s="12" customFormat="1" x14ac:dyDescent="0.2">
      <c r="A490" s="12" t="s">
        <v>5651</v>
      </c>
      <c r="B490" s="12" t="s">
        <v>3791</v>
      </c>
      <c r="C490" s="12" t="s">
        <v>13</v>
      </c>
      <c r="D490" s="12" t="s">
        <v>7159</v>
      </c>
      <c r="E490" s="12" t="s">
        <v>8031</v>
      </c>
      <c r="F490" s="12" t="s">
        <v>7160</v>
      </c>
      <c r="G490" s="12" t="s">
        <v>7649</v>
      </c>
      <c r="H490" s="12">
        <v>71</v>
      </c>
      <c r="I490" s="12" t="s">
        <v>7647</v>
      </c>
      <c r="J490" s="80">
        <v>7.8888888888888884</v>
      </c>
      <c r="K490" s="12" t="s">
        <v>7161</v>
      </c>
      <c r="L490" s="12" t="s">
        <v>21</v>
      </c>
      <c r="M490" s="12" t="s">
        <v>8110</v>
      </c>
      <c r="N490" s="12">
        <v>17.100000000000001</v>
      </c>
      <c r="O490" s="12">
        <v>0.16200000000000001</v>
      </c>
      <c r="P490" s="12">
        <v>0.94499999999999995</v>
      </c>
      <c r="Q490" s="12" t="s">
        <v>7336</v>
      </c>
      <c r="R490" s="12">
        <v>1.4999999999999999E-2</v>
      </c>
      <c r="S490" s="12">
        <v>0.156607</v>
      </c>
      <c r="T490" s="12">
        <v>174024</v>
      </c>
      <c r="U490" s="12">
        <v>0.12</v>
      </c>
      <c r="V490" s="12" t="s">
        <v>7661</v>
      </c>
      <c r="W490" s="12" t="s">
        <v>25</v>
      </c>
      <c r="X490" s="12">
        <v>196</v>
      </c>
      <c r="Y490" s="12" t="s">
        <v>6639</v>
      </c>
      <c r="Z490" s="12" t="s">
        <v>6639</v>
      </c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</row>
    <row r="491" spans="1:56" s="12" customFormat="1" x14ac:dyDescent="0.2">
      <c r="A491" s="12" t="s">
        <v>5652</v>
      </c>
      <c r="B491" s="12" t="s">
        <v>3791</v>
      </c>
      <c r="C491" s="12" t="s">
        <v>13</v>
      </c>
      <c r="D491" s="12" t="s">
        <v>7159</v>
      </c>
      <c r="E491" s="12" t="s">
        <v>8031</v>
      </c>
      <c r="F491" s="12" t="s">
        <v>7160</v>
      </c>
      <c r="G491" s="12" t="s">
        <v>7649</v>
      </c>
      <c r="H491" s="12">
        <v>71</v>
      </c>
      <c r="I491" s="12" t="s">
        <v>7647</v>
      </c>
      <c r="J491" s="80">
        <v>23.666666666666664</v>
      </c>
      <c r="K491" s="12" t="s">
        <v>7161</v>
      </c>
      <c r="L491" s="12" t="s">
        <v>21</v>
      </c>
      <c r="M491" s="12" t="s">
        <v>8110</v>
      </c>
      <c r="N491" s="12">
        <v>5.72</v>
      </c>
      <c r="O491" s="12">
        <v>0.14899999999999999</v>
      </c>
      <c r="P491" s="12">
        <v>0.997</v>
      </c>
      <c r="Q491" s="12" t="s">
        <v>7376</v>
      </c>
      <c r="R491" s="12">
        <v>1.0999999999999999E-2</v>
      </c>
      <c r="S491" s="12">
        <v>0.15471599999999999</v>
      </c>
      <c r="T491" s="12">
        <v>170830</v>
      </c>
      <c r="U491" s="12">
        <v>0.13100000000000001</v>
      </c>
      <c r="V491" s="12" t="s">
        <v>7661</v>
      </c>
      <c r="W491" s="12" t="s">
        <v>25</v>
      </c>
      <c r="X491" s="12">
        <v>194</v>
      </c>
      <c r="Y491" s="12" t="s">
        <v>6639</v>
      </c>
      <c r="Z491" s="12" t="s">
        <v>6639</v>
      </c>
      <c r="AD491" s="63"/>
      <c r="AE491" s="63"/>
      <c r="AF491" s="70"/>
      <c r="AG491" s="63"/>
      <c r="AH491" s="63"/>
      <c r="AI491" s="70"/>
      <c r="AJ491" s="70"/>
      <c r="AK491" s="70"/>
      <c r="AL491" s="63"/>
      <c r="AM491" s="63"/>
      <c r="AN491" s="63"/>
      <c r="AP491" s="12" t="s">
        <v>3216</v>
      </c>
      <c r="AQ491" s="12" t="s">
        <v>8047</v>
      </c>
      <c r="AR491" s="12" t="s">
        <v>8051</v>
      </c>
      <c r="AS491" s="12">
        <v>12.36</v>
      </c>
      <c r="AT491" s="12">
        <v>0.16249999999999901</v>
      </c>
      <c r="AU491" s="12" t="s">
        <v>11</v>
      </c>
      <c r="AV491" s="12">
        <v>0.96367700000000001</v>
      </c>
      <c r="AW491" s="12">
        <v>0.91714899999999999</v>
      </c>
      <c r="AX491" s="12">
        <v>0.984317</v>
      </c>
      <c r="AY491" s="12">
        <v>2712</v>
      </c>
      <c r="AZ491" s="12">
        <v>29</v>
      </c>
      <c r="BA491" s="12">
        <v>0.19800000000000001</v>
      </c>
      <c r="BB491" s="12">
        <v>57</v>
      </c>
      <c r="BC491" s="12">
        <v>3.2641509433962201</v>
      </c>
      <c r="BD491" s="12">
        <v>0.17299999999999999</v>
      </c>
    </row>
    <row r="492" spans="1:56" s="12" customFormat="1" x14ac:dyDescent="0.2">
      <c r="A492" s="12" t="s">
        <v>5653</v>
      </c>
      <c r="B492" s="12" t="s">
        <v>3791</v>
      </c>
      <c r="C492" s="12" t="s">
        <v>13</v>
      </c>
      <c r="D492" s="12" t="s">
        <v>7159</v>
      </c>
      <c r="E492" s="12" t="s">
        <v>8031</v>
      </c>
      <c r="F492" s="12" t="s">
        <v>7160</v>
      </c>
      <c r="G492" s="12" t="s">
        <v>7649</v>
      </c>
      <c r="H492" s="12">
        <v>71</v>
      </c>
      <c r="I492" s="12" t="s">
        <v>7647</v>
      </c>
      <c r="J492" s="80">
        <v>7.8888888888888884</v>
      </c>
      <c r="K492" s="12" t="s">
        <v>7161</v>
      </c>
      <c r="L492" s="12" t="s">
        <v>21</v>
      </c>
      <c r="M492" s="12" t="s">
        <v>8110</v>
      </c>
      <c r="N492" s="12">
        <v>13.8</v>
      </c>
      <c r="O492" s="12">
        <v>0.13800000000000001</v>
      </c>
      <c r="P492" s="12">
        <v>0.95199999999999996</v>
      </c>
      <c r="Q492" s="12" t="s">
        <v>8012</v>
      </c>
      <c r="R492" s="12">
        <v>1.7999999999999999E-2</v>
      </c>
      <c r="S492" s="12">
        <v>8.0791000000000002E-2</v>
      </c>
      <c r="T492" s="12">
        <v>90250</v>
      </c>
      <c r="U492" s="12">
        <v>0.11799999999999999</v>
      </c>
      <c r="V492" s="12" t="s">
        <v>7661</v>
      </c>
      <c r="W492" s="12" t="s">
        <v>25</v>
      </c>
      <c r="X492" s="12">
        <v>66</v>
      </c>
      <c r="Y492" s="12" t="s">
        <v>8052</v>
      </c>
      <c r="Z492" s="12" t="s">
        <v>8052</v>
      </c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</row>
    <row r="493" spans="1:56" s="12" customFormat="1" x14ac:dyDescent="0.2">
      <c r="A493" s="12" t="s">
        <v>5654</v>
      </c>
      <c r="B493" s="12" t="s">
        <v>3791</v>
      </c>
      <c r="C493" s="12" t="s">
        <v>13</v>
      </c>
      <c r="D493" s="12" t="s">
        <v>7159</v>
      </c>
      <c r="E493" s="12" t="s">
        <v>8031</v>
      </c>
      <c r="F493" s="12" t="s">
        <v>7160</v>
      </c>
      <c r="G493" s="12" t="s">
        <v>7649</v>
      </c>
      <c r="H493" s="12">
        <v>71</v>
      </c>
      <c r="I493" s="12" t="s">
        <v>7647</v>
      </c>
      <c r="J493" s="80">
        <v>7.8888888888888884</v>
      </c>
      <c r="K493" s="12" t="s">
        <v>7161</v>
      </c>
      <c r="L493" s="12" t="s">
        <v>21</v>
      </c>
      <c r="M493" s="12" t="s">
        <v>8110</v>
      </c>
      <c r="N493" s="12">
        <v>10</v>
      </c>
      <c r="O493" s="12">
        <v>0.13200000000000001</v>
      </c>
      <c r="P493" s="12">
        <v>0.96399999999999997</v>
      </c>
      <c r="Q493" s="12" t="s">
        <v>8014</v>
      </c>
      <c r="R493" s="12">
        <v>1.9E-2</v>
      </c>
      <c r="S493" s="12">
        <v>7.4975E-2</v>
      </c>
      <c r="T493" s="12">
        <v>84266</v>
      </c>
      <c r="U493" s="12">
        <v>0.106</v>
      </c>
      <c r="V493" s="12" t="s">
        <v>7661</v>
      </c>
      <c r="W493" s="12" t="s">
        <v>25</v>
      </c>
      <c r="X493" s="12">
        <v>51</v>
      </c>
      <c r="Y493" s="12" t="s">
        <v>6639</v>
      </c>
      <c r="Z493" s="12" t="s">
        <v>6639</v>
      </c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</row>
    <row r="494" spans="1:56" s="12" customFormat="1" x14ac:dyDescent="0.2">
      <c r="A494" s="12" t="s">
        <v>4103</v>
      </c>
      <c r="B494" s="12" t="s">
        <v>4102</v>
      </c>
      <c r="C494" s="12" t="s">
        <v>13</v>
      </c>
      <c r="D494" s="12" t="s">
        <v>7159</v>
      </c>
      <c r="E494" s="12" t="s">
        <v>8031</v>
      </c>
      <c r="F494" s="12" t="s">
        <v>7160</v>
      </c>
      <c r="G494" s="12" t="s">
        <v>7649</v>
      </c>
      <c r="H494" s="12">
        <v>67</v>
      </c>
      <c r="I494" s="12" t="s">
        <v>7646</v>
      </c>
      <c r="J494" s="80">
        <v>7.4444444444444438</v>
      </c>
      <c r="K494" s="12" t="s">
        <v>7161</v>
      </c>
      <c r="L494" s="12" t="s">
        <v>21</v>
      </c>
      <c r="M494" s="12" t="s">
        <v>8110</v>
      </c>
      <c r="N494" s="12">
        <v>172</v>
      </c>
      <c r="O494" s="12">
        <v>9.5000000000000001E-2</v>
      </c>
      <c r="P494" s="12">
        <v>0.98399999999999999</v>
      </c>
      <c r="Q494" s="12" t="s">
        <v>7251</v>
      </c>
      <c r="R494" s="12">
        <v>0.57699999999999996</v>
      </c>
      <c r="S494" s="12">
        <v>3.36</v>
      </c>
      <c r="T494" s="12">
        <v>778826</v>
      </c>
      <c r="U494" s="12">
        <v>8.3000000000000004E-2</v>
      </c>
      <c r="V494" s="12" t="s">
        <v>7661</v>
      </c>
      <c r="W494" s="12" t="s">
        <v>11</v>
      </c>
      <c r="X494" s="12">
        <v>4428</v>
      </c>
      <c r="Y494" s="12">
        <v>3.0490000000000001E-3</v>
      </c>
      <c r="Z494" s="12">
        <v>2.8970992900253889</v>
      </c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</row>
    <row r="495" spans="1:56" s="12" customFormat="1" x14ac:dyDescent="0.2">
      <c r="A495" s="12" t="s">
        <v>881</v>
      </c>
      <c r="B495" s="12" t="s">
        <v>880</v>
      </c>
      <c r="C495" s="12" t="s">
        <v>13</v>
      </c>
      <c r="D495" s="12" t="s">
        <v>7210</v>
      </c>
      <c r="E495" s="12" t="s">
        <v>8031</v>
      </c>
      <c r="F495" s="12" t="s">
        <v>7160</v>
      </c>
      <c r="G495" s="12" t="s">
        <v>7649</v>
      </c>
      <c r="H495" s="12">
        <v>84</v>
      </c>
      <c r="I495" s="12" t="s">
        <v>7646</v>
      </c>
      <c r="J495" s="80">
        <v>9.3333333333333321</v>
      </c>
      <c r="K495" s="12" t="s">
        <v>7161</v>
      </c>
      <c r="L495" s="12" t="s">
        <v>21</v>
      </c>
      <c r="M495" s="12" t="s">
        <v>8110</v>
      </c>
      <c r="N495" s="12">
        <v>157</v>
      </c>
      <c r="O495" s="12">
        <v>0.16400000000000001</v>
      </c>
      <c r="P495" s="12">
        <v>0.99099999999999999</v>
      </c>
      <c r="Q495" s="12" t="s">
        <v>7277</v>
      </c>
      <c r="R495" s="12">
        <v>0.33900000000000002</v>
      </c>
      <c r="S495" s="12">
        <v>1.89</v>
      </c>
      <c r="T495" s="12">
        <v>662617</v>
      </c>
      <c r="U495" s="12">
        <v>0.155</v>
      </c>
      <c r="V495" s="12" t="s">
        <v>7661</v>
      </c>
      <c r="W495" s="12" t="s">
        <v>25</v>
      </c>
      <c r="X495" s="12">
        <v>5190</v>
      </c>
      <c r="Y495" s="12" t="s">
        <v>6639</v>
      </c>
      <c r="Z495" s="12" t="s">
        <v>6639</v>
      </c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</row>
    <row r="496" spans="1:56" s="12" customFormat="1" x14ac:dyDescent="0.2">
      <c r="A496" s="12" t="s">
        <v>862</v>
      </c>
      <c r="B496" s="12" t="s">
        <v>859</v>
      </c>
      <c r="C496" s="12" t="s">
        <v>13</v>
      </c>
      <c r="D496" s="12" t="s">
        <v>7210</v>
      </c>
      <c r="E496" s="12" t="s">
        <v>8031</v>
      </c>
      <c r="F496" s="12" t="s">
        <v>7160</v>
      </c>
      <c r="G496" s="12" t="s">
        <v>7649</v>
      </c>
      <c r="H496" s="12">
        <v>79</v>
      </c>
      <c r="I496" s="12" t="s">
        <v>7646</v>
      </c>
      <c r="J496" s="80">
        <v>8.7777777777777768</v>
      </c>
      <c r="K496" s="12" t="s">
        <v>7161</v>
      </c>
      <c r="L496" s="12" t="s">
        <v>21</v>
      </c>
      <c r="M496" s="12" t="s">
        <v>8110</v>
      </c>
      <c r="N496" s="12">
        <v>212</v>
      </c>
      <c r="O496" s="12">
        <v>0.107</v>
      </c>
      <c r="P496" s="12">
        <v>0.99</v>
      </c>
      <c r="Q496" s="12" t="s">
        <v>7224</v>
      </c>
      <c r="R496" s="12">
        <v>0.68799999999999994</v>
      </c>
      <c r="S496" s="12">
        <v>3.556</v>
      </c>
      <c r="T496" s="12">
        <v>747332</v>
      </c>
      <c r="U496" s="12">
        <v>0.109</v>
      </c>
      <c r="V496" s="12" t="s">
        <v>7661</v>
      </c>
      <c r="W496" s="12" t="s">
        <v>25</v>
      </c>
      <c r="X496" s="12">
        <v>6894</v>
      </c>
      <c r="Y496" s="12" t="s">
        <v>6639</v>
      </c>
      <c r="Z496" s="12" t="s">
        <v>6639</v>
      </c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</row>
    <row r="497" spans="1:39" s="12" customFormat="1" x14ac:dyDescent="0.2">
      <c r="A497" s="12" t="s">
        <v>1049</v>
      </c>
      <c r="B497" s="12" t="s">
        <v>1046</v>
      </c>
      <c r="C497" s="12" t="s">
        <v>13</v>
      </c>
      <c r="D497" s="12" t="s">
        <v>7210</v>
      </c>
      <c r="E497" s="12" t="s">
        <v>8031</v>
      </c>
      <c r="F497" s="12" t="s">
        <v>7160</v>
      </c>
      <c r="G497" s="12" t="s">
        <v>7649</v>
      </c>
      <c r="H497" s="12">
        <v>84</v>
      </c>
      <c r="I497" s="12" t="s">
        <v>7646</v>
      </c>
      <c r="J497" s="80">
        <v>9.3333333333333321</v>
      </c>
      <c r="K497" s="12" t="s">
        <v>7161</v>
      </c>
      <c r="L497" s="12" t="s">
        <v>21</v>
      </c>
      <c r="M497" s="12" t="s">
        <v>8110</v>
      </c>
      <c r="N497" s="12">
        <v>1.8</v>
      </c>
      <c r="O497" s="12" t="s">
        <v>7796</v>
      </c>
      <c r="P497" s="12" t="s">
        <v>7796</v>
      </c>
      <c r="Q497" s="12" t="s">
        <v>7796</v>
      </c>
      <c r="R497" s="12">
        <v>4.7000000000000002E-3</v>
      </c>
      <c r="S497" s="12">
        <v>4.0000000000000001E-3</v>
      </c>
      <c r="T497" s="12">
        <v>4451</v>
      </c>
      <c r="U497" s="12">
        <v>4.5999999999999999E-2</v>
      </c>
      <c r="V497" s="12" t="s">
        <v>7661</v>
      </c>
      <c r="W497" s="12" t="s">
        <v>25</v>
      </c>
      <c r="X497" s="12">
        <v>3</v>
      </c>
      <c r="Y497" s="12" t="s">
        <v>6639</v>
      </c>
      <c r="Z497" s="12" t="s">
        <v>6639</v>
      </c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</row>
    <row r="498" spans="1:39" s="12" customFormat="1" x14ac:dyDescent="0.2">
      <c r="A498" s="12" t="s">
        <v>872</v>
      </c>
      <c r="B498" s="12" t="s">
        <v>871</v>
      </c>
      <c r="C498" s="12" t="s">
        <v>13</v>
      </c>
      <c r="D498" s="12" t="s">
        <v>7210</v>
      </c>
      <c r="E498" s="12" t="s">
        <v>8031</v>
      </c>
      <c r="F498" s="12" t="s">
        <v>7160</v>
      </c>
      <c r="G498" s="12" t="s">
        <v>7649</v>
      </c>
      <c r="H498" s="12">
        <v>73</v>
      </c>
      <c r="I498" s="12" t="s">
        <v>7646</v>
      </c>
      <c r="J498" s="80">
        <v>8.1111111111111107</v>
      </c>
      <c r="K498" s="12" t="s">
        <v>7161</v>
      </c>
      <c r="L498" s="12" t="s">
        <v>21</v>
      </c>
      <c r="M498" s="12" t="s">
        <v>8110</v>
      </c>
      <c r="N498" s="12">
        <v>200</v>
      </c>
      <c r="O498" s="12">
        <v>0.153</v>
      </c>
      <c r="P498" s="12">
        <v>0.98399999999999999</v>
      </c>
      <c r="Q498" s="12" t="s">
        <v>7322</v>
      </c>
      <c r="R498" s="12">
        <v>0.63400000000000001</v>
      </c>
      <c r="S498" s="12">
        <v>3.0110000000000001</v>
      </c>
      <c r="T498" s="12">
        <v>732399</v>
      </c>
      <c r="U498" s="12">
        <v>0.14499999999999999</v>
      </c>
      <c r="V498" s="12" t="s">
        <v>7661</v>
      </c>
      <c r="W498" s="12" t="s">
        <v>11</v>
      </c>
      <c r="X498" s="12">
        <v>3827</v>
      </c>
      <c r="Y498" s="12">
        <v>5.5820000000000002E-3</v>
      </c>
      <c r="Z498" s="12">
        <v>3.9651842333136567</v>
      </c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</row>
    <row r="499" spans="1:39" s="12" customFormat="1" x14ac:dyDescent="0.2">
      <c r="A499" s="12" t="s">
        <v>5528</v>
      </c>
      <c r="B499" s="12" t="s">
        <v>5112</v>
      </c>
      <c r="C499" s="12" t="s">
        <v>13</v>
      </c>
      <c r="D499" s="12" t="s">
        <v>7210</v>
      </c>
      <c r="E499" s="12" t="s">
        <v>8031</v>
      </c>
      <c r="F499" s="12" t="s">
        <v>7160</v>
      </c>
      <c r="G499" s="12" t="s">
        <v>7649</v>
      </c>
      <c r="H499" s="12">
        <v>70</v>
      </c>
      <c r="I499" s="12" t="s">
        <v>7646</v>
      </c>
      <c r="J499" s="80">
        <v>7.7777777777777777</v>
      </c>
      <c r="K499" s="12" t="s">
        <v>7161</v>
      </c>
      <c r="L499" s="12" t="s">
        <v>21</v>
      </c>
      <c r="M499" s="12" t="s">
        <v>8110</v>
      </c>
      <c r="N499" s="12">
        <v>257</v>
      </c>
      <c r="O499" s="12">
        <v>0.14499999999999999</v>
      </c>
      <c r="P499" s="12">
        <v>0.998</v>
      </c>
      <c r="Q499" s="12" t="s">
        <v>7206</v>
      </c>
      <c r="R499" s="12">
        <v>8.7999999999999995E-2</v>
      </c>
      <c r="S499" s="12">
        <v>1.7470000000000001</v>
      </c>
      <c r="T499" s="12">
        <v>719083</v>
      </c>
      <c r="U499" s="12">
        <v>0.13</v>
      </c>
      <c r="V499" s="12" t="s">
        <v>7661</v>
      </c>
      <c r="W499" s="12" t="s">
        <v>25</v>
      </c>
      <c r="X499" s="12">
        <v>5693</v>
      </c>
      <c r="Y499" s="12" t="s">
        <v>6639</v>
      </c>
      <c r="Z499" s="12" t="s">
        <v>6639</v>
      </c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</row>
    <row r="500" spans="1:39" s="12" customFormat="1" x14ac:dyDescent="0.2">
      <c r="A500" s="12" t="s">
        <v>5529</v>
      </c>
      <c r="B500" s="12" t="s">
        <v>5112</v>
      </c>
      <c r="C500" s="12" t="s">
        <v>13</v>
      </c>
      <c r="D500" s="12" t="s">
        <v>7210</v>
      </c>
      <c r="E500" s="12" t="s">
        <v>8031</v>
      </c>
      <c r="F500" s="12" t="s">
        <v>7160</v>
      </c>
      <c r="G500" s="12" t="s">
        <v>7649</v>
      </c>
      <c r="H500" s="12">
        <v>70</v>
      </c>
      <c r="I500" s="12" t="s">
        <v>7646</v>
      </c>
      <c r="J500" s="80">
        <v>7.7777777777777777</v>
      </c>
      <c r="K500" s="12" t="s">
        <v>7161</v>
      </c>
      <c r="L500" s="12" t="s">
        <v>21</v>
      </c>
      <c r="M500" s="12" t="s">
        <v>8110</v>
      </c>
      <c r="N500" s="12">
        <v>422</v>
      </c>
      <c r="O500" s="12">
        <v>9.5000000000000001E-2</v>
      </c>
      <c r="P500" s="12">
        <v>0.996</v>
      </c>
      <c r="Q500" s="12" t="s">
        <v>7241</v>
      </c>
      <c r="R500" s="12">
        <v>0.52200000000000002</v>
      </c>
      <c r="S500" s="12">
        <v>3.4119999999999999</v>
      </c>
      <c r="T500" s="12">
        <v>781238</v>
      </c>
      <c r="U500" s="12">
        <v>7.4999999999999997E-2</v>
      </c>
      <c r="V500" s="12" t="s">
        <v>7661</v>
      </c>
      <c r="W500" s="12" t="s">
        <v>25</v>
      </c>
      <c r="X500" s="12">
        <v>7205</v>
      </c>
      <c r="Y500" s="12" t="s">
        <v>6639</v>
      </c>
      <c r="Z500" s="12" t="s">
        <v>6639</v>
      </c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</row>
    <row r="501" spans="1:39" s="12" customFormat="1" x14ac:dyDescent="0.2">
      <c r="A501" s="12" t="s">
        <v>4133</v>
      </c>
      <c r="B501" s="12" t="s">
        <v>4130</v>
      </c>
      <c r="C501" s="12" t="s">
        <v>13</v>
      </c>
      <c r="D501" s="12" t="s">
        <v>7210</v>
      </c>
      <c r="E501" s="12" t="s">
        <v>8031</v>
      </c>
      <c r="F501" s="12" t="s">
        <v>7160</v>
      </c>
      <c r="G501" s="12" t="s">
        <v>7649</v>
      </c>
      <c r="H501" s="12">
        <v>69</v>
      </c>
      <c r="I501" s="12" t="s">
        <v>7646</v>
      </c>
      <c r="J501" s="80">
        <v>7.6666666666666661</v>
      </c>
      <c r="K501" s="12" t="s">
        <v>7161</v>
      </c>
      <c r="L501" s="12" t="s">
        <v>21</v>
      </c>
      <c r="M501" s="12" t="s">
        <v>8110</v>
      </c>
      <c r="N501" s="12">
        <v>1.4</v>
      </c>
      <c r="O501" s="12" t="s">
        <v>7796</v>
      </c>
      <c r="P501" s="12" t="s">
        <v>7796</v>
      </c>
      <c r="Q501" s="12" t="s">
        <v>7796</v>
      </c>
      <c r="R501" s="12">
        <v>2.0999999999999999E-3</v>
      </c>
      <c r="S501" s="12">
        <v>6.0000000000000001E-3</v>
      </c>
      <c r="T501" s="12">
        <v>7159</v>
      </c>
      <c r="U501" s="12">
        <v>0.10100000000000001</v>
      </c>
      <c r="V501" s="12" t="s">
        <v>7661</v>
      </c>
      <c r="W501" s="12" t="s">
        <v>11</v>
      </c>
      <c r="X501" s="12">
        <v>2</v>
      </c>
      <c r="Y501" s="12" t="s">
        <v>8052</v>
      </c>
      <c r="Z501" s="12" t="s">
        <v>8052</v>
      </c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</row>
    <row r="502" spans="1:39" s="12" customFormat="1" x14ac:dyDescent="0.2">
      <c r="A502" s="12" t="s">
        <v>1295</v>
      </c>
      <c r="B502" s="12" t="s">
        <v>1294</v>
      </c>
      <c r="C502" s="12" t="s">
        <v>13</v>
      </c>
      <c r="D502" s="12" t="s">
        <v>7210</v>
      </c>
      <c r="E502" s="12" t="s">
        <v>8031</v>
      </c>
      <c r="F502" s="12" t="s">
        <v>7160</v>
      </c>
      <c r="G502" s="12" t="s">
        <v>7649</v>
      </c>
      <c r="H502" s="12">
        <v>66</v>
      </c>
      <c r="I502" s="12" t="s">
        <v>7646</v>
      </c>
      <c r="J502" s="80">
        <v>7.333333333333333</v>
      </c>
      <c r="K502" s="12" t="s">
        <v>7161</v>
      </c>
      <c r="L502" s="12" t="s">
        <v>21</v>
      </c>
      <c r="M502" s="12" t="s">
        <v>8110</v>
      </c>
      <c r="N502" s="12">
        <v>324</v>
      </c>
      <c r="O502" s="12">
        <v>9.6000000000000002E-2</v>
      </c>
      <c r="P502" s="12">
        <v>0.98899999999999999</v>
      </c>
      <c r="Q502" s="12" t="s">
        <v>7245</v>
      </c>
      <c r="R502" s="12">
        <v>0.77200000000000002</v>
      </c>
      <c r="S502" s="12">
        <v>3.6509999999999998</v>
      </c>
      <c r="T502" s="12">
        <v>737799</v>
      </c>
      <c r="U502" s="12">
        <v>8.1000000000000003E-2</v>
      </c>
      <c r="V502" s="12" t="s">
        <v>7661</v>
      </c>
      <c r="W502" s="12" t="s">
        <v>25</v>
      </c>
      <c r="X502" s="12">
        <v>6774</v>
      </c>
      <c r="Y502" s="12" t="s">
        <v>6639</v>
      </c>
      <c r="Z502" s="12" t="s">
        <v>6639</v>
      </c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</row>
    <row r="503" spans="1:39" s="12" customFormat="1" x14ac:dyDescent="0.2">
      <c r="A503" s="12" t="s">
        <v>1279</v>
      </c>
      <c r="B503" s="12" t="s">
        <v>1278</v>
      </c>
      <c r="C503" s="12" t="s">
        <v>13</v>
      </c>
      <c r="D503" s="12" t="s">
        <v>7210</v>
      </c>
      <c r="E503" s="12" t="s">
        <v>8031</v>
      </c>
      <c r="F503" s="12" t="s">
        <v>7160</v>
      </c>
      <c r="G503" s="12" t="s">
        <v>7649</v>
      </c>
      <c r="H503" s="12">
        <v>76</v>
      </c>
      <c r="I503" s="12" t="s">
        <v>7646</v>
      </c>
      <c r="J503" s="80">
        <v>8.4444444444444446</v>
      </c>
      <c r="K503" s="12" t="s">
        <v>7161</v>
      </c>
      <c r="L503" s="12" t="s">
        <v>21</v>
      </c>
      <c r="M503" s="12" t="s">
        <v>8110</v>
      </c>
      <c r="N503" s="12">
        <v>84.4</v>
      </c>
      <c r="O503" s="12">
        <v>0.17399999999999999</v>
      </c>
      <c r="P503" s="12">
        <v>0.99099999999999999</v>
      </c>
      <c r="Q503" s="12" t="s">
        <v>7164</v>
      </c>
      <c r="R503" s="12">
        <v>2.9000000000000001E-2</v>
      </c>
      <c r="S503" s="12">
        <v>0.84099999999999997</v>
      </c>
      <c r="T503" s="12">
        <v>518037</v>
      </c>
      <c r="U503" s="12">
        <v>0.14499999999999999</v>
      </c>
      <c r="V503" s="12" t="s">
        <v>7661</v>
      </c>
      <c r="W503" s="12" t="s">
        <v>11</v>
      </c>
      <c r="X503" s="12">
        <v>1062</v>
      </c>
      <c r="Y503" s="12">
        <v>8.6289999999999995E-3</v>
      </c>
      <c r="Z503" s="12">
        <v>2.294671569979239</v>
      </c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</row>
    <row r="504" spans="1:39" s="12" customFormat="1" x14ac:dyDescent="0.2">
      <c r="A504" s="12" t="s">
        <v>1314</v>
      </c>
      <c r="B504" s="12" t="s">
        <v>1312</v>
      </c>
      <c r="C504" s="12" t="s">
        <v>13</v>
      </c>
      <c r="D504" s="12" t="s">
        <v>7210</v>
      </c>
      <c r="E504" s="12" t="s">
        <v>8031</v>
      </c>
      <c r="F504" s="12" t="s">
        <v>7160</v>
      </c>
      <c r="G504" s="12" t="s">
        <v>7649</v>
      </c>
      <c r="H504" s="12">
        <v>75</v>
      </c>
      <c r="I504" s="12" t="s">
        <v>7646</v>
      </c>
      <c r="J504" s="80">
        <v>8.3333333333333321</v>
      </c>
      <c r="K504" s="12" t="s">
        <v>7161</v>
      </c>
      <c r="L504" s="12" t="s">
        <v>21</v>
      </c>
      <c r="M504" s="12" t="s">
        <v>8110</v>
      </c>
      <c r="N504" s="12">
        <v>358</v>
      </c>
      <c r="O504" s="12">
        <v>0.107</v>
      </c>
      <c r="P504" s="12">
        <v>0.99299999999999999</v>
      </c>
      <c r="Q504" s="12" t="s">
        <v>7240</v>
      </c>
      <c r="R504" s="12">
        <v>0.751</v>
      </c>
      <c r="S504" s="12">
        <v>3.5009999999999999</v>
      </c>
      <c r="T504" s="12">
        <v>730820</v>
      </c>
      <c r="U504" s="12">
        <v>8.8999999999999996E-2</v>
      </c>
      <c r="V504" s="12" t="s">
        <v>7661</v>
      </c>
      <c r="W504" s="12" t="s">
        <v>25</v>
      </c>
      <c r="X504" s="12">
        <v>6695</v>
      </c>
      <c r="Y504" s="12" t="s">
        <v>6639</v>
      </c>
      <c r="Z504" s="12" t="s">
        <v>6639</v>
      </c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</row>
    <row r="505" spans="1:39" s="12" customFormat="1" x14ac:dyDescent="0.2">
      <c r="A505" s="12" t="s">
        <v>5482</v>
      </c>
      <c r="B505" s="12" t="s">
        <v>1973</v>
      </c>
      <c r="C505" s="12" t="s">
        <v>13</v>
      </c>
      <c r="D505" s="12" t="s">
        <v>7210</v>
      </c>
      <c r="E505" s="12" t="s">
        <v>8031</v>
      </c>
      <c r="F505" s="12" t="s">
        <v>7160</v>
      </c>
      <c r="G505" s="12" t="s">
        <v>7649</v>
      </c>
      <c r="H505" s="12">
        <v>80</v>
      </c>
      <c r="I505" s="12" t="s">
        <v>7644</v>
      </c>
      <c r="J505" s="80">
        <v>8.8888888888888893</v>
      </c>
      <c r="K505" s="12" t="s">
        <v>7161</v>
      </c>
      <c r="L505" s="12" t="s">
        <v>144</v>
      </c>
      <c r="M505" s="12" t="s">
        <v>8110</v>
      </c>
      <c r="N505" s="12">
        <v>151</v>
      </c>
      <c r="O505" s="12">
        <v>0.27400000000000002</v>
      </c>
      <c r="P505" s="12">
        <v>0.99299999999999999</v>
      </c>
      <c r="Q505" s="12" t="s">
        <v>7221</v>
      </c>
      <c r="R505" s="12">
        <v>0.158</v>
      </c>
      <c r="S505" s="12">
        <v>4.1390000000000002</v>
      </c>
      <c r="T505" s="12">
        <v>845950</v>
      </c>
      <c r="U505" s="12">
        <v>0.249</v>
      </c>
      <c r="V505" s="12" t="s">
        <v>7661</v>
      </c>
      <c r="W505" s="12" t="s">
        <v>11</v>
      </c>
      <c r="X505" s="12">
        <v>2370</v>
      </c>
      <c r="Y505" s="12">
        <v>1.1677999999999999E-2</v>
      </c>
      <c r="Z505" s="12">
        <v>3.3359423651539992</v>
      </c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</row>
    <row r="506" spans="1:39" s="12" customFormat="1" x14ac:dyDescent="0.2">
      <c r="A506" s="12" t="s">
        <v>5483</v>
      </c>
      <c r="B506" s="12" t="s">
        <v>1973</v>
      </c>
      <c r="C506" s="12" t="s">
        <v>13</v>
      </c>
      <c r="D506" s="12" t="s">
        <v>7210</v>
      </c>
      <c r="E506" s="12" t="s">
        <v>8031</v>
      </c>
      <c r="F506" s="12" t="s">
        <v>7160</v>
      </c>
      <c r="G506" s="12" t="s">
        <v>7649</v>
      </c>
      <c r="H506" s="12">
        <v>74</v>
      </c>
      <c r="I506" s="12" t="s">
        <v>7644</v>
      </c>
      <c r="J506" s="80">
        <v>8.2222222222222214</v>
      </c>
      <c r="K506" s="12" t="s">
        <v>7161</v>
      </c>
      <c r="L506" s="12" t="s">
        <v>144</v>
      </c>
      <c r="M506" s="12" t="s">
        <v>8110</v>
      </c>
      <c r="N506" s="12">
        <v>145</v>
      </c>
      <c r="O506" s="12">
        <v>0.24099999999999999</v>
      </c>
      <c r="P506" s="12">
        <v>0.98899999999999999</v>
      </c>
      <c r="Q506" s="12" t="s">
        <v>7397</v>
      </c>
      <c r="R506" s="12">
        <v>0.156</v>
      </c>
      <c r="S506" s="12">
        <v>3.169</v>
      </c>
      <c r="T506" s="12">
        <v>792187</v>
      </c>
      <c r="U506" s="12">
        <v>0.20899999999999999</v>
      </c>
      <c r="V506" s="12" t="s">
        <v>7661</v>
      </c>
      <c r="W506" s="12" t="s">
        <v>11</v>
      </c>
      <c r="X506" s="12">
        <v>4321</v>
      </c>
      <c r="Y506" s="12">
        <v>1.1983000000000001E-2</v>
      </c>
      <c r="Z506" s="12">
        <v>4.7960162207248098</v>
      </c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</row>
    <row r="507" spans="1:39" s="12" customFormat="1" x14ac:dyDescent="0.2">
      <c r="A507" s="12" t="s">
        <v>1998</v>
      </c>
      <c r="B507" s="12" t="s">
        <v>1996</v>
      </c>
      <c r="C507" s="12" t="s">
        <v>13</v>
      </c>
      <c r="D507" s="12" t="s">
        <v>7210</v>
      </c>
      <c r="E507" s="12" t="s">
        <v>8031</v>
      </c>
      <c r="F507" s="12" t="s">
        <v>7160</v>
      </c>
      <c r="G507" s="12" t="s">
        <v>7649</v>
      </c>
      <c r="H507" s="12">
        <v>77</v>
      </c>
      <c r="I507" s="12" t="s">
        <v>7644</v>
      </c>
      <c r="J507" s="80">
        <v>8.5555555555555554</v>
      </c>
      <c r="K507" s="12" t="s">
        <v>7161</v>
      </c>
      <c r="L507" s="12" t="s">
        <v>144</v>
      </c>
      <c r="M507" s="12" t="s">
        <v>8110</v>
      </c>
      <c r="N507" s="12">
        <v>169</v>
      </c>
      <c r="O507" s="12">
        <v>0.31</v>
      </c>
      <c r="P507" s="12">
        <v>0.98799999999999999</v>
      </c>
      <c r="Q507" s="12" t="s">
        <v>7396</v>
      </c>
      <c r="R507" s="12">
        <v>0.113</v>
      </c>
      <c r="S507" s="12">
        <v>2.871</v>
      </c>
      <c r="T507" s="12">
        <v>745071</v>
      </c>
      <c r="U507" s="12">
        <v>0.27300000000000002</v>
      </c>
      <c r="V507" s="12" t="s">
        <v>7661</v>
      </c>
      <c r="W507" s="12" t="s">
        <v>25</v>
      </c>
      <c r="X507" s="12">
        <v>6869</v>
      </c>
      <c r="Y507" s="12" t="s">
        <v>6639</v>
      </c>
      <c r="Z507" s="12" t="s">
        <v>6639</v>
      </c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</row>
    <row r="508" spans="1:39" s="12" customFormat="1" x14ac:dyDescent="0.2">
      <c r="A508" s="12" t="s">
        <v>4206</v>
      </c>
      <c r="B508" s="12" t="s">
        <v>4204</v>
      </c>
      <c r="C508" s="12" t="s">
        <v>143</v>
      </c>
      <c r="D508" s="12" t="s">
        <v>7159</v>
      </c>
      <c r="E508" s="12" t="s">
        <v>8031</v>
      </c>
      <c r="F508" s="12" t="s">
        <v>7160</v>
      </c>
      <c r="G508" s="12" t="s">
        <v>7649</v>
      </c>
      <c r="H508" s="12">
        <v>85</v>
      </c>
      <c r="I508" s="12" t="s">
        <v>7646</v>
      </c>
      <c r="J508" s="80">
        <v>9.4444444444444446</v>
      </c>
      <c r="K508" s="12" t="s">
        <v>7161</v>
      </c>
      <c r="L508" s="12" t="s">
        <v>21</v>
      </c>
      <c r="M508" s="12" t="s">
        <v>8110</v>
      </c>
      <c r="N508" s="12">
        <v>424</v>
      </c>
      <c r="O508" s="12">
        <v>7.8E-2</v>
      </c>
      <c r="P508" s="12">
        <v>0.998</v>
      </c>
      <c r="Q508" s="12" t="s">
        <v>7177</v>
      </c>
      <c r="R508" s="12">
        <v>2.5999999999999999E-2</v>
      </c>
      <c r="S508" s="12">
        <v>0.32800000000000001</v>
      </c>
      <c r="T508" s="12">
        <v>307396</v>
      </c>
      <c r="U508" s="12">
        <v>6.7000000000000004E-2</v>
      </c>
      <c r="V508" s="12" t="s">
        <v>7661</v>
      </c>
      <c r="W508" s="12" t="s">
        <v>25</v>
      </c>
      <c r="X508" s="12">
        <v>742</v>
      </c>
      <c r="Y508" s="12" t="s">
        <v>6639</v>
      </c>
      <c r="Z508" s="12" t="s">
        <v>6639</v>
      </c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</row>
    <row r="509" spans="1:39" s="12" customFormat="1" x14ac:dyDescent="0.2">
      <c r="A509" s="12" t="s">
        <v>5522</v>
      </c>
      <c r="B509" s="12" t="s">
        <v>5098</v>
      </c>
      <c r="C509" s="12" t="s">
        <v>143</v>
      </c>
      <c r="D509" s="12" t="s">
        <v>7159</v>
      </c>
      <c r="E509" s="12" t="s">
        <v>8031</v>
      </c>
      <c r="F509" s="12" t="s">
        <v>7160</v>
      </c>
      <c r="G509" s="12" t="s">
        <v>7649</v>
      </c>
      <c r="H509" s="12">
        <v>67</v>
      </c>
      <c r="I509" s="12" t="s">
        <v>7646</v>
      </c>
      <c r="J509" s="80">
        <v>7.4444444444444438</v>
      </c>
      <c r="K509" s="12" t="s">
        <v>7161</v>
      </c>
      <c r="L509" s="12" t="s">
        <v>21</v>
      </c>
      <c r="M509" s="12" t="s">
        <v>8110</v>
      </c>
      <c r="N509" s="12">
        <v>74</v>
      </c>
      <c r="O509" s="12">
        <v>0.159</v>
      </c>
      <c r="P509" s="12">
        <v>0.999</v>
      </c>
      <c r="Q509" s="12" t="s">
        <v>7179</v>
      </c>
      <c r="R509" s="12">
        <v>6.1999999999999998E-3</v>
      </c>
      <c r="S509" s="12">
        <v>4.4999999999999998E-2</v>
      </c>
      <c r="T509" s="12">
        <v>53704</v>
      </c>
      <c r="U509" s="12">
        <v>0.10100000000000001</v>
      </c>
      <c r="V509" s="12" t="s">
        <v>7661</v>
      </c>
      <c r="W509" s="12" t="s">
        <v>11</v>
      </c>
      <c r="X509" s="12" t="s">
        <v>17</v>
      </c>
      <c r="Y509" s="12" t="s">
        <v>17</v>
      </c>
      <c r="Z509" s="12" t="s">
        <v>17</v>
      </c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</row>
    <row r="510" spans="1:39" s="12" customFormat="1" x14ac:dyDescent="0.2">
      <c r="A510" s="12" t="s">
        <v>5523</v>
      </c>
      <c r="B510" s="12" t="s">
        <v>5098</v>
      </c>
      <c r="C510" s="12" t="s">
        <v>143</v>
      </c>
      <c r="D510" s="12" t="s">
        <v>7159</v>
      </c>
      <c r="E510" s="12" t="s">
        <v>8031</v>
      </c>
      <c r="F510" s="12" t="s">
        <v>7160</v>
      </c>
      <c r="G510" s="12" t="s">
        <v>7649</v>
      </c>
      <c r="H510" s="12">
        <v>67</v>
      </c>
      <c r="I510" s="12" t="s">
        <v>7647</v>
      </c>
      <c r="J510" s="80">
        <v>7.4444444444444438</v>
      </c>
      <c r="K510" s="12" t="s">
        <v>7161</v>
      </c>
      <c r="L510" s="12" t="s">
        <v>21</v>
      </c>
      <c r="M510" s="12" t="s">
        <v>8110</v>
      </c>
      <c r="N510" s="12">
        <v>104</v>
      </c>
      <c r="O510" s="12">
        <v>0.109</v>
      </c>
      <c r="P510" s="12">
        <v>1</v>
      </c>
      <c r="Q510" s="12" t="s">
        <v>7189</v>
      </c>
      <c r="R510" s="12">
        <v>1.2E-2</v>
      </c>
      <c r="S510" s="12">
        <v>0.109278</v>
      </c>
      <c r="T510" s="12">
        <v>125245</v>
      </c>
      <c r="U510" s="12">
        <v>6.8000000000000005E-2</v>
      </c>
      <c r="V510" s="12" t="s">
        <v>7661</v>
      </c>
      <c r="W510" s="12" t="s">
        <v>11</v>
      </c>
      <c r="X510" s="12">
        <v>32</v>
      </c>
      <c r="Y510" s="12" t="s">
        <v>8052</v>
      </c>
      <c r="Z510" s="12" t="s">
        <v>8052</v>
      </c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</row>
    <row r="511" spans="1:39" s="12" customFormat="1" x14ac:dyDescent="0.2">
      <c r="A511" s="12" t="s">
        <v>5524</v>
      </c>
      <c r="B511" s="12" t="s">
        <v>5098</v>
      </c>
      <c r="C511" s="12" t="s">
        <v>143</v>
      </c>
      <c r="D511" s="12" t="s">
        <v>7159</v>
      </c>
      <c r="E511" s="12" t="s">
        <v>8031</v>
      </c>
      <c r="F511" s="12" t="s">
        <v>7160</v>
      </c>
      <c r="G511" s="12" t="s">
        <v>7649</v>
      </c>
      <c r="H511" s="12">
        <v>67</v>
      </c>
      <c r="I511" s="12" t="s">
        <v>7647</v>
      </c>
      <c r="J511" s="80">
        <v>22.333333333333332</v>
      </c>
      <c r="K511" s="12" t="s">
        <v>7161</v>
      </c>
      <c r="L511" s="12" t="s">
        <v>21</v>
      </c>
      <c r="M511" s="12" t="s">
        <v>8110</v>
      </c>
      <c r="N511" s="12">
        <v>7.44</v>
      </c>
      <c r="O511" s="12">
        <v>9.7000000000000003E-2</v>
      </c>
      <c r="P511" s="12">
        <v>0.999</v>
      </c>
      <c r="Q511" s="12" t="s">
        <v>7285</v>
      </c>
      <c r="R511" s="12" t="s">
        <v>17</v>
      </c>
      <c r="S511" s="12">
        <v>2.8597999999999998E-2</v>
      </c>
      <c r="T511" s="12">
        <v>34413</v>
      </c>
      <c r="U511" s="12">
        <v>6.0999999999999999E-2</v>
      </c>
      <c r="V511" s="12" t="s">
        <v>7661</v>
      </c>
      <c r="W511" s="12" t="s">
        <v>11</v>
      </c>
      <c r="X511" s="12">
        <v>2</v>
      </c>
      <c r="Y511" s="12" t="s">
        <v>8052</v>
      </c>
      <c r="Z511" s="12" t="s">
        <v>8052</v>
      </c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</row>
    <row r="512" spans="1:39" s="12" customFormat="1" x14ac:dyDescent="0.2">
      <c r="A512" s="12" t="s">
        <v>5525</v>
      </c>
      <c r="B512" s="12" t="s">
        <v>5102</v>
      </c>
      <c r="C512" s="12" t="s">
        <v>143</v>
      </c>
      <c r="D512" s="12" t="s">
        <v>7159</v>
      </c>
      <c r="E512" s="12" t="s">
        <v>8031</v>
      </c>
      <c r="F512" s="12" t="s">
        <v>7160</v>
      </c>
      <c r="G512" s="12" t="s">
        <v>7649</v>
      </c>
      <c r="H512" s="12">
        <v>65</v>
      </c>
      <c r="I512" s="12" t="s">
        <v>7646</v>
      </c>
      <c r="J512" s="80">
        <v>7.2222222222222214</v>
      </c>
      <c r="K512" s="12" t="s">
        <v>7161</v>
      </c>
      <c r="L512" s="12" t="s">
        <v>21</v>
      </c>
      <c r="M512" s="12" t="s">
        <v>8110</v>
      </c>
      <c r="N512" s="12">
        <v>699</v>
      </c>
      <c r="O512" s="12">
        <v>9.6000000000000002E-2</v>
      </c>
      <c r="P512" s="12">
        <v>1</v>
      </c>
      <c r="Q512" s="12" t="s">
        <v>7165</v>
      </c>
      <c r="R512" s="12">
        <v>6.4000000000000003E-3</v>
      </c>
      <c r="S512" s="12">
        <v>4.9000000000000002E-2</v>
      </c>
      <c r="T512" s="12">
        <v>56995</v>
      </c>
      <c r="U512" s="12">
        <v>9.5000000000000001E-2</v>
      </c>
      <c r="V512" s="12" t="s">
        <v>7661</v>
      </c>
      <c r="W512" s="12" t="s">
        <v>11</v>
      </c>
      <c r="X512" s="12">
        <v>3</v>
      </c>
      <c r="Y512" s="12" t="s">
        <v>8052</v>
      </c>
      <c r="Z512" s="12" t="s">
        <v>8052</v>
      </c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</row>
    <row r="513" spans="1:39" s="12" customFormat="1" x14ac:dyDescent="0.2">
      <c r="A513" s="12" t="s">
        <v>5526</v>
      </c>
      <c r="B513" s="12" t="s">
        <v>5102</v>
      </c>
      <c r="C513" s="12" t="s">
        <v>143</v>
      </c>
      <c r="D513" s="12" t="s">
        <v>7159</v>
      </c>
      <c r="E513" s="12" t="s">
        <v>8031</v>
      </c>
      <c r="F513" s="12" t="s">
        <v>7160</v>
      </c>
      <c r="G513" s="12" t="s">
        <v>7649</v>
      </c>
      <c r="H513" s="12">
        <v>65</v>
      </c>
      <c r="I513" s="12" t="s">
        <v>7647</v>
      </c>
      <c r="J513" s="80">
        <v>7.2222222222222214</v>
      </c>
      <c r="K513" s="12" t="s">
        <v>7161</v>
      </c>
      <c r="L513" s="12" t="s">
        <v>21</v>
      </c>
      <c r="M513" s="12" t="s">
        <v>8110</v>
      </c>
      <c r="N513" s="12">
        <v>517</v>
      </c>
      <c r="O513" s="12">
        <v>8.7999999999999995E-2</v>
      </c>
      <c r="P513" s="12">
        <v>1</v>
      </c>
      <c r="Q513" s="12" t="s">
        <v>7169</v>
      </c>
      <c r="R513" s="12">
        <v>1.2E-2</v>
      </c>
      <c r="S513" s="12">
        <v>6.8279000000000006E-2</v>
      </c>
      <c r="T513" s="12">
        <v>80273</v>
      </c>
      <c r="U513" s="12">
        <v>7.3999999999999996E-2</v>
      </c>
      <c r="V513" s="12" t="s">
        <v>7661</v>
      </c>
      <c r="W513" s="12" t="s">
        <v>11</v>
      </c>
      <c r="X513" s="12">
        <v>16</v>
      </c>
      <c r="Y513" s="12" t="s">
        <v>8052</v>
      </c>
      <c r="Z513" s="12" t="s">
        <v>8052</v>
      </c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</row>
    <row r="514" spans="1:39" s="12" customFormat="1" x14ac:dyDescent="0.2">
      <c r="A514" s="12" t="s">
        <v>5527</v>
      </c>
      <c r="B514" s="12" t="s">
        <v>5102</v>
      </c>
      <c r="C514" s="12" t="s">
        <v>143</v>
      </c>
      <c r="D514" s="12" t="s">
        <v>7159</v>
      </c>
      <c r="E514" s="12" t="s">
        <v>8031</v>
      </c>
      <c r="F514" s="12" t="s">
        <v>7160</v>
      </c>
      <c r="G514" s="12" t="s">
        <v>7649</v>
      </c>
      <c r="H514" s="12">
        <v>65</v>
      </c>
      <c r="I514" s="12" t="s">
        <v>7647</v>
      </c>
      <c r="J514" s="80">
        <v>21.666666666666664</v>
      </c>
      <c r="K514" s="12" t="s">
        <v>7161</v>
      </c>
      <c r="L514" s="12" t="s">
        <v>21</v>
      </c>
      <c r="M514" s="12" t="s">
        <v>8110</v>
      </c>
      <c r="N514" s="12">
        <v>188</v>
      </c>
      <c r="O514" s="12">
        <v>9.7000000000000003E-2</v>
      </c>
      <c r="P514" s="12">
        <v>1</v>
      </c>
      <c r="Q514" s="12" t="s">
        <v>7165</v>
      </c>
      <c r="R514" s="12">
        <v>8.2000000000000007E-3</v>
      </c>
      <c r="S514" s="12">
        <v>8.2572000000000007E-2</v>
      </c>
      <c r="T514" s="12">
        <v>95747</v>
      </c>
      <c r="U514" s="12">
        <v>8.5999999999999993E-2</v>
      </c>
      <c r="V514" s="12" t="s">
        <v>7661</v>
      </c>
      <c r="W514" s="12" t="s">
        <v>11</v>
      </c>
      <c r="X514" s="12">
        <v>24</v>
      </c>
      <c r="Y514" s="12" t="s">
        <v>8052</v>
      </c>
      <c r="Z514" s="12" t="s">
        <v>8052</v>
      </c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</row>
    <row r="515" spans="1:39" s="12" customFormat="1" x14ac:dyDescent="0.2">
      <c r="A515" s="12" t="s">
        <v>3322</v>
      </c>
      <c r="B515" s="12" t="s">
        <v>3321</v>
      </c>
      <c r="C515" s="12" t="s">
        <v>13</v>
      </c>
      <c r="D515" s="12" t="s">
        <v>7210</v>
      </c>
      <c r="E515" s="12" t="s">
        <v>8124</v>
      </c>
      <c r="F515" s="12" t="s">
        <v>7160</v>
      </c>
      <c r="G515" s="12" t="s">
        <v>7649</v>
      </c>
      <c r="H515" s="12">
        <v>75</v>
      </c>
      <c r="I515" s="12" t="s">
        <v>7646</v>
      </c>
      <c r="J515" s="80">
        <v>8.3333333333333321</v>
      </c>
      <c r="K515" s="12" t="s">
        <v>7161</v>
      </c>
      <c r="L515" s="12" t="s">
        <v>21</v>
      </c>
      <c r="M515" s="12" t="s">
        <v>8110</v>
      </c>
      <c r="N515" s="12">
        <v>198</v>
      </c>
      <c r="O515" s="12">
        <v>0.121</v>
      </c>
      <c r="P515" s="12">
        <v>0.99199999999999999</v>
      </c>
      <c r="Q515" s="12" t="s">
        <v>7275</v>
      </c>
      <c r="R515" s="12">
        <v>0.71099999999999997</v>
      </c>
      <c r="S515" s="12">
        <v>3.8010000000000002</v>
      </c>
      <c r="T515" s="12">
        <v>781276</v>
      </c>
      <c r="U515" s="12">
        <v>0.11700000000000001</v>
      </c>
      <c r="V515" s="12" t="s">
        <v>7661</v>
      </c>
      <c r="W515" s="12" t="s">
        <v>25</v>
      </c>
      <c r="X515" s="12">
        <v>7812</v>
      </c>
      <c r="Y515" s="12" t="s">
        <v>6639</v>
      </c>
      <c r="Z515" s="12" t="s">
        <v>6639</v>
      </c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</row>
    <row r="516" spans="1:39" s="12" customFormat="1" x14ac:dyDescent="0.2">
      <c r="A516" s="12" t="s">
        <v>3347</v>
      </c>
      <c r="B516" s="12" t="s">
        <v>3346</v>
      </c>
      <c r="C516" s="12" t="s">
        <v>13</v>
      </c>
      <c r="D516" s="12" t="s">
        <v>7210</v>
      </c>
      <c r="E516" s="12" t="s">
        <v>8124</v>
      </c>
      <c r="F516" s="12" t="s">
        <v>7160</v>
      </c>
      <c r="G516" s="12" t="s">
        <v>7649</v>
      </c>
      <c r="H516" s="12">
        <v>75</v>
      </c>
      <c r="I516" s="12" t="s">
        <v>7646</v>
      </c>
      <c r="J516" s="80">
        <v>8.3333333333333321</v>
      </c>
      <c r="K516" s="12" t="s">
        <v>7161</v>
      </c>
      <c r="L516" s="12" t="s">
        <v>21</v>
      </c>
      <c r="M516" s="12" t="s">
        <v>8110</v>
      </c>
      <c r="N516" s="12">
        <v>284</v>
      </c>
      <c r="O516" s="12">
        <v>0.10299999999999999</v>
      </c>
      <c r="P516" s="12">
        <v>0.98599999999999999</v>
      </c>
      <c r="Q516" s="12" t="s">
        <v>7312</v>
      </c>
      <c r="R516" s="12">
        <v>0.65400000000000003</v>
      </c>
      <c r="S516" s="12">
        <v>3.8130000000000002</v>
      </c>
      <c r="T516" s="12">
        <v>782514</v>
      </c>
      <c r="U516" s="12">
        <v>0.10199999999999999</v>
      </c>
      <c r="V516" s="12" t="s">
        <v>7661</v>
      </c>
      <c r="W516" s="12" t="s">
        <v>25</v>
      </c>
      <c r="X516" s="12">
        <v>7800</v>
      </c>
      <c r="Y516" s="12" t="s">
        <v>6639</v>
      </c>
      <c r="Z516" s="12" t="s">
        <v>6639</v>
      </c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</row>
    <row r="517" spans="1:39" s="12" customFormat="1" x14ac:dyDescent="0.2">
      <c r="A517" s="12" t="s">
        <v>5082</v>
      </c>
      <c r="B517" s="12" t="s">
        <v>5081</v>
      </c>
      <c r="C517" s="12" t="s">
        <v>13</v>
      </c>
      <c r="D517" s="12" t="s">
        <v>7210</v>
      </c>
      <c r="E517" s="12" t="s">
        <v>8124</v>
      </c>
      <c r="F517" s="12" t="s">
        <v>7160</v>
      </c>
      <c r="G517" s="12" t="s">
        <v>7649</v>
      </c>
      <c r="H517" s="12">
        <v>75</v>
      </c>
      <c r="I517" s="12" t="s">
        <v>7647</v>
      </c>
      <c r="J517" s="80">
        <v>8.3333333333333321</v>
      </c>
      <c r="K517" s="12" t="s">
        <v>7161</v>
      </c>
      <c r="L517" s="12" t="s">
        <v>21</v>
      </c>
      <c r="M517" s="12" t="s">
        <v>8110</v>
      </c>
      <c r="N517" s="12">
        <v>486</v>
      </c>
      <c r="O517" s="12">
        <v>9.4E-2</v>
      </c>
      <c r="P517" s="12">
        <v>0.997</v>
      </c>
      <c r="Q517" s="12" t="s">
        <v>7194</v>
      </c>
      <c r="R517" s="12">
        <v>0.88200000000000001</v>
      </c>
      <c r="S517" s="12">
        <v>5.0289999999999999</v>
      </c>
      <c r="T517" s="12">
        <v>802159</v>
      </c>
      <c r="U517" s="12">
        <v>8.3000000000000004E-2</v>
      </c>
      <c r="V517" s="12" t="s">
        <v>7661</v>
      </c>
      <c r="W517" s="12" t="s">
        <v>11</v>
      </c>
      <c r="X517" s="12">
        <v>5422</v>
      </c>
      <c r="Y517" s="12">
        <v>2.2160000000000001E-3</v>
      </c>
      <c r="Z517" s="12">
        <v>2.6773726130637177</v>
      </c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</row>
    <row r="518" spans="1:39" s="12" customFormat="1" x14ac:dyDescent="0.2">
      <c r="A518" s="12" t="s">
        <v>5078</v>
      </c>
      <c r="B518" s="12" t="s">
        <v>5075</v>
      </c>
      <c r="C518" s="12" t="s">
        <v>13</v>
      </c>
      <c r="D518" s="12" t="s">
        <v>7210</v>
      </c>
      <c r="E518" s="12" t="s">
        <v>8124</v>
      </c>
      <c r="F518" s="12" t="s">
        <v>7160</v>
      </c>
      <c r="G518" s="12" t="s">
        <v>7649</v>
      </c>
      <c r="H518" s="12">
        <v>75</v>
      </c>
      <c r="I518" s="12" t="s">
        <v>7647</v>
      </c>
      <c r="J518" s="80">
        <v>8.3333333333333321</v>
      </c>
      <c r="K518" s="12" t="s">
        <v>7161</v>
      </c>
      <c r="L518" s="12" t="s">
        <v>21</v>
      </c>
      <c r="M518" s="12" t="s">
        <v>8110</v>
      </c>
      <c r="N518" s="12">
        <v>544</v>
      </c>
      <c r="O518" s="12">
        <v>9.9000000000000005E-2</v>
      </c>
      <c r="P518" s="12">
        <v>0.998</v>
      </c>
      <c r="Q518" s="12" t="s">
        <v>7206</v>
      </c>
      <c r="R518" s="12">
        <v>0.81899999999999995</v>
      </c>
      <c r="S518" s="12">
        <v>4.5410000000000004</v>
      </c>
      <c r="T518" s="12">
        <v>801882</v>
      </c>
      <c r="U518" s="12">
        <v>8.4000000000000005E-2</v>
      </c>
      <c r="V518" s="12" t="s">
        <v>7661</v>
      </c>
      <c r="W518" s="12" t="s">
        <v>11</v>
      </c>
      <c r="X518" s="12">
        <v>5142</v>
      </c>
      <c r="Y518" s="12">
        <v>5.9069999999999999E-3</v>
      </c>
      <c r="Z518" s="12">
        <v>4.8137768386190887</v>
      </c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</row>
    <row r="519" spans="1:39" s="12" customFormat="1" x14ac:dyDescent="0.2">
      <c r="A519" s="12" t="s">
        <v>5116</v>
      </c>
      <c r="B519" s="12" t="s">
        <v>5115</v>
      </c>
      <c r="C519" s="12" t="s">
        <v>13</v>
      </c>
      <c r="D519" s="12" t="s">
        <v>7210</v>
      </c>
      <c r="E519" s="12" t="s">
        <v>8124</v>
      </c>
      <c r="F519" s="12" t="s">
        <v>7160</v>
      </c>
      <c r="G519" s="12" t="s">
        <v>7649</v>
      </c>
      <c r="H519" s="12">
        <v>75</v>
      </c>
      <c r="I519" s="12" t="s">
        <v>7647</v>
      </c>
      <c r="J519" s="80">
        <v>8.3333333333333321</v>
      </c>
      <c r="K519" s="12" t="s">
        <v>7161</v>
      </c>
      <c r="L519" s="12" t="s">
        <v>21</v>
      </c>
      <c r="M519" s="12" t="s">
        <v>8110</v>
      </c>
      <c r="N519" s="12">
        <v>436</v>
      </c>
      <c r="O519" s="12">
        <v>9.4E-2</v>
      </c>
      <c r="P519" s="12">
        <v>0.99299999999999999</v>
      </c>
      <c r="Q519" s="12" t="s">
        <v>7184</v>
      </c>
      <c r="R519" s="12">
        <v>0.80100000000000005</v>
      </c>
      <c r="S519" s="12">
        <v>4.234</v>
      </c>
      <c r="T519" s="12">
        <v>773829</v>
      </c>
      <c r="U519" s="12" t="s">
        <v>17</v>
      </c>
      <c r="V519" s="12" t="s">
        <v>7661</v>
      </c>
      <c r="W519" s="12" t="s">
        <v>25</v>
      </c>
      <c r="X519" s="12">
        <v>7669</v>
      </c>
      <c r="Y519" s="12" t="s">
        <v>6639</v>
      </c>
      <c r="Z519" s="12" t="s">
        <v>6639</v>
      </c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</row>
    <row r="520" spans="1:39" s="12" customFormat="1" x14ac:dyDescent="0.2">
      <c r="A520" s="12" t="s">
        <v>5400</v>
      </c>
      <c r="B520" s="12" t="s">
        <v>5397</v>
      </c>
      <c r="C520" s="12" t="s">
        <v>13</v>
      </c>
      <c r="D520" s="12" t="s">
        <v>7210</v>
      </c>
      <c r="E520" s="12" t="s">
        <v>8124</v>
      </c>
      <c r="F520" s="12" t="s">
        <v>7160</v>
      </c>
      <c r="G520" s="12" t="s">
        <v>7649</v>
      </c>
      <c r="H520" s="12">
        <v>75</v>
      </c>
      <c r="I520" s="12" t="s">
        <v>7647</v>
      </c>
      <c r="J520" s="80">
        <v>8.3333333333333321</v>
      </c>
      <c r="K520" s="12" t="s">
        <v>7161</v>
      </c>
      <c r="L520" s="12" t="s">
        <v>21</v>
      </c>
      <c r="M520" s="12" t="s">
        <v>8110</v>
      </c>
      <c r="N520" s="12">
        <v>276</v>
      </c>
      <c r="O520" s="12">
        <v>0.11</v>
      </c>
      <c r="P520" s="12">
        <v>0.99199999999999999</v>
      </c>
      <c r="Q520" s="12" t="s">
        <v>7223</v>
      </c>
      <c r="R520" s="12">
        <v>0.26400000000000001</v>
      </c>
      <c r="S520" s="12">
        <v>2.1070000000000002</v>
      </c>
      <c r="T520" s="12">
        <v>713982</v>
      </c>
      <c r="U520" s="12">
        <v>0.09</v>
      </c>
      <c r="V520" s="12" t="s">
        <v>7661</v>
      </c>
      <c r="W520" s="12" t="s">
        <v>11</v>
      </c>
      <c r="X520" s="12">
        <v>3228</v>
      </c>
      <c r="Y520" s="12">
        <v>8.1390000000000004E-3</v>
      </c>
      <c r="Z520" s="12">
        <v>4.0220458915485651</v>
      </c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</row>
    <row r="521" spans="1:39" s="12" customFormat="1" x14ac:dyDescent="0.2">
      <c r="A521" s="12" t="s">
        <v>5106</v>
      </c>
      <c r="B521" s="12" t="s">
        <v>5105</v>
      </c>
      <c r="C521" s="12" t="s">
        <v>13</v>
      </c>
      <c r="D521" s="12" t="s">
        <v>7210</v>
      </c>
      <c r="E521" s="12" t="s">
        <v>8124</v>
      </c>
      <c r="F521" s="12" t="s">
        <v>7160</v>
      </c>
      <c r="G521" s="12" t="s">
        <v>7649</v>
      </c>
      <c r="H521" s="12">
        <v>75</v>
      </c>
      <c r="I521" s="12" t="s">
        <v>7647</v>
      </c>
      <c r="J521" s="80">
        <v>8.3333333333333321</v>
      </c>
      <c r="K521" s="12" t="s">
        <v>7161</v>
      </c>
      <c r="L521" s="12" t="s">
        <v>21</v>
      </c>
      <c r="M521" s="12" t="s">
        <v>8110</v>
      </c>
      <c r="N521" s="12">
        <v>280</v>
      </c>
      <c r="O521" s="12">
        <v>9.8000000000000004E-2</v>
      </c>
      <c r="P521" s="12">
        <v>0.98099999999999998</v>
      </c>
      <c r="Q521" s="12" t="s">
        <v>7239</v>
      </c>
      <c r="R521" s="12">
        <v>0.20799999999999999</v>
      </c>
      <c r="S521" s="12">
        <v>2.395</v>
      </c>
      <c r="T521" s="12">
        <v>727580</v>
      </c>
      <c r="U521" s="12" t="s">
        <v>17</v>
      </c>
      <c r="V521" s="12" t="s">
        <v>7661</v>
      </c>
      <c r="W521" s="12" t="s">
        <v>25</v>
      </c>
      <c r="X521" s="12">
        <v>6523</v>
      </c>
      <c r="Y521" s="12" t="s">
        <v>6639</v>
      </c>
      <c r="Z521" s="12" t="s">
        <v>6639</v>
      </c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</row>
    <row r="522" spans="1:39" s="12" customFormat="1" x14ac:dyDescent="0.2">
      <c r="A522" s="12" t="s">
        <v>5530</v>
      </c>
      <c r="B522" s="12" t="s">
        <v>4220</v>
      </c>
      <c r="C522" s="12" t="s">
        <v>13</v>
      </c>
      <c r="D522" s="12" t="s">
        <v>7210</v>
      </c>
      <c r="E522" s="12" t="s">
        <v>8124</v>
      </c>
      <c r="F522" s="12" t="s">
        <v>7160</v>
      </c>
      <c r="G522" s="12" t="s">
        <v>7649</v>
      </c>
      <c r="H522" s="12">
        <v>77</v>
      </c>
      <c r="I522" s="12" t="s">
        <v>7647</v>
      </c>
      <c r="J522" s="80">
        <v>8.5555555555555554</v>
      </c>
      <c r="K522" s="12" t="s">
        <v>7161</v>
      </c>
      <c r="L522" s="12" t="s">
        <v>21</v>
      </c>
      <c r="M522" s="12" t="s">
        <v>8110</v>
      </c>
      <c r="N522" s="12">
        <v>13.7</v>
      </c>
      <c r="O522" s="12">
        <v>0.28599999999999998</v>
      </c>
      <c r="P522" s="12">
        <v>0.93</v>
      </c>
      <c r="Q522" s="12" t="s">
        <v>7168</v>
      </c>
      <c r="R522" s="12">
        <v>0.01</v>
      </c>
      <c r="S522" s="12">
        <v>2.4E-2</v>
      </c>
      <c r="T522" s="12">
        <v>28908</v>
      </c>
      <c r="U522" s="12">
        <v>0.16</v>
      </c>
      <c r="V522" s="12" t="s">
        <v>7661</v>
      </c>
      <c r="W522" s="12" t="s">
        <v>25</v>
      </c>
      <c r="X522" s="12">
        <v>12</v>
      </c>
      <c r="Y522" s="12" t="s">
        <v>6639</v>
      </c>
      <c r="Z522" s="12" t="s">
        <v>6639</v>
      </c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</row>
    <row r="523" spans="1:39" s="12" customFormat="1" x14ac:dyDescent="0.2">
      <c r="A523" s="12" t="s">
        <v>5531</v>
      </c>
      <c r="B523" s="12" t="s">
        <v>4220</v>
      </c>
      <c r="C523" s="12" t="s">
        <v>13</v>
      </c>
      <c r="D523" s="12" t="s">
        <v>7210</v>
      </c>
      <c r="E523" s="12" t="s">
        <v>8124</v>
      </c>
      <c r="F523" s="12" t="s">
        <v>7160</v>
      </c>
      <c r="G523" s="12" t="s">
        <v>7649</v>
      </c>
      <c r="H523" s="12">
        <v>77</v>
      </c>
      <c r="I523" s="12" t="s">
        <v>7647</v>
      </c>
      <c r="J523" s="80">
        <v>8.5555555555555554</v>
      </c>
      <c r="K523" s="12" t="s">
        <v>7161</v>
      </c>
      <c r="L523" s="12" t="s">
        <v>21</v>
      </c>
      <c r="M523" s="12" t="s">
        <v>8110</v>
      </c>
      <c r="N523" s="12">
        <v>20.3</v>
      </c>
      <c r="O523" s="12">
        <v>0.33100000000000002</v>
      </c>
      <c r="P523" s="12">
        <v>0.99399999999999999</v>
      </c>
      <c r="Q523" s="12" t="s">
        <v>7337</v>
      </c>
      <c r="R523" s="12">
        <v>1.7999999999999999E-2</v>
      </c>
      <c r="S523" s="12">
        <v>7.8514E-2</v>
      </c>
      <c r="T523" s="12">
        <v>89452</v>
      </c>
      <c r="U523" s="12">
        <v>0.19</v>
      </c>
      <c r="V523" s="12" t="s">
        <v>7661</v>
      </c>
      <c r="W523" s="12" t="s">
        <v>25</v>
      </c>
      <c r="X523" s="12">
        <v>49</v>
      </c>
      <c r="Y523" s="12" t="s">
        <v>6639</v>
      </c>
      <c r="Z523" s="12" t="s">
        <v>6639</v>
      </c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</row>
    <row r="524" spans="1:39" s="12" customFormat="1" x14ac:dyDescent="0.2">
      <c r="A524" s="12" t="s">
        <v>5532</v>
      </c>
      <c r="B524" s="12" t="s">
        <v>4220</v>
      </c>
      <c r="C524" s="12" t="s">
        <v>13</v>
      </c>
      <c r="D524" s="12" t="s">
        <v>7210</v>
      </c>
      <c r="E524" s="12" t="s">
        <v>8124</v>
      </c>
      <c r="F524" s="12" t="s">
        <v>7160</v>
      </c>
      <c r="G524" s="12" t="s">
        <v>7649</v>
      </c>
      <c r="H524" s="12">
        <v>77</v>
      </c>
      <c r="I524" s="12" t="s">
        <v>7647</v>
      </c>
      <c r="J524" s="80">
        <v>25.666666666666664</v>
      </c>
      <c r="K524" s="12" t="s">
        <v>7161</v>
      </c>
      <c r="L524" s="12" t="s">
        <v>21</v>
      </c>
      <c r="M524" s="12" t="s">
        <v>8110</v>
      </c>
      <c r="N524" s="12">
        <v>23.3</v>
      </c>
      <c r="O524" s="12">
        <v>0.33</v>
      </c>
      <c r="P524" s="12">
        <v>1</v>
      </c>
      <c r="Q524" s="12" t="s">
        <v>7206</v>
      </c>
      <c r="R524" s="12">
        <v>1.4999999999999999E-2</v>
      </c>
      <c r="S524" s="12">
        <v>0.122306</v>
      </c>
      <c r="T524" s="12">
        <v>131666</v>
      </c>
      <c r="U524" s="12">
        <v>0.182</v>
      </c>
      <c r="V524" s="12" t="s">
        <v>7661</v>
      </c>
      <c r="W524" s="12" t="s">
        <v>25</v>
      </c>
      <c r="X524" s="12">
        <v>132</v>
      </c>
      <c r="Y524" s="12" t="s">
        <v>6639</v>
      </c>
      <c r="Z524" s="12" t="s">
        <v>6639</v>
      </c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</row>
    <row r="525" spans="1:39" s="12" customFormat="1" x14ac:dyDescent="0.2">
      <c r="A525" s="12" t="s">
        <v>5533</v>
      </c>
      <c r="B525" s="12" t="s">
        <v>4220</v>
      </c>
      <c r="C525" s="12" t="s">
        <v>13</v>
      </c>
      <c r="D525" s="12" t="s">
        <v>7210</v>
      </c>
      <c r="E525" s="12" t="s">
        <v>8124</v>
      </c>
      <c r="F525" s="12" t="s">
        <v>7160</v>
      </c>
      <c r="G525" s="12" t="s">
        <v>7649</v>
      </c>
      <c r="H525" s="12">
        <v>77</v>
      </c>
      <c r="I525" s="12" t="s">
        <v>7647</v>
      </c>
      <c r="J525" s="80">
        <v>8.5555555555555554</v>
      </c>
      <c r="K525" s="12" t="s">
        <v>7161</v>
      </c>
      <c r="L525" s="12" t="s">
        <v>21</v>
      </c>
      <c r="M525" s="12" t="s">
        <v>8110</v>
      </c>
      <c r="N525" s="12">
        <v>11.5</v>
      </c>
      <c r="O525" s="12">
        <v>0.30199999999999999</v>
      </c>
      <c r="P525" s="12">
        <v>0.94699999999999995</v>
      </c>
      <c r="Q525" s="12" t="s">
        <v>8016</v>
      </c>
      <c r="R525" s="12">
        <v>1.9E-2</v>
      </c>
      <c r="S525" s="12">
        <v>2.5995000000000001E-2</v>
      </c>
      <c r="T525" s="12">
        <v>29751</v>
      </c>
      <c r="U525" s="12">
        <v>0.11600000000000001</v>
      </c>
      <c r="V525" s="12" t="s">
        <v>7661</v>
      </c>
      <c r="W525" s="12" t="s">
        <v>25</v>
      </c>
      <c r="X525" s="12">
        <v>10</v>
      </c>
      <c r="Y525" s="12" t="s">
        <v>8052</v>
      </c>
      <c r="Z525" s="12" t="s">
        <v>8052</v>
      </c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</row>
    <row r="526" spans="1:39" s="12" customFormat="1" x14ac:dyDescent="0.2">
      <c r="A526" s="12" t="s">
        <v>5534</v>
      </c>
      <c r="B526" s="12" t="s">
        <v>4220</v>
      </c>
      <c r="C526" s="12" t="s">
        <v>13</v>
      </c>
      <c r="D526" s="12" t="s">
        <v>7210</v>
      </c>
      <c r="E526" s="12" t="s">
        <v>8124</v>
      </c>
      <c r="F526" s="12" t="s">
        <v>7160</v>
      </c>
      <c r="G526" s="12" t="s">
        <v>7649</v>
      </c>
      <c r="H526" s="12">
        <v>77</v>
      </c>
      <c r="I526" s="12" t="s">
        <v>7647</v>
      </c>
      <c r="J526" s="80">
        <v>8.5555555555555554</v>
      </c>
      <c r="K526" s="12" t="s">
        <v>7161</v>
      </c>
      <c r="L526" s="12" t="s">
        <v>21</v>
      </c>
      <c r="M526" s="12" t="s">
        <v>8110</v>
      </c>
      <c r="N526" s="12">
        <v>14.8</v>
      </c>
      <c r="O526" s="12">
        <v>0.32500000000000001</v>
      </c>
      <c r="P526" s="12">
        <v>0.96</v>
      </c>
      <c r="Q526" s="12" t="s">
        <v>8013</v>
      </c>
      <c r="R526" s="12">
        <v>1.9E-2</v>
      </c>
      <c r="S526" s="12">
        <v>2.2290999999999998E-2</v>
      </c>
      <c r="T526" s="12">
        <v>25739</v>
      </c>
      <c r="U526" s="12">
        <v>0.187</v>
      </c>
      <c r="V526" s="12" t="s">
        <v>7661</v>
      </c>
      <c r="W526" s="12" t="s">
        <v>25</v>
      </c>
      <c r="X526" s="12">
        <v>7</v>
      </c>
      <c r="Y526" s="12" t="s">
        <v>6639</v>
      </c>
      <c r="Z526" s="12" t="s">
        <v>6639</v>
      </c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</row>
    <row r="527" spans="1:39" s="12" customFormat="1" x14ac:dyDescent="0.2">
      <c r="A527" s="12" t="s">
        <v>5535</v>
      </c>
      <c r="B527" s="12" t="s">
        <v>4220</v>
      </c>
      <c r="C527" s="12" t="s">
        <v>13</v>
      </c>
      <c r="D527" s="12" t="s">
        <v>7210</v>
      </c>
      <c r="E527" s="12" t="s">
        <v>8124</v>
      </c>
      <c r="F527" s="12" t="s">
        <v>7160</v>
      </c>
      <c r="G527" s="12" t="s">
        <v>7649</v>
      </c>
      <c r="H527" s="12">
        <v>77</v>
      </c>
      <c r="I527" s="12" t="s">
        <v>7647</v>
      </c>
      <c r="J527" s="80">
        <v>8.5555555555555554</v>
      </c>
      <c r="K527" s="12" t="s">
        <v>7161</v>
      </c>
      <c r="L527" s="12" t="s">
        <v>21</v>
      </c>
      <c r="M527" s="12" t="s">
        <v>8110</v>
      </c>
      <c r="N527" s="12">
        <v>11.5</v>
      </c>
      <c r="O527" s="12">
        <v>0.32200000000000001</v>
      </c>
      <c r="P527" s="12">
        <v>0.95899999999999996</v>
      </c>
      <c r="Q527" s="12" t="s">
        <v>8017</v>
      </c>
      <c r="R527" s="12">
        <v>1.7999999999999999E-2</v>
      </c>
      <c r="S527" s="12">
        <v>2.1410999999999999E-2</v>
      </c>
      <c r="T527" s="12">
        <v>24791</v>
      </c>
      <c r="U527" s="12">
        <v>0.186</v>
      </c>
      <c r="V527" s="12" t="s">
        <v>7661</v>
      </c>
      <c r="W527" s="12" t="s">
        <v>25</v>
      </c>
      <c r="X527" s="12">
        <v>1</v>
      </c>
      <c r="Y527" s="12" t="s">
        <v>6639</v>
      </c>
      <c r="Z527" s="12" t="s">
        <v>6639</v>
      </c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</row>
    <row r="528" spans="1:39" s="12" customFormat="1" x14ac:dyDescent="0.2">
      <c r="A528" s="12" t="s">
        <v>1309</v>
      </c>
      <c r="B528" s="12" t="s">
        <v>1308</v>
      </c>
      <c r="C528" s="12" t="s">
        <v>13</v>
      </c>
      <c r="D528" s="12" t="s">
        <v>7210</v>
      </c>
      <c r="E528" s="12" t="s">
        <v>8124</v>
      </c>
      <c r="F528" s="12" t="s">
        <v>7160</v>
      </c>
      <c r="G528" s="12" t="s">
        <v>7649</v>
      </c>
      <c r="H528" s="12">
        <v>75</v>
      </c>
      <c r="I528" s="12" t="s">
        <v>7647</v>
      </c>
      <c r="J528" s="80">
        <v>8.3333333333333321</v>
      </c>
      <c r="K528" s="12" t="s">
        <v>7161</v>
      </c>
      <c r="L528" s="12" t="s">
        <v>21</v>
      </c>
      <c r="M528" s="12" t="s">
        <v>8110</v>
      </c>
      <c r="N528" s="12">
        <v>507</v>
      </c>
      <c r="O528" s="12">
        <v>8.8999999999999996E-2</v>
      </c>
      <c r="P528" s="12">
        <v>0.995</v>
      </c>
      <c r="Q528" s="12" t="s">
        <v>7243</v>
      </c>
      <c r="R528" s="12">
        <v>0.82099999999999995</v>
      </c>
      <c r="S528" s="12">
        <v>4.2709999999999999</v>
      </c>
      <c r="T528" s="12">
        <v>771240</v>
      </c>
      <c r="U528" s="12">
        <v>8.1000000000000003E-2</v>
      </c>
      <c r="V528" s="12" t="s">
        <v>7661</v>
      </c>
      <c r="W528" s="12" t="s">
        <v>25</v>
      </c>
      <c r="X528" s="12">
        <v>7596</v>
      </c>
      <c r="Y528" s="12" t="s">
        <v>6639</v>
      </c>
      <c r="Z528" s="12" t="s">
        <v>6639</v>
      </c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</row>
    <row r="529" spans="1:39" s="12" customFormat="1" x14ac:dyDescent="0.2">
      <c r="A529" s="12" t="s">
        <v>1269</v>
      </c>
      <c r="B529" s="12" t="s">
        <v>1267</v>
      </c>
      <c r="C529" s="12" t="s">
        <v>13</v>
      </c>
      <c r="D529" s="12" t="s">
        <v>7210</v>
      </c>
      <c r="E529" s="12" t="s">
        <v>8124</v>
      </c>
      <c r="F529" s="12" t="s">
        <v>7160</v>
      </c>
      <c r="G529" s="12" t="s">
        <v>7649</v>
      </c>
      <c r="H529" s="12">
        <v>75</v>
      </c>
      <c r="I529" s="12" t="s">
        <v>7647</v>
      </c>
      <c r="J529" s="80">
        <v>8.3333333333333321</v>
      </c>
      <c r="K529" s="12" t="s">
        <v>7161</v>
      </c>
      <c r="L529" s="12" t="s">
        <v>21</v>
      </c>
      <c r="M529" s="12" t="s">
        <v>8110</v>
      </c>
      <c r="N529" s="12">
        <v>303</v>
      </c>
      <c r="O529" s="12">
        <v>6.2E-2</v>
      </c>
      <c r="P529" s="12">
        <v>0.99199999999999999</v>
      </c>
      <c r="Q529" s="12" t="s">
        <v>7184</v>
      </c>
      <c r="R529" s="12">
        <v>0.77900000000000003</v>
      </c>
      <c r="S529" s="12">
        <v>2.431</v>
      </c>
      <c r="T529" s="12">
        <v>731426</v>
      </c>
      <c r="U529" s="12" t="s">
        <v>17</v>
      </c>
      <c r="V529" s="12" t="s">
        <v>7661</v>
      </c>
      <c r="W529" s="12" t="s">
        <v>11</v>
      </c>
      <c r="X529" s="12">
        <v>3697</v>
      </c>
      <c r="Y529" s="12">
        <v>6.1069999999999996E-3</v>
      </c>
      <c r="Z529" s="12">
        <v>3.6736353650716498</v>
      </c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</row>
    <row r="530" spans="1:39" s="12" customFormat="1" x14ac:dyDescent="0.2">
      <c r="A530" s="12" t="s">
        <v>4149</v>
      </c>
      <c r="B530" s="12" t="s">
        <v>4147</v>
      </c>
      <c r="C530" s="12" t="s">
        <v>13</v>
      </c>
      <c r="D530" s="12" t="s">
        <v>7210</v>
      </c>
      <c r="E530" s="12" t="s">
        <v>8124</v>
      </c>
      <c r="F530" s="12" t="s">
        <v>7160</v>
      </c>
      <c r="G530" s="12" t="s">
        <v>7649</v>
      </c>
      <c r="H530" s="12">
        <v>75</v>
      </c>
      <c r="I530" s="12" t="s">
        <v>7647</v>
      </c>
      <c r="J530" s="80">
        <v>8.3333333333333321</v>
      </c>
      <c r="K530" s="12" t="s">
        <v>7161</v>
      </c>
      <c r="L530" s="12" t="s">
        <v>21</v>
      </c>
      <c r="M530" s="12" t="s">
        <v>8110</v>
      </c>
      <c r="N530" s="12">
        <v>701</v>
      </c>
      <c r="O530" s="12">
        <v>8.1000000000000003E-2</v>
      </c>
      <c r="P530" s="12">
        <v>0.996</v>
      </c>
      <c r="Q530" s="12" t="s">
        <v>7241</v>
      </c>
      <c r="R530" s="12">
        <v>0.76300000000000001</v>
      </c>
      <c r="S530" s="12">
        <v>4.4809999999999999</v>
      </c>
      <c r="T530" s="12">
        <v>792744</v>
      </c>
      <c r="U530" s="12" t="s">
        <v>17</v>
      </c>
      <c r="V530" s="12" t="s">
        <v>7661</v>
      </c>
      <c r="W530" s="12" t="s">
        <v>11</v>
      </c>
      <c r="X530" s="12">
        <v>5152</v>
      </c>
      <c r="Y530" s="12">
        <v>5.2950000000000002E-3</v>
      </c>
      <c r="Z530" s="12">
        <v>4.8295519325048462</v>
      </c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</row>
    <row r="531" spans="1:39" s="12" customFormat="1" x14ac:dyDescent="0.2">
      <c r="A531" s="12" t="s">
        <v>3023</v>
      </c>
      <c r="B531" s="12" t="s">
        <v>3021</v>
      </c>
      <c r="C531" s="12" t="s">
        <v>13</v>
      </c>
      <c r="D531" s="12" t="s">
        <v>7210</v>
      </c>
      <c r="E531" s="12" t="s">
        <v>8124</v>
      </c>
      <c r="F531" s="12" t="s">
        <v>7160</v>
      </c>
      <c r="G531" s="12" t="s">
        <v>7649</v>
      </c>
      <c r="H531" s="12">
        <v>73</v>
      </c>
      <c r="I531" s="12" t="s">
        <v>7647</v>
      </c>
      <c r="J531" s="80">
        <v>8.1111111111111107</v>
      </c>
      <c r="K531" s="12" t="s">
        <v>7161</v>
      </c>
      <c r="L531" s="12" t="s">
        <v>21</v>
      </c>
      <c r="M531" s="12" t="s">
        <v>8110</v>
      </c>
      <c r="N531" s="12">
        <v>0.76600000000000001</v>
      </c>
      <c r="O531" s="12" t="s">
        <v>7796</v>
      </c>
      <c r="P531" s="12" t="s">
        <v>7796</v>
      </c>
      <c r="Q531" s="12" t="s">
        <v>7796</v>
      </c>
      <c r="R531" s="12">
        <v>8.6999999999999994E-3</v>
      </c>
      <c r="S531" s="12">
        <v>3.1029999999999999E-3</v>
      </c>
      <c r="T531" s="12">
        <v>3737</v>
      </c>
      <c r="U531" s="12">
        <v>2.7E-2</v>
      </c>
      <c r="V531" s="12" t="s">
        <v>7661</v>
      </c>
      <c r="W531" s="12" t="s">
        <v>11</v>
      </c>
      <c r="X531" s="12">
        <v>0</v>
      </c>
      <c r="Y531" s="12" t="s">
        <v>8052</v>
      </c>
      <c r="Z531" s="12" t="s">
        <v>8052</v>
      </c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</row>
    <row r="532" spans="1:39" s="12" customFormat="1" x14ac:dyDescent="0.2">
      <c r="A532" s="12" t="s">
        <v>1250</v>
      </c>
      <c r="B532" s="12" t="s">
        <v>1248</v>
      </c>
      <c r="C532" s="12" t="s">
        <v>13</v>
      </c>
      <c r="D532" s="12" t="s">
        <v>7210</v>
      </c>
      <c r="E532" s="12" t="s">
        <v>8124</v>
      </c>
      <c r="F532" s="12" t="s">
        <v>7160</v>
      </c>
      <c r="G532" s="12" t="s">
        <v>7649</v>
      </c>
      <c r="H532" s="12">
        <v>75</v>
      </c>
      <c r="I532" s="12" t="s">
        <v>7647</v>
      </c>
      <c r="J532" s="80">
        <v>8.3333333333333321</v>
      </c>
      <c r="K532" s="12" t="s">
        <v>7161</v>
      </c>
      <c r="L532" s="12" t="s">
        <v>21</v>
      </c>
      <c r="M532" s="12" t="s">
        <v>8110</v>
      </c>
      <c r="N532" s="12">
        <v>528</v>
      </c>
      <c r="O532" s="12">
        <v>6.4000000000000001E-2</v>
      </c>
      <c r="P532" s="12">
        <v>0.995</v>
      </c>
      <c r="Q532" s="12" t="s">
        <v>7202</v>
      </c>
      <c r="R532" s="12">
        <v>0.85199999999999998</v>
      </c>
      <c r="S532" s="12">
        <v>4.5990000000000002</v>
      </c>
      <c r="T532" s="12">
        <v>792678</v>
      </c>
      <c r="U532" s="12">
        <v>5.7000000000000002E-2</v>
      </c>
      <c r="V532" s="12" t="s">
        <v>7661</v>
      </c>
      <c r="W532" s="12" t="s">
        <v>11</v>
      </c>
      <c r="X532" s="12">
        <v>5176</v>
      </c>
      <c r="Y532" s="12">
        <v>4.875E-3</v>
      </c>
      <c r="Z532" s="12">
        <v>4.5362213787693673</v>
      </c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</row>
    <row r="533" spans="1:39" s="12" customFormat="1" x14ac:dyDescent="0.2">
      <c r="A533" s="12" t="s">
        <v>5536</v>
      </c>
      <c r="B533" s="12" t="s">
        <v>1283</v>
      </c>
      <c r="C533" s="12" t="s">
        <v>13</v>
      </c>
      <c r="D533" s="12" t="s">
        <v>7210</v>
      </c>
      <c r="E533" s="12" t="s">
        <v>8031</v>
      </c>
      <c r="F533" s="12" t="s">
        <v>7160</v>
      </c>
      <c r="G533" s="12" t="s">
        <v>7649</v>
      </c>
      <c r="H533" s="12">
        <v>71</v>
      </c>
      <c r="I533" s="12" t="s">
        <v>7646</v>
      </c>
      <c r="J533" s="80">
        <v>7.8888888888888884</v>
      </c>
      <c r="K533" s="12" t="s">
        <v>7161</v>
      </c>
      <c r="L533" s="12" t="s">
        <v>21</v>
      </c>
      <c r="M533" s="12" t="s">
        <v>8110</v>
      </c>
      <c r="N533" s="12">
        <v>122</v>
      </c>
      <c r="O533" s="12">
        <v>0.09</v>
      </c>
      <c r="P533" s="12">
        <v>0.99199999999999999</v>
      </c>
      <c r="Q533" s="12" t="s">
        <v>7223</v>
      </c>
      <c r="R533" s="12">
        <v>0.63600000000000001</v>
      </c>
      <c r="S533" s="12">
        <v>4.9489999999999998</v>
      </c>
      <c r="T533" s="12">
        <v>871130</v>
      </c>
      <c r="U533" s="12">
        <v>8.5999999999999993E-2</v>
      </c>
      <c r="V533" s="12" t="s">
        <v>7661</v>
      </c>
      <c r="W533" s="12" t="s">
        <v>25</v>
      </c>
      <c r="X533" s="12">
        <v>5529</v>
      </c>
      <c r="Y533" s="12" t="s">
        <v>6639</v>
      </c>
      <c r="Z533" s="12" t="s">
        <v>6639</v>
      </c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</row>
    <row r="534" spans="1:39" s="12" customFormat="1" x14ac:dyDescent="0.2">
      <c r="A534" s="12" t="s">
        <v>5537</v>
      </c>
      <c r="B534" s="12" t="s">
        <v>1283</v>
      </c>
      <c r="C534" s="12" t="s">
        <v>8127</v>
      </c>
      <c r="D534" s="12" t="s">
        <v>8126</v>
      </c>
      <c r="E534" s="12" t="s">
        <v>8124</v>
      </c>
      <c r="F534" s="12" t="s">
        <v>7160</v>
      </c>
      <c r="G534" s="12" t="s">
        <v>7649</v>
      </c>
      <c r="H534" s="12">
        <v>75</v>
      </c>
      <c r="I534" s="12" t="s">
        <v>7647</v>
      </c>
      <c r="J534" s="80">
        <v>8.3333333333333321</v>
      </c>
      <c r="K534" s="12" t="s">
        <v>7161</v>
      </c>
      <c r="L534" s="12" t="s">
        <v>21</v>
      </c>
      <c r="M534" s="12" t="s">
        <v>8110</v>
      </c>
      <c r="N534" s="12">
        <v>53.8</v>
      </c>
      <c r="O534" s="12">
        <v>9.1999999999999998E-2</v>
      </c>
      <c r="P534" s="12">
        <v>0.999</v>
      </c>
      <c r="Q534" s="12" t="s">
        <v>7204</v>
      </c>
      <c r="R534" s="12">
        <v>4.4000000000000003E-3</v>
      </c>
      <c r="S534" s="12">
        <v>7.8739000000000003E-2</v>
      </c>
      <c r="T534" s="12">
        <v>91512</v>
      </c>
      <c r="U534" s="12">
        <v>8.8999999999999996E-2</v>
      </c>
      <c r="V534" s="12" t="s">
        <v>7661</v>
      </c>
      <c r="W534" s="12" t="s">
        <v>25</v>
      </c>
      <c r="X534" s="12">
        <v>52</v>
      </c>
      <c r="Y534" s="12" t="s">
        <v>6639</v>
      </c>
      <c r="Z534" s="12" t="s">
        <v>6639</v>
      </c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</row>
    <row r="535" spans="1:39" s="12" customFormat="1" x14ac:dyDescent="0.2">
      <c r="A535" s="12" t="s">
        <v>1256</v>
      </c>
      <c r="B535" s="12" t="s">
        <v>1254</v>
      </c>
      <c r="C535" s="12" t="s">
        <v>13</v>
      </c>
      <c r="D535" s="12" t="s">
        <v>7210</v>
      </c>
      <c r="E535" s="12" t="s">
        <v>8031</v>
      </c>
      <c r="F535" s="12" t="s">
        <v>7160</v>
      </c>
      <c r="G535" s="12" t="s">
        <v>7649</v>
      </c>
      <c r="H535" s="12">
        <v>76</v>
      </c>
      <c r="I535" s="12" t="s">
        <v>7646</v>
      </c>
      <c r="J535" s="80">
        <v>8.4444444444444446</v>
      </c>
      <c r="K535" s="12" t="s">
        <v>7161</v>
      </c>
      <c r="L535" s="12" t="s">
        <v>21</v>
      </c>
      <c r="M535" s="12" t="s">
        <v>8110</v>
      </c>
      <c r="N535" s="12">
        <v>171</v>
      </c>
      <c r="O535" s="12">
        <v>7.3999999999999996E-2</v>
      </c>
      <c r="P535" s="12">
        <v>0.99399999999999999</v>
      </c>
      <c r="Q535" s="12" t="s">
        <v>7246</v>
      </c>
      <c r="R535" s="12">
        <v>0.23300000000000001</v>
      </c>
      <c r="S535" s="12">
        <v>4.3339999999999996</v>
      </c>
      <c r="T535" s="12">
        <v>851851</v>
      </c>
      <c r="U535" s="12">
        <v>7.1999999999999995E-2</v>
      </c>
      <c r="V535" s="12" t="s">
        <v>7661</v>
      </c>
      <c r="W535" s="12" t="s">
        <v>11</v>
      </c>
      <c r="X535" s="12">
        <v>6039</v>
      </c>
      <c r="Y535" s="12">
        <v>4.8529999999999997E-3</v>
      </c>
      <c r="Z535" s="12">
        <v>5.0742839409526077</v>
      </c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</row>
    <row r="536" spans="1:39" s="12" customFormat="1" x14ac:dyDescent="0.2">
      <c r="A536" s="12" t="s">
        <v>1263</v>
      </c>
      <c r="B536" s="12" t="s">
        <v>1262</v>
      </c>
      <c r="C536" s="12" t="s">
        <v>13</v>
      </c>
      <c r="D536" s="12" t="s">
        <v>7210</v>
      </c>
      <c r="E536" s="12" t="s">
        <v>8031</v>
      </c>
      <c r="F536" s="12" t="s">
        <v>7160</v>
      </c>
      <c r="G536" s="12" t="s">
        <v>7649</v>
      </c>
      <c r="H536" s="12">
        <v>77</v>
      </c>
      <c r="I536" s="12" t="s">
        <v>7646</v>
      </c>
      <c r="J536" s="80">
        <v>8.5555555555555554</v>
      </c>
      <c r="K536" s="12" t="s">
        <v>7161</v>
      </c>
      <c r="L536" s="12" t="s">
        <v>21</v>
      </c>
      <c r="M536" s="12" t="s">
        <v>8110</v>
      </c>
      <c r="N536" s="12">
        <v>41.5</v>
      </c>
      <c r="O536" s="12">
        <v>0.159</v>
      </c>
      <c r="P536" s="12">
        <v>0.996</v>
      </c>
      <c r="Q536" s="12" t="s">
        <v>7195</v>
      </c>
      <c r="R536" s="12">
        <v>4.8999999999999998E-3</v>
      </c>
      <c r="S536" s="12">
        <v>0.11600000000000001</v>
      </c>
      <c r="T536" s="12">
        <v>123356</v>
      </c>
      <c r="U536" s="12" t="s">
        <v>17</v>
      </c>
      <c r="V536" s="12" t="s">
        <v>7661</v>
      </c>
      <c r="W536" s="12" t="s">
        <v>11</v>
      </c>
      <c r="X536" s="12">
        <v>29</v>
      </c>
      <c r="Y536" s="12" t="s">
        <v>8052</v>
      </c>
      <c r="Z536" s="12" t="s">
        <v>8052</v>
      </c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</row>
    <row r="537" spans="1:39" s="12" customFormat="1" x14ac:dyDescent="0.2">
      <c r="A537" s="12" t="s">
        <v>4153</v>
      </c>
      <c r="B537" s="12" t="s">
        <v>4151</v>
      </c>
      <c r="C537" s="12" t="s">
        <v>13</v>
      </c>
      <c r="D537" s="12" t="s">
        <v>7210</v>
      </c>
      <c r="E537" s="12" t="s">
        <v>8031</v>
      </c>
      <c r="F537" s="12" t="s">
        <v>7160</v>
      </c>
      <c r="G537" s="12" t="s">
        <v>7649</v>
      </c>
      <c r="H537" s="12">
        <v>74</v>
      </c>
      <c r="I537" s="12" t="s">
        <v>7646</v>
      </c>
      <c r="J537" s="80">
        <v>8.2222222222222214</v>
      </c>
      <c r="K537" s="12" t="s">
        <v>7161</v>
      </c>
      <c r="L537" s="12" t="s">
        <v>21</v>
      </c>
      <c r="M537" s="12" t="s">
        <v>8110</v>
      </c>
      <c r="N537" s="12">
        <v>14.7</v>
      </c>
      <c r="O537" s="12">
        <v>0.14000000000000001</v>
      </c>
      <c r="P537" s="12">
        <v>0.998</v>
      </c>
      <c r="Q537" s="12" t="s">
        <v>7249</v>
      </c>
      <c r="R537" s="12">
        <v>0.01</v>
      </c>
      <c r="S537" s="12">
        <v>0.48299999999999998</v>
      </c>
      <c r="T537" s="12">
        <v>369196</v>
      </c>
      <c r="U537" s="12">
        <v>0.106</v>
      </c>
      <c r="V537" s="12" t="s">
        <v>7661</v>
      </c>
      <c r="W537" s="12" t="s">
        <v>11</v>
      </c>
      <c r="X537" s="12">
        <v>415</v>
      </c>
      <c r="Y537" s="12">
        <v>3.7929999999999999E-3</v>
      </c>
      <c r="Z537" s="12">
        <v>1.0939953413623111</v>
      </c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</row>
    <row r="538" spans="1:39" s="12" customFormat="1" x14ac:dyDescent="0.2">
      <c r="A538" s="12" t="s">
        <v>1022</v>
      </c>
      <c r="B538" s="12" t="s">
        <v>1021</v>
      </c>
      <c r="C538" s="12" t="s">
        <v>13</v>
      </c>
      <c r="D538" s="12" t="s">
        <v>7159</v>
      </c>
      <c r="E538" s="12" t="s">
        <v>8031</v>
      </c>
      <c r="F538" s="12" t="s">
        <v>7160</v>
      </c>
      <c r="G538" s="12" t="s">
        <v>7649</v>
      </c>
      <c r="H538" s="12">
        <v>68</v>
      </c>
      <c r="I538" s="12" t="s">
        <v>7647</v>
      </c>
      <c r="J538" s="80">
        <v>7.5555555555555554</v>
      </c>
      <c r="K538" s="12" t="s">
        <v>7161</v>
      </c>
      <c r="L538" s="12" t="s">
        <v>21</v>
      </c>
      <c r="M538" s="12" t="s">
        <v>8110</v>
      </c>
      <c r="N538" s="12">
        <v>17.3</v>
      </c>
      <c r="O538" s="12">
        <v>0.14599999999999999</v>
      </c>
      <c r="P538" s="12">
        <v>0.94399999999999995</v>
      </c>
      <c r="Q538" s="12" t="s">
        <v>7320</v>
      </c>
      <c r="R538" s="12">
        <v>8.6999999999999994E-3</v>
      </c>
      <c r="S538" s="12">
        <v>6.9000000000000006E-2</v>
      </c>
      <c r="T538" s="12">
        <v>77841</v>
      </c>
      <c r="U538" s="12">
        <v>9.9000000000000005E-2</v>
      </c>
      <c r="V538" s="12" t="s">
        <v>7661</v>
      </c>
      <c r="W538" s="12" t="s">
        <v>11</v>
      </c>
      <c r="X538" s="12">
        <v>14</v>
      </c>
      <c r="Y538" s="12" t="s">
        <v>8052</v>
      </c>
      <c r="Z538" s="12" t="s">
        <v>8052</v>
      </c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</row>
    <row r="539" spans="1:39" s="12" customFormat="1" x14ac:dyDescent="0.2">
      <c r="A539" s="12" t="s">
        <v>1120</v>
      </c>
      <c r="B539" s="12" t="s">
        <v>1118</v>
      </c>
      <c r="C539" s="12" t="s">
        <v>13</v>
      </c>
      <c r="D539" s="12" t="s">
        <v>7159</v>
      </c>
      <c r="E539" s="12" t="s">
        <v>8031</v>
      </c>
      <c r="F539" s="12" t="s">
        <v>7160</v>
      </c>
      <c r="G539" s="12" t="s">
        <v>7649</v>
      </c>
      <c r="H539" s="12">
        <v>67</v>
      </c>
      <c r="I539" s="12" t="s">
        <v>7647</v>
      </c>
      <c r="J539" s="80">
        <v>7.4444444444444438</v>
      </c>
      <c r="K539" s="12" t="s">
        <v>7161</v>
      </c>
      <c r="L539" s="12" t="s">
        <v>21</v>
      </c>
      <c r="M539" s="12" t="s">
        <v>8110</v>
      </c>
      <c r="N539" s="12">
        <v>415</v>
      </c>
      <c r="O539" s="12">
        <v>6.7000000000000004E-2</v>
      </c>
      <c r="P539" s="12">
        <v>0.997</v>
      </c>
      <c r="Q539" s="12" t="s">
        <v>7241</v>
      </c>
      <c r="R539" s="12">
        <v>0.44600000000000001</v>
      </c>
      <c r="S539" s="12">
        <v>3.5470000000000002</v>
      </c>
      <c r="T539" s="12">
        <v>777383</v>
      </c>
      <c r="U539" s="12">
        <v>6.0999999999999999E-2</v>
      </c>
      <c r="V539" s="12" t="s">
        <v>7661</v>
      </c>
      <c r="W539" s="12" t="s">
        <v>25</v>
      </c>
      <c r="X539" s="12">
        <v>7796</v>
      </c>
      <c r="Y539" s="12" t="s">
        <v>6639</v>
      </c>
      <c r="Z539" s="12" t="s">
        <v>6639</v>
      </c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</row>
    <row r="540" spans="1:39" s="12" customFormat="1" x14ac:dyDescent="0.2">
      <c r="A540" s="12" t="s">
        <v>3786</v>
      </c>
      <c r="B540" s="12" t="s">
        <v>3784</v>
      </c>
      <c r="C540" s="12" t="s">
        <v>13</v>
      </c>
      <c r="D540" s="12" t="s">
        <v>7159</v>
      </c>
      <c r="E540" s="12" t="s">
        <v>8031</v>
      </c>
      <c r="F540" s="12" t="s">
        <v>7160</v>
      </c>
      <c r="G540" s="12" t="s">
        <v>7649</v>
      </c>
      <c r="H540" s="12">
        <v>66</v>
      </c>
      <c r="I540" s="12" t="s">
        <v>7647</v>
      </c>
      <c r="J540" s="80">
        <v>7.333333333333333</v>
      </c>
      <c r="K540" s="12" t="s">
        <v>7161</v>
      </c>
      <c r="L540" s="12" t="s">
        <v>21</v>
      </c>
      <c r="M540" s="12" t="s">
        <v>8110</v>
      </c>
      <c r="N540" s="12">
        <v>217</v>
      </c>
      <c r="O540" s="12">
        <v>0.109</v>
      </c>
      <c r="P540" s="12">
        <v>0.995</v>
      </c>
      <c r="Q540" s="12" t="s">
        <v>7243</v>
      </c>
      <c r="R540" s="12">
        <v>0.18099999999999999</v>
      </c>
      <c r="S540" s="12">
        <v>2.0259999999999998</v>
      </c>
      <c r="T540" s="12">
        <v>783119</v>
      </c>
      <c r="U540" s="12">
        <v>0.1</v>
      </c>
      <c r="V540" s="12" t="s">
        <v>7661</v>
      </c>
      <c r="W540" s="12" t="s">
        <v>25</v>
      </c>
      <c r="X540" s="12">
        <v>7106</v>
      </c>
      <c r="Y540" s="12" t="s">
        <v>6639</v>
      </c>
      <c r="Z540" s="12" t="s">
        <v>6639</v>
      </c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</row>
    <row r="541" spans="1:39" s="12" customFormat="1" x14ac:dyDescent="0.2">
      <c r="A541" s="12" t="s">
        <v>84</v>
      </c>
      <c r="B541" s="12" t="s">
        <v>83</v>
      </c>
      <c r="C541" s="12" t="s">
        <v>13</v>
      </c>
      <c r="D541" s="12" t="s">
        <v>7210</v>
      </c>
      <c r="E541" s="12" t="s">
        <v>8124</v>
      </c>
      <c r="F541" s="12" t="s">
        <v>7160</v>
      </c>
      <c r="G541" s="12" t="s">
        <v>7649</v>
      </c>
      <c r="H541" s="12">
        <v>75</v>
      </c>
      <c r="I541" s="12" t="s">
        <v>7647</v>
      </c>
      <c r="J541" s="80">
        <v>8.3333333333333321</v>
      </c>
      <c r="K541" s="12" t="s">
        <v>7161</v>
      </c>
      <c r="L541" s="12" t="s">
        <v>21</v>
      </c>
      <c r="M541" s="12" t="s">
        <v>8110</v>
      </c>
      <c r="N541" s="12">
        <v>458</v>
      </c>
      <c r="O541" s="12">
        <v>0.121</v>
      </c>
      <c r="P541" s="12">
        <v>0.995</v>
      </c>
      <c r="Q541" s="12" t="s">
        <v>7243</v>
      </c>
      <c r="R541" s="12">
        <v>0.68899999999999995</v>
      </c>
      <c r="S541" s="12">
        <v>3.056</v>
      </c>
      <c r="T541" s="12">
        <v>837461</v>
      </c>
      <c r="U541" s="12">
        <v>0.10199999999999999</v>
      </c>
      <c r="V541" s="12" t="s">
        <v>7661</v>
      </c>
      <c r="W541" s="12" t="s">
        <v>11</v>
      </c>
      <c r="X541" s="12">
        <v>4692</v>
      </c>
      <c r="Y541" s="12">
        <v>2.9090000000000001E-3</v>
      </c>
      <c r="Z541" s="12">
        <v>2.4537859073904591</v>
      </c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</row>
    <row r="542" spans="1:39" s="12" customFormat="1" x14ac:dyDescent="0.2">
      <c r="A542" s="12" t="s">
        <v>34</v>
      </c>
      <c r="B542" s="12" t="s">
        <v>32</v>
      </c>
      <c r="C542" s="12" t="s">
        <v>143</v>
      </c>
      <c r="D542" s="12" t="s">
        <v>8126</v>
      </c>
      <c r="E542" s="12" t="s">
        <v>8124</v>
      </c>
      <c r="F542" s="12" t="s">
        <v>7160</v>
      </c>
      <c r="G542" s="12" t="s">
        <v>7649</v>
      </c>
      <c r="H542" s="12">
        <v>75</v>
      </c>
      <c r="I542" s="12" t="s">
        <v>7647</v>
      </c>
      <c r="J542" s="80">
        <v>8.3333333333333321</v>
      </c>
      <c r="K542" s="12" t="s">
        <v>7161</v>
      </c>
      <c r="L542" s="12" t="s">
        <v>21</v>
      </c>
      <c r="M542" s="12" t="s">
        <v>8110</v>
      </c>
      <c r="N542" s="12">
        <v>47.6</v>
      </c>
      <c r="O542" s="12">
        <v>2.5999999999999999E-2</v>
      </c>
      <c r="P542" s="12">
        <v>0.99199999999999999</v>
      </c>
      <c r="Q542" s="12" t="s">
        <v>7269</v>
      </c>
      <c r="R542" s="12">
        <v>9.1999999999999998E-2</v>
      </c>
      <c r="S542" s="12">
        <v>0.21199999999999999</v>
      </c>
      <c r="T542" s="12">
        <v>224619</v>
      </c>
      <c r="U542" s="12">
        <v>1.9E-2</v>
      </c>
      <c r="V542" s="12" t="s">
        <v>7661</v>
      </c>
      <c r="W542" s="12" t="s">
        <v>11</v>
      </c>
      <c r="X542" s="12">
        <v>90</v>
      </c>
      <c r="Y542" s="12" t="s">
        <v>8052</v>
      </c>
      <c r="Z542" s="12" t="s">
        <v>8052</v>
      </c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</row>
    <row r="543" spans="1:39" s="12" customFormat="1" x14ac:dyDescent="0.2">
      <c r="A543" s="12" t="s">
        <v>27</v>
      </c>
      <c r="B543" s="12" t="s">
        <v>23</v>
      </c>
      <c r="C543" s="12" t="s">
        <v>143</v>
      </c>
      <c r="D543" s="12" t="s">
        <v>8126</v>
      </c>
      <c r="E543" s="12" t="s">
        <v>8124</v>
      </c>
      <c r="F543" s="12" t="s">
        <v>7160</v>
      </c>
      <c r="G543" s="12" t="s">
        <v>7649</v>
      </c>
      <c r="H543" s="12">
        <v>75</v>
      </c>
      <c r="I543" s="12" t="s">
        <v>7647</v>
      </c>
      <c r="J543" s="80">
        <v>8.3333333333333321</v>
      </c>
      <c r="K543" s="12" t="s">
        <v>7161</v>
      </c>
      <c r="L543" s="12" t="s">
        <v>21</v>
      </c>
      <c r="M543" s="12" t="s">
        <v>8110</v>
      </c>
      <c r="N543" s="12">
        <v>24.5</v>
      </c>
      <c r="O543" s="12">
        <v>1.2999999999999999E-2</v>
      </c>
      <c r="P543" s="12">
        <v>0.98699999999999999</v>
      </c>
      <c r="Q543" s="12" t="s">
        <v>7268</v>
      </c>
      <c r="R543" s="12">
        <v>0.32400000000000001</v>
      </c>
      <c r="S543" s="12">
        <v>0.18099999999999999</v>
      </c>
      <c r="T543" s="12">
        <v>190995</v>
      </c>
      <c r="U543" s="12">
        <v>1.2999999999999999E-2</v>
      </c>
      <c r="V543" s="12" t="s">
        <v>7661</v>
      </c>
      <c r="W543" s="12" t="s">
        <v>25</v>
      </c>
      <c r="X543" s="12">
        <v>269</v>
      </c>
      <c r="Y543" s="12" t="s">
        <v>6639</v>
      </c>
      <c r="Z543" s="12" t="s">
        <v>6639</v>
      </c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</row>
    <row r="544" spans="1:39" s="12" customFormat="1" x14ac:dyDescent="0.2">
      <c r="A544" s="12" t="s">
        <v>71</v>
      </c>
      <c r="B544" s="12" t="s">
        <v>70</v>
      </c>
      <c r="C544" s="12" t="s">
        <v>13</v>
      </c>
      <c r="D544" s="12" t="s">
        <v>7210</v>
      </c>
      <c r="E544" s="12" t="s">
        <v>8124</v>
      </c>
      <c r="F544" s="12" t="s">
        <v>7160</v>
      </c>
      <c r="G544" s="12" t="s">
        <v>7649</v>
      </c>
      <c r="H544" s="12">
        <v>75</v>
      </c>
      <c r="I544" s="12" t="s">
        <v>7647</v>
      </c>
      <c r="J544" s="80">
        <v>8.3333333333333321</v>
      </c>
      <c r="K544" s="12" t="s">
        <v>7161</v>
      </c>
      <c r="L544" s="12" t="s">
        <v>21</v>
      </c>
      <c r="M544" s="12" t="s">
        <v>8110</v>
      </c>
      <c r="N544" s="12">
        <v>247</v>
      </c>
      <c r="O544" s="12">
        <v>0.13500000000000001</v>
      </c>
      <c r="P544" s="12">
        <v>0.995</v>
      </c>
      <c r="Q544" s="12" t="s">
        <v>7256</v>
      </c>
      <c r="R544" s="12">
        <v>0.111</v>
      </c>
      <c r="S544" s="12">
        <v>1.1160000000000001</v>
      </c>
      <c r="T544" s="12">
        <v>657546</v>
      </c>
      <c r="U544" s="12">
        <v>9.9000000000000005E-2</v>
      </c>
      <c r="V544" s="12" t="s">
        <v>7661</v>
      </c>
      <c r="W544" s="12" t="s">
        <v>25</v>
      </c>
      <c r="X544" s="12">
        <v>4389</v>
      </c>
      <c r="Y544" s="12" t="s">
        <v>6639</v>
      </c>
      <c r="Z544" s="12" t="s">
        <v>6639</v>
      </c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</row>
    <row r="545" spans="1:39" s="12" customFormat="1" x14ac:dyDescent="0.2">
      <c r="A545" s="12" t="s">
        <v>75</v>
      </c>
      <c r="B545" s="12" t="s">
        <v>74</v>
      </c>
      <c r="C545" s="12" t="s">
        <v>13</v>
      </c>
      <c r="D545" s="12" t="s">
        <v>7210</v>
      </c>
      <c r="E545" s="12" t="s">
        <v>8124</v>
      </c>
      <c r="F545" s="12" t="s">
        <v>7160</v>
      </c>
      <c r="G545" s="12" t="s">
        <v>7649</v>
      </c>
      <c r="H545" s="12">
        <v>75</v>
      </c>
      <c r="I545" s="12" t="s">
        <v>7647</v>
      </c>
      <c r="J545" s="80">
        <v>8.3333333333333321</v>
      </c>
      <c r="K545" s="12" t="s">
        <v>7161</v>
      </c>
      <c r="L545" s="12" t="s">
        <v>21</v>
      </c>
      <c r="M545" s="12" t="s">
        <v>8110</v>
      </c>
      <c r="N545" s="12">
        <v>253</v>
      </c>
      <c r="O545" s="12">
        <v>0.121</v>
      </c>
      <c r="P545" s="12">
        <v>0.997</v>
      </c>
      <c r="Q545" s="12" t="s">
        <v>7194</v>
      </c>
      <c r="R545" s="12">
        <v>0.67100000000000004</v>
      </c>
      <c r="S545" s="12">
        <v>2.9260000000000002</v>
      </c>
      <c r="T545" s="12">
        <v>831605</v>
      </c>
      <c r="U545" s="12">
        <v>0.105</v>
      </c>
      <c r="V545" s="12" t="s">
        <v>7661</v>
      </c>
      <c r="W545" s="12" t="s">
        <v>11</v>
      </c>
      <c r="X545" s="12">
        <v>4412</v>
      </c>
      <c r="Y545" s="12">
        <v>6.1320000000000003E-3</v>
      </c>
      <c r="Z545" s="12">
        <v>4.247019744624736</v>
      </c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</row>
    <row r="546" spans="1:39" s="12" customFormat="1" x14ac:dyDescent="0.2">
      <c r="A546" s="12" t="s">
        <v>14</v>
      </c>
      <c r="B546" s="12" t="s">
        <v>10</v>
      </c>
      <c r="C546" s="12" t="s">
        <v>13</v>
      </c>
      <c r="D546" s="12" t="s">
        <v>7210</v>
      </c>
      <c r="E546" s="12" t="s">
        <v>8124</v>
      </c>
      <c r="F546" s="12" t="s">
        <v>7160</v>
      </c>
      <c r="G546" s="12" t="s">
        <v>7649</v>
      </c>
      <c r="H546" s="12">
        <v>75</v>
      </c>
      <c r="I546" s="12" t="s">
        <v>7647</v>
      </c>
      <c r="J546" s="80">
        <v>8.3333333333333321</v>
      </c>
      <c r="K546" s="12" t="s">
        <v>7161</v>
      </c>
      <c r="L546" s="12" t="s">
        <v>21</v>
      </c>
      <c r="M546" s="12" t="s">
        <v>8110</v>
      </c>
      <c r="N546" s="12">
        <v>496</v>
      </c>
      <c r="O546" s="12">
        <v>0.111</v>
      </c>
      <c r="P546" s="12">
        <v>0.99399999999999999</v>
      </c>
      <c r="Q546" s="12" t="s">
        <v>7262</v>
      </c>
      <c r="R546" s="12">
        <v>0.68899999999999995</v>
      </c>
      <c r="S546" s="12">
        <v>2.702</v>
      </c>
      <c r="T546" s="12">
        <v>818967</v>
      </c>
      <c r="U546" s="12">
        <v>9.7000000000000003E-2</v>
      </c>
      <c r="V546" s="12" t="s">
        <v>7661</v>
      </c>
      <c r="W546" s="12" t="s">
        <v>11</v>
      </c>
      <c r="X546" s="12">
        <v>4188</v>
      </c>
      <c r="Y546" s="12">
        <v>4.4970000000000001E-3</v>
      </c>
      <c r="Z546" s="12">
        <v>3.2439872260338456</v>
      </c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</row>
    <row r="547" spans="1:39" s="12" customFormat="1" x14ac:dyDescent="0.2">
      <c r="A547" s="12" t="s">
        <v>87</v>
      </c>
      <c r="B547" s="12" t="s">
        <v>86</v>
      </c>
      <c r="C547" s="12" t="s">
        <v>13</v>
      </c>
      <c r="D547" s="12" t="s">
        <v>7210</v>
      </c>
      <c r="E547" s="12" t="s">
        <v>8124</v>
      </c>
      <c r="F547" s="12" t="s">
        <v>7160</v>
      </c>
      <c r="G547" s="12" t="s">
        <v>7649</v>
      </c>
      <c r="H547" s="12">
        <v>75</v>
      </c>
      <c r="I547" s="12" t="s">
        <v>7647</v>
      </c>
      <c r="J547" s="80">
        <v>8.3333333333333321</v>
      </c>
      <c r="K547" s="12" t="s">
        <v>7161</v>
      </c>
      <c r="L547" s="12" t="s">
        <v>21</v>
      </c>
      <c r="M547" s="12" t="s">
        <v>8110</v>
      </c>
      <c r="N547" s="12">
        <v>831</v>
      </c>
      <c r="O547" s="12">
        <v>6.6000000000000003E-2</v>
      </c>
      <c r="P547" s="12">
        <v>0.998</v>
      </c>
      <c r="Q547" s="12" t="s">
        <v>7206</v>
      </c>
      <c r="R547" s="12">
        <v>0.67600000000000005</v>
      </c>
      <c r="S547" s="12">
        <v>0.52500000000000002</v>
      </c>
      <c r="T547" s="12">
        <v>378345</v>
      </c>
      <c r="U547" s="12">
        <v>5.6000000000000001E-2</v>
      </c>
      <c r="V547" s="12" t="s">
        <v>7661</v>
      </c>
      <c r="W547" s="12" t="s">
        <v>11</v>
      </c>
      <c r="X547" s="12">
        <v>552</v>
      </c>
      <c r="Y547" s="12">
        <v>5.7320000000000001E-3</v>
      </c>
      <c r="Z547" s="12">
        <v>1.3113673956362488</v>
      </c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</row>
    <row r="548" spans="1:39" s="12" customFormat="1" x14ac:dyDescent="0.2">
      <c r="A548" s="12" t="s">
        <v>79</v>
      </c>
      <c r="B548" s="12" t="s">
        <v>78</v>
      </c>
      <c r="C548" s="12" t="s">
        <v>13</v>
      </c>
      <c r="D548" s="12" t="s">
        <v>7210</v>
      </c>
      <c r="E548" s="12" t="s">
        <v>8124</v>
      </c>
      <c r="F548" s="12" t="s">
        <v>7160</v>
      </c>
      <c r="G548" s="12" t="s">
        <v>7649</v>
      </c>
      <c r="H548" s="12">
        <v>75</v>
      </c>
      <c r="I548" s="12" t="s">
        <v>7647</v>
      </c>
      <c r="J548" s="80">
        <v>8.3333333333333321</v>
      </c>
      <c r="K548" s="12" t="s">
        <v>7161</v>
      </c>
      <c r="L548" s="12" t="s">
        <v>21</v>
      </c>
      <c r="M548" s="12" t="s">
        <v>8110</v>
      </c>
      <c r="N548" s="12">
        <v>461</v>
      </c>
      <c r="O548" s="12">
        <v>0.14599999999999999</v>
      </c>
      <c r="P548" s="12">
        <v>0.99099999999999999</v>
      </c>
      <c r="Q548" s="12" t="s">
        <v>7191</v>
      </c>
      <c r="R548" s="12">
        <v>0.68799999999999994</v>
      </c>
      <c r="S548" s="12">
        <v>2.7149999999999999</v>
      </c>
      <c r="T548" s="12">
        <v>819809</v>
      </c>
      <c r="U548" s="12">
        <v>0.122</v>
      </c>
      <c r="V548" s="12" t="s">
        <v>7661</v>
      </c>
      <c r="W548" s="12" t="s">
        <v>11</v>
      </c>
      <c r="X548" s="12">
        <v>4095</v>
      </c>
      <c r="Y548" s="12">
        <v>3.7069999999999998E-3</v>
      </c>
      <c r="Z548" s="12">
        <v>2.8173702618854719</v>
      </c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</row>
    <row r="549" spans="1:39" s="12" customFormat="1" x14ac:dyDescent="0.2">
      <c r="A549" s="12" t="s">
        <v>3960</v>
      </c>
      <c r="B549" s="12" t="s">
        <v>3958</v>
      </c>
      <c r="C549" s="12" t="s">
        <v>13</v>
      </c>
      <c r="D549" s="12" t="s">
        <v>7210</v>
      </c>
      <c r="E549" s="12" t="s">
        <v>8124</v>
      </c>
      <c r="F549" s="12" t="s">
        <v>7160</v>
      </c>
      <c r="G549" s="12" t="s">
        <v>7649</v>
      </c>
      <c r="H549" s="12">
        <v>74</v>
      </c>
      <c r="I549" s="12" t="s">
        <v>7647</v>
      </c>
      <c r="J549" s="80">
        <v>8.2222222222222214</v>
      </c>
      <c r="K549" s="12" t="s">
        <v>7161</v>
      </c>
      <c r="L549" s="12" t="s">
        <v>21</v>
      </c>
      <c r="M549" s="12" t="s">
        <v>8110</v>
      </c>
      <c r="N549" s="12">
        <v>47.1</v>
      </c>
      <c r="O549" s="12">
        <v>0.14499999999999999</v>
      </c>
      <c r="P549" s="12">
        <v>1</v>
      </c>
      <c r="Q549" s="12" t="s">
        <v>7206</v>
      </c>
      <c r="R549" s="12">
        <v>5.8000000000000003E-2</v>
      </c>
      <c r="S549" s="12">
        <v>1.127</v>
      </c>
      <c r="T549" s="12">
        <v>665846</v>
      </c>
      <c r="U549" s="12">
        <v>0.14099999999999999</v>
      </c>
      <c r="V549" s="12" t="s">
        <v>7661</v>
      </c>
      <c r="W549" s="12" t="s">
        <v>11</v>
      </c>
      <c r="X549" s="12">
        <v>1464</v>
      </c>
      <c r="Y549" s="12">
        <v>6.6109999999999997E-3</v>
      </c>
      <c r="Z549" s="12">
        <v>2.5511444454820698</v>
      </c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</row>
    <row r="550" spans="1:39" s="12" customFormat="1" x14ac:dyDescent="0.2">
      <c r="A550" s="12" t="s">
        <v>3970</v>
      </c>
      <c r="B550" s="12" t="s">
        <v>3969</v>
      </c>
      <c r="C550" s="12" t="s">
        <v>13</v>
      </c>
      <c r="D550" s="12" t="s">
        <v>7210</v>
      </c>
      <c r="E550" s="12" t="s">
        <v>8124</v>
      </c>
      <c r="F550" s="12" t="s">
        <v>7160</v>
      </c>
      <c r="G550" s="12" t="s">
        <v>7649</v>
      </c>
      <c r="H550" s="12">
        <v>75</v>
      </c>
      <c r="I550" s="12" t="s">
        <v>7647</v>
      </c>
      <c r="J550" s="80">
        <v>8.3333333333333321</v>
      </c>
      <c r="K550" s="12" t="s">
        <v>7161</v>
      </c>
      <c r="L550" s="12" t="s">
        <v>21</v>
      </c>
      <c r="M550" s="12" t="s">
        <v>8110</v>
      </c>
      <c r="N550" s="12">
        <v>98.5</v>
      </c>
      <c r="O550" s="12">
        <v>0.13400000000000001</v>
      </c>
      <c r="P550" s="12">
        <v>1</v>
      </c>
      <c r="Q550" s="12" t="s">
        <v>7165</v>
      </c>
      <c r="R550" s="12">
        <v>0.19700000000000001</v>
      </c>
      <c r="S550" s="12">
        <v>2.75</v>
      </c>
      <c r="T550" s="12">
        <v>839349</v>
      </c>
      <c r="U550" s="12">
        <v>0.13500000000000001</v>
      </c>
      <c r="V550" s="12" t="s">
        <v>7661</v>
      </c>
      <c r="W550" s="12" t="s">
        <v>25</v>
      </c>
      <c r="X550" s="12">
        <v>8393</v>
      </c>
      <c r="Y550" s="12" t="s">
        <v>6639</v>
      </c>
      <c r="Z550" s="12" t="s">
        <v>6639</v>
      </c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</row>
    <row r="551" spans="1:39" s="12" customFormat="1" x14ac:dyDescent="0.2">
      <c r="A551" s="12" t="s">
        <v>3984</v>
      </c>
      <c r="B551" s="12" t="s">
        <v>3983</v>
      </c>
      <c r="C551" s="12" t="s">
        <v>13</v>
      </c>
      <c r="D551" s="12" t="s">
        <v>7210</v>
      </c>
      <c r="E551" s="12" t="s">
        <v>8124</v>
      </c>
      <c r="F551" s="12" t="s">
        <v>7160</v>
      </c>
      <c r="G551" s="12" t="s">
        <v>7649</v>
      </c>
      <c r="H551" s="12">
        <v>75</v>
      </c>
      <c r="I551" s="12" t="s">
        <v>7647</v>
      </c>
      <c r="J551" s="80">
        <v>8.3333333333333321</v>
      </c>
      <c r="K551" s="12" t="s">
        <v>7161</v>
      </c>
      <c r="L551" s="12" t="s">
        <v>21</v>
      </c>
      <c r="M551" s="12" t="s">
        <v>8110</v>
      </c>
      <c r="N551" s="12">
        <v>114</v>
      </c>
      <c r="O551" s="12">
        <v>0.124</v>
      </c>
      <c r="P551" s="12">
        <v>1</v>
      </c>
      <c r="Q551" s="12" t="s">
        <v>7169</v>
      </c>
      <c r="R551" s="12">
        <v>0.28499999999999998</v>
      </c>
      <c r="S551" s="12">
        <v>3.052</v>
      </c>
      <c r="T551" s="12">
        <v>850658</v>
      </c>
      <c r="U551" s="12">
        <v>0.129</v>
      </c>
      <c r="V551" s="12" t="s">
        <v>7661</v>
      </c>
      <c r="W551" s="12" t="s">
        <v>25</v>
      </c>
      <c r="X551" s="12">
        <v>8700</v>
      </c>
      <c r="Y551" s="12" t="s">
        <v>6639</v>
      </c>
      <c r="Z551" s="12" t="s">
        <v>6639</v>
      </c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</row>
    <row r="552" spans="1:39" s="12" customFormat="1" x14ac:dyDescent="0.2">
      <c r="A552" s="12" t="s">
        <v>3266</v>
      </c>
      <c r="B552" s="12" t="s">
        <v>3267</v>
      </c>
      <c r="C552" s="12" t="s">
        <v>13</v>
      </c>
      <c r="D552" s="12" t="s">
        <v>7210</v>
      </c>
      <c r="E552" s="12" t="s">
        <v>8123</v>
      </c>
      <c r="F552" s="12" t="s">
        <v>7230</v>
      </c>
      <c r="G552" s="12" t="s">
        <v>7651</v>
      </c>
      <c r="H552" s="12">
        <v>75</v>
      </c>
      <c r="I552" s="12" t="s">
        <v>7647</v>
      </c>
      <c r="J552" s="80">
        <v>7.5</v>
      </c>
      <c r="K552" s="12" t="s">
        <v>7161</v>
      </c>
      <c r="L552" s="12" t="s">
        <v>21</v>
      </c>
      <c r="M552" s="12" t="s">
        <v>8109</v>
      </c>
      <c r="N552" s="12">
        <v>42.05</v>
      </c>
      <c r="O552" s="12">
        <v>0.107</v>
      </c>
      <c r="P552" s="12">
        <v>0.996286</v>
      </c>
      <c r="Q552" s="12" t="s">
        <v>7195</v>
      </c>
      <c r="R552" s="12">
        <v>5.1999999999999998E-2</v>
      </c>
      <c r="S552" s="12">
        <v>0.26500000000000001</v>
      </c>
      <c r="T552" s="12">
        <v>257315</v>
      </c>
      <c r="U552" s="12">
        <v>0.13200000000000001</v>
      </c>
      <c r="V552" s="12" t="s">
        <v>7662</v>
      </c>
      <c r="W552" s="12" t="s">
        <v>11</v>
      </c>
      <c r="X552" s="12">
        <v>157</v>
      </c>
      <c r="Y552" s="12" t="s">
        <v>8052</v>
      </c>
      <c r="Z552" s="12" t="s">
        <v>8052</v>
      </c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</row>
    <row r="553" spans="1:39" s="12" customFormat="1" x14ac:dyDescent="0.2">
      <c r="A553" s="12" t="s">
        <v>3986</v>
      </c>
      <c r="B553" s="12" t="s">
        <v>3267</v>
      </c>
      <c r="C553" s="12" t="s">
        <v>13</v>
      </c>
      <c r="D553" s="12" t="s">
        <v>7210</v>
      </c>
      <c r="E553" s="12" t="s">
        <v>8124</v>
      </c>
      <c r="F553" s="12" t="s">
        <v>7160</v>
      </c>
      <c r="G553" s="12" t="s">
        <v>7649</v>
      </c>
      <c r="H553" s="12">
        <v>75</v>
      </c>
      <c r="I553" s="12" t="s">
        <v>7647</v>
      </c>
      <c r="J553" s="80">
        <v>8.3333333333333321</v>
      </c>
      <c r="K553" s="12" t="s">
        <v>7161</v>
      </c>
      <c r="L553" s="12" t="s">
        <v>21</v>
      </c>
      <c r="M553" s="12" t="s">
        <v>8110</v>
      </c>
      <c r="N553" s="12">
        <v>45.7</v>
      </c>
      <c r="O553" s="12">
        <v>0.157</v>
      </c>
      <c r="P553" s="12">
        <v>0.998</v>
      </c>
      <c r="Q553" s="12" t="s">
        <v>7204</v>
      </c>
      <c r="R553" s="12">
        <v>2.5999999999999999E-2</v>
      </c>
      <c r="S553" s="12">
        <v>0.32800000000000001</v>
      </c>
      <c r="T553" s="12">
        <v>313441</v>
      </c>
      <c r="U553" s="12">
        <v>0.14899999999999999</v>
      </c>
      <c r="V553" s="12" t="s">
        <v>7661</v>
      </c>
      <c r="W553" s="12" t="s">
        <v>11</v>
      </c>
      <c r="X553" s="12">
        <v>186</v>
      </c>
      <c r="Y553" s="12" t="s">
        <v>8052</v>
      </c>
      <c r="Z553" s="12" t="s">
        <v>8052</v>
      </c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</row>
    <row r="554" spans="1:39" s="12" customFormat="1" x14ac:dyDescent="0.2">
      <c r="A554" s="12" t="s">
        <v>3967</v>
      </c>
      <c r="B554" s="12" t="s">
        <v>3966</v>
      </c>
      <c r="C554" s="12" t="s">
        <v>13</v>
      </c>
      <c r="D554" s="12" t="s">
        <v>7210</v>
      </c>
      <c r="E554" s="12" t="s">
        <v>8124</v>
      </c>
      <c r="F554" s="12" t="s">
        <v>7160</v>
      </c>
      <c r="G554" s="12" t="s">
        <v>7649</v>
      </c>
      <c r="H554" s="12">
        <v>68</v>
      </c>
      <c r="I554" s="12" t="s">
        <v>7647</v>
      </c>
      <c r="J554" s="80">
        <v>7.5555555555555554</v>
      </c>
      <c r="K554" s="12" t="s">
        <v>7161</v>
      </c>
      <c r="L554" s="12" t="s">
        <v>21</v>
      </c>
      <c r="M554" s="12" t="s">
        <v>8110</v>
      </c>
      <c r="N554" s="12">
        <v>73.599999999999994</v>
      </c>
      <c r="O554" s="12">
        <v>0.13100000000000001</v>
      </c>
      <c r="P554" s="12">
        <v>1</v>
      </c>
      <c r="Q554" s="12" t="s">
        <v>7169</v>
      </c>
      <c r="R554" s="12">
        <v>7.6999999999999999E-2</v>
      </c>
      <c r="S554" s="12">
        <v>1.9690000000000001</v>
      </c>
      <c r="T554" s="12">
        <v>800820</v>
      </c>
      <c r="U554" s="12">
        <v>0.13200000000000001</v>
      </c>
      <c r="V554" s="12" t="s">
        <v>7661</v>
      </c>
      <c r="W554" s="12" t="s">
        <v>11</v>
      </c>
      <c r="X554" s="12">
        <v>3305</v>
      </c>
      <c r="Y554" s="12">
        <v>8.3169999999999997E-3</v>
      </c>
      <c r="Z554" s="12">
        <v>4.3686105066211995</v>
      </c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</row>
    <row r="555" spans="1:39" s="12" customFormat="1" x14ac:dyDescent="0.2">
      <c r="A555" s="12" t="s">
        <v>897</v>
      </c>
      <c r="B555" s="12" t="s">
        <v>895</v>
      </c>
      <c r="C555" s="12" t="s">
        <v>13</v>
      </c>
      <c r="D555" s="12" t="s">
        <v>7159</v>
      </c>
      <c r="E555" s="12" t="s">
        <v>8031</v>
      </c>
      <c r="F555" s="12" t="s">
        <v>7160</v>
      </c>
      <c r="G555" s="12" t="s">
        <v>7649</v>
      </c>
      <c r="H555" s="12">
        <v>71</v>
      </c>
      <c r="I555" s="12" t="s">
        <v>7647</v>
      </c>
      <c r="J555" s="80">
        <v>7.8888888888888884</v>
      </c>
      <c r="K555" s="12" t="s">
        <v>7161</v>
      </c>
      <c r="L555" s="12" t="s">
        <v>21</v>
      </c>
      <c r="M555" s="12" t="s">
        <v>8110</v>
      </c>
      <c r="N555" s="12">
        <v>193</v>
      </c>
      <c r="O555" s="12">
        <v>0.126</v>
      </c>
      <c r="P555" s="12">
        <v>0.98799999999999999</v>
      </c>
      <c r="Q555" s="12" t="s">
        <v>7284</v>
      </c>
      <c r="R555" s="12">
        <v>0.23899999999999999</v>
      </c>
      <c r="S555" s="12">
        <v>1.5820000000000001</v>
      </c>
      <c r="T555" s="12">
        <v>777954</v>
      </c>
      <c r="U555" s="12" t="s">
        <v>17</v>
      </c>
      <c r="V555" s="12" t="s">
        <v>7661</v>
      </c>
      <c r="W555" s="12" t="s">
        <v>11</v>
      </c>
      <c r="X555" s="12">
        <v>2555</v>
      </c>
      <c r="Y555" s="12">
        <v>9.724E-3</v>
      </c>
      <c r="Z555" s="12">
        <v>4.1143592152084043</v>
      </c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</row>
    <row r="556" spans="1:39" s="12" customFormat="1" x14ac:dyDescent="0.2">
      <c r="A556" s="12" t="s">
        <v>1024</v>
      </c>
      <c r="B556" s="12" t="s">
        <v>1023</v>
      </c>
      <c r="C556" s="12" t="s">
        <v>13</v>
      </c>
      <c r="D556" s="12" t="s">
        <v>7159</v>
      </c>
      <c r="E556" s="12" t="s">
        <v>8031</v>
      </c>
      <c r="F556" s="12" t="s">
        <v>7160</v>
      </c>
      <c r="G556" s="12" t="s">
        <v>7649</v>
      </c>
      <c r="H556" s="12">
        <v>77</v>
      </c>
      <c r="I556" s="12" t="s">
        <v>7647</v>
      </c>
      <c r="J556" s="80">
        <v>8.5555555555555554</v>
      </c>
      <c r="K556" s="12" t="s">
        <v>7161</v>
      </c>
      <c r="L556" s="12" t="s">
        <v>21</v>
      </c>
      <c r="M556" s="12" t="s">
        <v>8110</v>
      </c>
      <c r="N556" s="12">
        <v>55.2</v>
      </c>
      <c r="O556" s="12">
        <v>0.2</v>
      </c>
      <c r="P556" s="12">
        <v>0.98099999999999998</v>
      </c>
      <c r="Q556" s="12" t="s">
        <v>7264</v>
      </c>
      <c r="R556" s="12">
        <v>1.7999999999999999E-2</v>
      </c>
      <c r="S556" s="12">
        <v>0.26300000000000001</v>
      </c>
      <c r="T556" s="12">
        <v>254447</v>
      </c>
      <c r="U556" s="12" t="s">
        <v>17</v>
      </c>
      <c r="V556" s="12" t="s">
        <v>7661</v>
      </c>
      <c r="W556" s="12" t="s">
        <v>25</v>
      </c>
      <c r="X556" s="12">
        <v>399</v>
      </c>
      <c r="Y556" s="12" t="s">
        <v>6639</v>
      </c>
      <c r="Z556" s="12" t="s">
        <v>6639</v>
      </c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</row>
    <row r="557" spans="1:39" s="12" customFormat="1" x14ac:dyDescent="0.2">
      <c r="A557" s="12" t="s">
        <v>1123</v>
      </c>
      <c r="B557" s="12" t="s">
        <v>1122</v>
      </c>
      <c r="C557" s="12" t="s">
        <v>13</v>
      </c>
      <c r="D557" s="12" t="s">
        <v>7159</v>
      </c>
      <c r="E557" s="12" t="s">
        <v>8031</v>
      </c>
      <c r="F557" s="12" t="s">
        <v>7160</v>
      </c>
      <c r="G557" s="12" t="s">
        <v>7649</v>
      </c>
      <c r="H557" s="12">
        <v>72</v>
      </c>
      <c r="I557" s="12" t="s">
        <v>7647</v>
      </c>
      <c r="J557" s="80">
        <v>8</v>
      </c>
      <c r="K557" s="12" t="s">
        <v>7161</v>
      </c>
      <c r="L557" s="12" t="s">
        <v>21</v>
      </c>
      <c r="M557" s="12" t="s">
        <v>8110</v>
      </c>
      <c r="N557" s="12">
        <v>553</v>
      </c>
      <c r="O557" s="12">
        <v>8.4000000000000005E-2</v>
      </c>
      <c r="P557" s="12">
        <v>0.999</v>
      </c>
      <c r="Q557" s="12" t="s">
        <v>7206</v>
      </c>
      <c r="R557" s="12">
        <v>0.30299999999999999</v>
      </c>
      <c r="S557" s="12">
        <v>4.2930000000000001</v>
      </c>
      <c r="T557" s="12">
        <v>921250</v>
      </c>
      <c r="U557" s="12" t="s">
        <v>17</v>
      </c>
      <c r="V557" s="12" t="s">
        <v>7661</v>
      </c>
      <c r="W557" s="12" t="s">
        <v>25</v>
      </c>
      <c r="X557" s="12">
        <v>10802</v>
      </c>
      <c r="Y557" s="12" t="s">
        <v>6639</v>
      </c>
      <c r="Z557" s="12" t="s">
        <v>6639</v>
      </c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</row>
    <row r="558" spans="1:39" s="12" customFormat="1" x14ac:dyDescent="0.2">
      <c r="A558" s="12" t="s">
        <v>5167</v>
      </c>
      <c r="B558" s="12" t="s">
        <v>5166</v>
      </c>
      <c r="C558" s="12" t="s">
        <v>143</v>
      </c>
      <c r="D558" s="12" t="s">
        <v>7159</v>
      </c>
      <c r="E558" s="12" t="s">
        <v>8031</v>
      </c>
      <c r="F558" s="12" t="s">
        <v>7160</v>
      </c>
      <c r="G558" s="12" t="s">
        <v>7649</v>
      </c>
      <c r="H558" s="12">
        <v>81</v>
      </c>
      <c r="I558" s="12" t="s">
        <v>7647</v>
      </c>
      <c r="J558" s="80">
        <v>9</v>
      </c>
      <c r="K558" s="12" t="s">
        <v>7161</v>
      </c>
      <c r="L558" s="12" t="s">
        <v>21</v>
      </c>
      <c r="M558" s="12" t="s">
        <v>8110</v>
      </c>
      <c r="N558" s="12">
        <v>57.4</v>
      </c>
      <c r="O558" s="12">
        <v>0.17299999999999999</v>
      </c>
      <c r="P558" s="12">
        <v>0.999</v>
      </c>
      <c r="Q558" s="12" t="s">
        <v>7179</v>
      </c>
      <c r="R558" s="12">
        <v>4.4000000000000003E-3</v>
      </c>
      <c r="S558" s="12">
        <v>3.7999999999999999E-2</v>
      </c>
      <c r="T558" s="12">
        <v>43000</v>
      </c>
      <c r="U558" s="12" t="s">
        <v>17</v>
      </c>
      <c r="V558" s="12" t="s">
        <v>7661</v>
      </c>
      <c r="W558" s="12" t="s">
        <v>25</v>
      </c>
      <c r="X558" s="12">
        <v>39</v>
      </c>
      <c r="Y558" s="12" t="s">
        <v>6639</v>
      </c>
      <c r="Z558" s="12" t="s">
        <v>6639</v>
      </c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</row>
    <row r="559" spans="1:39" s="12" customFormat="1" x14ac:dyDescent="0.2">
      <c r="A559" s="12" t="s">
        <v>5405</v>
      </c>
      <c r="B559" s="12" t="s">
        <v>5402</v>
      </c>
      <c r="C559" s="12" t="s">
        <v>143</v>
      </c>
      <c r="D559" s="12" t="s">
        <v>7159</v>
      </c>
      <c r="E559" s="12" t="s">
        <v>8031</v>
      </c>
      <c r="F559" s="12" t="s">
        <v>7160</v>
      </c>
      <c r="G559" s="12" t="s">
        <v>7649</v>
      </c>
      <c r="H559" s="12">
        <v>71</v>
      </c>
      <c r="I559" s="12" t="s">
        <v>7647</v>
      </c>
      <c r="J559" s="80">
        <v>7.8888888888888884</v>
      </c>
      <c r="K559" s="12" t="s">
        <v>7161</v>
      </c>
      <c r="L559" s="12" t="s">
        <v>21</v>
      </c>
      <c r="M559" s="12" t="s">
        <v>8110</v>
      </c>
      <c r="N559" s="12">
        <v>0.67500000000000004</v>
      </c>
      <c r="O559" s="12" t="s">
        <v>7796</v>
      </c>
      <c r="P559" s="12" t="s">
        <v>7796</v>
      </c>
      <c r="Q559" s="12" t="s">
        <v>7796</v>
      </c>
      <c r="R559" s="12">
        <v>2.8999999999999998E-3</v>
      </c>
      <c r="S559" s="12">
        <v>5.2659999999999998E-3</v>
      </c>
      <c r="T559" s="12">
        <v>6302</v>
      </c>
      <c r="U559" s="12">
        <v>5.1999999999999998E-2</v>
      </c>
      <c r="V559" s="12" t="s">
        <v>7661</v>
      </c>
      <c r="W559" s="12" t="s">
        <v>11</v>
      </c>
      <c r="X559" s="12">
        <v>0</v>
      </c>
      <c r="Y559" s="12" t="s">
        <v>8052</v>
      </c>
      <c r="Z559" s="12" t="s">
        <v>8052</v>
      </c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</row>
    <row r="560" spans="1:39" s="12" customFormat="1" x14ac:dyDescent="0.2">
      <c r="A560" s="12" t="s">
        <v>5410</v>
      </c>
      <c r="B560" s="12" t="s">
        <v>5407</v>
      </c>
      <c r="C560" s="12" t="s">
        <v>13</v>
      </c>
      <c r="D560" s="12" t="s">
        <v>7210</v>
      </c>
      <c r="E560" s="12" t="s">
        <v>8124</v>
      </c>
      <c r="F560" s="12" t="s">
        <v>7160</v>
      </c>
      <c r="G560" s="12" t="s">
        <v>7649</v>
      </c>
      <c r="H560" s="12">
        <v>75</v>
      </c>
      <c r="I560" s="12" t="s">
        <v>7647</v>
      </c>
      <c r="J560" s="80">
        <v>8.3333333333333321</v>
      </c>
      <c r="K560" s="12" t="s">
        <v>7161</v>
      </c>
      <c r="L560" s="12" t="s">
        <v>21</v>
      </c>
      <c r="M560" s="12" t="s">
        <v>8110</v>
      </c>
      <c r="N560" s="12">
        <v>158</v>
      </c>
      <c r="O560" s="12">
        <v>0.09</v>
      </c>
      <c r="P560" s="12">
        <v>0.997</v>
      </c>
      <c r="Q560" s="12" t="s">
        <v>7204</v>
      </c>
      <c r="R560" s="12">
        <v>0.19700000000000001</v>
      </c>
      <c r="S560" s="12">
        <v>1.7609999999999999</v>
      </c>
      <c r="T560" s="12">
        <v>625559</v>
      </c>
      <c r="U560" s="12">
        <v>8.4000000000000005E-2</v>
      </c>
      <c r="V560" s="12" t="s">
        <v>7661</v>
      </c>
      <c r="W560" s="12" t="s">
        <v>25</v>
      </c>
      <c r="X560" s="12">
        <v>5048</v>
      </c>
      <c r="Y560" s="12" t="s">
        <v>6639</v>
      </c>
      <c r="Z560" s="12" t="s">
        <v>6639</v>
      </c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</row>
    <row r="561" spans="1:39" s="12" customFormat="1" x14ac:dyDescent="0.2">
      <c r="A561" s="12" t="s">
        <v>4110</v>
      </c>
      <c r="B561" s="12" t="s">
        <v>4108</v>
      </c>
      <c r="C561" s="12" t="s">
        <v>13</v>
      </c>
      <c r="D561" s="12" t="s">
        <v>7210</v>
      </c>
      <c r="E561" s="12" t="s">
        <v>8124</v>
      </c>
      <c r="F561" s="12" t="s">
        <v>7160</v>
      </c>
      <c r="G561" s="12" t="s">
        <v>7649</v>
      </c>
      <c r="H561" s="12">
        <v>75</v>
      </c>
      <c r="I561" s="12" t="s">
        <v>7647</v>
      </c>
      <c r="J561" s="80">
        <v>8.3333333333333321</v>
      </c>
      <c r="K561" s="12" t="s">
        <v>7161</v>
      </c>
      <c r="L561" s="12" t="s">
        <v>21</v>
      </c>
      <c r="M561" s="12" t="s">
        <v>8110</v>
      </c>
      <c r="N561" s="12">
        <v>58.2</v>
      </c>
      <c r="O561" s="12">
        <v>0.26200000000000001</v>
      </c>
      <c r="P561" s="12">
        <v>0.99299999999999999</v>
      </c>
      <c r="Q561" s="12" t="s">
        <v>7282</v>
      </c>
      <c r="R561" s="12">
        <v>2.3E-2</v>
      </c>
      <c r="S561" s="12">
        <v>0.312</v>
      </c>
      <c r="T561" s="12">
        <v>299441</v>
      </c>
      <c r="U561" s="12">
        <v>0.19900000000000001</v>
      </c>
      <c r="V561" s="12" t="s">
        <v>7661</v>
      </c>
      <c r="W561" s="12" t="s">
        <v>11</v>
      </c>
      <c r="X561" s="12">
        <v>153</v>
      </c>
      <c r="Y561" s="12" t="s">
        <v>8052</v>
      </c>
      <c r="Z561" s="12" t="s">
        <v>8052</v>
      </c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</row>
    <row r="562" spans="1:39" s="12" customFormat="1" x14ac:dyDescent="0.2">
      <c r="A562" s="12" t="s">
        <v>5096</v>
      </c>
      <c r="B562" s="12" t="s">
        <v>5094</v>
      </c>
      <c r="C562" s="12" t="s">
        <v>13</v>
      </c>
      <c r="D562" s="12" t="s">
        <v>7210</v>
      </c>
      <c r="E562" s="12" t="s">
        <v>8124</v>
      </c>
      <c r="F562" s="12" t="s">
        <v>7160</v>
      </c>
      <c r="G562" s="12" t="s">
        <v>7649</v>
      </c>
      <c r="H562" s="12">
        <v>75</v>
      </c>
      <c r="I562" s="12" t="s">
        <v>7647</v>
      </c>
      <c r="J562" s="80">
        <v>8.3333333333333321</v>
      </c>
      <c r="K562" s="12" t="s">
        <v>7161</v>
      </c>
      <c r="L562" s="12" t="s">
        <v>21</v>
      </c>
      <c r="M562" s="12" t="s">
        <v>8110</v>
      </c>
      <c r="N562" s="12">
        <v>3.6</v>
      </c>
      <c r="O562" s="12">
        <v>0.32800000000000001</v>
      </c>
      <c r="P562" s="12">
        <v>0.73899999999999999</v>
      </c>
      <c r="Q562" s="12" t="s">
        <v>7283</v>
      </c>
      <c r="R562" s="12">
        <v>6.8999999999999999E-3</v>
      </c>
      <c r="S562" s="12">
        <v>2.5225999999999998E-2</v>
      </c>
      <c r="T562" s="12">
        <v>29317</v>
      </c>
      <c r="U562" s="12">
        <v>0.17</v>
      </c>
      <c r="V562" s="12" t="s">
        <v>7661</v>
      </c>
      <c r="W562" s="12" t="s">
        <v>25</v>
      </c>
      <c r="X562" s="12">
        <v>5</v>
      </c>
      <c r="Y562" s="12" t="s">
        <v>6639</v>
      </c>
      <c r="Z562" s="12" t="s">
        <v>6639</v>
      </c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</row>
    <row r="563" spans="1:39" s="12" customFormat="1" x14ac:dyDescent="0.2">
      <c r="A563" s="12" t="s">
        <v>1130</v>
      </c>
      <c r="B563" s="12" t="s">
        <v>1129</v>
      </c>
      <c r="C563" s="12" t="s">
        <v>143</v>
      </c>
      <c r="D563" s="12" t="s">
        <v>7159</v>
      </c>
      <c r="E563" s="12" t="s">
        <v>8031</v>
      </c>
      <c r="F563" s="12" t="s">
        <v>7160</v>
      </c>
      <c r="G563" s="12" t="s">
        <v>7649</v>
      </c>
      <c r="H563" s="12">
        <v>79</v>
      </c>
      <c r="I563" s="12" t="s">
        <v>7647</v>
      </c>
      <c r="J563" s="80">
        <v>8.7777777777777768</v>
      </c>
      <c r="K563" s="12" t="s">
        <v>7161</v>
      </c>
      <c r="L563" s="12" t="s">
        <v>21</v>
      </c>
      <c r="M563" s="12" t="s">
        <v>8110</v>
      </c>
      <c r="N563" s="12">
        <v>10.3</v>
      </c>
      <c r="O563" s="12">
        <v>0.14099999999999999</v>
      </c>
      <c r="P563" s="12">
        <v>0.97099999999999997</v>
      </c>
      <c r="Q563" s="12" t="s">
        <v>7309</v>
      </c>
      <c r="R563" s="12">
        <v>3.0999999999999999E-3</v>
      </c>
      <c r="S563" s="12">
        <v>7.6340000000000002E-3</v>
      </c>
      <c r="T563" s="12">
        <v>9040</v>
      </c>
      <c r="U563" s="12">
        <v>8.3000000000000004E-2</v>
      </c>
      <c r="V563" s="12" t="s">
        <v>7661</v>
      </c>
      <c r="W563" s="12" t="s">
        <v>11</v>
      </c>
      <c r="X563" s="12">
        <v>0</v>
      </c>
      <c r="Y563" s="12" t="s">
        <v>8052</v>
      </c>
      <c r="Z563" s="12" t="s">
        <v>8052</v>
      </c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</row>
    <row r="564" spans="1:39" s="12" customFormat="1" x14ac:dyDescent="0.2">
      <c r="A564" s="12" t="s">
        <v>1054</v>
      </c>
      <c r="B564" s="12" t="s">
        <v>1052</v>
      </c>
      <c r="C564" s="12" t="s">
        <v>143</v>
      </c>
      <c r="D564" s="12" t="s">
        <v>7159</v>
      </c>
      <c r="E564" s="12" t="s">
        <v>8031</v>
      </c>
      <c r="F564" s="12" t="s">
        <v>7160</v>
      </c>
      <c r="G564" s="12" t="s">
        <v>7649</v>
      </c>
      <c r="H564" s="12">
        <v>74</v>
      </c>
      <c r="I564" s="12" t="s">
        <v>7647</v>
      </c>
      <c r="J564" s="80">
        <v>8.2222222222222214</v>
      </c>
      <c r="K564" s="12" t="s">
        <v>7161</v>
      </c>
      <c r="L564" s="12" t="s">
        <v>21</v>
      </c>
      <c r="M564" s="12" t="s">
        <v>8110</v>
      </c>
      <c r="N564" s="12">
        <v>26.1</v>
      </c>
      <c r="O564" s="12">
        <v>8.3000000000000004E-2</v>
      </c>
      <c r="P564" s="12">
        <v>0.998</v>
      </c>
      <c r="Q564" s="12" t="s">
        <v>7237</v>
      </c>
      <c r="R564" s="12">
        <v>1.4E-3</v>
      </c>
      <c r="S564" s="12">
        <v>3.3570000000000002E-3</v>
      </c>
      <c r="T564" s="12">
        <v>4053</v>
      </c>
      <c r="U564" s="12">
        <v>4.2000000000000003E-2</v>
      </c>
      <c r="V564" s="12" t="s">
        <v>7661</v>
      </c>
      <c r="W564" s="12" t="s">
        <v>11</v>
      </c>
      <c r="X564" s="12">
        <v>2</v>
      </c>
      <c r="Y564" s="12" t="s">
        <v>8052</v>
      </c>
      <c r="Z564" s="12" t="s">
        <v>8052</v>
      </c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</row>
    <row r="565" spans="1:39" s="12" customFormat="1" x14ac:dyDescent="0.2">
      <c r="A565" s="12" t="s">
        <v>952</v>
      </c>
      <c r="B565" s="12" t="s">
        <v>951</v>
      </c>
      <c r="C565" s="12" t="s">
        <v>143</v>
      </c>
      <c r="D565" s="12" t="s">
        <v>7159</v>
      </c>
      <c r="E565" s="12" t="s">
        <v>8031</v>
      </c>
      <c r="F565" s="12" t="s">
        <v>7160</v>
      </c>
      <c r="G565" s="12" t="s">
        <v>7649</v>
      </c>
      <c r="H565" s="12">
        <v>50</v>
      </c>
      <c r="I565" s="12" t="s">
        <v>7647</v>
      </c>
      <c r="J565" s="80">
        <v>5.5555555555555554</v>
      </c>
      <c r="K565" s="12" t="s">
        <v>7161</v>
      </c>
      <c r="L565" s="12" t="s">
        <v>21</v>
      </c>
      <c r="M565" s="12" t="s">
        <v>8110</v>
      </c>
      <c r="N565" s="12">
        <v>65.900000000000006</v>
      </c>
      <c r="O565" s="12">
        <v>0.10299999999999999</v>
      </c>
      <c r="P565" s="12">
        <v>0.996</v>
      </c>
      <c r="Q565" s="12" t="s">
        <v>7302</v>
      </c>
      <c r="R565" s="12">
        <v>3.3E-3</v>
      </c>
      <c r="S565" s="12">
        <v>4.3698000000000001E-2</v>
      </c>
      <c r="T565" s="12">
        <v>51113</v>
      </c>
      <c r="U565" s="12">
        <v>6.8000000000000005E-2</v>
      </c>
      <c r="V565" s="12" t="s">
        <v>7661</v>
      </c>
      <c r="W565" s="12" t="s">
        <v>11</v>
      </c>
      <c r="X565" s="12">
        <v>11</v>
      </c>
      <c r="Y565" s="12" t="s">
        <v>8052</v>
      </c>
      <c r="Z565" s="12" t="s">
        <v>8052</v>
      </c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</row>
    <row r="566" spans="1:39" s="12" customFormat="1" x14ac:dyDescent="0.2">
      <c r="A566" s="12" t="s">
        <v>1058</v>
      </c>
      <c r="B566" s="12" t="s">
        <v>1057</v>
      </c>
      <c r="C566" s="12" t="s">
        <v>143</v>
      </c>
      <c r="D566" s="12" t="s">
        <v>7159</v>
      </c>
      <c r="E566" s="12" t="s">
        <v>8031</v>
      </c>
      <c r="F566" s="12" t="s">
        <v>7160</v>
      </c>
      <c r="G566" s="12" t="s">
        <v>7649</v>
      </c>
      <c r="H566" s="12">
        <v>79</v>
      </c>
      <c r="I566" s="12" t="s">
        <v>7647</v>
      </c>
      <c r="J566" s="80">
        <v>8.7777777777777768</v>
      </c>
      <c r="K566" s="12" t="s">
        <v>7161</v>
      </c>
      <c r="L566" s="12" t="s">
        <v>21</v>
      </c>
      <c r="M566" s="12" t="s">
        <v>8110</v>
      </c>
      <c r="N566" s="12">
        <v>46</v>
      </c>
      <c r="O566" s="12">
        <v>0.13800000000000001</v>
      </c>
      <c r="P566" s="12">
        <v>1</v>
      </c>
      <c r="Q566" s="12" t="s">
        <v>7189</v>
      </c>
      <c r="R566" s="12">
        <v>2.8E-3</v>
      </c>
      <c r="S566" s="12">
        <v>2.5920000000000001E-3</v>
      </c>
      <c r="T566" s="12">
        <v>3106</v>
      </c>
      <c r="U566" s="12">
        <v>4.9000000000000002E-2</v>
      </c>
      <c r="V566" s="12" t="s">
        <v>7661</v>
      </c>
      <c r="W566" s="12" t="s">
        <v>11</v>
      </c>
      <c r="X566" s="12">
        <v>0</v>
      </c>
      <c r="Y566" s="12" t="s">
        <v>8052</v>
      </c>
      <c r="Z566" s="12" t="s">
        <v>8052</v>
      </c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</row>
    <row r="567" spans="1:39" s="12" customFormat="1" x14ac:dyDescent="0.2">
      <c r="A567" s="12" t="s">
        <v>1061</v>
      </c>
      <c r="B567" s="12" t="s">
        <v>1060</v>
      </c>
      <c r="C567" s="12" t="s">
        <v>143</v>
      </c>
      <c r="D567" s="12" t="s">
        <v>7159</v>
      </c>
      <c r="E567" s="12" t="s">
        <v>8031</v>
      </c>
      <c r="F567" s="12" t="s">
        <v>7160</v>
      </c>
      <c r="G567" s="12" t="s">
        <v>7649</v>
      </c>
      <c r="H567" s="12">
        <v>74</v>
      </c>
      <c r="I567" s="12" t="s">
        <v>7647</v>
      </c>
      <c r="J567" s="80">
        <v>8.2222222222222214</v>
      </c>
      <c r="K567" s="12" t="s">
        <v>7161</v>
      </c>
      <c r="L567" s="12" t="s">
        <v>21</v>
      </c>
      <c r="M567" s="12" t="s">
        <v>8110</v>
      </c>
      <c r="N567" s="12">
        <v>61.5</v>
      </c>
      <c r="O567" s="12">
        <v>0.11799999999999999</v>
      </c>
      <c r="P567" s="12">
        <v>1</v>
      </c>
      <c r="Q567" s="12" t="s">
        <v>7165</v>
      </c>
      <c r="R567" s="12">
        <v>2.8999999999999998E-3</v>
      </c>
      <c r="S567" s="12">
        <v>7.2420000000000002E-3</v>
      </c>
      <c r="T567" s="12">
        <v>8667</v>
      </c>
      <c r="U567" s="12">
        <v>6.8000000000000005E-2</v>
      </c>
      <c r="V567" s="12" t="s">
        <v>7661</v>
      </c>
      <c r="W567" s="12" t="s">
        <v>11</v>
      </c>
      <c r="X567" s="12">
        <v>4</v>
      </c>
      <c r="Y567" s="12" t="s">
        <v>8052</v>
      </c>
      <c r="Z567" s="12" t="s">
        <v>8052</v>
      </c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</row>
    <row r="568" spans="1:39" s="12" customFormat="1" x14ac:dyDescent="0.2">
      <c r="A568" s="12" t="s">
        <v>1143</v>
      </c>
      <c r="B568" s="12" t="s">
        <v>1141</v>
      </c>
      <c r="C568" s="12" t="s">
        <v>143</v>
      </c>
      <c r="D568" s="12" t="s">
        <v>7159</v>
      </c>
      <c r="E568" s="12" t="s">
        <v>8031</v>
      </c>
      <c r="F568" s="12" t="s">
        <v>7160</v>
      </c>
      <c r="G568" s="12" t="s">
        <v>7649</v>
      </c>
      <c r="H568" s="12">
        <v>72</v>
      </c>
      <c r="I568" s="12" t="s">
        <v>7647</v>
      </c>
      <c r="J568" s="80">
        <v>8</v>
      </c>
      <c r="K568" s="12" t="s">
        <v>7161</v>
      </c>
      <c r="L568" s="12" t="s">
        <v>21</v>
      </c>
      <c r="M568" s="12" t="s">
        <v>8110</v>
      </c>
      <c r="N568" s="12">
        <v>115</v>
      </c>
      <c r="O568" s="12">
        <v>0.107</v>
      </c>
      <c r="P568" s="12">
        <v>1</v>
      </c>
      <c r="Q568" s="12" t="s">
        <v>7165</v>
      </c>
      <c r="R568" s="12">
        <v>6.1999999999999998E-3</v>
      </c>
      <c r="S568" s="12">
        <v>9.8241999999999996E-2</v>
      </c>
      <c r="T568" s="12">
        <v>108967</v>
      </c>
      <c r="U568" s="12">
        <v>8.6999999999999994E-2</v>
      </c>
      <c r="V568" s="12" t="s">
        <v>7661</v>
      </c>
      <c r="W568" s="12" t="s">
        <v>25</v>
      </c>
      <c r="X568" s="12">
        <v>80</v>
      </c>
      <c r="Y568" s="12" t="s">
        <v>6639</v>
      </c>
      <c r="Z568" s="12" t="s">
        <v>6639</v>
      </c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</row>
    <row r="569" spans="1:39" s="12" customFormat="1" x14ac:dyDescent="0.2">
      <c r="A569" s="12" t="s">
        <v>1064</v>
      </c>
      <c r="B569" s="12" t="s">
        <v>1063</v>
      </c>
      <c r="C569" s="12" t="s">
        <v>143</v>
      </c>
      <c r="D569" s="12" t="s">
        <v>7159</v>
      </c>
      <c r="E569" s="12" t="s">
        <v>8031</v>
      </c>
      <c r="F569" s="12" t="s">
        <v>7160</v>
      </c>
      <c r="G569" s="12" t="s">
        <v>7649</v>
      </c>
      <c r="H569" s="12">
        <v>70</v>
      </c>
      <c r="I569" s="12" t="s">
        <v>7647</v>
      </c>
      <c r="J569" s="80">
        <v>7.7777777777777777</v>
      </c>
      <c r="K569" s="12" t="s">
        <v>7161</v>
      </c>
      <c r="L569" s="12" t="s">
        <v>21</v>
      </c>
      <c r="M569" s="12" t="s">
        <v>8110</v>
      </c>
      <c r="N569" s="12">
        <v>60.8</v>
      </c>
      <c r="O569" s="12">
        <v>0.13200000000000001</v>
      </c>
      <c r="P569" s="12">
        <v>0.99099999999999999</v>
      </c>
      <c r="Q569" s="12" t="s">
        <v>7277</v>
      </c>
      <c r="R569" s="12">
        <v>2.8E-3</v>
      </c>
      <c r="S569" s="12">
        <v>5.4980000000000003E-3</v>
      </c>
      <c r="T569" s="12">
        <v>6462</v>
      </c>
      <c r="U569" s="12">
        <v>6.4000000000000001E-2</v>
      </c>
      <c r="V569" s="12" t="s">
        <v>7661</v>
      </c>
      <c r="W569" s="12" t="s">
        <v>25</v>
      </c>
      <c r="X569" s="12">
        <v>2</v>
      </c>
      <c r="Y569" s="12" t="s">
        <v>6639</v>
      </c>
      <c r="Z569" s="12" t="s">
        <v>6639</v>
      </c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</row>
    <row r="570" spans="1:39" s="12" customFormat="1" x14ac:dyDescent="0.2">
      <c r="A570" s="12" t="s">
        <v>1066</v>
      </c>
      <c r="B570" s="12" t="s">
        <v>1065</v>
      </c>
      <c r="C570" s="12" t="s">
        <v>143</v>
      </c>
      <c r="D570" s="12" t="s">
        <v>7159</v>
      </c>
      <c r="E570" s="12" t="s">
        <v>8031</v>
      </c>
      <c r="F570" s="12" t="s">
        <v>7160</v>
      </c>
      <c r="G570" s="12" t="s">
        <v>7649</v>
      </c>
      <c r="H570" s="12">
        <v>74</v>
      </c>
      <c r="I570" s="12" t="s">
        <v>7647</v>
      </c>
      <c r="J570" s="80">
        <v>8.2222222222222214</v>
      </c>
      <c r="K570" s="12" t="s">
        <v>7161</v>
      </c>
      <c r="L570" s="12" t="s">
        <v>21</v>
      </c>
      <c r="M570" s="12" t="s">
        <v>8110</v>
      </c>
      <c r="N570" s="12">
        <v>12.7</v>
      </c>
      <c r="O570" s="12">
        <v>0.155</v>
      </c>
      <c r="P570" s="12">
        <v>0.98199999999999998</v>
      </c>
      <c r="Q570" s="12" t="s">
        <v>7304</v>
      </c>
      <c r="R570" s="12">
        <v>2.5000000000000001E-3</v>
      </c>
      <c r="S570" s="12">
        <v>7.1570000000000002E-3</v>
      </c>
      <c r="T570" s="12">
        <v>8437</v>
      </c>
      <c r="U570" s="12">
        <v>6.5000000000000002E-2</v>
      </c>
      <c r="V570" s="12" t="s">
        <v>7661</v>
      </c>
      <c r="W570" s="12" t="s">
        <v>25</v>
      </c>
      <c r="X570" s="12">
        <v>2</v>
      </c>
      <c r="Y570" s="12" t="s">
        <v>6639</v>
      </c>
      <c r="Z570" s="12" t="s">
        <v>6639</v>
      </c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</row>
    <row r="571" spans="1:39" s="12" customFormat="1" x14ac:dyDescent="0.2">
      <c r="A571" s="12" t="s">
        <v>1069</v>
      </c>
      <c r="B571" s="12" t="s">
        <v>1068</v>
      </c>
      <c r="C571" s="12" t="s">
        <v>143</v>
      </c>
      <c r="D571" s="12" t="s">
        <v>7159</v>
      </c>
      <c r="E571" s="12" t="s">
        <v>8031</v>
      </c>
      <c r="F571" s="12" t="s">
        <v>7160</v>
      </c>
      <c r="G571" s="12" t="s">
        <v>7649</v>
      </c>
      <c r="H571" s="12">
        <v>72</v>
      </c>
      <c r="I571" s="12" t="s">
        <v>7647</v>
      </c>
      <c r="J571" s="80">
        <v>8</v>
      </c>
      <c r="K571" s="12" t="s">
        <v>7161</v>
      </c>
      <c r="L571" s="12" t="s">
        <v>21</v>
      </c>
      <c r="M571" s="12" t="s">
        <v>8110</v>
      </c>
      <c r="N571" s="12">
        <v>5.64</v>
      </c>
      <c r="O571" s="12">
        <v>9.6000000000000002E-2</v>
      </c>
      <c r="P571" s="12">
        <v>0.91900000000000004</v>
      </c>
      <c r="Q571" s="12" t="s">
        <v>7305</v>
      </c>
      <c r="R571" s="12">
        <v>4.1999999999999997E-3</v>
      </c>
      <c r="S571" s="12">
        <v>2.9260000000000002E-3</v>
      </c>
      <c r="T571" s="12">
        <v>3500</v>
      </c>
      <c r="U571" s="12">
        <v>2.8000000000000001E-2</v>
      </c>
      <c r="V571" s="12" t="s">
        <v>7661</v>
      </c>
      <c r="W571" s="12" t="s">
        <v>11</v>
      </c>
      <c r="X571" s="12">
        <v>1</v>
      </c>
      <c r="Y571" s="12" t="s">
        <v>8052</v>
      </c>
      <c r="Z571" s="12" t="s">
        <v>8052</v>
      </c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</row>
    <row r="572" spans="1:39" s="12" customFormat="1" x14ac:dyDescent="0.2">
      <c r="A572" s="12" t="s">
        <v>5567</v>
      </c>
      <c r="B572" s="12" t="s">
        <v>3987</v>
      </c>
      <c r="C572" s="12" t="s">
        <v>143</v>
      </c>
      <c r="D572" s="12" t="s">
        <v>7159</v>
      </c>
      <c r="E572" s="12" t="s">
        <v>8031</v>
      </c>
      <c r="F572" s="12" t="s">
        <v>7160</v>
      </c>
      <c r="G572" s="12" t="s">
        <v>7649</v>
      </c>
      <c r="H572" s="12">
        <v>74</v>
      </c>
      <c r="I572" s="12" t="s">
        <v>7647</v>
      </c>
      <c r="J572" s="80">
        <v>8.2222222222222214</v>
      </c>
      <c r="K572" s="12" t="s">
        <v>7161</v>
      </c>
      <c r="L572" s="12" t="s">
        <v>21</v>
      </c>
      <c r="M572" s="12" t="s">
        <v>8110</v>
      </c>
      <c r="N572" s="12">
        <v>32.5</v>
      </c>
      <c r="O572" s="12">
        <v>0.112</v>
      </c>
      <c r="P572" s="12">
        <v>1</v>
      </c>
      <c r="Q572" s="12" t="s">
        <v>7179</v>
      </c>
      <c r="R572" s="12">
        <v>7.4999999999999997E-3</v>
      </c>
      <c r="S572" s="12">
        <v>7.3429999999999997E-3</v>
      </c>
      <c r="T572" s="12">
        <v>8979</v>
      </c>
      <c r="U572" s="12">
        <v>6.8000000000000005E-2</v>
      </c>
      <c r="V572" s="12" t="s">
        <v>7661</v>
      </c>
      <c r="W572" s="12" t="s">
        <v>11</v>
      </c>
      <c r="X572" s="12" t="s">
        <v>17</v>
      </c>
      <c r="Y572" s="12" t="s">
        <v>17</v>
      </c>
      <c r="Z572" s="12" t="s">
        <v>17</v>
      </c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</row>
    <row r="573" spans="1:39" s="12" customFormat="1" x14ac:dyDescent="0.2">
      <c r="A573" s="12" t="s">
        <v>5566</v>
      </c>
      <c r="B573" s="12" t="s">
        <v>3987</v>
      </c>
      <c r="C573" s="12" t="s">
        <v>13</v>
      </c>
      <c r="D573" s="12" t="s">
        <v>7210</v>
      </c>
      <c r="E573" s="12" t="s">
        <v>8031</v>
      </c>
      <c r="F573" s="12" t="s">
        <v>7160</v>
      </c>
      <c r="G573" s="12" t="s">
        <v>7649</v>
      </c>
      <c r="H573" s="12">
        <v>74</v>
      </c>
      <c r="I573" s="12" t="s">
        <v>7647</v>
      </c>
      <c r="J573" s="80">
        <v>8.2222222222222214</v>
      </c>
      <c r="K573" s="12" t="s">
        <v>7161</v>
      </c>
      <c r="L573" s="12" t="s">
        <v>21</v>
      </c>
      <c r="M573" s="12" t="s">
        <v>8110</v>
      </c>
      <c r="N573" s="12">
        <v>144</v>
      </c>
      <c r="O573" s="12">
        <v>0.14399999999999999</v>
      </c>
      <c r="P573" s="12">
        <v>0.999</v>
      </c>
      <c r="Q573" s="12" t="s">
        <v>7206</v>
      </c>
      <c r="R573" s="12">
        <v>0.188</v>
      </c>
      <c r="S573" s="12">
        <v>2.1563659999999998</v>
      </c>
      <c r="T573" s="12">
        <v>796394</v>
      </c>
      <c r="U573" s="12">
        <v>0.15</v>
      </c>
      <c r="V573" s="12" t="s">
        <v>7661</v>
      </c>
      <c r="W573" s="12" t="s">
        <v>11</v>
      </c>
      <c r="X573" s="12">
        <v>3616</v>
      </c>
      <c r="Y573" s="12">
        <v>8.0520000000000001E-3</v>
      </c>
      <c r="Z573" s="12">
        <v>4.7712897770435312</v>
      </c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</row>
    <row r="574" spans="1:39" s="12" customFormat="1" x14ac:dyDescent="0.2">
      <c r="A574" s="12" t="s">
        <v>3977</v>
      </c>
      <c r="B574" s="12" t="s">
        <v>3976</v>
      </c>
      <c r="C574" s="12" t="s">
        <v>143</v>
      </c>
      <c r="D574" s="12" t="s">
        <v>7159</v>
      </c>
      <c r="E574" s="12" t="s">
        <v>8031</v>
      </c>
      <c r="F574" s="12" t="s">
        <v>7160</v>
      </c>
      <c r="G574" s="12" t="s">
        <v>7649</v>
      </c>
      <c r="H574" s="12">
        <v>71</v>
      </c>
      <c r="I574" s="12" t="s">
        <v>7647</v>
      </c>
      <c r="J574" s="80">
        <v>7.8888888888888884</v>
      </c>
      <c r="K574" s="12" t="s">
        <v>7161</v>
      </c>
      <c r="L574" s="12" t="s">
        <v>21</v>
      </c>
      <c r="M574" s="12" t="s">
        <v>8110</v>
      </c>
      <c r="N574" s="12">
        <v>29.9</v>
      </c>
      <c r="O574" s="12">
        <v>0.13100000000000001</v>
      </c>
      <c r="P574" s="12">
        <v>1</v>
      </c>
      <c r="Q574" s="12" t="s">
        <v>7204</v>
      </c>
      <c r="R574" s="12">
        <v>1.7000000000000001E-2</v>
      </c>
      <c r="S574" s="12">
        <v>5.8368999999999997E-2</v>
      </c>
      <c r="T574" s="12">
        <v>66220</v>
      </c>
      <c r="U574" s="12">
        <v>0.11799999999999999</v>
      </c>
      <c r="V574" s="12" t="s">
        <v>7661</v>
      </c>
      <c r="W574" s="12" t="s">
        <v>25</v>
      </c>
      <c r="X574" s="12">
        <v>26</v>
      </c>
      <c r="Y574" s="12" t="s">
        <v>6639</v>
      </c>
      <c r="Z574" s="12" t="s">
        <v>6639</v>
      </c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</row>
    <row r="575" spans="1:39" s="12" customFormat="1" x14ac:dyDescent="0.2">
      <c r="A575" s="12" t="s">
        <v>5569</v>
      </c>
      <c r="B575" s="12" t="s">
        <v>3990</v>
      </c>
      <c r="C575" s="12" t="s">
        <v>143</v>
      </c>
      <c r="D575" s="12" t="s">
        <v>7159</v>
      </c>
      <c r="E575" s="12" t="s">
        <v>8031</v>
      </c>
      <c r="F575" s="12" t="s">
        <v>7160</v>
      </c>
      <c r="G575" s="12" t="s">
        <v>7649</v>
      </c>
      <c r="H575" s="12">
        <v>69</v>
      </c>
      <c r="I575" s="12" t="s">
        <v>7647</v>
      </c>
      <c r="J575" s="80">
        <v>7.6666666666666661</v>
      </c>
      <c r="K575" s="12" t="s">
        <v>7161</v>
      </c>
      <c r="L575" s="12" t="s">
        <v>21</v>
      </c>
      <c r="M575" s="12" t="s">
        <v>8110</v>
      </c>
      <c r="N575" s="12">
        <v>1.03</v>
      </c>
      <c r="O575" s="12" t="s">
        <v>7796</v>
      </c>
      <c r="P575" s="12" t="s">
        <v>7796</v>
      </c>
      <c r="Q575" s="12" t="s">
        <v>7796</v>
      </c>
      <c r="R575" s="12">
        <v>8.6E-3</v>
      </c>
      <c r="S575" s="12">
        <v>3.8969999999999999E-3</v>
      </c>
      <c r="T575" s="12">
        <v>4665</v>
      </c>
      <c r="U575" s="12">
        <v>3.0000000000000001E-3</v>
      </c>
      <c r="V575" s="12" t="s">
        <v>7661</v>
      </c>
      <c r="W575" s="12" t="s">
        <v>11</v>
      </c>
      <c r="X575" s="12">
        <v>1</v>
      </c>
      <c r="Y575" s="12" t="s">
        <v>8052</v>
      </c>
      <c r="Z575" s="12" t="s">
        <v>8052</v>
      </c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</row>
    <row r="576" spans="1:39" s="12" customFormat="1" x14ac:dyDescent="0.2">
      <c r="A576" s="12" t="s">
        <v>5568</v>
      </c>
      <c r="B576" s="12" t="s">
        <v>3990</v>
      </c>
      <c r="C576" s="12" t="s">
        <v>13</v>
      </c>
      <c r="D576" s="12" t="s">
        <v>7210</v>
      </c>
      <c r="E576" s="12" t="s">
        <v>8031</v>
      </c>
      <c r="F576" s="12" t="s">
        <v>7160</v>
      </c>
      <c r="G576" s="12" t="s">
        <v>7649</v>
      </c>
      <c r="H576" s="12">
        <v>78</v>
      </c>
      <c r="I576" s="12" t="s">
        <v>7647</v>
      </c>
      <c r="J576" s="80">
        <v>8.6666666666666661</v>
      </c>
      <c r="K576" s="12" t="s">
        <v>7161</v>
      </c>
      <c r="L576" s="12" t="s">
        <v>21</v>
      </c>
      <c r="M576" s="12" t="s">
        <v>8110</v>
      </c>
      <c r="N576" s="12">
        <v>71.400000000000006</v>
      </c>
      <c r="O576" s="12">
        <v>0.17199999999999999</v>
      </c>
      <c r="P576" s="12">
        <v>0.99399999999999999</v>
      </c>
      <c r="Q576" s="12" t="s">
        <v>7221</v>
      </c>
      <c r="R576" s="12">
        <v>0.33200000000000002</v>
      </c>
      <c r="S576" s="12">
        <v>2.9355030000000002</v>
      </c>
      <c r="T576" s="12">
        <v>858923</v>
      </c>
      <c r="U576" s="12">
        <v>0.156</v>
      </c>
      <c r="V576" s="12" t="s">
        <v>7661</v>
      </c>
      <c r="W576" s="12" t="s">
        <v>11</v>
      </c>
      <c r="X576" s="12">
        <v>4556</v>
      </c>
      <c r="Y576" s="12">
        <v>5.1989999999999996E-3</v>
      </c>
      <c r="Z576" s="12">
        <v>4.0413164166528039</v>
      </c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</row>
    <row r="577" spans="1:39" s="12" customFormat="1" x14ac:dyDescent="0.2">
      <c r="A577" s="12" t="s">
        <v>3994</v>
      </c>
      <c r="B577" s="12" t="s">
        <v>3993</v>
      </c>
      <c r="C577" s="12" t="s">
        <v>13</v>
      </c>
      <c r="D577" s="12" t="s">
        <v>7210</v>
      </c>
      <c r="E577" s="12" t="s">
        <v>8031</v>
      </c>
      <c r="F577" s="12" t="s">
        <v>7160</v>
      </c>
      <c r="G577" s="12" t="s">
        <v>7649</v>
      </c>
      <c r="H577" s="12">
        <v>79</v>
      </c>
      <c r="I577" s="12" t="s">
        <v>7647</v>
      </c>
      <c r="J577" s="80">
        <v>8.7777777777777768</v>
      </c>
      <c r="K577" s="12" t="s">
        <v>7161</v>
      </c>
      <c r="L577" s="12" t="s">
        <v>21</v>
      </c>
      <c r="M577" s="12" t="s">
        <v>8110</v>
      </c>
      <c r="N577" s="12">
        <v>57</v>
      </c>
      <c r="O577" s="12">
        <v>0.11600000000000001</v>
      </c>
      <c r="P577" s="12">
        <v>0.997</v>
      </c>
      <c r="Q577" s="12" t="s">
        <v>7195</v>
      </c>
      <c r="R577" s="12">
        <v>0.2</v>
      </c>
      <c r="S577" s="12">
        <v>0.71881899999999999</v>
      </c>
      <c r="T577" s="12">
        <v>515354</v>
      </c>
      <c r="U577" s="12">
        <v>0.104</v>
      </c>
      <c r="V577" s="12" t="s">
        <v>7661</v>
      </c>
      <c r="W577" s="12" t="s">
        <v>25</v>
      </c>
      <c r="X577" s="12">
        <v>2132</v>
      </c>
      <c r="Y577" s="12" t="s">
        <v>6639</v>
      </c>
      <c r="Z577" s="12" t="s">
        <v>6639</v>
      </c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</row>
    <row r="578" spans="1:39" s="12" customFormat="1" x14ac:dyDescent="0.2">
      <c r="A578" s="12" t="s">
        <v>983</v>
      </c>
      <c r="B578" s="12" t="s">
        <v>982</v>
      </c>
      <c r="C578" s="12" t="s">
        <v>143</v>
      </c>
      <c r="D578" s="12" t="s">
        <v>7159</v>
      </c>
      <c r="E578" s="12" t="s">
        <v>8031</v>
      </c>
      <c r="F578" s="12" t="s">
        <v>7160</v>
      </c>
      <c r="G578" s="12" t="s">
        <v>7649</v>
      </c>
      <c r="H578" s="12">
        <v>75</v>
      </c>
      <c r="I578" s="12" t="s">
        <v>7647</v>
      </c>
      <c r="J578" s="80">
        <v>8.3333333333333321</v>
      </c>
      <c r="K578" s="12" t="s">
        <v>7161</v>
      </c>
      <c r="L578" s="12" t="s">
        <v>21</v>
      </c>
      <c r="M578" s="12" t="s">
        <v>8110</v>
      </c>
      <c r="N578" s="12">
        <v>25.2</v>
      </c>
      <c r="O578" s="12">
        <v>0.111</v>
      </c>
      <c r="P578" s="12">
        <v>0.97199999999999998</v>
      </c>
      <c r="Q578" s="12" t="s">
        <v>7303</v>
      </c>
      <c r="R578" s="12">
        <v>3.3E-3</v>
      </c>
      <c r="S578" s="12">
        <v>1.3580999999999999E-2</v>
      </c>
      <c r="T578" s="12">
        <v>15952</v>
      </c>
      <c r="U578" s="12">
        <v>5.3999999999999999E-2</v>
      </c>
      <c r="V578" s="12" t="s">
        <v>7661</v>
      </c>
      <c r="W578" s="12" t="s">
        <v>25</v>
      </c>
      <c r="X578" s="12">
        <v>2</v>
      </c>
      <c r="Y578" s="12" t="s">
        <v>6639</v>
      </c>
      <c r="Z578" s="12" t="s">
        <v>6639</v>
      </c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</row>
    <row r="579" spans="1:39" s="12" customFormat="1" x14ac:dyDescent="0.2">
      <c r="A579" s="12" t="s">
        <v>1071</v>
      </c>
      <c r="B579" s="12" t="s">
        <v>1070</v>
      </c>
      <c r="C579" s="12" t="s">
        <v>143</v>
      </c>
      <c r="D579" s="12" t="s">
        <v>7159</v>
      </c>
      <c r="E579" s="12" t="s">
        <v>8031</v>
      </c>
      <c r="F579" s="12" t="s">
        <v>7160</v>
      </c>
      <c r="G579" s="12" t="s">
        <v>7649</v>
      </c>
      <c r="H579" s="12">
        <v>68</v>
      </c>
      <c r="I579" s="12" t="s">
        <v>7647</v>
      </c>
      <c r="J579" s="80">
        <v>7.5555555555555554</v>
      </c>
      <c r="K579" s="12" t="s">
        <v>7161</v>
      </c>
      <c r="L579" s="12" t="s">
        <v>21</v>
      </c>
      <c r="M579" s="12" t="s">
        <v>8110</v>
      </c>
      <c r="N579" s="12">
        <v>12.3</v>
      </c>
      <c r="O579" s="12">
        <v>0.13900000000000001</v>
      </c>
      <c r="P579" s="12">
        <v>0.995</v>
      </c>
      <c r="Q579" s="12" t="s">
        <v>7306</v>
      </c>
      <c r="R579" s="12">
        <v>1.5E-3</v>
      </c>
      <c r="S579" s="12">
        <v>4.0000000000000001E-3</v>
      </c>
      <c r="T579" s="12">
        <v>4656</v>
      </c>
      <c r="U579" s="12">
        <v>6.0999999999999999E-2</v>
      </c>
      <c r="V579" s="12" t="s">
        <v>7661</v>
      </c>
      <c r="W579" s="12" t="s">
        <v>25</v>
      </c>
      <c r="X579" s="12">
        <v>0</v>
      </c>
      <c r="Y579" s="12" t="s">
        <v>6639</v>
      </c>
      <c r="Z579" s="12" t="s">
        <v>6639</v>
      </c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</row>
    <row r="580" spans="1:39" s="12" customFormat="1" x14ac:dyDescent="0.2">
      <c r="A580" s="12" t="s">
        <v>3955</v>
      </c>
      <c r="B580" s="12" t="s">
        <v>3954</v>
      </c>
      <c r="C580" s="12" t="s">
        <v>13</v>
      </c>
      <c r="D580" s="12" t="s">
        <v>7210</v>
      </c>
      <c r="E580" s="12" t="s">
        <v>8124</v>
      </c>
      <c r="F580" s="12" t="s">
        <v>7160</v>
      </c>
      <c r="G580" s="12" t="s">
        <v>7649</v>
      </c>
      <c r="H580" s="12">
        <v>36</v>
      </c>
      <c r="I580" s="12" t="s">
        <v>7647</v>
      </c>
      <c r="J580" s="80">
        <v>4</v>
      </c>
      <c r="K580" s="12" t="s">
        <v>7161</v>
      </c>
      <c r="L580" s="12" t="s">
        <v>21</v>
      </c>
      <c r="M580" s="12" t="s">
        <v>8110</v>
      </c>
      <c r="N580" s="12">
        <v>319</v>
      </c>
      <c r="O580" s="12">
        <v>0.13800000000000001</v>
      </c>
      <c r="P580" s="12">
        <v>0.995</v>
      </c>
      <c r="Q580" s="12" t="s">
        <v>7243</v>
      </c>
      <c r="R580" s="12">
        <v>0.47099999999999997</v>
      </c>
      <c r="S580" s="12">
        <v>2.717336</v>
      </c>
      <c r="T580" s="12">
        <v>833971</v>
      </c>
      <c r="U580" s="12">
        <v>0.11899999999999999</v>
      </c>
      <c r="V580" s="12" t="s">
        <v>7661</v>
      </c>
      <c r="W580" s="12" t="s">
        <v>25</v>
      </c>
      <c r="X580" s="12">
        <v>8239</v>
      </c>
      <c r="Y580" s="12" t="s">
        <v>6639</v>
      </c>
      <c r="Z580" s="12" t="s">
        <v>6639</v>
      </c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</row>
    <row r="581" spans="1:39" s="12" customFormat="1" x14ac:dyDescent="0.2">
      <c r="A581" s="12" t="s">
        <v>4982</v>
      </c>
      <c r="B581" s="12" t="s">
        <v>4979</v>
      </c>
      <c r="C581" s="12" t="s">
        <v>143</v>
      </c>
      <c r="D581" s="12" t="s">
        <v>7159</v>
      </c>
      <c r="E581" s="12" t="s">
        <v>8031</v>
      </c>
      <c r="F581" s="12" t="s">
        <v>7160</v>
      </c>
      <c r="G581" s="12" t="s">
        <v>7649</v>
      </c>
      <c r="H581" s="12">
        <v>77</v>
      </c>
      <c r="I581" s="12" t="s">
        <v>7647</v>
      </c>
      <c r="J581" s="80">
        <v>8.5555555555555554</v>
      </c>
      <c r="K581" s="12" t="s">
        <v>7161</v>
      </c>
      <c r="L581" s="12" t="s">
        <v>21</v>
      </c>
      <c r="M581" s="12" t="s">
        <v>8110</v>
      </c>
      <c r="N581" s="12">
        <v>185</v>
      </c>
      <c r="O581" s="12">
        <v>7.5999999999999998E-2</v>
      </c>
      <c r="P581" s="12">
        <v>0.998</v>
      </c>
      <c r="Q581" s="12" t="s">
        <v>7196</v>
      </c>
      <c r="R581" s="12">
        <v>0.129</v>
      </c>
      <c r="S581" s="12">
        <v>1.0217700000000001</v>
      </c>
      <c r="T581" s="12">
        <v>684101</v>
      </c>
      <c r="U581" s="12">
        <v>3.9E-2</v>
      </c>
      <c r="V581" s="12" t="s">
        <v>7661</v>
      </c>
      <c r="W581" s="12" t="s">
        <v>11</v>
      </c>
      <c r="X581" s="12">
        <v>1425</v>
      </c>
      <c r="Y581" s="12">
        <v>4.901E-3</v>
      </c>
      <c r="Z581" s="12">
        <v>2.0033756122844815</v>
      </c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</row>
    <row r="582" spans="1:39" s="12" customFormat="1" x14ac:dyDescent="0.2">
      <c r="A582" s="12" t="s">
        <v>1075</v>
      </c>
      <c r="B582" s="12" t="s">
        <v>1074</v>
      </c>
      <c r="C582" s="12" t="s">
        <v>143</v>
      </c>
      <c r="D582" s="12" t="s">
        <v>7159</v>
      </c>
      <c r="E582" s="12" t="s">
        <v>8031</v>
      </c>
      <c r="F582" s="12" t="s">
        <v>7160</v>
      </c>
      <c r="G582" s="12" t="s">
        <v>7649</v>
      </c>
      <c r="H582" s="12">
        <v>68</v>
      </c>
      <c r="I582" s="12" t="s">
        <v>7647</v>
      </c>
      <c r="J582" s="80">
        <v>7.5555555555555554</v>
      </c>
      <c r="K582" s="12" t="s">
        <v>7161</v>
      </c>
      <c r="L582" s="12" t="s">
        <v>21</v>
      </c>
      <c r="M582" s="12" t="s">
        <v>8110</v>
      </c>
      <c r="N582" s="12">
        <v>17.7</v>
      </c>
      <c r="O582" s="12">
        <v>0.13600000000000001</v>
      </c>
      <c r="P582" s="12">
        <v>0.997</v>
      </c>
      <c r="Q582" s="12" t="s">
        <v>7307</v>
      </c>
      <c r="R582" s="12">
        <v>4.4000000000000003E-3</v>
      </c>
      <c r="S582" s="12">
        <v>1.1946E-2</v>
      </c>
      <c r="T582" s="12">
        <v>14014</v>
      </c>
      <c r="U582" s="12">
        <v>7.8E-2</v>
      </c>
      <c r="V582" s="12" t="s">
        <v>7661</v>
      </c>
      <c r="W582" s="12" t="s">
        <v>25</v>
      </c>
      <c r="X582" s="12">
        <v>2</v>
      </c>
      <c r="Y582" s="12" t="s">
        <v>6639</v>
      </c>
      <c r="Z582" s="12" t="s">
        <v>6639</v>
      </c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</row>
    <row r="583" spans="1:39" s="12" customFormat="1" x14ac:dyDescent="0.2">
      <c r="A583" s="12" t="s">
        <v>1077</v>
      </c>
      <c r="B583" s="12" t="s">
        <v>1076</v>
      </c>
      <c r="C583" s="12" t="s">
        <v>143</v>
      </c>
      <c r="D583" s="12" t="s">
        <v>7159</v>
      </c>
      <c r="E583" s="12" t="s">
        <v>8031</v>
      </c>
      <c r="F583" s="12" t="s">
        <v>7160</v>
      </c>
      <c r="G583" s="12" t="s">
        <v>7649</v>
      </c>
      <c r="H583" s="12">
        <v>71</v>
      </c>
      <c r="I583" s="12" t="s">
        <v>7647</v>
      </c>
      <c r="J583" s="80">
        <v>7.8888888888888884</v>
      </c>
      <c r="K583" s="12" t="s">
        <v>7161</v>
      </c>
      <c r="L583" s="12" t="s">
        <v>21</v>
      </c>
      <c r="M583" s="12" t="s">
        <v>8110</v>
      </c>
      <c r="N583" s="12">
        <v>33.700000000000003</v>
      </c>
      <c r="O583" s="12">
        <v>0.157</v>
      </c>
      <c r="P583" s="12">
        <v>0.999</v>
      </c>
      <c r="Q583" s="12" t="s">
        <v>7204</v>
      </c>
      <c r="R583" s="12">
        <v>2.5999999999999999E-3</v>
      </c>
      <c r="S583" s="12">
        <v>6.4190000000000002E-3</v>
      </c>
      <c r="T583" s="12">
        <v>7736</v>
      </c>
      <c r="U583" s="12">
        <v>0.104</v>
      </c>
      <c r="V583" s="12" t="s">
        <v>7661</v>
      </c>
      <c r="W583" s="12" t="s">
        <v>11</v>
      </c>
      <c r="X583" s="12">
        <v>0</v>
      </c>
      <c r="Y583" s="12" t="s">
        <v>8052</v>
      </c>
      <c r="Z583" s="12" t="s">
        <v>8052</v>
      </c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</row>
    <row r="584" spans="1:39" s="12" customFormat="1" x14ac:dyDescent="0.2">
      <c r="A584" s="12" t="s">
        <v>1079</v>
      </c>
      <c r="B584" s="12" t="s">
        <v>1078</v>
      </c>
      <c r="C584" s="12" t="s">
        <v>143</v>
      </c>
      <c r="D584" s="12" t="s">
        <v>7159</v>
      </c>
      <c r="E584" s="12" t="s">
        <v>8031</v>
      </c>
      <c r="F584" s="12" t="s">
        <v>7160</v>
      </c>
      <c r="G584" s="12" t="s">
        <v>7649</v>
      </c>
      <c r="H584" s="12">
        <v>70</v>
      </c>
      <c r="I584" s="12" t="s">
        <v>7647</v>
      </c>
      <c r="J584" s="80">
        <v>7.7777777777777777</v>
      </c>
      <c r="K584" s="12" t="s">
        <v>7161</v>
      </c>
      <c r="L584" s="12" t="s">
        <v>21</v>
      </c>
      <c r="M584" s="12" t="s">
        <v>8110</v>
      </c>
      <c r="N584" s="12">
        <v>7.26</v>
      </c>
      <c r="O584" s="12">
        <v>0.153</v>
      </c>
      <c r="P584" s="12">
        <v>0.999</v>
      </c>
      <c r="Q584" s="12" t="s">
        <v>7199</v>
      </c>
      <c r="R584" s="12">
        <v>7.1999999999999998E-3</v>
      </c>
      <c r="S584" s="12">
        <v>6.6179999999999998E-3</v>
      </c>
      <c r="T584" s="12">
        <v>7777</v>
      </c>
      <c r="U584" s="12">
        <v>6.8000000000000005E-2</v>
      </c>
      <c r="V584" s="12" t="s">
        <v>7661</v>
      </c>
      <c r="W584" s="12" t="s">
        <v>25</v>
      </c>
      <c r="X584" s="12">
        <v>1</v>
      </c>
      <c r="Y584" s="12" t="s">
        <v>6639</v>
      </c>
      <c r="Z584" s="12" t="s">
        <v>6639</v>
      </c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</row>
    <row r="585" spans="1:39" s="12" customFormat="1" x14ac:dyDescent="0.2">
      <c r="A585" s="12" t="s">
        <v>3930</v>
      </c>
      <c r="B585" s="12" t="s">
        <v>3928</v>
      </c>
      <c r="C585" s="12" t="s">
        <v>13</v>
      </c>
      <c r="D585" s="12" t="s">
        <v>7210</v>
      </c>
      <c r="E585" s="12" t="s">
        <v>8124</v>
      </c>
      <c r="F585" s="12" t="s">
        <v>7160</v>
      </c>
      <c r="G585" s="12" t="s">
        <v>7649</v>
      </c>
      <c r="H585" s="12">
        <v>75</v>
      </c>
      <c r="I585" s="12" t="s">
        <v>7647</v>
      </c>
      <c r="J585" s="80">
        <v>8.3333333333333321</v>
      </c>
      <c r="K585" s="12" t="s">
        <v>7161</v>
      </c>
      <c r="L585" s="12" t="s">
        <v>21</v>
      </c>
      <c r="M585" s="12" t="s">
        <v>8110</v>
      </c>
      <c r="N585" s="12">
        <v>81</v>
      </c>
      <c r="O585" s="12">
        <v>0.16300000000000001</v>
      </c>
      <c r="P585" s="12">
        <v>0.99299999999999999</v>
      </c>
      <c r="Q585" s="12" t="s">
        <v>7181</v>
      </c>
      <c r="R585" s="12">
        <v>0.11899999999999999</v>
      </c>
      <c r="S585" s="12">
        <v>0.74473699999999998</v>
      </c>
      <c r="T585" s="12">
        <v>506337</v>
      </c>
      <c r="U585" s="12">
        <v>0.13700000000000001</v>
      </c>
      <c r="V585" s="12" t="s">
        <v>7661</v>
      </c>
      <c r="W585" s="12" t="s">
        <v>25</v>
      </c>
      <c r="X585" s="12">
        <v>2236</v>
      </c>
      <c r="Y585" s="12" t="s">
        <v>6639</v>
      </c>
      <c r="Z585" s="12" t="s">
        <v>6639</v>
      </c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</row>
    <row r="586" spans="1:39" s="12" customFormat="1" x14ac:dyDescent="0.2">
      <c r="A586" s="12" t="s">
        <v>3934</v>
      </c>
      <c r="B586" s="12" t="s">
        <v>3933</v>
      </c>
      <c r="C586" s="12" t="s">
        <v>13</v>
      </c>
      <c r="D586" s="12" t="s">
        <v>7210</v>
      </c>
      <c r="E586" s="12" t="s">
        <v>8124</v>
      </c>
      <c r="F586" s="12" t="s">
        <v>7160</v>
      </c>
      <c r="G586" s="12" t="s">
        <v>7649</v>
      </c>
      <c r="H586" s="12">
        <v>76</v>
      </c>
      <c r="I586" s="12" t="s">
        <v>7647</v>
      </c>
      <c r="J586" s="80">
        <v>8.4444444444444446</v>
      </c>
      <c r="K586" s="12" t="s">
        <v>7161</v>
      </c>
      <c r="L586" s="12" t="s">
        <v>21</v>
      </c>
      <c r="M586" s="12" t="s">
        <v>8110</v>
      </c>
      <c r="N586" s="12">
        <v>120</v>
      </c>
      <c r="O586" s="12">
        <v>0.14000000000000001</v>
      </c>
      <c r="P586" s="12">
        <v>0.996</v>
      </c>
      <c r="Q586" s="12" t="s">
        <v>7237</v>
      </c>
      <c r="R586" s="12">
        <v>0.14599999999999999</v>
      </c>
      <c r="S586" s="12">
        <v>1.037839</v>
      </c>
      <c r="T586" s="12">
        <v>597160</v>
      </c>
      <c r="U586" s="12">
        <v>0.123</v>
      </c>
      <c r="V586" s="12" t="s">
        <v>7661</v>
      </c>
      <c r="W586" s="12" t="s">
        <v>25</v>
      </c>
      <c r="X586" s="12">
        <v>3477</v>
      </c>
      <c r="Y586" s="12" t="s">
        <v>6639</v>
      </c>
      <c r="Z586" s="12" t="s">
        <v>6639</v>
      </c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</row>
    <row r="587" spans="1:39" s="12" customFormat="1" x14ac:dyDescent="0.2">
      <c r="A587" s="12" t="s">
        <v>3937</v>
      </c>
      <c r="B587" s="12" t="s">
        <v>3936</v>
      </c>
      <c r="C587" s="12" t="s">
        <v>13</v>
      </c>
      <c r="D587" s="12" t="s">
        <v>7210</v>
      </c>
      <c r="E587" s="12" t="s">
        <v>8124</v>
      </c>
      <c r="F587" s="12" t="s">
        <v>7160</v>
      </c>
      <c r="G587" s="12" t="s">
        <v>7649</v>
      </c>
      <c r="H587" s="12">
        <v>75</v>
      </c>
      <c r="I587" s="12" t="s">
        <v>7647</v>
      </c>
      <c r="J587" s="80">
        <v>8.3333333333333321</v>
      </c>
      <c r="K587" s="12" t="s">
        <v>7161</v>
      </c>
      <c r="L587" s="12" t="s">
        <v>21</v>
      </c>
      <c r="M587" s="12" t="s">
        <v>8110</v>
      </c>
      <c r="N587" s="12">
        <v>55.4</v>
      </c>
      <c r="O587" s="12">
        <v>0.13200000000000001</v>
      </c>
      <c r="P587" s="12">
        <v>0.99099999999999999</v>
      </c>
      <c r="Q587" s="12" t="s">
        <v>7253</v>
      </c>
      <c r="R587" s="12">
        <v>4.1000000000000002E-2</v>
      </c>
      <c r="S587" s="12">
        <v>0.37628899999999998</v>
      </c>
      <c r="T587" s="12">
        <v>336190</v>
      </c>
      <c r="U587" s="12">
        <v>0.10199999999999999</v>
      </c>
      <c r="V587" s="12" t="s">
        <v>7661</v>
      </c>
      <c r="W587" s="12" t="s">
        <v>25</v>
      </c>
      <c r="X587" s="12">
        <v>813</v>
      </c>
      <c r="Y587" s="12" t="s">
        <v>6639</v>
      </c>
      <c r="Z587" s="12" t="s">
        <v>6639</v>
      </c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</row>
    <row r="588" spans="1:39" s="12" customFormat="1" x14ac:dyDescent="0.2">
      <c r="A588" s="12" t="s">
        <v>3939</v>
      </c>
      <c r="B588" s="12" t="s">
        <v>3938</v>
      </c>
      <c r="C588" s="12" t="s">
        <v>13</v>
      </c>
      <c r="D588" s="12" t="s">
        <v>7210</v>
      </c>
      <c r="E588" s="12" t="s">
        <v>8124</v>
      </c>
      <c r="F588" s="12" t="s">
        <v>7160</v>
      </c>
      <c r="G588" s="12" t="s">
        <v>7649</v>
      </c>
      <c r="H588" s="12">
        <v>75</v>
      </c>
      <c r="I588" s="12" t="s">
        <v>7647</v>
      </c>
      <c r="J588" s="80">
        <v>8.3333333333333321</v>
      </c>
      <c r="K588" s="12" t="s">
        <v>7161</v>
      </c>
      <c r="L588" s="12" t="s">
        <v>21</v>
      </c>
      <c r="M588" s="12" t="s">
        <v>8110</v>
      </c>
      <c r="N588" s="12">
        <v>24.4</v>
      </c>
      <c r="O588" s="12">
        <v>0.17599999999999999</v>
      </c>
      <c r="P588" s="12">
        <v>0.96499999999999997</v>
      </c>
      <c r="Q588" s="12" t="s">
        <v>7254</v>
      </c>
      <c r="R588" s="12">
        <v>4.1000000000000002E-2</v>
      </c>
      <c r="S588" s="12">
        <v>0.179339</v>
      </c>
      <c r="T588" s="12">
        <v>188029</v>
      </c>
      <c r="U588" s="12">
        <v>0.129</v>
      </c>
      <c r="V588" s="12" t="s">
        <v>7661</v>
      </c>
      <c r="W588" s="12" t="s">
        <v>11</v>
      </c>
      <c r="X588" s="12">
        <v>57</v>
      </c>
      <c r="Y588" s="12" t="s">
        <v>8052</v>
      </c>
      <c r="Z588" s="12" t="s">
        <v>8052</v>
      </c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</row>
    <row r="589" spans="1:39" s="12" customFormat="1" x14ac:dyDescent="0.2">
      <c r="A589" s="12" t="s">
        <v>4551</v>
      </c>
      <c r="B589" s="12" t="s">
        <v>4550</v>
      </c>
      <c r="C589" s="12" t="s">
        <v>13</v>
      </c>
      <c r="D589" s="12" t="s">
        <v>7210</v>
      </c>
      <c r="E589" s="12" t="s">
        <v>8124</v>
      </c>
      <c r="F589" s="12" t="s">
        <v>7160</v>
      </c>
      <c r="G589" s="12" t="s">
        <v>7649</v>
      </c>
      <c r="H589" s="12">
        <v>76</v>
      </c>
      <c r="I589" s="12" t="s">
        <v>7647</v>
      </c>
      <c r="J589" s="80">
        <v>8.4444444444444446</v>
      </c>
      <c r="K589" s="12" t="s">
        <v>7161</v>
      </c>
      <c r="L589" s="12" t="s">
        <v>21</v>
      </c>
      <c r="M589" s="12" t="s">
        <v>8110</v>
      </c>
      <c r="N589" s="12">
        <v>98.1</v>
      </c>
      <c r="O589" s="12">
        <v>0.12</v>
      </c>
      <c r="P589" s="12">
        <v>0.998</v>
      </c>
      <c r="Q589" s="12" t="s">
        <v>7204</v>
      </c>
      <c r="R589" s="12">
        <v>7.2999999999999995E-2</v>
      </c>
      <c r="S589" s="12">
        <v>0.91881900000000005</v>
      </c>
      <c r="T589" s="12">
        <v>573555</v>
      </c>
      <c r="U589" s="12">
        <v>0.111</v>
      </c>
      <c r="V589" s="12" t="s">
        <v>7661</v>
      </c>
      <c r="W589" s="12" t="s">
        <v>11</v>
      </c>
      <c r="X589" s="12">
        <v>1066</v>
      </c>
      <c r="Y589" s="12">
        <v>4.1920000000000004E-3</v>
      </c>
      <c r="Z589" s="12">
        <v>1.6138688000123198</v>
      </c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</row>
    <row r="590" spans="1:39" s="12" customFormat="1" x14ac:dyDescent="0.2">
      <c r="A590" s="12" t="s">
        <v>4548</v>
      </c>
      <c r="B590" s="12" t="s">
        <v>4546</v>
      </c>
      <c r="C590" s="12" t="s">
        <v>13</v>
      </c>
      <c r="D590" s="12" t="s">
        <v>7210</v>
      </c>
      <c r="E590" s="12" t="s">
        <v>8124</v>
      </c>
      <c r="F590" s="12" t="s">
        <v>7160</v>
      </c>
      <c r="G590" s="12" t="s">
        <v>7649</v>
      </c>
      <c r="H590" s="12">
        <v>76</v>
      </c>
      <c r="I590" s="12" t="s">
        <v>7647</v>
      </c>
      <c r="J590" s="80">
        <v>8.4444444444444446</v>
      </c>
      <c r="K590" s="12" t="s">
        <v>7161</v>
      </c>
      <c r="L590" s="12" t="s">
        <v>21</v>
      </c>
      <c r="M590" s="12" t="s">
        <v>8110</v>
      </c>
      <c r="N590" s="12">
        <v>124</v>
      </c>
      <c r="O590" s="12">
        <v>0.112</v>
      </c>
      <c r="P590" s="12">
        <v>0.99299999999999999</v>
      </c>
      <c r="Q590" s="12" t="s">
        <v>7184</v>
      </c>
      <c r="R590" s="12">
        <v>0.11799999999999999</v>
      </c>
      <c r="S590" s="12">
        <v>1.5965929999999999</v>
      </c>
      <c r="T590" s="12">
        <v>714449</v>
      </c>
      <c r="U590" s="12">
        <v>9.8000000000000004E-2</v>
      </c>
      <c r="V590" s="12" t="s">
        <v>7661</v>
      </c>
      <c r="W590" s="12" t="s">
        <v>11</v>
      </c>
      <c r="X590" s="12">
        <v>2472</v>
      </c>
      <c r="Y590" s="12">
        <v>2.1749999999999999E-3</v>
      </c>
      <c r="Z590" s="12">
        <v>1.4232663143946209</v>
      </c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</row>
    <row r="591" spans="1:39" s="12" customFormat="1" x14ac:dyDescent="0.2">
      <c r="A591" s="12" t="s">
        <v>4554</v>
      </c>
      <c r="B591" s="12" t="s">
        <v>4553</v>
      </c>
      <c r="C591" s="12" t="s">
        <v>13</v>
      </c>
      <c r="D591" s="12" t="s">
        <v>7210</v>
      </c>
      <c r="E591" s="12" t="s">
        <v>8124</v>
      </c>
      <c r="F591" s="12" t="s">
        <v>7160</v>
      </c>
      <c r="G591" s="12" t="s">
        <v>7649</v>
      </c>
      <c r="H591" s="12">
        <v>75</v>
      </c>
      <c r="I591" s="12" t="s">
        <v>7647</v>
      </c>
      <c r="J591" s="80">
        <v>8.3333333333333321</v>
      </c>
      <c r="K591" s="12" t="s">
        <v>7161</v>
      </c>
      <c r="L591" s="12" t="s">
        <v>21</v>
      </c>
      <c r="M591" s="12" t="s">
        <v>8110</v>
      </c>
      <c r="N591" s="12">
        <v>107</v>
      </c>
      <c r="O591" s="12">
        <v>0.104</v>
      </c>
      <c r="P591" s="12">
        <v>0.99399999999999999</v>
      </c>
      <c r="Q591" s="12" t="s">
        <v>7252</v>
      </c>
      <c r="R591" s="12">
        <v>8.1000000000000003E-2</v>
      </c>
      <c r="S591" s="12">
        <v>1.1766179999999999</v>
      </c>
      <c r="T591" s="12">
        <v>643702</v>
      </c>
      <c r="U591" s="12">
        <v>9.6000000000000002E-2</v>
      </c>
      <c r="V591" s="12" t="s">
        <v>7661</v>
      </c>
      <c r="W591" s="12" t="s">
        <v>25</v>
      </c>
      <c r="X591" s="12">
        <v>4245</v>
      </c>
      <c r="Y591" s="12" t="s">
        <v>6639</v>
      </c>
      <c r="Z591" s="12" t="s">
        <v>6639</v>
      </c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</row>
    <row r="592" spans="1:39" s="12" customFormat="1" x14ac:dyDescent="0.2">
      <c r="A592" s="12" t="s">
        <v>4558</v>
      </c>
      <c r="B592" s="12" t="s">
        <v>4556</v>
      </c>
      <c r="C592" s="12" t="s">
        <v>13</v>
      </c>
      <c r="D592" s="12" t="s">
        <v>7210</v>
      </c>
      <c r="E592" s="12" t="s">
        <v>8124</v>
      </c>
      <c r="F592" s="12" t="s">
        <v>7160</v>
      </c>
      <c r="G592" s="12" t="s">
        <v>7649</v>
      </c>
      <c r="H592" s="12">
        <v>75</v>
      </c>
      <c r="I592" s="12" t="s">
        <v>7647</v>
      </c>
      <c r="J592" s="80">
        <v>8.3333333333333321</v>
      </c>
      <c r="K592" s="12" t="s">
        <v>7161</v>
      </c>
      <c r="L592" s="12" t="s">
        <v>21</v>
      </c>
      <c r="M592" s="12" t="s">
        <v>8110</v>
      </c>
      <c r="N592" s="12">
        <v>68</v>
      </c>
      <c r="O592" s="12">
        <v>0.13900000000000001</v>
      </c>
      <c r="P592" s="12">
        <v>1</v>
      </c>
      <c r="Q592" s="12" t="s">
        <v>7196</v>
      </c>
      <c r="R592" s="12">
        <v>3.5999999999999997E-2</v>
      </c>
      <c r="S592" s="12">
        <v>0.68376499999999996</v>
      </c>
      <c r="T592" s="12">
        <v>481782</v>
      </c>
      <c r="U592" s="12">
        <v>0.128</v>
      </c>
      <c r="V592" s="12" t="s">
        <v>7661</v>
      </c>
      <c r="W592" s="12" t="s">
        <v>25</v>
      </c>
      <c r="X592" s="12">
        <v>2103</v>
      </c>
      <c r="Y592" s="12" t="s">
        <v>6639</v>
      </c>
      <c r="Z592" s="12" t="s">
        <v>6639</v>
      </c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</row>
    <row r="593" spans="1:56" s="12" customFormat="1" x14ac:dyDescent="0.2">
      <c r="A593" s="12" t="s">
        <v>3974</v>
      </c>
      <c r="B593" s="12" t="s">
        <v>3973</v>
      </c>
      <c r="C593" s="12" t="s">
        <v>13</v>
      </c>
      <c r="D593" s="12" t="s">
        <v>7210</v>
      </c>
      <c r="E593" s="12" t="s">
        <v>8124</v>
      </c>
      <c r="F593" s="12" t="s">
        <v>7160</v>
      </c>
      <c r="G593" s="12" t="s">
        <v>7649</v>
      </c>
      <c r="H593" s="12">
        <v>75</v>
      </c>
      <c r="I593" s="12" t="s">
        <v>7647</v>
      </c>
      <c r="J593" s="80">
        <v>8.3333333333333321</v>
      </c>
      <c r="K593" s="12" t="s">
        <v>7161</v>
      </c>
      <c r="L593" s="12" t="s">
        <v>21</v>
      </c>
      <c r="M593" s="12" t="s">
        <v>8110</v>
      </c>
      <c r="N593" s="12">
        <v>95.6</v>
      </c>
      <c r="O593" s="12">
        <v>9.9000000000000005E-2</v>
      </c>
      <c r="P593" s="12">
        <v>0.999</v>
      </c>
      <c r="Q593" s="12" t="s">
        <v>7169</v>
      </c>
      <c r="R593" s="12">
        <v>1.7999999999999999E-2</v>
      </c>
      <c r="S593" s="12">
        <v>0.60359499999999999</v>
      </c>
      <c r="T593" s="12">
        <v>446528</v>
      </c>
      <c r="U593" s="12">
        <v>0.10199999999999999</v>
      </c>
      <c r="V593" s="12" t="s">
        <v>7661</v>
      </c>
      <c r="W593" s="12" t="s">
        <v>11</v>
      </c>
      <c r="X593" s="12">
        <v>608</v>
      </c>
      <c r="Y593" s="12">
        <v>1.4319999999999999E-3</v>
      </c>
      <c r="Z593" s="12">
        <v>0.54996818096103861</v>
      </c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</row>
    <row r="594" spans="1:56" s="12" customFormat="1" x14ac:dyDescent="0.2">
      <c r="A594" s="12" t="s">
        <v>4074</v>
      </c>
      <c r="B594" s="12" t="s">
        <v>4071</v>
      </c>
      <c r="C594" s="12" t="s">
        <v>13</v>
      </c>
      <c r="D594" s="12" t="s">
        <v>7210</v>
      </c>
      <c r="E594" s="12" t="s">
        <v>8124</v>
      </c>
      <c r="F594" s="12" t="s">
        <v>7160</v>
      </c>
      <c r="G594" s="12" t="s">
        <v>7649</v>
      </c>
      <c r="H594" s="12">
        <v>75</v>
      </c>
      <c r="I594" s="12" t="s">
        <v>7647</v>
      </c>
      <c r="J594" s="80">
        <v>8.3333333333333321</v>
      </c>
      <c r="K594" s="12" t="s">
        <v>7161</v>
      </c>
      <c r="L594" s="12" t="s">
        <v>21</v>
      </c>
      <c r="M594" s="12" t="s">
        <v>8110</v>
      </c>
      <c r="N594" s="12">
        <v>203</v>
      </c>
      <c r="O594" s="12">
        <v>0.13600000000000001</v>
      </c>
      <c r="P594" s="12">
        <v>0.999</v>
      </c>
      <c r="Q594" s="12" t="s">
        <v>7206</v>
      </c>
      <c r="R594" s="12">
        <v>0.41099999999999998</v>
      </c>
      <c r="S594" s="12">
        <v>3.0805380000000002</v>
      </c>
      <c r="T594" s="12">
        <v>795803</v>
      </c>
      <c r="U594" s="12">
        <v>0.125</v>
      </c>
      <c r="V594" s="12" t="s">
        <v>7661</v>
      </c>
      <c r="W594" s="12" t="s">
        <v>11</v>
      </c>
      <c r="X594" s="12">
        <v>4482</v>
      </c>
      <c r="Y594" s="12">
        <v>6.8580000000000004E-3</v>
      </c>
      <c r="Z594" s="12">
        <v>5.1717038871485652</v>
      </c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</row>
    <row r="595" spans="1:56" s="12" customFormat="1" x14ac:dyDescent="0.2">
      <c r="A595" s="12" t="s">
        <v>3963</v>
      </c>
      <c r="B595" s="12" t="s">
        <v>3962</v>
      </c>
      <c r="C595" s="12" t="s">
        <v>13</v>
      </c>
      <c r="D595" s="12" t="s">
        <v>7210</v>
      </c>
      <c r="E595" s="12" t="s">
        <v>8124</v>
      </c>
      <c r="F595" s="12" t="s">
        <v>7160</v>
      </c>
      <c r="G595" s="12" t="s">
        <v>7649</v>
      </c>
      <c r="H595" s="12">
        <v>75</v>
      </c>
      <c r="I595" s="12" t="s">
        <v>7647</v>
      </c>
      <c r="J595" s="80">
        <v>8.3333333333333321</v>
      </c>
      <c r="K595" s="12" t="s">
        <v>7161</v>
      </c>
      <c r="L595" s="12" t="s">
        <v>21</v>
      </c>
      <c r="M595" s="12" t="s">
        <v>8110</v>
      </c>
      <c r="N595" s="12">
        <v>228</v>
      </c>
      <c r="O595" s="12">
        <v>0.111</v>
      </c>
      <c r="P595" s="12">
        <v>0.99</v>
      </c>
      <c r="Q595" s="12" t="s">
        <v>7224</v>
      </c>
      <c r="R595" s="12">
        <v>0.69699999999999995</v>
      </c>
      <c r="S595" s="12">
        <v>3.9029560000000001</v>
      </c>
      <c r="T595" s="12">
        <v>822908</v>
      </c>
      <c r="U595" s="12">
        <v>9.5000000000000001E-2</v>
      </c>
      <c r="V595" s="12" t="s">
        <v>7661</v>
      </c>
      <c r="W595" s="12" t="s">
        <v>11</v>
      </c>
      <c r="X595" s="12">
        <v>5232</v>
      </c>
      <c r="Y595" s="12">
        <v>6.3550000000000004E-3</v>
      </c>
      <c r="Z595" s="12">
        <v>5.4587497186875638</v>
      </c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</row>
    <row r="596" spans="1:56" s="12" customFormat="1" x14ac:dyDescent="0.2">
      <c r="A596" s="12" t="s">
        <v>3952</v>
      </c>
      <c r="B596" s="12" t="s">
        <v>3951</v>
      </c>
      <c r="C596" s="12" t="s">
        <v>13</v>
      </c>
      <c r="D596" s="12" t="s">
        <v>7210</v>
      </c>
      <c r="E596" s="12" t="s">
        <v>8124</v>
      </c>
      <c r="F596" s="12" t="s">
        <v>7160</v>
      </c>
      <c r="G596" s="12" t="s">
        <v>7649</v>
      </c>
      <c r="H596" s="12">
        <v>75</v>
      </c>
      <c r="I596" s="12" t="s">
        <v>7647</v>
      </c>
      <c r="J596" s="80">
        <v>8.3333333333333321</v>
      </c>
      <c r="K596" s="12" t="s">
        <v>7161</v>
      </c>
      <c r="L596" s="12" t="s">
        <v>21</v>
      </c>
      <c r="M596" s="12" t="s">
        <v>8110</v>
      </c>
      <c r="N596" s="12">
        <v>132</v>
      </c>
      <c r="O596" s="12">
        <v>0.122</v>
      </c>
      <c r="P596" s="12">
        <v>0.995</v>
      </c>
      <c r="Q596" s="12" t="s">
        <v>7256</v>
      </c>
      <c r="R596" s="12">
        <v>0.13500000000000001</v>
      </c>
      <c r="S596" s="12">
        <v>1.353164</v>
      </c>
      <c r="T596" s="12">
        <v>667506</v>
      </c>
      <c r="U596" s="12">
        <v>0.113</v>
      </c>
      <c r="V596" s="12" t="s">
        <v>7661</v>
      </c>
      <c r="W596" s="12" t="s">
        <v>25</v>
      </c>
      <c r="X596" s="12">
        <v>4672</v>
      </c>
      <c r="Y596" s="12" t="s">
        <v>6639</v>
      </c>
      <c r="Z596" s="12" t="s">
        <v>6639</v>
      </c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</row>
    <row r="597" spans="1:56" s="12" customFormat="1" x14ac:dyDescent="0.2">
      <c r="A597" s="12" t="s">
        <v>3982</v>
      </c>
      <c r="B597" s="12" t="s">
        <v>3980</v>
      </c>
      <c r="C597" s="12" t="s">
        <v>13</v>
      </c>
      <c r="D597" s="12" t="s">
        <v>7210</v>
      </c>
      <c r="E597" s="12" t="s">
        <v>8124</v>
      </c>
      <c r="F597" s="12" t="s">
        <v>7160</v>
      </c>
      <c r="G597" s="12" t="s">
        <v>7649</v>
      </c>
      <c r="H597" s="12">
        <v>75</v>
      </c>
      <c r="I597" s="12" t="s">
        <v>7647</v>
      </c>
      <c r="J597" s="80">
        <v>8.3333333333333321</v>
      </c>
      <c r="K597" s="12" t="s">
        <v>7161</v>
      </c>
      <c r="L597" s="12" t="s">
        <v>21</v>
      </c>
      <c r="M597" s="12" t="s">
        <v>8110</v>
      </c>
      <c r="N597" s="12">
        <v>58.9</v>
      </c>
      <c r="O597" s="12">
        <v>0.17399999999999999</v>
      </c>
      <c r="P597" s="12">
        <v>0.999</v>
      </c>
      <c r="Q597" s="12" t="s">
        <v>7206</v>
      </c>
      <c r="R597" s="12">
        <v>2.4E-2</v>
      </c>
      <c r="S597" s="12">
        <v>0.25699300000000003</v>
      </c>
      <c r="T597" s="12">
        <v>244325</v>
      </c>
      <c r="U597" s="12">
        <v>0.13900000000000001</v>
      </c>
      <c r="V597" s="12" t="s">
        <v>7661</v>
      </c>
      <c r="W597" s="12" t="s">
        <v>25</v>
      </c>
      <c r="X597" s="12">
        <v>424</v>
      </c>
      <c r="Y597" s="12" t="s">
        <v>6639</v>
      </c>
      <c r="Z597" s="12" t="s">
        <v>6639</v>
      </c>
      <c r="AD597" s="63"/>
      <c r="AE597" s="63"/>
      <c r="AF597" s="70"/>
      <c r="AG597" s="63"/>
      <c r="AH597" s="63"/>
      <c r="AI597" s="70"/>
      <c r="AJ597" s="70"/>
      <c r="AK597" s="70"/>
      <c r="AL597" s="63"/>
      <c r="AM597" s="63"/>
      <c r="AN597" s="63"/>
      <c r="AP597" s="12" t="s">
        <v>4702</v>
      </c>
      <c r="AQ597" s="12" t="s">
        <v>8048</v>
      </c>
      <c r="AR597" s="12" t="s">
        <v>8051</v>
      </c>
      <c r="AS597" s="12">
        <v>7.9930000000000003</v>
      </c>
      <c r="AT597" s="12">
        <v>0.2465</v>
      </c>
      <c r="AU597" s="12" t="s">
        <v>3148</v>
      </c>
      <c r="AV597" s="12">
        <v>0.96883900000000001</v>
      </c>
      <c r="AW597" s="12">
        <v>0.92524200000000001</v>
      </c>
      <c r="AX597" s="12">
        <v>0.99071500000000001</v>
      </c>
      <c r="AY597" s="12">
        <v>2695</v>
      </c>
      <c r="AZ597" s="12">
        <v>31</v>
      </c>
      <c r="BA597" s="12">
        <v>0.27750000000000002</v>
      </c>
      <c r="BB597" s="12">
        <v>65</v>
      </c>
      <c r="BC597" s="12">
        <v>3.36065573770491</v>
      </c>
      <c r="BD597" s="12">
        <v>0.20499999999999999</v>
      </c>
    </row>
    <row r="598" spans="1:56" s="12" customFormat="1" x14ac:dyDescent="0.2">
      <c r="A598" s="12" t="s">
        <v>3354</v>
      </c>
      <c r="B598" s="12" t="s">
        <v>3352</v>
      </c>
      <c r="C598" s="12" t="s">
        <v>13</v>
      </c>
      <c r="D598" s="12" t="s">
        <v>7210</v>
      </c>
      <c r="E598" s="12" t="s">
        <v>8124</v>
      </c>
      <c r="F598" s="12" t="s">
        <v>7160</v>
      </c>
      <c r="G598" s="12" t="s">
        <v>7649</v>
      </c>
      <c r="H598" s="12">
        <v>78</v>
      </c>
      <c r="I598" s="12" t="s">
        <v>7647</v>
      </c>
      <c r="J598" s="80">
        <v>8.6666666666666661</v>
      </c>
      <c r="K598" s="12" t="s">
        <v>7161</v>
      </c>
      <c r="L598" s="12" t="s">
        <v>21</v>
      </c>
      <c r="M598" s="12" t="s">
        <v>8110</v>
      </c>
      <c r="N598" s="12">
        <v>90.1</v>
      </c>
      <c r="O598" s="12">
        <v>0.158</v>
      </c>
      <c r="P598" s="12">
        <v>0.98699999999999999</v>
      </c>
      <c r="Q598" s="12" t="s">
        <v>7166</v>
      </c>
      <c r="R598" s="12">
        <v>0.73699999999999999</v>
      </c>
      <c r="S598" s="12">
        <v>2.4999340000000001</v>
      </c>
      <c r="T598" s="12">
        <v>811059</v>
      </c>
      <c r="U598" s="12">
        <v>0.13600000000000001</v>
      </c>
      <c r="V598" s="12" t="s">
        <v>7661</v>
      </c>
      <c r="W598" s="12" t="s">
        <v>25</v>
      </c>
      <c r="X598" s="12">
        <v>7567</v>
      </c>
      <c r="Y598" s="12" t="s">
        <v>6639</v>
      </c>
      <c r="Z598" s="12" t="s">
        <v>6639</v>
      </c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</row>
    <row r="599" spans="1:56" s="12" customFormat="1" x14ac:dyDescent="0.2">
      <c r="A599" s="12" t="s">
        <v>990</v>
      </c>
      <c r="B599" s="12" t="s">
        <v>988</v>
      </c>
      <c r="C599" s="12" t="s">
        <v>13</v>
      </c>
      <c r="D599" s="12" t="s">
        <v>7210</v>
      </c>
      <c r="E599" s="12" t="s">
        <v>8124</v>
      </c>
      <c r="F599" s="12" t="s">
        <v>7160</v>
      </c>
      <c r="G599" s="12" t="s">
        <v>7649</v>
      </c>
      <c r="H599" s="12">
        <v>78</v>
      </c>
      <c r="I599" s="12" t="s">
        <v>7647</v>
      </c>
      <c r="J599" s="80">
        <v>8.6666666666666661</v>
      </c>
      <c r="K599" s="12" t="s">
        <v>7161</v>
      </c>
      <c r="L599" s="12" t="s">
        <v>21</v>
      </c>
      <c r="M599" s="12" t="s">
        <v>8110</v>
      </c>
      <c r="N599" s="12">
        <v>101</v>
      </c>
      <c r="O599" s="12">
        <v>0.151</v>
      </c>
      <c r="P599" s="12">
        <v>0.98799999999999999</v>
      </c>
      <c r="Q599" s="12" t="s">
        <v>7313</v>
      </c>
      <c r="R599" s="12">
        <v>0.64200000000000002</v>
      </c>
      <c r="S599" s="12">
        <v>2.4618069999999999</v>
      </c>
      <c r="T599" s="12">
        <v>821527</v>
      </c>
      <c r="U599" s="12">
        <v>0.13800000000000001</v>
      </c>
      <c r="V599" s="12" t="s">
        <v>7661</v>
      </c>
      <c r="W599" s="12" t="s">
        <v>25</v>
      </c>
      <c r="X599" s="12">
        <v>7745</v>
      </c>
      <c r="Y599" s="12" t="s">
        <v>6639</v>
      </c>
      <c r="Z599" s="12" t="s">
        <v>6639</v>
      </c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</row>
    <row r="600" spans="1:56" s="12" customFormat="1" x14ac:dyDescent="0.2">
      <c r="A600" s="12" t="s">
        <v>3319</v>
      </c>
      <c r="B600" s="12" t="s">
        <v>3316</v>
      </c>
      <c r="C600" s="12" t="s">
        <v>13</v>
      </c>
      <c r="D600" s="12" t="s">
        <v>7210</v>
      </c>
      <c r="E600" s="12" t="s">
        <v>8124</v>
      </c>
      <c r="F600" s="12" t="s">
        <v>7160</v>
      </c>
      <c r="G600" s="12" t="s">
        <v>7649</v>
      </c>
      <c r="H600" s="12">
        <v>81</v>
      </c>
      <c r="I600" s="12" t="s">
        <v>7647</v>
      </c>
      <c r="J600" s="80">
        <v>9</v>
      </c>
      <c r="K600" s="12" t="s">
        <v>7161</v>
      </c>
      <c r="L600" s="12" t="s">
        <v>21</v>
      </c>
      <c r="M600" s="12" t="s">
        <v>8110</v>
      </c>
      <c r="N600" s="12">
        <v>84.3</v>
      </c>
      <c r="O600" s="12">
        <v>0.19800000000000001</v>
      </c>
      <c r="P600" s="12">
        <v>0.99399999999999999</v>
      </c>
      <c r="Q600" s="12" t="s">
        <v>7221</v>
      </c>
      <c r="R600" s="12">
        <v>0.56999999999999995</v>
      </c>
      <c r="S600" s="12">
        <v>2.1653020000000001</v>
      </c>
      <c r="T600" s="12">
        <v>769168</v>
      </c>
      <c r="U600" s="12">
        <v>0.17</v>
      </c>
      <c r="V600" s="12" t="s">
        <v>7661</v>
      </c>
      <c r="W600" s="12" t="s">
        <v>25</v>
      </c>
      <c r="X600" s="12">
        <v>6582</v>
      </c>
      <c r="Y600" s="12" t="s">
        <v>6639</v>
      </c>
      <c r="Z600" s="12" t="s">
        <v>6639</v>
      </c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</row>
    <row r="601" spans="1:56" s="12" customFormat="1" x14ac:dyDescent="0.2">
      <c r="A601" s="12" t="s">
        <v>3351</v>
      </c>
      <c r="B601" s="12" t="s">
        <v>3348</v>
      </c>
      <c r="C601" s="12" t="s">
        <v>13</v>
      </c>
      <c r="D601" s="12" t="s">
        <v>7210</v>
      </c>
      <c r="E601" s="12" t="s">
        <v>8124</v>
      </c>
      <c r="F601" s="12" t="s">
        <v>7160</v>
      </c>
      <c r="G601" s="12" t="s">
        <v>7649</v>
      </c>
      <c r="H601" s="12">
        <v>75</v>
      </c>
      <c r="I601" s="12" t="s">
        <v>7647</v>
      </c>
      <c r="J601" s="80">
        <v>8.3333333333333321</v>
      </c>
      <c r="K601" s="12" t="s">
        <v>7161</v>
      </c>
      <c r="L601" s="12" t="s">
        <v>21</v>
      </c>
      <c r="M601" s="12" t="s">
        <v>8110</v>
      </c>
      <c r="N601" s="12">
        <v>0.38200000000000001</v>
      </c>
      <c r="O601" s="12" t="s">
        <v>7796</v>
      </c>
      <c r="P601" s="12" t="s">
        <v>7796</v>
      </c>
      <c r="Q601" s="12" t="s">
        <v>7796</v>
      </c>
      <c r="R601" s="12">
        <v>8.0000000000000002E-3</v>
      </c>
      <c r="S601" s="12">
        <v>2.2160000000000001E-3</v>
      </c>
      <c r="T601" s="12">
        <v>2673</v>
      </c>
      <c r="U601" s="12">
        <v>4.8000000000000001E-2</v>
      </c>
      <c r="V601" s="12" t="s">
        <v>7661</v>
      </c>
      <c r="W601" s="12" t="s">
        <v>11</v>
      </c>
      <c r="X601" s="12">
        <v>1</v>
      </c>
      <c r="Y601" s="12" t="s">
        <v>8052</v>
      </c>
      <c r="Z601" s="12" t="s">
        <v>8052</v>
      </c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</row>
    <row r="602" spans="1:56" s="12" customFormat="1" x14ac:dyDescent="0.2">
      <c r="A602" s="12" t="s">
        <v>3330</v>
      </c>
      <c r="B602" s="12" t="s">
        <v>3327</v>
      </c>
      <c r="C602" s="12" t="s">
        <v>13</v>
      </c>
      <c r="D602" s="12" t="s">
        <v>7210</v>
      </c>
      <c r="E602" s="12" t="s">
        <v>8124</v>
      </c>
      <c r="F602" s="12" t="s">
        <v>7160</v>
      </c>
      <c r="G602" s="12" t="s">
        <v>7649</v>
      </c>
      <c r="H602" s="12">
        <v>75</v>
      </c>
      <c r="I602" s="12" t="s">
        <v>7647</v>
      </c>
      <c r="J602" s="80">
        <v>8.3333333333333321</v>
      </c>
      <c r="K602" s="12" t="s">
        <v>7161</v>
      </c>
      <c r="L602" s="12" t="s">
        <v>21</v>
      </c>
      <c r="M602" s="12" t="s">
        <v>8110</v>
      </c>
      <c r="N602" s="12">
        <v>84.5</v>
      </c>
      <c r="O602" s="12">
        <v>0.129</v>
      </c>
      <c r="P602" s="12">
        <v>0.97799999999999998</v>
      </c>
      <c r="Q602" s="12" t="s">
        <v>7311</v>
      </c>
      <c r="R602" s="12">
        <v>0.55400000000000005</v>
      </c>
      <c r="S602" s="12">
        <v>3.746394</v>
      </c>
      <c r="T602" s="12">
        <v>863817</v>
      </c>
      <c r="U602" s="12">
        <v>0.11600000000000001</v>
      </c>
      <c r="V602" s="12" t="s">
        <v>7661</v>
      </c>
      <c r="W602" s="12" t="s">
        <v>25</v>
      </c>
      <c r="X602" s="12">
        <v>9143</v>
      </c>
      <c r="Y602" s="12" t="s">
        <v>6639</v>
      </c>
      <c r="Z602" s="12" t="s">
        <v>6639</v>
      </c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</row>
    <row r="603" spans="1:56" s="12" customFormat="1" x14ac:dyDescent="0.2">
      <c r="A603" s="12" t="s">
        <v>3314</v>
      </c>
      <c r="B603" s="12" t="s">
        <v>3311</v>
      </c>
      <c r="C603" s="12" t="s">
        <v>13</v>
      </c>
      <c r="D603" s="12" t="s">
        <v>7210</v>
      </c>
      <c r="E603" s="12" t="s">
        <v>8124</v>
      </c>
      <c r="F603" s="12" t="s">
        <v>7160</v>
      </c>
      <c r="G603" s="12" t="s">
        <v>7649</v>
      </c>
      <c r="H603" s="12">
        <v>81</v>
      </c>
      <c r="I603" s="12" t="s">
        <v>7647</v>
      </c>
      <c r="J603" s="80">
        <v>9</v>
      </c>
      <c r="K603" s="12" t="s">
        <v>7161</v>
      </c>
      <c r="L603" s="12" t="s">
        <v>21</v>
      </c>
      <c r="M603" s="12" t="s">
        <v>8110</v>
      </c>
      <c r="N603" s="12">
        <v>75.3</v>
      </c>
      <c r="O603" s="12">
        <v>0.17199999999999999</v>
      </c>
      <c r="P603" s="12">
        <v>0.98899999999999999</v>
      </c>
      <c r="Q603" s="12" t="s">
        <v>7314</v>
      </c>
      <c r="R603" s="12">
        <v>0.45100000000000001</v>
      </c>
      <c r="S603" s="12">
        <v>2.0464769999999999</v>
      </c>
      <c r="T603" s="12">
        <v>793068</v>
      </c>
      <c r="U603" s="12">
        <v>0.14699999999999999</v>
      </c>
      <c r="V603" s="12" t="s">
        <v>7661</v>
      </c>
      <c r="W603" s="12" t="s">
        <v>25</v>
      </c>
      <c r="X603" s="12">
        <v>7001</v>
      </c>
      <c r="Y603" s="12" t="s">
        <v>6639</v>
      </c>
      <c r="Z603" s="12" t="s">
        <v>6639</v>
      </c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</row>
    <row r="604" spans="1:56" s="12" customFormat="1" x14ac:dyDescent="0.2">
      <c r="A604" s="12" t="s">
        <v>996</v>
      </c>
      <c r="B604" s="12" t="s">
        <v>994</v>
      </c>
      <c r="C604" s="12" t="s">
        <v>13</v>
      </c>
      <c r="D604" s="12" t="s">
        <v>7210</v>
      </c>
      <c r="E604" s="12" t="s">
        <v>8124</v>
      </c>
      <c r="F604" s="12" t="s">
        <v>7160</v>
      </c>
      <c r="G604" s="12" t="s">
        <v>7649</v>
      </c>
      <c r="H604" s="12">
        <v>80</v>
      </c>
      <c r="I604" s="12" t="s">
        <v>7647</v>
      </c>
      <c r="J604" s="80">
        <v>8.8888888888888893</v>
      </c>
      <c r="K604" s="12" t="s">
        <v>7161</v>
      </c>
      <c r="L604" s="12" t="s">
        <v>21</v>
      </c>
      <c r="M604" s="12" t="s">
        <v>8110</v>
      </c>
      <c r="N604" s="12">
        <v>52.6</v>
      </c>
      <c r="O604" s="12">
        <v>0.153</v>
      </c>
      <c r="P604" s="12">
        <v>0.98599999999999999</v>
      </c>
      <c r="Q604" s="12" t="s">
        <v>7315</v>
      </c>
      <c r="R604" s="12">
        <v>0.189</v>
      </c>
      <c r="S604" s="12">
        <v>0.98565499999999995</v>
      </c>
      <c r="T604" s="12">
        <v>658949</v>
      </c>
      <c r="U604" s="12">
        <v>0.123</v>
      </c>
      <c r="V604" s="12" t="s">
        <v>7661</v>
      </c>
      <c r="W604" s="12" t="s">
        <v>11</v>
      </c>
      <c r="X604" s="12">
        <v>1278</v>
      </c>
      <c r="Y604" s="12">
        <v>6.1659999999999996E-3</v>
      </c>
      <c r="Z604" s="12">
        <v>2.0396916182104832</v>
      </c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</row>
    <row r="605" spans="1:56" s="12" customFormat="1" x14ac:dyDescent="0.2">
      <c r="A605" s="12" t="s">
        <v>1432</v>
      </c>
      <c r="B605" s="12" t="s">
        <v>1431</v>
      </c>
      <c r="C605" s="12" t="s">
        <v>13</v>
      </c>
      <c r="D605" s="12" t="s">
        <v>8032</v>
      </c>
      <c r="E605" s="12" t="s">
        <v>8124</v>
      </c>
      <c r="F605" s="12" t="s">
        <v>7160</v>
      </c>
      <c r="G605" s="12" t="s">
        <v>7649</v>
      </c>
      <c r="H605" s="12">
        <v>75</v>
      </c>
      <c r="I605" s="12" t="s">
        <v>7647</v>
      </c>
      <c r="J605" s="80">
        <v>8.3333333333333321</v>
      </c>
      <c r="K605" s="12" t="s">
        <v>7161</v>
      </c>
      <c r="L605" s="12" t="s">
        <v>21</v>
      </c>
      <c r="M605" s="12" t="s">
        <v>8110</v>
      </c>
      <c r="N605" s="12">
        <v>152</v>
      </c>
      <c r="O605" s="12">
        <v>0.12</v>
      </c>
      <c r="P605" s="12">
        <v>0.99</v>
      </c>
      <c r="Q605" s="12" t="s">
        <v>7225</v>
      </c>
      <c r="R605" s="12">
        <v>0.55000000000000004</v>
      </c>
      <c r="S605" s="12">
        <v>3.4881730000000002</v>
      </c>
      <c r="T605" s="12">
        <v>873182</v>
      </c>
      <c r="U605" s="12">
        <v>9.8000000000000004E-2</v>
      </c>
      <c r="V605" s="12" t="s">
        <v>7661</v>
      </c>
      <c r="W605" s="12" t="s">
        <v>11</v>
      </c>
      <c r="X605" s="12">
        <v>5323</v>
      </c>
      <c r="Y605" s="12">
        <v>4.9230000000000003E-3</v>
      </c>
      <c r="Z605" s="12">
        <v>4.4941953400224399</v>
      </c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</row>
    <row r="606" spans="1:56" s="12" customFormat="1" x14ac:dyDescent="0.2">
      <c r="A606" s="12" t="s">
        <v>5284</v>
      </c>
      <c r="B606" s="12" t="s">
        <v>5282</v>
      </c>
      <c r="C606" s="12" t="s">
        <v>13</v>
      </c>
      <c r="D606" s="12" t="s">
        <v>8032</v>
      </c>
      <c r="E606" s="12" t="s">
        <v>8124</v>
      </c>
      <c r="F606" s="12" t="s">
        <v>7160</v>
      </c>
      <c r="G606" s="12" t="s">
        <v>7649</v>
      </c>
      <c r="H606" s="12">
        <v>76</v>
      </c>
      <c r="I606" s="12" t="s">
        <v>7647</v>
      </c>
      <c r="J606" s="80">
        <v>8.4444444444444446</v>
      </c>
      <c r="K606" s="12" t="s">
        <v>7161</v>
      </c>
      <c r="L606" s="12" t="s">
        <v>21</v>
      </c>
      <c r="M606" s="12" t="s">
        <v>8110</v>
      </c>
      <c r="N606" s="12">
        <v>188</v>
      </c>
      <c r="O606" s="12">
        <v>8.5000000000000006E-2</v>
      </c>
      <c r="P606" s="12">
        <v>0.99399999999999999</v>
      </c>
      <c r="Q606" s="12" t="s">
        <v>7195</v>
      </c>
      <c r="R606" s="12">
        <v>0.51900000000000002</v>
      </c>
      <c r="S606" s="12">
        <v>3.7183259999999998</v>
      </c>
      <c r="T606" s="12">
        <v>818786</v>
      </c>
      <c r="U606" s="12">
        <v>6.8000000000000005E-2</v>
      </c>
      <c r="V606" s="12" t="s">
        <v>7661</v>
      </c>
      <c r="W606" s="12" t="s">
        <v>25</v>
      </c>
      <c r="X606" s="12">
        <v>8109</v>
      </c>
      <c r="Y606" s="12" t="s">
        <v>6639</v>
      </c>
      <c r="Z606" s="12" t="s">
        <v>6639</v>
      </c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</row>
    <row r="607" spans="1:56" s="12" customFormat="1" x14ac:dyDescent="0.2">
      <c r="A607" s="12" t="s">
        <v>5287</v>
      </c>
      <c r="B607" s="12" t="s">
        <v>5286</v>
      </c>
      <c r="C607" s="12" t="s">
        <v>13</v>
      </c>
      <c r="D607" s="12" t="s">
        <v>8032</v>
      </c>
      <c r="E607" s="12" t="s">
        <v>8124</v>
      </c>
      <c r="F607" s="12" t="s">
        <v>7160</v>
      </c>
      <c r="G607" s="12" t="s">
        <v>7649</v>
      </c>
      <c r="H607" s="12">
        <v>77</v>
      </c>
      <c r="I607" s="12" t="s">
        <v>7647</v>
      </c>
      <c r="J607" s="80">
        <v>8.5555555555555554</v>
      </c>
      <c r="K607" s="12" t="s">
        <v>7161</v>
      </c>
      <c r="L607" s="12" t="s">
        <v>21</v>
      </c>
      <c r="M607" s="12" t="s">
        <v>8110</v>
      </c>
      <c r="N607" s="12">
        <v>187</v>
      </c>
      <c r="O607" s="12">
        <v>0.104</v>
      </c>
      <c r="P607" s="12">
        <v>0.99099999999999999</v>
      </c>
      <c r="Q607" s="12" t="s">
        <v>7164</v>
      </c>
      <c r="R607" s="12">
        <v>0.63</v>
      </c>
      <c r="S607" s="12">
        <v>3.1612740000000001</v>
      </c>
      <c r="T607" s="12">
        <v>850315</v>
      </c>
      <c r="U607" s="12">
        <v>7.6999999999999999E-2</v>
      </c>
      <c r="V607" s="12" t="s">
        <v>7661</v>
      </c>
      <c r="W607" s="12" t="s">
        <v>11</v>
      </c>
      <c r="X607" s="12">
        <v>4946</v>
      </c>
      <c r="Y607" s="12">
        <v>6.2680000000000001E-3</v>
      </c>
      <c r="Z607" s="12">
        <v>4.9499164484428455</v>
      </c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</row>
    <row r="608" spans="1:56" s="12" customFormat="1" x14ac:dyDescent="0.2">
      <c r="A608" s="12" t="s">
        <v>4755</v>
      </c>
      <c r="B608" s="12" t="s">
        <v>4754</v>
      </c>
      <c r="C608" s="12" t="s">
        <v>13</v>
      </c>
      <c r="D608" s="12" t="s">
        <v>7210</v>
      </c>
      <c r="E608" s="12" t="s">
        <v>8124</v>
      </c>
      <c r="F608" s="12" t="s">
        <v>7160</v>
      </c>
      <c r="G608" s="12" t="s">
        <v>7649</v>
      </c>
      <c r="H608" s="12">
        <v>75</v>
      </c>
      <c r="I608" s="12" t="s">
        <v>7647</v>
      </c>
      <c r="J608" s="80">
        <v>8.3333333333333321</v>
      </c>
      <c r="K608" s="12" t="s">
        <v>7161</v>
      </c>
      <c r="L608" s="12" t="s">
        <v>21</v>
      </c>
      <c r="M608" s="12" t="s">
        <v>8110</v>
      </c>
      <c r="N608" s="12">
        <v>174</v>
      </c>
      <c r="O608" s="12">
        <v>8.6999999999999994E-2</v>
      </c>
      <c r="P608" s="12">
        <v>0.98299999999999998</v>
      </c>
      <c r="Q608" s="12" t="s">
        <v>7176</v>
      </c>
      <c r="R608" s="12">
        <v>0.78100000000000003</v>
      </c>
      <c r="S608" s="12">
        <v>3.8282639999999999</v>
      </c>
      <c r="T608" s="12">
        <v>831975</v>
      </c>
      <c r="U608" s="12">
        <v>6.5000000000000002E-2</v>
      </c>
      <c r="V608" s="12" t="s">
        <v>7661</v>
      </c>
      <c r="W608" s="12" t="s">
        <v>25</v>
      </c>
      <c r="X608" s="12">
        <v>8469</v>
      </c>
      <c r="Y608" s="12" t="s">
        <v>6639</v>
      </c>
      <c r="Z608" s="12" t="s">
        <v>6639</v>
      </c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</row>
    <row r="609" spans="1:39" s="12" customFormat="1" x14ac:dyDescent="0.2">
      <c r="A609" s="12" t="s">
        <v>2371</v>
      </c>
      <c r="B609" s="12" t="s">
        <v>2369</v>
      </c>
      <c r="C609" s="12" t="s">
        <v>13</v>
      </c>
      <c r="D609" s="12" t="s">
        <v>7210</v>
      </c>
      <c r="E609" s="12" t="s">
        <v>8124</v>
      </c>
      <c r="F609" s="12" t="s">
        <v>7160</v>
      </c>
      <c r="G609" s="12" t="s">
        <v>7649</v>
      </c>
      <c r="H609" s="12">
        <v>75</v>
      </c>
      <c r="I609" s="12" t="s">
        <v>7647</v>
      </c>
      <c r="J609" s="80">
        <v>8.3333333333333321</v>
      </c>
      <c r="K609" s="12" t="s">
        <v>7161</v>
      </c>
      <c r="L609" s="12" t="s">
        <v>21</v>
      </c>
      <c r="M609" s="12" t="s">
        <v>8110</v>
      </c>
      <c r="N609" s="12">
        <v>21.6</v>
      </c>
      <c r="O609" s="12">
        <v>0.21199999999999999</v>
      </c>
      <c r="P609" s="12">
        <v>0.999</v>
      </c>
      <c r="Q609" s="12" t="s">
        <v>7203</v>
      </c>
      <c r="R609" s="12">
        <v>1.6E-2</v>
      </c>
      <c r="S609" s="12">
        <v>0.126689</v>
      </c>
      <c r="T609" s="12">
        <v>136470</v>
      </c>
      <c r="U609" s="12">
        <v>0.1</v>
      </c>
      <c r="V609" s="12" t="s">
        <v>7661</v>
      </c>
      <c r="W609" s="12" t="s">
        <v>11</v>
      </c>
      <c r="X609" s="12">
        <v>37</v>
      </c>
      <c r="Y609" s="12" t="s">
        <v>8052</v>
      </c>
      <c r="Z609" s="12" t="s">
        <v>8052</v>
      </c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</row>
    <row r="610" spans="1:39" s="12" customFormat="1" x14ac:dyDescent="0.2">
      <c r="A610" s="12" t="s">
        <v>4106</v>
      </c>
      <c r="B610" s="12" t="s">
        <v>4105</v>
      </c>
      <c r="C610" s="12" t="s">
        <v>13</v>
      </c>
      <c r="D610" s="12" t="s">
        <v>7210</v>
      </c>
      <c r="E610" s="12" t="s">
        <v>8124</v>
      </c>
      <c r="F610" s="12" t="s">
        <v>7160</v>
      </c>
      <c r="G610" s="12" t="s">
        <v>7649</v>
      </c>
      <c r="H610" s="12">
        <v>75</v>
      </c>
      <c r="I610" s="12" t="s">
        <v>7647</v>
      </c>
      <c r="J610" s="80">
        <v>8.3333333333333321</v>
      </c>
      <c r="K610" s="12" t="s">
        <v>7161</v>
      </c>
      <c r="L610" s="12" t="s">
        <v>21</v>
      </c>
      <c r="M610" s="12" t="s">
        <v>8110</v>
      </c>
      <c r="N610" s="12">
        <v>106</v>
      </c>
      <c r="O610" s="12">
        <v>9.5000000000000001E-2</v>
      </c>
      <c r="P610" s="12">
        <v>0.999</v>
      </c>
      <c r="Q610" s="12" t="s">
        <v>7179</v>
      </c>
      <c r="R610" s="12">
        <v>5.0999999999999997E-2</v>
      </c>
      <c r="S610" s="12">
        <v>0.52618799999999999</v>
      </c>
      <c r="T610" s="12">
        <v>435683</v>
      </c>
      <c r="U610" s="12">
        <v>7.1999999999999995E-2</v>
      </c>
      <c r="V610" s="12" t="s">
        <v>7661</v>
      </c>
      <c r="W610" s="12" t="s">
        <v>25</v>
      </c>
      <c r="X610" s="12">
        <v>1356</v>
      </c>
      <c r="Y610" s="12" t="s">
        <v>6639</v>
      </c>
      <c r="Z610" s="12" t="s">
        <v>6639</v>
      </c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</row>
    <row r="611" spans="1:39" s="12" customFormat="1" x14ac:dyDescent="0.2">
      <c r="A611" s="12" t="s">
        <v>101</v>
      </c>
      <c r="B611" s="12" t="s">
        <v>99</v>
      </c>
      <c r="C611" s="12" t="s">
        <v>8127</v>
      </c>
      <c r="D611" s="12" t="s">
        <v>8126</v>
      </c>
      <c r="E611" s="12" t="s">
        <v>8124</v>
      </c>
      <c r="F611" s="12" t="s">
        <v>7160</v>
      </c>
      <c r="G611" s="12" t="s">
        <v>7649</v>
      </c>
      <c r="H611" s="12">
        <v>72</v>
      </c>
      <c r="I611" s="12" t="s">
        <v>7647</v>
      </c>
      <c r="J611" s="80">
        <v>8</v>
      </c>
      <c r="K611" s="12" t="s">
        <v>7161</v>
      </c>
      <c r="L611" s="12" t="s">
        <v>21</v>
      </c>
      <c r="M611" s="12" t="s">
        <v>8110</v>
      </c>
      <c r="N611" s="12">
        <v>185</v>
      </c>
      <c r="O611" s="12">
        <v>5.6000000000000001E-2</v>
      </c>
      <c r="P611" s="12">
        <v>0.998</v>
      </c>
      <c r="Q611" s="12" t="s">
        <v>7270</v>
      </c>
      <c r="R611" s="12">
        <v>1.2999999999999999E-2</v>
      </c>
      <c r="S611" s="12">
        <v>0.21390300000000001</v>
      </c>
      <c r="T611" s="12">
        <v>220203</v>
      </c>
      <c r="U611" s="12">
        <v>5.0999999999999997E-2</v>
      </c>
      <c r="V611" s="12" t="s">
        <v>7661</v>
      </c>
      <c r="W611" s="12" t="s">
        <v>11</v>
      </c>
      <c r="X611" s="12">
        <v>78</v>
      </c>
      <c r="Y611" s="12" t="s">
        <v>8052</v>
      </c>
      <c r="Z611" s="12" t="s">
        <v>8052</v>
      </c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</row>
    <row r="612" spans="1:39" s="12" customFormat="1" x14ac:dyDescent="0.2">
      <c r="A612" s="12" t="s">
        <v>138</v>
      </c>
      <c r="B612" s="12" t="s">
        <v>137</v>
      </c>
      <c r="C612" s="12" t="s">
        <v>8127</v>
      </c>
      <c r="D612" s="12" t="s">
        <v>8126</v>
      </c>
      <c r="E612" s="12" t="s">
        <v>8124</v>
      </c>
      <c r="F612" s="12" t="s">
        <v>7160</v>
      </c>
      <c r="G612" s="12" t="s">
        <v>7649</v>
      </c>
      <c r="H612" s="12">
        <v>75</v>
      </c>
      <c r="I612" s="12" t="s">
        <v>7647</v>
      </c>
      <c r="J612" s="80">
        <v>8.3333333333333321</v>
      </c>
      <c r="K612" s="12" t="s">
        <v>7161</v>
      </c>
      <c r="L612" s="12" t="s">
        <v>21</v>
      </c>
      <c r="M612" s="12" t="s">
        <v>8110</v>
      </c>
      <c r="N612" s="12">
        <v>268</v>
      </c>
      <c r="O612" s="12">
        <v>4.3999999999999997E-2</v>
      </c>
      <c r="P612" s="12">
        <v>0.999</v>
      </c>
      <c r="Q612" s="12" t="s">
        <v>7169</v>
      </c>
      <c r="R612" s="12">
        <v>0.161</v>
      </c>
      <c r="S612" s="12">
        <v>1.2912250000000001</v>
      </c>
      <c r="T612" s="12">
        <v>725428</v>
      </c>
      <c r="U612" s="12">
        <v>3.2000000000000001E-2</v>
      </c>
      <c r="V612" s="12" t="s">
        <v>7661</v>
      </c>
      <c r="W612" s="12" t="s">
        <v>11</v>
      </c>
      <c r="X612" s="12">
        <v>1855</v>
      </c>
      <c r="Y612" s="12">
        <v>3.934E-3</v>
      </c>
      <c r="Z612" s="12">
        <v>2.0878477601278393</v>
      </c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</row>
    <row r="613" spans="1:39" s="12" customFormat="1" x14ac:dyDescent="0.2">
      <c r="A613" s="12" t="s">
        <v>106</v>
      </c>
      <c r="B613" s="12" t="s">
        <v>104</v>
      </c>
      <c r="C613" s="12" t="s">
        <v>8127</v>
      </c>
      <c r="D613" s="12" t="s">
        <v>8126</v>
      </c>
      <c r="E613" s="12" t="s">
        <v>8124</v>
      </c>
      <c r="F613" s="12" t="s">
        <v>7160</v>
      </c>
      <c r="G613" s="12" t="s">
        <v>7649</v>
      </c>
      <c r="H613" s="12">
        <v>75</v>
      </c>
      <c r="I613" s="12" t="s">
        <v>7647</v>
      </c>
      <c r="J613" s="80">
        <v>8.3333333333333321</v>
      </c>
      <c r="K613" s="12" t="s">
        <v>7161</v>
      </c>
      <c r="L613" s="12" t="s">
        <v>21</v>
      </c>
      <c r="M613" s="12" t="s">
        <v>8110</v>
      </c>
      <c r="N613" s="12">
        <v>171</v>
      </c>
      <c r="O613" s="12">
        <v>6.4000000000000001E-2</v>
      </c>
      <c r="P613" s="12">
        <v>0.99399999999999999</v>
      </c>
      <c r="Q613" s="12" t="s">
        <v>7262</v>
      </c>
      <c r="R613" s="12">
        <v>0.185</v>
      </c>
      <c r="S613" s="12">
        <v>0.91890499999999997</v>
      </c>
      <c r="T613" s="12">
        <v>616129</v>
      </c>
      <c r="U613" s="12">
        <v>3.9E-2</v>
      </c>
      <c r="V613" s="12" t="s">
        <v>7661</v>
      </c>
      <c r="W613" s="12" t="s">
        <v>25</v>
      </c>
      <c r="X613" s="12">
        <v>3007</v>
      </c>
      <c r="Y613" s="12" t="s">
        <v>6639</v>
      </c>
      <c r="Z613" s="12" t="s">
        <v>6639</v>
      </c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</row>
    <row r="614" spans="1:39" s="12" customFormat="1" x14ac:dyDescent="0.2">
      <c r="A614" s="12" t="s">
        <v>150</v>
      </c>
      <c r="B614" s="12" t="s">
        <v>148</v>
      </c>
      <c r="C614" s="12" t="s">
        <v>13</v>
      </c>
      <c r="D614" s="12" t="s">
        <v>7210</v>
      </c>
      <c r="E614" s="12" t="s">
        <v>8124</v>
      </c>
      <c r="F614" s="12" t="s">
        <v>7160</v>
      </c>
      <c r="G614" s="12" t="s">
        <v>7649</v>
      </c>
      <c r="H614" s="12">
        <v>75</v>
      </c>
      <c r="I614" s="12" t="s">
        <v>7647</v>
      </c>
      <c r="J614" s="80">
        <v>8.3333333333333321</v>
      </c>
      <c r="K614" s="12" t="s">
        <v>7161</v>
      </c>
      <c r="L614" s="12" t="s">
        <v>21</v>
      </c>
      <c r="M614" s="12" t="s">
        <v>8110</v>
      </c>
      <c r="N614" s="12">
        <v>142</v>
      </c>
      <c r="O614" s="12">
        <v>0.14599999999999999</v>
      </c>
      <c r="P614" s="12">
        <v>0.997</v>
      </c>
      <c r="Q614" s="12" t="s">
        <v>7194</v>
      </c>
      <c r="R614" s="12">
        <v>0.65900000000000003</v>
      </c>
      <c r="S614" s="12">
        <v>3.6111740000000001</v>
      </c>
      <c r="T614" s="12">
        <v>868211</v>
      </c>
      <c r="U614" s="12">
        <v>0.11</v>
      </c>
      <c r="V614" s="12" t="s">
        <v>7661</v>
      </c>
      <c r="W614" s="12" t="s">
        <v>11</v>
      </c>
      <c r="X614" s="12">
        <v>5117</v>
      </c>
      <c r="Y614" s="12">
        <v>6.3400000000000001E-3</v>
      </c>
      <c r="Z614" s="12">
        <v>5.2521182439037322</v>
      </c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</row>
    <row r="615" spans="1:39" s="12" customFormat="1" x14ac:dyDescent="0.2">
      <c r="A615" s="12" t="s">
        <v>113</v>
      </c>
      <c r="B615" s="12" t="s">
        <v>112</v>
      </c>
      <c r="C615" s="12" t="s">
        <v>13</v>
      </c>
      <c r="D615" s="12" t="s">
        <v>7210</v>
      </c>
      <c r="E615" s="12" t="s">
        <v>8124</v>
      </c>
      <c r="F615" s="12" t="s">
        <v>7160</v>
      </c>
      <c r="G615" s="12" t="s">
        <v>7649</v>
      </c>
      <c r="H615" s="12">
        <v>75</v>
      </c>
      <c r="I615" s="12" t="s">
        <v>7647</v>
      </c>
      <c r="J615" s="80">
        <v>8.3333333333333321</v>
      </c>
      <c r="K615" s="12" t="s">
        <v>7161</v>
      </c>
      <c r="L615" s="12" t="s">
        <v>21</v>
      </c>
      <c r="M615" s="12" t="s">
        <v>8110</v>
      </c>
      <c r="N615" s="12">
        <v>81.400000000000006</v>
      </c>
      <c r="O615" s="12">
        <v>0.125</v>
      </c>
      <c r="P615" s="12">
        <v>0.99399999999999999</v>
      </c>
      <c r="Q615" s="12" t="s">
        <v>7252</v>
      </c>
      <c r="R615" s="12">
        <v>0.13</v>
      </c>
      <c r="S615" s="12">
        <v>1.3097730000000001</v>
      </c>
      <c r="T615" s="12">
        <v>708932</v>
      </c>
      <c r="U615" s="12">
        <v>7.9000000000000001E-2</v>
      </c>
      <c r="V615" s="12" t="s">
        <v>7661</v>
      </c>
      <c r="W615" s="12" t="s">
        <v>25</v>
      </c>
      <c r="X615" s="12">
        <v>5018</v>
      </c>
      <c r="Y615" s="12" t="s">
        <v>6639</v>
      </c>
      <c r="Z615" s="12" t="s">
        <v>6639</v>
      </c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</row>
    <row r="616" spans="1:39" s="12" customFormat="1" x14ac:dyDescent="0.2">
      <c r="A616" s="12" t="s">
        <v>1230</v>
      </c>
      <c r="B616" s="12" t="s">
        <v>1227</v>
      </c>
      <c r="C616" s="12" t="s">
        <v>13</v>
      </c>
      <c r="D616" s="12" t="s">
        <v>7210</v>
      </c>
      <c r="E616" s="12" t="s">
        <v>8124</v>
      </c>
      <c r="F616" s="12" t="s">
        <v>7160</v>
      </c>
      <c r="G616" s="12" t="s">
        <v>7649</v>
      </c>
      <c r="H616" s="12">
        <v>75</v>
      </c>
      <c r="I616" s="12" t="s">
        <v>7647</v>
      </c>
      <c r="J616" s="80">
        <v>8.3333333333333321</v>
      </c>
      <c r="K616" s="12" t="s">
        <v>7161</v>
      </c>
      <c r="L616" s="12" t="s">
        <v>21</v>
      </c>
      <c r="M616" s="12" t="s">
        <v>8110</v>
      </c>
      <c r="N616" s="12">
        <v>168</v>
      </c>
      <c r="O616" s="12">
        <v>0.128</v>
      </c>
      <c r="P616" s="12">
        <v>0.99099999999999999</v>
      </c>
      <c r="Q616" s="12" t="s">
        <v>7275</v>
      </c>
      <c r="R616" s="12">
        <v>0.88500000000000001</v>
      </c>
      <c r="S616" s="12">
        <v>4.1494419999999996</v>
      </c>
      <c r="T616" s="12">
        <v>832816</v>
      </c>
      <c r="U616" s="12">
        <v>9.6000000000000002E-2</v>
      </c>
      <c r="V616" s="12" t="s">
        <v>7661</v>
      </c>
      <c r="W616" s="12" t="s">
        <v>25</v>
      </c>
      <c r="X616" s="12">
        <v>8365</v>
      </c>
      <c r="Y616" s="12" t="s">
        <v>6639</v>
      </c>
      <c r="Z616" s="12" t="s">
        <v>6639</v>
      </c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</row>
    <row r="617" spans="1:39" s="12" customFormat="1" x14ac:dyDescent="0.2">
      <c r="A617" s="12" t="s">
        <v>4173</v>
      </c>
      <c r="B617" s="12" t="s">
        <v>4170</v>
      </c>
      <c r="C617" s="12" t="s">
        <v>13</v>
      </c>
      <c r="D617" s="12" t="s">
        <v>7210</v>
      </c>
      <c r="E617" s="12" t="s">
        <v>8124</v>
      </c>
      <c r="F617" s="12" t="s">
        <v>7160</v>
      </c>
      <c r="G617" s="12" t="s">
        <v>7649</v>
      </c>
      <c r="H617" s="12">
        <v>75</v>
      </c>
      <c r="I617" s="12" t="s">
        <v>7647</v>
      </c>
      <c r="J617" s="80">
        <v>8.3333333333333321</v>
      </c>
      <c r="K617" s="12" t="s">
        <v>7161</v>
      </c>
      <c r="L617" s="12" t="s">
        <v>21</v>
      </c>
      <c r="M617" s="12" t="s">
        <v>8110</v>
      </c>
      <c r="N617" s="12">
        <v>335</v>
      </c>
      <c r="O617" s="12">
        <v>5.6000000000000001E-2</v>
      </c>
      <c r="P617" s="12">
        <v>0.999</v>
      </c>
      <c r="Q617" s="12" t="s">
        <v>7179</v>
      </c>
      <c r="R617" s="12">
        <v>0.86399999999999999</v>
      </c>
      <c r="S617" s="12">
        <v>4.139634</v>
      </c>
      <c r="T617" s="12">
        <v>855416</v>
      </c>
      <c r="U617" s="12">
        <v>4.4999999999999998E-2</v>
      </c>
      <c r="V617" s="12" t="s">
        <v>7661</v>
      </c>
      <c r="W617" s="12" t="s">
        <v>11</v>
      </c>
      <c r="X617" s="12">
        <v>5328</v>
      </c>
      <c r="Y617" s="12">
        <v>2.7680000000000001E-3</v>
      </c>
      <c r="Z617" s="12">
        <v>3.2436197483944786</v>
      </c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</row>
    <row r="618" spans="1:39" s="12" customFormat="1" x14ac:dyDescent="0.2">
      <c r="A618" s="12" t="s">
        <v>1287</v>
      </c>
      <c r="B618" s="12" t="s">
        <v>1286</v>
      </c>
      <c r="C618" s="12" t="s">
        <v>13</v>
      </c>
      <c r="D618" s="12" t="s">
        <v>7210</v>
      </c>
      <c r="E618" s="12" t="s">
        <v>8124</v>
      </c>
      <c r="F618" s="12" t="s">
        <v>7160</v>
      </c>
      <c r="G618" s="12" t="s">
        <v>7649</v>
      </c>
      <c r="H618" s="12">
        <v>75</v>
      </c>
      <c r="I618" s="12" t="s">
        <v>7647</v>
      </c>
      <c r="J618" s="80">
        <v>8.3333333333333321</v>
      </c>
      <c r="K618" s="12" t="s">
        <v>7161</v>
      </c>
      <c r="L618" s="12" t="s">
        <v>21</v>
      </c>
      <c r="M618" s="12" t="s">
        <v>8110</v>
      </c>
      <c r="N618" s="12">
        <v>176</v>
      </c>
      <c r="O618" s="12">
        <v>9.7000000000000003E-2</v>
      </c>
      <c r="P618" s="12">
        <v>0.97499999999999998</v>
      </c>
      <c r="Q618" s="12" t="s">
        <v>7274</v>
      </c>
      <c r="R618" s="12">
        <v>0.88200000000000001</v>
      </c>
      <c r="S618" s="12">
        <v>3.933119</v>
      </c>
      <c r="T618" s="12">
        <v>848573</v>
      </c>
      <c r="U618" s="12">
        <v>7.6999999999999999E-2</v>
      </c>
      <c r="V618" s="12" t="s">
        <v>7661</v>
      </c>
      <c r="W618" s="12" t="s">
        <v>11</v>
      </c>
      <c r="X618" s="12">
        <v>5068</v>
      </c>
      <c r="Y618" s="12">
        <v>4.7390000000000002E-3</v>
      </c>
      <c r="Z618" s="12">
        <v>4.3825821260193498</v>
      </c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</row>
    <row r="619" spans="1:39" s="12" customFormat="1" x14ac:dyDescent="0.2">
      <c r="A619" s="12" t="s">
        <v>5129</v>
      </c>
      <c r="B619" s="12" t="s">
        <v>5128</v>
      </c>
      <c r="C619" s="12" t="s">
        <v>13</v>
      </c>
      <c r="D619" s="12" t="s">
        <v>7210</v>
      </c>
      <c r="E619" s="12" t="s">
        <v>8124</v>
      </c>
      <c r="F619" s="12" t="s">
        <v>7160</v>
      </c>
      <c r="G619" s="12" t="s">
        <v>7649</v>
      </c>
      <c r="H619" s="12">
        <v>75</v>
      </c>
      <c r="I619" s="12" t="s">
        <v>7647</v>
      </c>
      <c r="J619" s="80">
        <v>8.3333333333333321</v>
      </c>
      <c r="K619" s="12" t="s">
        <v>7161</v>
      </c>
      <c r="L619" s="12" t="s">
        <v>21</v>
      </c>
      <c r="M619" s="12" t="s">
        <v>8110</v>
      </c>
      <c r="N619" s="12">
        <v>41.7</v>
      </c>
      <c r="O619" s="12">
        <v>0.24399999999999999</v>
      </c>
      <c r="P619" s="12">
        <v>0.998</v>
      </c>
      <c r="Q619" s="12" t="s">
        <v>7195</v>
      </c>
      <c r="R619" s="12">
        <v>0.02</v>
      </c>
      <c r="S619" s="12">
        <v>0.254859</v>
      </c>
      <c r="T619" s="12">
        <v>244356</v>
      </c>
      <c r="U619" s="12">
        <v>0.14599999999999999</v>
      </c>
      <c r="V619" s="12" t="s">
        <v>7661</v>
      </c>
      <c r="W619" s="12" t="s">
        <v>25</v>
      </c>
      <c r="X619" s="12">
        <v>429</v>
      </c>
      <c r="Y619" s="12" t="s">
        <v>6639</v>
      </c>
      <c r="Z619" s="12" t="s">
        <v>6639</v>
      </c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</row>
    <row r="620" spans="1:39" s="12" customFormat="1" x14ac:dyDescent="0.2">
      <c r="A620" s="12" t="s">
        <v>5151</v>
      </c>
      <c r="B620" s="12" t="s">
        <v>5150</v>
      </c>
      <c r="C620" s="12" t="s">
        <v>13</v>
      </c>
      <c r="D620" s="12" t="s">
        <v>7210</v>
      </c>
      <c r="E620" s="12" t="s">
        <v>8124</v>
      </c>
      <c r="F620" s="12" t="s">
        <v>7160</v>
      </c>
      <c r="G620" s="12" t="s">
        <v>7649</v>
      </c>
      <c r="H620" s="12">
        <v>75</v>
      </c>
      <c r="I620" s="12" t="s">
        <v>7647</v>
      </c>
      <c r="J620" s="80">
        <v>8.3333333333333321</v>
      </c>
      <c r="K620" s="12" t="s">
        <v>7161</v>
      </c>
      <c r="L620" s="12" t="s">
        <v>21</v>
      </c>
      <c r="M620" s="12" t="s">
        <v>8110</v>
      </c>
      <c r="N620" s="12">
        <v>104</v>
      </c>
      <c r="O620" s="12">
        <v>0.12</v>
      </c>
      <c r="P620" s="12">
        <v>0.997</v>
      </c>
      <c r="Q620" s="12" t="s">
        <v>7235</v>
      </c>
      <c r="R620" s="12">
        <v>0.55900000000000005</v>
      </c>
      <c r="S620" s="12">
        <v>3.7774770000000002</v>
      </c>
      <c r="T620" s="12">
        <v>843409</v>
      </c>
      <c r="U620" s="12">
        <v>0.09</v>
      </c>
      <c r="V620" s="12" t="s">
        <v>7661</v>
      </c>
      <c r="W620" s="12" t="s">
        <v>11</v>
      </c>
      <c r="X620" s="12">
        <v>4902</v>
      </c>
      <c r="Y620" s="12">
        <v>4.7759999999999999E-3</v>
      </c>
      <c r="Z620" s="12">
        <v>4.16010842761664</v>
      </c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</row>
    <row r="621" spans="1:39" s="12" customFormat="1" x14ac:dyDescent="0.2">
      <c r="A621" s="12" t="s">
        <v>5141</v>
      </c>
      <c r="B621" s="12" t="s">
        <v>5140</v>
      </c>
      <c r="C621" s="12" t="s">
        <v>13</v>
      </c>
      <c r="D621" s="12" t="s">
        <v>7210</v>
      </c>
      <c r="E621" s="12" t="s">
        <v>8124</v>
      </c>
      <c r="F621" s="12" t="s">
        <v>7160</v>
      </c>
      <c r="G621" s="12" t="s">
        <v>7649</v>
      </c>
      <c r="H621" s="12">
        <v>75</v>
      </c>
      <c r="I621" s="12" t="s">
        <v>7647</v>
      </c>
      <c r="J621" s="80">
        <v>8.3333333333333321</v>
      </c>
      <c r="K621" s="12" t="s">
        <v>7161</v>
      </c>
      <c r="L621" s="12" t="s">
        <v>21</v>
      </c>
      <c r="M621" s="12" t="s">
        <v>8110</v>
      </c>
      <c r="N621" s="12">
        <v>217</v>
      </c>
      <c r="O621" s="12">
        <v>0.10199999999999999</v>
      </c>
      <c r="P621" s="12">
        <v>0.997</v>
      </c>
      <c r="Q621" s="12" t="s">
        <v>7194</v>
      </c>
      <c r="R621" s="12">
        <v>0.75900000000000001</v>
      </c>
      <c r="S621" s="12">
        <v>4.0988899999999999</v>
      </c>
      <c r="T621" s="12">
        <v>824759</v>
      </c>
      <c r="U621" s="12">
        <v>7.0000000000000007E-2</v>
      </c>
      <c r="V621" s="12" t="s">
        <v>7661</v>
      </c>
      <c r="W621" s="12" t="s">
        <v>25</v>
      </c>
      <c r="X621" s="12">
        <v>8228</v>
      </c>
      <c r="Y621" s="12" t="s">
        <v>6639</v>
      </c>
      <c r="Z621" s="12" t="s">
        <v>6639</v>
      </c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</row>
    <row r="622" spans="1:39" s="12" customFormat="1" x14ac:dyDescent="0.2">
      <c r="A622" s="12" t="s">
        <v>5132</v>
      </c>
      <c r="B622" s="12" t="s">
        <v>5131</v>
      </c>
      <c r="C622" s="12" t="s">
        <v>13</v>
      </c>
      <c r="D622" s="12" t="s">
        <v>7210</v>
      </c>
      <c r="E622" s="12" t="s">
        <v>8124</v>
      </c>
      <c r="F622" s="12" t="s">
        <v>7160</v>
      </c>
      <c r="G622" s="12" t="s">
        <v>7649</v>
      </c>
      <c r="H622" s="12">
        <v>75</v>
      </c>
      <c r="I622" s="12" t="s">
        <v>7647</v>
      </c>
      <c r="J622" s="80">
        <v>8.3333333333333321</v>
      </c>
      <c r="K622" s="12" t="s">
        <v>7161</v>
      </c>
      <c r="L622" s="12" t="s">
        <v>21</v>
      </c>
      <c r="M622" s="12" t="s">
        <v>8110</v>
      </c>
      <c r="N622" s="12">
        <v>114</v>
      </c>
      <c r="O622" s="12">
        <v>8.8999999999999996E-2</v>
      </c>
      <c r="P622" s="12">
        <v>0.996</v>
      </c>
      <c r="Q622" s="12" t="s">
        <v>7236</v>
      </c>
      <c r="R622" s="12">
        <v>0.81599999999999995</v>
      </c>
      <c r="S622" s="12">
        <v>4.431851</v>
      </c>
      <c r="T622" s="12">
        <v>846916</v>
      </c>
      <c r="U622" s="12">
        <v>6.9000000000000006E-2</v>
      </c>
      <c r="V622" s="12" t="s">
        <v>7661</v>
      </c>
      <c r="W622" s="12" t="s">
        <v>25</v>
      </c>
      <c r="X622" s="12">
        <v>8730</v>
      </c>
      <c r="Y622" s="12" t="s">
        <v>6639</v>
      </c>
      <c r="Z622" s="12" t="s">
        <v>6639</v>
      </c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</row>
    <row r="623" spans="1:39" s="12" customFormat="1" x14ac:dyDescent="0.2">
      <c r="A623" s="12" t="s">
        <v>4225</v>
      </c>
      <c r="B623" s="12" t="s">
        <v>4224</v>
      </c>
      <c r="C623" s="12" t="s">
        <v>13</v>
      </c>
      <c r="D623" s="12" t="s">
        <v>7210</v>
      </c>
      <c r="E623" s="12" t="s">
        <v>8124</v>
      </c>
      <c r="F623" s="12" t="s">
        <v>7160</v>
      </c>
      <c r="G623" s="12" t="s">
        <v>7649</v>
      </c>
      <c r="H623" s="12">
        <v>75</v>
      </c>
      <c r="I623" s="12" t="s">
        <v>7647</v>
      </c>
      <c r="J623" s="80">
        <v>8.3333333333333321</v>
      </c>
      <c r="K623" s="12" t="s">
        <v>7161</v>
      </c>
      <c r="L623" s="12" t="s">
        <v>21</v>
      </c>
      <c r="M623" s="12" t="s">
        <v>8110</v>
      </c>
      <c r="N623" s="12">
        <v>187</v>
      </c>
      <c r="O623" s="12">
        <v>9.4E-2</v>
      </c>
      <c r="P623" s="12">
        <v>0.99299999999999999</v>
      </c>
      <c r="Q623" s="12" t="s">
        <v>7244</v>
      </c>
      <c r="R623" s="12">
        <v>0.82099999999999995</v>
      </c>
      <c r="S623" s="12">
        <v>4.1004009999999997</v>
      </c>
      <c r="T623" s="12">
        <v>836234</v>
      </c>
      <c r="U623" s="12">
        <v>7.2999999999999995E-2</v>
      </c>
      <c r="V623" s="12" t="s">
        <v>7661</v>
      </c>
      <c r="W623" s="12" t="s">
        <v>25</v>
      </c>
      <c r="X623" s="12">
        <v>8362</v>
      </c>
      <c r="Y623" s="12" t="s">
        <v>6639</v>
      </c>
      <c r="Z623" s="12" t="s">
        <v>6639</v>
      </c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</row>
    <row r="624" spans="1:39" s="12" customFormat="1" x14ac:dyDescent="0.2">
      <c r="A624" s="12" t="s">
        <v>5110</v>
      </c>
      <c r="B624" s="12" t="s">
        <v>5108</v>
      </c>
      <c r="C624" s="12" t="s">
        <v>13</v>
      </c>
      <c r="D624" s="12" t="s">
        <v>7210</v>
      </c>
      <c r="E624" s="12" t="s">
        <v>8124</v>
      </c>
      <c r="F624" s="12" t="s">
        <v>7160</v>
      </c>
      <c r="G624" s="12" t="s">
        <v>7649</v>
      </c>
      <c r="H624" s="12">
        <v>75</v>
      </c>
      <c r="I624" s="12" t="s">
        <v>7647</v>
      </c>
      <c r="J624" s="80">
        <v>8.3333333333333321</v>
      </c>
      <c r="K624" s="12" t="s">
        <v>7161</v>
      </c>
      <c r="L624" s="12" t="s">
        <v>21</v>
      </c>
      <c r="M624" s="12" t="s">
        <v>8110</v>
      </c>
      <c r="N624" s="12">
        <v>194</v>
      </c>
      <c r="O624" s="12">
        <v>0.104</v>
      </c>
      <c r="P624" s="12">
        <v>0.98699999999999999</v>
      </c>
      <c r="Q624" s="12" t="s">
        <v>7166</v>
      </c>
      <c r="R624" s="12">
        <v>0.83599999999999997</v>
      </c>
      <c r="S624" s="12">
        <v>4.0579749999999999</v>
      </c>
      <c r="T624" s="12">
        <v>854228</v>
      </c>
      <c r="U624" s="12">
        <v>8.2000000000000003E-2</v>
      </c>
      <c r="V624" s="12" t="s">
        <v>7661</v>
      </c>
      <c r="W624" s="12" t="s">
        <v>11</v>
      </c>
      <c r="X624" s="12">
        <v>5162</v>
      </c>
      <c r="Y624" s="12">
        <v>2.3839999999999998E-3</v>
      </c>
      <c r="Z624" s="12">
        <v>2.584893811174374</v>
      </c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</row>
    <row r="625" spans="1:39" s="12" customFormat="1" x14ac:dyDescent="0.2">
      <c r="A625" s="12" t="s">
        <v>5147</v>
      </c>
      <c r="B625" s="12" t="s">
        <v>5146</v>
      </c>
      <c r="C625" s="12" t="s">
        <v>13</v>
      </c>
      <c r="D625" s="12" t="s">
        <v>7210</v>
      </c>
      <c r="E625" s="12" t="s">
        <v>8124</v>
      </c>
      <c r="F625" s="12" t="s">
        <v>7160</v>
      </c>
      <c r="G625" s="12" t="s">
        <v>7649</v>
      </c>
      <c r="H625" s="12">
        <v>76</v>
      </c>
      <c r="I625" s="12" t="s">
        <v>7647</v>
      </c>
      <c r="J625" s="80">
        <v>8.4444444444444446</v>
      </c>
      <c r="K625" s="12" t="s">
        <v>7161</v>
      </c>
      <c r="L625" s="12" t="s">
        <v>21</v>
      </c>
      <c r="M625" s="12" t="s">
        <v>8110</v>
      </c>
      <c r="N625" s="12">
        <v>173</v>
      </c>
      <c r="O625" s="12">
        <v>0.11700000000000001</v>
      </c>
      <c r="P625" s="12">
        <v>0.99299999999999999</v>
      </c>
      <c r="Q625" s="12" t="s">
        <v>7184</v>
      </c>
      <c r="R625" s="12">
        <v>0.79600000000000004</v>
      </c>
      <c r="S625" s="12">
        <v>4.0871370000000002</v>
      </c>
      <c r="T625" s="12">
        <v>863097</v>
      </c>
      <c r="U625" s="12">
        <v>8.6999999999999994E-2</v>
      </c>
      <c r="V625" s="12" t="s">
        <v>7661</v>
      </c>
      <c r="W625" s="12" t="s">
        <v>11</v>
      </c>
      <c r="X625" s="12">
        <v>5280</v>
      </c>
      <c r="Y625" s="12">
        <v>3.65E-3</v>
      </c>
      <c r="Z625" s="12">
        <v>4.1782728210679272</v>
      </c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</row>
    <row r="626" spans="1:39" s="12" customFormat="1" x14ac:dyDescent="0.2">
      <c r="A626" s="12" t="s">
        <v>4216</v>
      </c>
      <c r="B626" s="12" t="s">
        <v>4214</v>
      </c>
      <c r="C626" s="12" t="s">
        <v>13</v>
      </c>
      <c r="D626" s="12" t="s">
        <v>7210</v>
      </c>
      <c r="E626" s="12" t="s">
        <v>8124</v>
      </c>
      <c r="F626" s="12" t="s">
        <v>7160</v>
      </c>
      <c r="G626" s="12" t="s">
        <v>7649</v>
      </c>
      <c r="H626" s="12">
        <v>75</v>
      </c>
      <c r="I626" s="12" t="s">
        <v>7647</v>
      </c>
      <c r="J626" s="80">
        <v>8.3333333333333321</v>
      </c>
      <c r="K626" s="12" t="s">
        <v>7161</v>
      </c>
      <c r="L626" s="12" t="s">
        <v>21</v>
      </c>
      <c r="M626" s="12" t="s">
        <v>8110</v>
      </c>
      <c r="N626" s="12">
        <v>184</v>
      </c>
      <c r="O626" s="12">
        <v>0.108</v>
      </c>
      <c r="P626" s="12">
        <v>0.99399999999999999</v>
      </c>
      <c r="Q626" s="12" t="s">
        <v>7243</v>
      </c>
      <c r="R626" s="12">
        <v>0.76300000000000001</v>
      </c>
      <c r="S626" s="12">
        <v>4.3173690000000002</v>
      </c>
      <c r="T626" s="12">
        <v>851892</v>
      </c>
      <c r="U626" s="12">
        <v>8.3000000000000004E-2</v>
      </c>
      <c r="V626" s="12" t="s">
        <v>7661</v>
      </c>
      <c r="W626" s="12" t="s">
        <v>25</v>
      </c>
      <c r="X626" s="12">
        <v>8877</v>
      </c>
      <c r="Y626" s="12" t="s">
        <v>6639</v>
      </c>
      <c r="Z626" s="12" t="s">
        <v>6639</v>
      </c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</row>
    <row r="627" spans="1:39" s="12" customFormat="1" x14ac:dyDescent="0.2">
      <c r="A627" s="12" t="s">
        <v>5161</v>
      </c>
      <c r="B627" s="12" t="s">
        <v>5160</v>
      </c>
      <c r="C627" s="12" t="s">
        <v>13</v>
      </c>
      <c r="D627" s="12" t="s">
        <v>7210</v>
      </c>
      <c r="E627" s="12" t="s">
        <v>8124</v>
      </c>
      <c r="F627" s="12" t="s">
        <v>7160</v>
      </c>
      <c r="G627" s="12" t="s">
        <v>7649</v>
      </c>
      <c r="H627" s="12">
        <v>75</v>
      </c>
      <c r="I627" s="12" t="s">
        <v>7647</v>
      </c>
      <c r="J627" s="80">
        <v>8.3333333333333321</v>
      </c>
      <c r="K627" s="12" t="s">
        <v>7161</v>
      </c>
      <c r="L627" s="12" t="s">
        <v>21</v>
      </c>
      <c r="M627" s="12" t="s">
        <v>8110</v>
      </c>
      <c r="N627" s="12">
        <v>106</v>
      </c>
      <c r="O627" s="12">
        <v>0.128</v>
      </c>
      <c r="P627" s="12">
        <v>0.999</v>
      </c>
      <c r="Q627" s="12" t="s">
        <v>7206</v>
      </c>
      <c r="R627" s="12">
        <v>0.53200000000000003</v>
      </c>
      <c r="S627" s="12">
        <v>2.9921769999999999</v>
      </c>
      <c r="T627" s="12">
        <v>802803</v>
      </c>
      <c r="U627" s="12">
        <v>9.8000000000000004E-2</v>
      </c>
      <c r="V627" s="12" t="s">
        <v>7661</v>
      </c>
      <c r="W627" s="12" t="s">
        <v>25</v>
      </c>
      <c r="X627" s="12">
        <v>7578</v>
      </c>
      <c r="Y627" s="12" t="s">
        <v>6639</v>
      </c>
      <c r="Z627" s="12" t="s">
        <v>6639</v>
      </c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</row>
    <row r="628" spans="1:39" s="12" customFormat="1" x14ac:dyDescent="0.2">
      <c r="A628" s="12" t="s">
        <v>5144</v>
      </c>
      <c r="B628" s="12" t="s">
        <v>5143</v>
      </c>
      <c r="C628" s="12" t="s">
        <v>13</v>
      </c>
      <c r="D628" s="12" t="s">
        <v>7210</v>
      </c>
      <c r="E628" s="12" t="s">
        <v>8124</v>
      </c>
      <c r="F628" s="12" t="s">
        <v>7160</v>
      </c>
      <c r="G628" s="12" t="s">
        <v>7649</v>
      </c>
      <c r="H628" s="12">
        <v>75</v>
      </c>
      <c r="I628" s="12" t="s">
        <v>7647</v>
      </c>
      <c r="J628" s="80">
        <v>8.3333333333333321</v>
      </c>
      <c r="K628" s="12" t="s">
        <v>7161</v>
      </c>
      <c r="L628" s="12" t="s">
        <v>21</v>
      </c>
      <c r="M628" s="12" t="s">
        <v>8110</v>
      </c>
      <c r="N628" s="12">
        <v>98.2</v>
      </c>
      <c r="O628" s="12">
        <v>0.11799999999999999</v>
      </c>
      <c r="P628" s="12">
        <v>0.98699999999999999</v>
      </c>
      <c r="Q628" s="12" t="s">
        <v>7242</v>
      </c>
      <c r="R628" s="12">
        <v>0.82699999999999996</v>
      </c>
      <c r="S628" s="12">
        <v>4.0873189999999999</v>
      </c>
      <c r="T628" s="12">
        <v>858101</v>
      </c>
      <c r="U628" s="12">
        <v>9.1999999999999998E-2</v>
      </c>
      <c r="V628" s="12" t="s">
        <v>7661</v>
      </c>
      <c r="W628" s="12" t="s">
        <v>25</v>
      </c>
      <c r="X628" s="12">
        <v>8660</v>
      </c>
      <c r="Y628" s="12" t="s">
        <v>6639</v>
      </c>
      <c r="Z628" s="12" t="s">
        <v>6639</v>
      </c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</row>
    <row r="629" spans="1:39" s="12" customFormat="1" x14ac:dyDescent="0.2">
      <c r="A629" s="12" t="s">
        <v>3797</v>
      </c>
      <c r="B629" s="12" t="s">
        <v>3795</v>
      </c>
      <c r="C629" s="12" t="s">
        <v>13</v>
      </c>
      <c r="D629" s="12" t="s">
        <v>7210</v>
      </c>
      <c r="E629" s="12" t="s">
        <v>8124</v>
      </c>
      <c r="F629" s="12" t="s">
        <v>7160</v>
      </c>
      <c r="G629" s="12" t="s">
        <v>7649</v>
      </c>
      <c r="H629" s="12">
        <v>75</v>
      </c>
      <c r="I629" s="12" t="s">
        <v>7647</v>
      </c>
      <c r="J629" s="80">
        <v>8.3333333333333321</v>
      </c>
      <c r="K629" s="12" t="s">
        <v>7161</v>
      </c>
      <c r="L629" s="12" t="s">
        <v>21</v>
      </c>
      <c r="M629" s="12" t="s">
        <v>8110</v>
      </c>
      <c r="N629" s="12">
        <v>205</v>
      </c>
      <c r="O629" s="12">
        <v>0.10299999999999999</v>
      </c>
      <c r="P629" s="12">
        <v>0.98399999999999999</v>
      </c>
      <c r="Q629" s="12" t="s">
        <v>7248</v>
      </c>
      <c r="R629" s="12">
        <v>0.84499999999999997</v>
      </c>
      <c r="S629" s="12">
        <v>3.7842210000000001</v>
      </c>
      <c r="T629" s="12">
        <v>886521</v>
      </c>
      <c r="U629" s="12">
        <v>7.2999999999999995E-2</v>
      </c>
      <c r="V629" s="12" t="s">
        <v>7661</v>
      </c>
      <c r="W629" s="12" t="s">
        <v>11</v>
      </c>
      <c r="X629" s="12">
        <v>5528</v>
      </c>
      <c r="Y629" s="12">
        <v>4.6959999999999997E-3</v>
      </c>
      <c r="Z629" s="12">
        <v>4.6224066635102536</v>
      </c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</row>
    <row r="630" spans="1:39" s="12" customFormat="1" x14ac:dyDescent="0.2">
      <c r="A630" s="12" t="s">
        <v>5120</v>
      </c>
      <c r="B630" s="12" t="s">
        <v>5118</v>
      </c>
      <c r="C630" s="12" t="s">
        <v>13</v>
      </c>
      <c r="D630" s="12" t="s">
        <v>7210</v>
      </c>
      <c r="E630" s="12" t="s">
        <v>8124</v>
      </c>
      <c r="F630" s="12" t="s">
        <v>7160</v>
      </c>
      <c r="G630" s="12" t="s">
        <v>7649</v>
      </c>
      <c r="H630" s="12">
        <v>75</v>
      </c>
      <c r="I630" s="12" t="s">
        <v>7647</v>
      </c>
      <c r="J630" s="80">
        <v>8.3333333333333321</v>
      </c>
      <c r="K630" s="12" t="s">
        <v>7161</v>
      </c>
      <c r="L630" s="12" t="s">
        <v>21</v>
      </c>
      <c r="M630" s="12" t="s">
        <v>8110</v>
      </c>
      <c r="N630" s="12">
        <v>94.9</v>
      </c>
      <c r="O630" s="12">
        <v>0.11899999999999999</v>
      </c>
      <c r="P630" s="12">
        <v>0.99099999999999999</v>
      </c>
      <c r="Q630" s="12" t="s">
        <v>7164</v>
      </c>
      <c r="R630" s="12">
        <v>0.61099999999999999</v>
      </c>
      <c r="S630" s="12">
        <v>1.3155539999999999</v>
      </c>
      <c r="T630" s="12">
        <v>711231</v>
      </c>
      <c r="U630" s="12">
        <v>9.2999999999999999E-2</v>
      </c>
      <c r="V630" s="12" t="s">
        <v>7661</v>
      </c>
      <c r="W630" s="12" t="s">
        <v>25</v>
      </c>
      <c r="X630" s="12">
        <v>4699</v>
      </c>
      <c r="Y630" s="12" t="s">
        <v>6639</v>
      </c>
      <c r="Z630" s="12" t="s">
        <v>6639</v>
      </c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</row>
    <row r="631" spans="1:39" s="12" customFormat="1" x14ac:dyDescent="0.2">
      <c r="A631" s="12" t="s">
        <v>176</v>
      </c>
      <c r="B631" s="12" t="s">
        <v>175</v>
      </c>
      <c r="C631" s="12" t="s">
        <v>13</v>
      </c>
      <c r="D631" s="12" t="s">
        <v>7210</v>
      </c>
      <c r="E631" s="12" t="s">
        <v>8031</v>
      </c>
      <c r="F631" s="12" t="s">
        <v>7160</v>
      </c>
      <c r="G631" s="12" t="s">
        <v>7649</v>
      </c>
      <c r="H631" s="12">
        <v>81</v>
      </c>
      <c r="I631" s="12" t="s">
        <v>7647</v>
      </c>
      <c r="J631" s="80">
        <v>9</v>
      </c>
      <c r="K631" s="12" t="s">
        <v>7161</v>
      </c>
      <c r="L631" s="12" t="s">
        <v>21</v>
      </c>
      <c r="M631" s="12" t="s">
        <v>8110</v>
      </c>
      <c r="N631" s="12">
        <v>39.700000000000003</v>
      </c>
      <c r="O631" s="12">
        <v>0.156</v>
      </c>
      <c r="P631" s="12">
        <v>1</v>
      </c>
      <c r="Q631" s="12" t="s">
        <v>7222</v>
      </c>
      <c r="R631" s="12">
        <v>4.3999999999999997E-2</v>
      </c>
      <c r="S631" s="12">
        <v>1.288297</v>
      </c>
      <c r="T631" s="12">
        <v>687206</v>
      </c>
      <c r="U631" s="12">
        <v>0.13</v>
      </c>
      <c r="V631" s="12" t="s">
        <v>7661</v>
      </c>
      <c r="W631" s="12" t="s">
        <v>25</v>
      </c>
      <c r="X631" s="12">
        <v>4311</v>
      </c>
      <c r="Y631" s="12" t="s">
        <v>6639</v>
      </c>
      <c r="Z631" s="12" t="s">
        <v>6639</v>
      </c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</row>
    <row r="632" spans="1:39" s="12" customFormat="1" x14ac:dyDescent="0.2">
      <c r="A632" s="12" t="s">
        <v>604</v>
      </c>
      <c r="B632" s="12" t="s">
        <v>602</v>
      </c>
      <c r="C632" s="12" t="s">
        <v>13</v>
      </c>
      <c r="D632" s="12" t="s">
        <v>7210</v>
      </c>
      <c r="E632" s="12" t="s">
        <v>8031</v>
      </c>
      <c r="F632" s="12" t="s">
        <v>7160</v>
      </c>
      <c r="G632" s="12" t="s">
        <v>7649</v>
      </c>
      <c r="H632" s="12">
        <v>79</v>
      </c>
      <c r="I632" s="12" t="s">
        <v>7647</v>
      </c>
      <c r="J632" s="80">
        <v>8.7777777777777768</v>
      </c>
      <c r="K632" s="12" t="s">
        <v>7161</v>
      </c>
      <c r="L632" s="12" t="s">
        <v>21</v>
      </c>
      <c r="M632" s="12" t="s">
        <v>8110</v>
      </c>
      <c r="N632" s="12">
        <v>175</v>
      </c>
      <c r="O632" s="12">
        <v>0.125</v>
      </c>
      <c r="P632" s="12">
        <v>0.99399999999999999</v>
      </c>
      <c r="Q632" s="12" t="s">
        <v>7252</v>
      </c>
      <c r="R632" s="12">
        <v>0.51100000000000001</v>
      </c>
      <c r="S632" s="12">
        <v>4.3590629999999999</v>
      </c>
      <c r="T632" s="12">
        <v>894836</v>
      </c>
      <c r="U632" s="12">
        <v>0.114</v>
      </c>
      <c r="V632" s="12" t="s">
        <v>7661</v>
      </c>
      <c r="W632" s="12" t="s">
        <v>11</v>
      </c>
      <c r="X632" s="12">
        <v>5947</v>
      </c>
      <c r="Y632" s="12">
        <v>5.9870000000000001E-3</v>
      </c>
      <c r="Z632" s="12">
        <v>5.6211634409369422</v>
      </c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</row>
    <row r="633" spans="1:39" s="12" customFormat="1" x14ac:dyDescent="0.2">
      <c r="A633" s="12" t="s">
        <v>608</v>
      </c>
      <c r="B633" s="12" t="s">
        <v>607</v>
      </c>
      <c r="C633" s="12" t="s">
        <v>13</v>
      </c>
      <c r="D633" s="12" t="s">
        <v>7210</v>
      </c>
      <c r="E633" s="12" t="s">
        <v>8031</v>
      </c>
      <c r="F633" s="12" t="s">
        <v>7160</v>
      </c>
      <c r="G633" s="12" t="s">
        <v>7649</v>
      </c>
      <c r="H633" s="12">
        <v>88</v>
      </c>
      <c r="I633" s="12" t="s">
        <v>7647</v>
      </c>
      <c r="J633" s="80">
        <v>9.7777777777777768</v>
      </c>
      <c r="K633" s="12" t="s">
        <v>7161</v>
      </c>
      <c r="L633" s="12" t="s">
        <v>21</v>
      </c>
      <c r="M633" s="12" t="s">
        <v>8110</v>
      </c>
      <c r="N633" s="12">
        <v>178</v>
      </c>
      <c r="O633" s="12">
        <v>0.14299999999999999</v>
      </c>
      <c r="P633" s="12">
        <v>0.998</v>
      </c>
      <c r="Q633" s="12" t="s">
        <v>7194</v>
      </c>
      <c r="R633" s="12">
        <v>0.61799999999999999</v>
      </c>
      <c r="S633" s="12">
        <v>3.2578200000000002</v>
      </c>
      <c r="T633" s="12">
        <v>810497</v>
      </c>
      <c r="U633" s="12">
        <v>0.13</v>
      </c>
      <c r="V633" s="12" t="s">
        <v>7661</v>
      </c>
      <c r="W633" s="12" t="s">
        <v>25</v>
      </c>
      <c r="X633" s="12">
        <v>7884</v>
      </c>
      <c r="Y633" s="12" t="s">
        <v>6639</v>
      </c>
      <c r="Z633" s="12" t="s">
        <v>6639</v>
      </c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</row>
    <row r="634" spans="1:39" s="12" customFormat="1" x14ac:dyDescent="0.2">
      <c r="A634" s="12" t="s">
        <v>4486</v>
      </c>
      <c r="B634" s="12" t="s">
        <v>4483</v>
      </c>
      <c r="C634" s="12" t="s">
        <v>13</v>
      </c>
      <c r="D634" s="12" t="s">
        <v>7210</v>
      </c>
      <c r="E634" s="12" t="s">
        <v>8031</v>
      </c>
      <c r="F634" s="12" t="s">
        <v>7160</v>
      </c>
      <c r="G634" s="12" t="s">
        <v>7649</v>
      </c>
      <c r="H634" s="12">
        <v>75</v>
      </c>
      <c r="I634" s="12" t="s">
        <v>7647</v>
      </c>
      <c r="J634" s="80">
        <v>8.3333333333333321</v>
      </c>
      <c r="K634" s="12" t="s">
        <v>7161</v>
      </c>
      <c r="L634" s="12" t="s">
        <v>21</v>
      </c>
      <c r="M634" s="12" t="s">
        <v>8110</v>
      </c>
      <c r="N634" s="12">
        <v>120</v>
      </c>
      <c r="O634" s="12">
        <v>0.14899999999999999</v>
      </c>
      <c r="P634" s="12">
        <v>0.996</v>
      </c>
      <c r="Q634" s="12" t="s">
        <v>7236</v>
      </c>
      <c r="R634" s="12">
        <v>0.34799999999999998</v>
      </c>
      <c r="S634" s="12">
        <v>3.842956</v>
      </c>
      <c r="T634" s="12">
        <v>870281</v>
      </c>
      <c r="U634" s="12">
        <v>0.13100000000000001</v>
      </c>
      <c r="V634" s="12" t="s">
        <v>7661</v>
      </c>
      <c r="W634" s="12" t="s">
        <v>11</v>
      </c>
      <c r="X634" s="12">
        <v>5515</v>
      </c>
      <c r="Y634" s="12">
        <v>6.084E-3</v>
      </c>
      <c r="Z634" s="12">
        <v>5.1863647368115968</v>
      </c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</row>
    <row r="635" spans="1:39" s="12" customFormat="1" x14ac:dyDescent="0.2">
      <c r="A635" s="12" t="s">
        <v>4492</v>
      </c>
      <c r="B635" s="12" t="s">
        <v>4491</v>
      </c>
      <c r="C635" s="12" t="s">
        <v>13</v>
      </c>
      <c r="D635" s="12" t="s">
        <v>7210</v>
      </c>
      <c r="E635" s="12" t="s">
        <v>8031</v>
      </c>
      <c r="F635" s="12" t="s">
        <v>7160</v>
      </c>
      <c r="G635" s="12" t="s">
        <v>7649</v>
      </c>
      <c r="H635" s="12">
        <v>76</v>
      </c>
      <c r="I635" s="12" t="s">
        <v>7647</v>
      </c>
      <c r="J635" s="80">
        <v>8.4444444444444446</v>
      </c>
      <c r="K635" s="12" t="s">
        <v>7161</v>
      </c>
      <c r="L635" s="12" t="s">
        <v>21</v>
      </c>
      <c r="M635" s="12" t="s">
        <v>8110</v>
      </c>
      <c r="N635" s="12">
        <v>74.2</v>
      </c>
      <c r="O635" s="12">
        <v>0.17699999999999999</v>
      </c>
      <c r="P635" s="12">
        <v>1</v>
      </c>
      <c r="Q635" s="12" t="s">
        <v>7179</v>
      </c>
      <c r="R635" s="12">
        <v>6.0999999999999999E-2</v>
      </c>
      <c r="S635" s="12">
        <v>1.0577669999999999</v>
      </c>
      <c r="T635" s="12">
        <v>607991</v>
      </c>
      <c r="U635" s="12">
        <v>0.13700000000000001</v>
      </c>
      <c r="V635" s="12" t="s">
        <v>7661</v>
      </c>
      <c r="W635" s="12" t="s">
        <v>25</v>
      </c>
      <c r="X635" s="12">
        <v>3515</v>
      </c>
      <c r="Y635" s="12" t="s">
        <v>6639</v>
      </c>
      <c r="Z635" s="12" t="s">
        <v>6639</v>
      </c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</row>
    <row r="636" spans="1:39" s="12" customFormat="1" x14ac:dyDescent="0.2">
      <c r="A636" s="12" t="s">
        <v>5546</v>
      </c>
      <c r="B636" s="12" t="s">
        <v>4499</v>
      </c>
      <c r="C636" s="12" t="s">
        <v>13</v>
      </c>
      <c r="D636" s="12" t="s">
        <v>7210</v>
      </c>
      <c r="E636" s="12" t="s">
        <v>8031</v>
      </c>
      <c r="F636" s="12" t="s">
        <v>7160</v>
      </c>
      <c r="G636" s="12" t="s">
        <v>7649</v>
      </c>
      <c r="H636" s="12">
        <v>74</v>
      </c>
      <c r="I636" s="12" t="s">
        <v>7647</v>
      </c>
      <c r="J636" s="80">
        <v>8.2222222222222214</v>
      </c>
      <c r="K636" s="12" t="s">
        <v>7161</v>
      </c>
      <c r="L636" s="12" t="s">
        <v>21</v>
      </c>
      <c r="M636" s="12" t="s">
        <v>8110</v>
      </c>
      <c r="N636" s="12">
        <v>126</v>
      </c>
      <c r="O636" s="12">
        <v>0.121</v>
      </c>
      <c r="P636" s="12">
        <v>0.997</v>
      </c>
      <c r="Q636" s="12" t="s">
        <v>7222</v>
      </c>
      <c r="R636" s="12">
        <v>0.28000000000000003</v>
      </c>
      <c r="S636" s="12">
        <v>2.978993</v>
      </c>
      <c r="T636" s="12">
        <v>812770</v>
      </c>
      <c r="U636" s="12">
        <v>0.11</v>
      </c>
      <c r="V636" s="12" t="s">
        <v>7661</v>
      </c>
      <c r="W636" s="12" t="s">
        <v>25</v>
      </c>
      <c r="X636" s="12">
        <v>7346</v>
      </c>
      <c r="Y636" s="12" t="s">
        <v>6639</v>
      </c>
      <c r="Z636" s="12" t="s">
        <v>6639</v>
      </c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</row>
    <row r="637" spans="1:39" s="12" customFormat="1" x14ac:dyDescent="0.2">
      <c r="A637" s="12" t="s">
        <v>5547</v>
      </c>
      <c r="B637" s="12" t="s">
        <v>4499</v>
      </c>
      <c r="C637" s="12" t="s">
        <v>13</v>
      </c>
      <c r="D637" s="12" t="s">
        <v>7210</v>
      </c>
      <c r="E637" s="12" t="s">
        <v>8031</v>
      </c>
      <c r="F637" s="12" t="s">
        <v>7160</v>
      </c>
      <c r="G637" s="12" t="s">
        <v>7649</v>
      </c>
      <c r="H637" s="12">
        <v>80</v>
      </c>
      <c r="I637" s="12" t="s">
        <v>7647</v>
      </c>
      <c r="J637" s="80">
        <v>8.8888888888888893</v>
      </c>
      <c r="K637" s="12" t="s">
        <v>7161</v>
      </c>
      <c r="L637" s="12" t="s">
        <v>21</v>
      </c>
      <c r="M637" s="12" t="s">
        <v>8110</v>
      </c>
      <c r="N637" s="12">
        <v>103</v>
      </c>
      <c r="O637" s="12">
        <v>0.13</v>
      </c>
      <c r="P637" s="12">
        <v>1</v>
      </c>
      <c r="Q637" s="12" t="s">
        <v>7169</v>
      </c>
      <c r="R637" s="12">
        <v>0.17599999999999999</v>
      </c>
      <c r="S637" s="12">
        <v>2.9463680000000001</v>
      </c>
      <c r="T637" s="12">
        <v>853639</v>
      </c>
      <c r="U637" s="12">
        <v>0.12</v>
      </c>
      <c r="V637" s="12" t="s">
        <v>7661</v>
      </c>
      <c r="W637" s="12" t="s">
        <v>25</v>
      </c>
      <c r="X637" s="12">
        <v>8040</v>
      </c>
      <c r="Y637" s="12" t="s">
        <v>6639</v>
      </c>
      <c r="Z637" s="12" t="s">
        <v>6639</v>
      </c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</row>
    <row r="638" spans="1:39" s="12" customFormat="1" x14ac:dyDescent="0.2">
      <c r="A638" s="12" t="s">
        <v>4489</v>
      </c>
      <c r="B638" s="12" t="s">
        <v>4488</v>
      </c>
      <c r="C638" s="12" t="s">
        <v>13</v>
      </c>
      <c r="D638" s="12" t="s">
        <v>7210</v>
      </c>
      <c r="E638" s="12" t="s">
        <v>8031</v>
      </c>
      <c r="F638" s="12" t="s">
        <v>7160</v>
      </c>
      <c r="G638" s="12" t="s">
        <v>7649</v>
      </c>
      <c r="H638" s="12">
        <v>84</v>
      </c>
      <c r="I638" s="12" t="s">
        <v>7647</v>
      </c>
      <c r="J638" s="80">
        <v>9.3333333333333321</v>
      </c>
      <c r="K638" s="12" t="s">
        <v>7161</v>
      </c>
      <c r="L638" s="12" t="s">
        <v>21</v>
      </c>
      <c r="M638" s="12" t="s">
        <v>8110</v>
      </c>
      <c r="N638" s="12">
        <v>19.3</v>
      </c>
      <c r="O638" s="12">
        <v>0.13900000000000001</v>
      </c>
      <c r="P638" s="12">
        <v>0.99299999999999999</v>
      </c>
      <c r="Q638" s="12" t="s">
        <v>7257</v>
      </c>
      <c r="R638" s="12">
        <v>0.1</v>
      </c>
      <c r="S638" s="12">
        <v>1.777793</v>
      </c>
      <c r="T638" s="12">
        <v>785951</v>
      </c>
      <c r="U638" s="12">
        <v>0.115</v>
      </c>
      <c r="V638" s="12" t="s">
        <v>7661</v>
      </c>
      <c r="W638" s="12" t="s">
        <v>25</v>
      </c>
      <c r="X638" s="12">
        <v>6137</v>
      </c>
      <c r="Y638" s="12" t="s">
        <v>6639</v>
      </c>
      <c r="Z638" s="12" t="s">
        <v>6639</v>
      </c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</row>
    <row r="639" spans="1:39" s="12" customFormat="1" x14ac:dyDescent="0.2">
      <c r="A639" s="12" t="s">
        <v>3996</v>
      </c>
      <c r="B639" s="12" t="s">
        <v>3995</v>
      </c>
      <c r="C639" s="12" t="s">
        <v>13</v>
      </c>
      <c r="D639" s="12" t="s">
        <v>7210</v>
      </c>
      <c r="E639" s="12" t="s">
        <v>8031</v>
      </c>
      <c r="F639" s="12" t="s">
        <v>7160</v>
      </c>
      <c r="G639" s="12" t="s">
        <v>7649</v>
      </c>
      <c r="H639" s="12">
        <v>81</v>
      </c>
      <c r="I639" s="12" t="s">
        <v>7647</v>
      </c>
      <c r="J639" s="80">
        <v>9</v>
      </c>
      <c r="K639" s="12" t="s">
        <v>7161</v>
      </c>
      <c r="L639" s="12" t="s">
        <v>21</v>
      </c>
      <c r="M639" s="12" t="s">
        <v>8110</v>
      </c>
      <c r="N639" s="12">
        <v>64.5</v>
      </c>
      <c r="O639" s="12">
        <v>0.16200000000000001</v>
      </c>
      <c r="P639" s="12">
        <v>0.997</v>
      </c>
      <c r="Q639" s="12" t="s">
        <v>7236</v>
      </c>
      <c r="R639" s="12">
        <v>0.16700000000000001</v>
      </c>
      <c r="S639" s="12">
        <v>1.704088</v>
      </c>
      <c r="T639" s="12">
        <v>718364</v>
      </c>
      <c r="U639" s="12">
        <v>0.14000000000000001</v>
      </c>
      <c r="V639" s="12" t="s">
        <v>7661</v>
      </c>
      <c r="W639" s="12" t="s">
        <v>25</v>
      </c>
      <c r="X639" s="12">
        <v>5500</v>
      </c>
      <c r="Y639" s="12" t="s">
        <v>6639</v>
      </c>
      <c r="Z639" s="12" t="s">
        <v>6639</v>
      </c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</row>
    <row r="640" spans="1:39" s="12" customFormat="1" x14ac:dyDescent="0.2">
      <c r="A640" s="12" t="s">
        <v>3998</v>
      </c>
      <c r="B640" s="12" t="s">
        <v>3997</v>
      </c>
      <c r="C640" s="12" t="s">
        <v>13</v>
      </c>
      <c r="D640" s="12" t="s">
        <v>7210</v>
      </c>
      <c r="E640" s="12" t="s">
        <v>8031</v>
      </c>
      <c r="F640" s="12" t="s">
        <v>7160</v>
      </c>
      <c r="G640" s="12" t="s">
        <v>7649</v>
      </c>
      <c r="H640" s="12">
        <v>74</v>
      </c>
      <c r="I640" s="12" t="s">
        <v>7647</v>
      </c>
      <c r="J640" s="80">
        <v>8.2222222222222214</v>
      </c>
      <c r="K640" s="12" t="s">
        <v>7161</v>
      </c>
      <c r="L640" s="12" t="s">
        <v>21</v>
      </c>
      <c r="M640" s="12" t="s">
        <v>8110</v>
      </c>
      <c r="N640" s="12">
        <v>121</v>
      </c>
      <c r="O640" s="12">
        <v>0.14199999999999999</v>
      </c>
      <c r="P640" s="12">
        <v>0.98099999999999998</v>
      </c>
      <c r="Q640" s="12" t="s">
        <v>7264</v>
      </c>
      <c r="R640" s="12">
        <v>0.20399999999999999</v>
      </c>
      <c r="S640" s="12">
        <v>2.8840110000000001</v>
      </c>
      <c r="T640" s="12">
        <v>838191</v>
      </c>
      <c r="U640" s="12">
        <v>0.13200000000000001</v>
      </c>
      <c r="V640" s="12" t="s">
        <v>7661</v>
      </c>
      <c r="W640" s="12" t="s">
        <v>11</v>
      </c>
      <c r="X640" s="12">
        <v>4576</v>
      </c>
      <c r="Y640" s="12">
        <v>5.3870000000000003E-3</v>
      </c>
      <c r="Z640" s="12">
        <v>4.2586394172770952</v>
      </c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</row>
    <row r="641" spans="1:56" s="12" customFormat="1" x14ac:dyDescent="0.2">
      <c r="A641" s="12" t="s">
        <v>4000</v>
      </c>
      <c r="B641" s="12" t="s">
        <v>3999</v>
      </c>
      <c r="C641" s="12" t="s">
        <v>13</v>
      </c>
      <c r="D641" s="12" t="s">
        <v>7210</v>
      </c>
      <c r="E641" s="12" t="s">
        <v>8031</v>
      </c>
      <c r="F641" s="12" t="s">
        <v>7160</v>
      </c>
      <c r="G641" s="12" t="s">
        <v>7649</v>
      </c>
      <c r="H641" s="12">
        <v>72</v>
      </c>
      <c r="I641" s="12" t="s">
        <v>7647</v>
      </c>
      <c r="J641" s="80">
        <v>8</v>
      </c>
      <c r="K641" s="12" t="s">
        <v>7161</v>
      </c>
      <c r="L641" s="12" t="s">
        <v>21</v>
      </c>
      <c r="M641" s="12" t="s">
        <v>8110</v>
      </c>
      <c r="N641" s="12">
        <v>39</v>
      </c>
      <c r="O641" s="12">
        <v>0.17499999999999999</v>
      </c>
      <c r="P641" s="12">
        <v>0.96399999999999997</v>
      </c>
      <c r="Q641" s="12" t="s">
        <v>7265</v>
      </c>
      <c r="R641" s="12">
        <v>0.123</v>
      </c>
      <c r="S641" s="12">
        <v>2.1158600000000001</v>
      </c>
      <c r="T641" s="12">
        <v>764737</v>
      </c>
      <c r="U641" s="12">
        <v>0.15</v>
      </c>
      <c r="V641" s="12" t="s">
        <v>7661</v>
      </c>
      <c r="W641" s="12" t="s">
        <v>11</v>
      </c>
      <c r="X641" s="12">
        <v>3365</v>
      </c>
      <c r="Y641" s="12">
        <v>5.7619999999999998E-3</v>
      </c>
      <c r="Z641" s="12">
        <v>3.3547200130416051</v>
      </c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</row>
    <row r="642" spans="1:56" s="12" customFormat="1" x14ac:dyDescent="0.2">
      <c r="A642" s="12" t="s">
        <v>4002</v>
      </c>
      <c r="B642" s="12" t="s">
        <v>4001</v>
      </c>
      <c r="C642" s="12" t="s">
        <v>13</v>
      </c>
      <c r="D642" s="12" t="s">
        <v>7210</v>
      </c>
      <c r="E642" s="12" t="s">
        <v>8031</v>
      </c>
      <c r="F642" s="12" t="s">
        <v>7160</v>
      </c>
      <c r="G642" s="12" t="s">
        <v>7649</v>
      </c>
      <c r="H642" s="12">
        <v>78</v>
      </c>
      <c r="I642" s="12" t="s">
        <v>7647</v>
      </c>
      <c r="J642" s="80">
        <v>8.6666666666666661</v>
      </c>
      <c r="K642" s="12" t="s">
        <v>7161</v>
      </c>
      <c r="L642" s="12" t="s">
        <v>21</v>
      </c>
      <c r="M642" s="12" t="s">
        <v>8110</v>
      </c>
      <c r="N642" s="12">
        <v>82.5</v>
      </c>
      <c r="O642" s="12">
        <v>0.15</v>
      </c>
      <c r="P642" s="12">
        <v>0.999</v>
      </c>
      <c r="Q642" s="12" t="s">
        <v>7196</v>
      </c>
      <c r="R642" s="12">
        <v>4.4999999999999998E-2</v>
      </c>
      <c r="S642" s="12">
        <v>1.7305900000000001</v>
      </c>
      <c r="T642" s="12">
        <v>716629</v>
      </c>
      <c r="U642" s="12">
        <v>0.13500000000000001</v>
      </c>
      <c r="V642" s="12" t="s">
        <v>7661</v>
      </c>
      <c r="W642" s="12" t="s">
        <v>25</v>
      </c>
      <c r="X642" s="12">
        <v>5785</v>
      </c>
      <c r="Y642" s="12" t="s">
        <v>6639</v>
      </c>
      <c r="Z642" s="12" t="s">
        <v>6639</v>
      </c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</row>
    <row r="643" spans="1:56" s="12" customFormat="1" x14ac:dyDescent="0.2">
      <c r="A643" s="12" t="s">
        <v>1260</v>
      </c>
      <c r="B643" s="12" t="s">
        <v>1259</v>
      </c>
      <c r="C643" s="12" t="s">
        <v>143</v>
      </c>
      <c r="D643" s="12" t="s">
        <v>8126</v>
      </c>
      <c r="E643" s="12" t="s">
        <v>8124</v>
      </c>
      <c r="F643" s="12" t="s">
        <v>7160</v>
      </c>
      <c r="G643" s="12" t="s">
        <v>7649</v>
      </c>
      <c r="H643" s="12">
        <v>75</v>
      </c>
      <c r="I643" s="12" t="s">
        <v>7647</v>
      </c>
      <c r="J643" s="80">
        <v>8.3333333333333321</v>
      </c>
      <c r="K643" s="12" t="s">
        <v>7161</v>
      </c>
      <c r="L643" s="12" t="s">
        <v>21</v>
      </c>
      <c r="M643" s="12" t="s">
        <v>8110</v>
      </c>
      <c r="N643" s="12">
        <v>285</v>
      </c>
      <c r="O643" s="12">
        <v>6.5000000000000002E-2</v>
      </c>
      <c r="P643" s="12">
        <v>0.999</v>
      </c>
      <c r="Q643" s="12" t="s">
        <v>7169</v>
      </c>
      <c r="R643" s="12">
        <v>4.4999999999999998E-2</v>
      </c>
      <c r="S643" s="12">
        <v>1.08389</v>
      </c>
      <c r="T643" s="12">
        <v>662193</v>
      </c>
      <c r="U643" s="12">
        <v>3.9E-2</v>
      </c>
      <c r="V643" s="12" t="s">
        <v>7661</v>
      </c>
      <c r="W643" s="12" t="s">
        <v>25</v>
      </c>
      <c r="X643" s="12">
        <v>4131</v>
      </c>
      <c r="Y643" s="12" t="s">
        <v>6639</v>
      </c>
      <c r="Z643" s="12" t="s">
        <v>6639</v>
      </c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</row>
    <row r="644" spans="1:56" s="12" customFormat="1" x14ac:dyDescent="0.2">
      <c r="A644" s="12" t="s">
        <v>1084</v>
      </c>
      <c r="B644" s="12" t="s">
        <v>1083</v>
      </c>
      <c r="C644" s="12" t="s">
        <v>143</v>
      </c>
      <c r="D644" s="12" t="s">
        <v>7159</v>
      </c>
      <c r="E644" s="12" t="s">
        <v>8031</v>
      </c>
      <c r="F644" s="12" t="s">
        <v>7160</v>
      </c>
      <c r="G644" s="12" t="s">
        <v>7649</v>
      </c>
      <c r="H644" s="12">
        <v>75</v>
      </c>
      <c r="I644" s="12" t="s">
        <v>7647</v>
      </c>
      <c r="J644" s="80">
        <v>8.3333333333333321</v>
      </c>
      <c r="K644" s="12" t="s">
        <v>7161</v>
      </c>
      <c r="L644" s="12" t="s">
        <v>21</v>
      </c>
      <c r="M644" s="12" t="s">
        <v>8110</v>
      </c>
      <c r="N644" s="12">
        <v>11</v>
      </c>
      <c r="O644" s="12">
        <v>0.17399999999999999</v>
      </c>
      <c r="P644" s="12">
        <v>1</v>
      </c>
      <c r="Q644" s="12" t="s">
        <v>7196</v>
      </c>
      <c r="R644" s="12">
        <v>3.8999999999999998E-3</v>
      </c>
      <c r="S644" s="12">
        <v>7.9850000000000008E-3</v>
      </c>
      <c r="T644" s="12">
        <v>9474</v>
      </c>
      <c r="U644" s="12">
        <v>8.3000000000000004E-2</v>
      </c>
      <c r="V644" s="12" t="s">
        <v>7661</v>
      </c>
      <c r="W644" s="12" t="s">
        <v>11</v>
      </c>
      <c r="X644" s="12">
        <v>1</v>
      </c>
      <c r="Y644" s="12" t="s">
        <v>8052</v>
      </c>
      <c r="Z644" s="12" t="s">
        <v>8052</v>
      </c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</row>
    <row r="645" spans="1:56" s="12" customFormat="1" x14ac:dyDescent="0.2">
      <c r="A645" s="12" t="s">
        <v>1088</v>
      </c>
      <c r="B645" s="12" t="s">
        <v>1086</v>
      </c>
      <c r="C645" s="12" t="s">
        <v>143</v>
      </c>
      <c r="D645" s="12" t="s">
        <v>7159</v>
      </c>
      <c r="E645" s="12" t="s">
        <v>8031</v>
      </c>
      <c r="F645" s="12" t="s">
        <v>7160</v>
      </c>
      <c r="G645" s="12" t="s">
        <v>7649</v>
      </c>
      <c r="H645" s="12">
        <v>72</v>
      </c>
      <c r="I645" s="12" t="s">
        <v>7647</v>
      </c>
      <c r="J645" s="80">
        <v>8</v>
      </c>
      <c r="K645" s="12" t="s">
        <v>7161</v>
      </c>
      <c r="L645" s="12" t="s">
        <v>21</v>
      </c>
      <c r="M645" s="12" t="s">
        <v>8110</v>
      </c>
      <c r="N645" s="12">
        <v>11.2</v>
      </c>
      <c r="O645" s="12">
        <v>0.14199999999999999</v>
      </c>
      <c r="P645" s="12">
        <v>0.999</v>
      </c>
      <c r="Q645" s="12" t="s">
        <v>7231</v>
      </c>
      <c r="R645" s="12">
        <v>3.3E-3</v>
      </c>
      <c r="S645" s="12">
        <v>1.2585000000000001E-2</v>
      </c>
      <c r="T645" s="12">
        <v>14673</v>
      </c>
      <c r="U645" s="12">
        <v>9.1999999999999998E-2</v>
      </c>
      <c r="V645" s="12" t="s">
        <v>7661</v>
      </c>
      <c r="W645" s="12" t="s">
        <v>25</v>
      </c>
      <c r="X645" s="12">
        <v>4</v>
      </c>
      <c r="Y645" s="12" t="s">
        <v>6639</v>
      </c>
      <c r="Z645" s="12" t="s">
        <v>6639</v>
      </c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</row>
    <row r="646" spans="1:56" s="12" customFormat="1" x14ac:dyDescent="0.2">
      <c r="A646" s="12" t="s">
        <v>1091</v>
      </c>
      <c r="B646" s="12" t="s">
        <v>1090</v>
      </c>
      <c r="C646" s="12" t="s">
        <v>143</v>
      </c>
      <c r="D646" s="12" t="s">
        <v>7159</v>
      </c>
      <c r="E646" s="12" t="s">
        <v>8031</v>
      </c>
      <c r="F646" s="12" t="s">
        <v>7160</v>
      </c>
      <c r="G646" s="12" t="s">
        <v>7649</v>
      </c>
      <c r="H646" s="12">
        <v>67</v>
      </c>
      <c r="I646" s="12" t="s">
        <v>7647</v>
      </c>
      <c r="J646" s="80">
        <v>7.4444444444444438</v>
      </c>
      <c r="K646" s="12" t="s">
        <v>7161</v>
      </c>
      <c r="L646" s="12" t="s">
        <v>21</v>
      </c>
      <c r="M646" s="12" t="s">
        <v>8110</v>
      </c>
      <c r="N646" s="12">
        <v>38.799999999999997</v>
      </c>
      <c r="O646" s="12">
        <v>0.122</v>
      </c>
      <c r="P646" s="12">
        <v>1</v>
      </c>
      <c r="Q646" s="12" t="s">
        <v>7179</v>
      </c>
      <c r="R646" s="12">
        <v>3.5999999999999999E-3</v>
      </c>
      <c r="S646" s="12">
        <v>6.3619999999999996E-3</v>
      </c>
      <c r="T646" s="12">
        <v>7636</v>
      </c>
      <c r="U646" s="12">
        <v>6.4000000000000001E-2</v>
      </c>
      <c r="V646" s="12" t="s">
        <v>7661</v>
      </c>
      <c r="W646" s="12" t="s">
        <v>11</v>
      </c>
      <c r="X646" s="12">
        <v>1</v>
      </c>
      <c r="Y646" s="12" t="s">
        <v>8052</v>
      </c>
      <c r="Z646" s="12" t="s">
        <v>8052</v>
      </c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</row>
    <row r="647" spans="1:56" s="12" customFormat="1" x14ac:dyDescent="0.2">
      <c r="A647" s="12" t="s">
        <v>1094</v>
      </c>
      <c r="B647" s="12" t="s">
        <v>1092</v>
      </c>
      <c r="C647" s="12" t="s">
        <v>143</v>
      </c>
      <c r="D647" s="12" t="s">
        <v>7159</v>
      </c>
      <c r="E647" s="12" t="s">
        <v>8031</v>
      </c>
      <c r="F647" s="12" t="s">
        <v>7160</v>
      </c>
      <c r="G647" s="12" t="s">
        <v>7649</v>
      </c>
      <c r="H647" s="12">
        <v>84</v>
      </c>
      <c r="I647" s="12" t="s">
        <v>7647</v>
      </c>
      <c r="J647" s="80">
        <v>9.3333333333333321</v>
      </c>
      <c r="K647" s="12" t="s">
        <v>7161</v>
      </c>
      <c r="L647" s="12" t="s">
        <v>21</v>
      </c>
      <c r="M647" s="12" t="s">
        <v>8110</v>
      </c>
      <c r="N647" s="12">
        <v>7.72</v>
      </c>
      <c r="O647" s="12">
        <v>0.14199999999999999</v>
      </c>
      <c r="P647" s="12">
        <v>0.998</v>
      </c>
      <c r="Q647" s="12" t="s">
        <v>7308</v>
      </c>
      <c r="R647" s="12">
        <v>2.3999999999999998E-3</v>
      </c>
      <c r="S647" s="12">
        <v>4.6119999999999998E-3</v>
      </c>
      <c r="T647" s="12">
        <v>5439</v>
      </c>
      <c r="U647" s="12">
        <v>8.2000000000000003E-2</v>
      </c>
      <c r="V647" s="12" t="s">
        <v>7661</v>
      </c>
      <c r="W647" s="12" t="s">
        <v>25</v>
      </c>
      <c r="X647" s="12">
        <v>2</v>
      </c>
      <c r="Y647" s="12" t="s">
        <v>6639</v>
      </c>
      <c r="Z647" s="12" t="s">
        <v>6639</v>
      </c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</row>
    <row r="648" spans="1:56" s="12" customFormat="1" x14ac:dyDescent="0.2">
      <c r="A648" s="12" t="s">
        <v>1097</v>
      </c>
      <c r="B648" s="12" t="s">
        <v>1095</v>
      </c>
      <c r="C648" s="12" t="s">
        <v>143</v>
      </c>
      <c r="D648" s="12" t="s">
        <v>7159</v>
      </c>
      <c r="E648" s="12" t="s">
        <v>8031</v>
      </c>
      <c r="F648" s="12" t="s">
        <v>7160</v>
      </c>
      <c r="G648" s="12" t="s">
        <v>7649</v>
      </c>
      <c r="H648" s="12">
        <v>66</v>
      </c>
      <c r="I648" s="12" t="s">
        <v>7647</v>
      </c>
      <c r="J648" s="80">
        <v>7.333333333333333</v>
      </c>
      <c r="K648" s="12" t="s">
        <v>7161</v>
      </c>
      <c r="L648" s="12" t="s">
        <v>21</v>
      </c>
      <c r="M648" s="12" t="s">
        <v>8110</v>
      </c>
      <c r="N648" s="12">
        <v>71.8</v>
      </c>
      <c r="O648" s="12">
        <v>0.13</v>
      </c>
      <c r="P648" s="12">
        <v>0.996</v>
      </c>
      <c r="Q648" s="12" t="s">
        <v>7235</v>
      </c>
      <c r="R648" s="12">
        <v>4.5999999999999999E-3</v>
      </c>
      <c r="S648" s="12">
        <v>5.0610000000000004E-3</v>
      </c>
      <c r="T648" s="12">
        <v>6008</v>
      </c>
      <c r="U648" s="12">
        <v>0.115</v>
      </c>
      <c r="V648" s="12" t="s">
        <v>7661</v>
      </c>
      <c r="W648" s="12" t="s">
        <v>1126</v>
      </c>
      <c r="X648" s="12">
        <v>2</v>
      </c>
      <c r="Y648" s="12" t="s">
        <v>6638</v>
      </c>
      <c r="Z648" s="12" t="s">
        <v>6638</v>
      </c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</row>
    <row r="649" spans="1:56" s="12" customFormat="1" x14ac:dyDescent="0.2">
      <c r="A649" s="12" t="s">
        <v>5184</v>
      </c>
      <c r="B649" s="12" t="s">
        <v>5183</v>
      </c>
      <c r="C649" s="12" t="s">
        <v>13</v>
      </c>
      <c r="D649" s="12" t="s">
        <v>7210</v>
      </c>
      <c r="E649" s="12" t="s">
        <v>8124</v>
      </c>
      <c r="F649" s="12" t="s">
        <v>7160</v>
      </c>
      <c r="G649" s="12" t="s">
        <v>7649</v>
      </c>
      <c r="H649" s="12">
        <v>75</v>
      </c>
      <c r="I649" s="12" t="s">
        <v>7647</v>
      </c>
      <c r="J649" s="80">
        <v>8.3333333333333321</v>
      </c>
      <c r="K649" s="12" t="s">
        <v>7161</v>
      </c>
      <c r="L649" s="12" t="s">
        <v>21</v>
      </c>
      <c r="M649" s="12" t="s">
        <v>8110</v>
      </c>
      <c r="N649" s="12">
        <v>101</v>
      </c>
      <c r="O649" s="12">
        <v>0.159</v>
      </c>
      <c r="P649" s="12">
        <v>0.99</v>
      </c>
      <c r="Q649" s="12" t="s">
        <v>7224</v>
      </c>
      <c r="R649" s="12">
        <v>0.14099999999999999</v>
      </c>
      <c r="S649" s="12">
        <v>1.863154</v>
      </c>
      <c r="T649" s="12">
        <v>789641</v>
      </c>
      <c r="U649" s="12">
        <v>0.11899999999999999</v>
      </c>
      <c r="V649" s="12" t="s">
        <v>7661</v>
      </c>
      <c r="W649" s="12" t="s">
        <v>11</v>
      </c>
      <c r="X649" s="12">
        <v>3032</v>
      </c>
      <c r="Y649" s="12">
        <v>6.646E-3</v>
      </c>
      <c r="Z649" s="12">
        <v>3.5856449035393543</v>
      </c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</row>
    <row r="650" spans="1:56" s="12" customFormat="1" x14ac:dyDescent="0.2">
      <c r="A650" s="12" t="s">
        <v>5181</v>
      </c>
      <c r="B650" s="12" t="s">
        <v>5180</v>
      </c>
      <c r="C650" s="12" t="s">
        <v>13</v>
      </c>
      <c r="D650" s="12" t="s">
        <v>7210</v>
      </c>
      <c r="E650" s="12" t="s">
        <v>8124</v>
      </c>
      <c r="F650" s="12" t="s">
        <v>7160</v>
      </c>
      <c r="G650" s="12" t="s">
        <v>7649</v>
      </c>
      <c r="H650" s="12">
        <v>79</v>
      </c>
      <c r="I650" s="12" t="s">
        <v>7647</v>
      </c>
      <c r="J650" s="80">
        <v>8.7777777777777768</v>
      </c>
      <c r="K650" s="12" t="s">
        <v>7161</v>
      </c>
      <c r="L650" s="12" t="s">
        <v>21</v>
      </c>
      <c r="M650" s="12" t="s">
        <v>8110</v>
      </c>
      <c r="N650" s="12">
        <v>194</v>
      </c>
      <c r="O650" s="12">
        <v>0.16600000000000001</v>
      </c>
      <c r="P650" s="12">
        <v>1</v>
      </c>
      <c r="Q650" s="12" t="s">
        <v>7179</v>
      </c>
      <c r="R650" s="12">
        <v>0.25600000000000001</v>
      </c>
      <c r="S650" s="12">
        <v>1.96227</v>
      </c>
      <c r="T650" s="12">
        <v>811518</v>
      </c>
      <c r="U650" s="12">
        <v>0.13500000000000001</v>
      </c>
      <c r="V650" s="12" t="s">
        <v>7661</v>
      </c>
      <c r="W650" s="12" t="s">
        <v>11</v>
      </c>
      <c r="X650" s="12">
        <v>3279</v>
      </c>
      <c r="Y650" s="12">
        <v>5.8739999999999999E-3</v>
      </c>
      <c r="Z650" s="12">
        <v>3.4482556194121412</v>
      </c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</row>
    <row r="651" spans="1:56" s="12" customFormat="1" x14ac:dyDescent="0.2">
      <c r="A651" s="12" t="s">
        <v>5178</v>
      </c>
      <c r="B651" s="12" t="s">
        <v>5176</v>
      </c>
      <c r="C651" s="12" t="s">
        <v>13</v>
      </c>
      <c r="D651" s="12" t="s">
        <v>7210</v>
      </c>
      <c r="E651" s="12" t="s">
        <v>8124</v>
      </c>
      <c r="F651" s="12" t="s">
        <v>7160</v>
      </c>
      <c r="G651" s="12" t="s">
        <v>7649</v>
      </c>
      <c r="H651" s="12">
        <v>76</v>
      </c>
      <c r="I651" s="12" t="s">
        <v>7647</v>
      </c>
      <c r="J651" s="80">
        <v>8.4444444444444446</v>
      </c>
      <c r="K651" s="12" t="s">
        <v>7161</v>
      </c>
      <c r="L651" s="12" t="s">
        <v>21</v>
      </c>
      <c r="M651" s="12" t="s">
        <v>8110</v>
      </c>
      <c r="N651" s="12">
        <v>288</v>
      </c>
      <c r="O651" s="12">
        <v>0.11799999999999999</v>
      </c>
      <c r="P651" s="12">
        <v>1</v>
      </c>
      <c r="Q651" s="12" t="s">
        <v>7179</v>
      </c>
      <c r="R651" s="12">
        <v>0.57999999999999996</v>
      </c>
      <c r="S651" s="12">
        <v>4.1209150000000001</v>
      </c>
      <c r="T651" s="12">
        <v>869434</v>
      </c>
      <c r="U651" s="12">
        <v>0.10199999999999999</v>
      </c>
      <c r="V651" s="12" t="s">
        <v>7661</v>
      </c>
      <c r="W651" s="12" t="s">
        <v>11</v>
      </c>
      <c r="X651" s="12">
        <v>5553</v>
      </c>
      <c r="Y651" s="12">
        <v>5.5500000000000002E-3</v>
      </c>
      <c r="Z651" s="12">
        <v>4.8664189907836164</v>
      </c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</row>
    <row r="652" spans="1:56" s="12" customFormat="1" x14ac:dyDescent="0.2">
      <c r="A652" s="12" t="s">
        <v>877</v>
      </c>
      <c r="B652" s="12" t="s">
        <v>876</v>
      </c>
      <c r="C652" s="12" t="s">
        <v>13</v>
      </c>
      <c r="D652" s="12" t="s">
        <v>7210</v>
      </c>
      <c r="E652" s="12" t="s">
        <v>8031</v>
      </c>
      <c r="F652" s="12" t="s">
        <v>7160</v>
      </c>
      <c r="G652" s="12" t="s">
        <v>7649</v>
      </c>
      <c r="H652" s="12">
        <v>82</v>
      </c>
      <c r="I652" s="12" t="s">
        <v>7647</v>
      </c>
      <c r="J652" s="80">
        <v>9.1111111111111107</v>
      </c>
      <c r="K652" s="12" t="s">
        <v>7161</v>
      </c>
      <c r="L652" s="12" t="s">
        <v>21</v>
      </c>
      <c r="M652" s="12" t="s">
        <v>8110</v>
      </c>
      <c r="N652" s="12">
        <v>88.6</v>
      </c>
      <c r="O652" s="12">
        <v>0.17</v>
      </c>
      <c r="P652" s="12">
        <v>0.99199999999999999</v>
      </c>
      <c r="Q652" s="12" t="s">
        <v>7191</v>
      </c>
      <c r="R652" s="12">
        <v>0.54400000000000004</v>
      </c>
      <c r="S652" s="12">
        <v>1.2536119999999999</v>
      </c>
      <c r="T652" s="12">
        <v>719490</v>
      </c>
      <c r="U652" s="12">
        <v>0.14000000000000001</v>
      </c>
      <c r="V652" s="12" t="s">
        <v>7661</v>
      </c>
      <c r="W652" s="12" t="s">
        <v>25</v>
      </c>
      <c r="X652" s="12">
        <v>4864</v>
      </c>
      <c r="Y652" s="12" t="s">
        <v>6639</v>
      </c>
      <c r="Z652" s="12" t="s">
        <v>6639</v>
      </c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</row>
    <row r="653" spans="1:56" s="12" customFormat="1" x14ac:dyDescent="0.2">
      <c r="A653" s="12" t="s">
        <v>885</v>
      </c>
      <c r="B653" s="12" t="s">
        <v>884</v>
      </c>
      <c r="C653" s="12" t="s">
        <v>13</v>
      </c>
      <c r="D653" s="12" t="s">
        <v>7210</v>
      </c>
      <c r="E653" s="12" t="s">
        <v>8031</v>
      </c>
      <c r="F653" s="12" t="s">
        <v>7160</v>
      </c>
      <c r="G653" s="12" t="s">
        <v>7649</v>
      </c>
      <c r="H653" s="12">
        <v>66</v>
      </c>
      <c r="I653" s="12" t="s">
        <v>7647</v>
      </c>
      <c r="J653" s="80">
        <v>7.333333333333333</v>
      </c>
      <c r="K653" s="12" t="s">
        <v>7161</v>
      </c>
      <c r="L653" s="12" t="s">
        <v>21</v>
      </c>
      <c r="M653" s="12" t="s">
        <v>8110</v>
      </c>
      <c r="N653" s="12">
        <v>94.5</v>
      </c>
      <c r="O653" s="12">
        <v>0.188</v>
      </c>
      <c r="P653" s="12">
        <v>1</v>
      </c>
      <c r="Q653" s="12" t="s">
        <v>7196</v>
      </c>
      <c r="R653" s="12">
        <v>0.39600000000000002</v>
      </c>
      <c r="S653" s="12">
        <v>1.095567</v>
      </c>
      <c r="T653" s="12">
        <v>654512</v>
      </c>
      <c r="U653" s="12">
        <v>0.17</v>
      </c>
      <c r="V653" s="12" t="s">
        <v>7661</v>
      </c>
      <c r="W653" s="12" t="s">
        <v>25</v>
      </c>
      <c r="X653" s="12">
        <v>4257</v>
      </c>
      <c r="Y653" s="12" t="s">
        <v>6639</v>
      </c>
      <c r="Z653" s="12" t="s">
        <v>6639</v>
      </c>
      <c r="AD653" s="63"/>
      <c r="AE653" s="63"/>
      <c r="AF653" s="70"/>
      <c r="AG653" s="70"/>
      <c r="AH653" s="70"/>
      <c r="AI653" s="70"/>
      <c r="AJ653" s="70"/>
      <c r="AK653" s="70"/>
      <c r="AL653" s="63"/>
      <c r="AM653" s="63"/>
      <c r="AN653" s="63"/>
      <c r="AP653" s="12" t="s">
        <v>4702</v>
      </c>
      <c r="AQ653" s="12" t="s">
        <v>8050</v>
      </c>
      <c r="AR653" s="12" t="s">
        <v>8051</v>
      </c>
      <c r="AS653" s="12">
        <v>7.9930000000000003</v>
      </c>
      <c r="AT653" s="12">
        <v>0.2465</v>
      </c>
      <c r="AU653" s="12" t="s">
        <v>3148</v>
      </c>
      <c r="AV653" s="12">
        <v>0.96883900000000001</v>
      </c>
      <c r="AW653" s="12">
        <v>0.92524200000000001</v>
      </c>
      <c r="AX653" s="12">
        <v>0.99071500000000001</v>
      </c>
      <c r="AY653" s="12">
        <v>2695</v>
      </c>
      <c r="AZ653" s="12">
        <v>31</v>
      </c>
      <c r="BA653" s="12">
        <v>0.27750000000000002</v>
      </c>
      <c r="BB653" s="12">
        <v>65</v>
      </c>
      <c r="BC653" s="12">
        <v>3.36065573770491</v>
      </c>
      <c r="BD653" s="12">
        <v>0.20499999999999999</v>
      </c>
    </row>
    <row r="654" spans="1:56" s="12" customFormat="1" x14ac:dyDescent="0.2">
      <c r="A654" s="12" t="s">
        <v>939</v>
      </c>
      <c r="B654" s="12" t="s">
        <v>938</v>
      </c>
      <c r="C654" s="12" t="s">
        <v>13</v>
      </c>
      <c r="D654" s="12" t="s">
        <v>7210</v>
      </c>
      <c r="E654" s="12" t="s">
        <v>8031</v>
      </c>
      <c r="F654" s="12" t="s">
        <v>7160</v>
      </c>
      <c r="G654" s="12" t="s">
        <v>7649</v>
      </c>
      <c r="H654" s="12">
        <v>75</v>
      </c>
      <c r="I654" s="12" t="s">
        <v>7647</v>
      </c>
      <c r="J654" s="80">
        <v>8.3333333333333321</v>
      </c>
      <c r="K654" s="12" t="s">
        <v>7161</v>
      </c>
      <c r="L654" s="12" t="s">
        <v>21</v>
      </c>
      <c r="M654" s="12" t="s">
        <v>8110</v>
      </c>
      <c r="N654" s="12">
        <v>78.5</v>
      </c>
      <c r="O654" s="12">
        <v>9.9000000000000005E-2</v>
      </c>
      <c r="P654" s="12">
        <v>0.98799999999999999</v>
      </c>
      <c r="Q654" s="12" t="s">
        <v>7331</v>
      </c>
      <c r="R654" s="12">
        <v>0.85799999999999998</v>
      </c>
      <c r="S654" s="12">
        <v>3.529709</v>
      </c>
      <c r="T654" s="12">
        <v>917143</v>
      </c>
      <c r="U654" s="12">
        <v>9.1999999999999998E-2</v>
      </c>
      <c r="V654" s="12" t="s">
        <v>7661</v>
      </c>
      <c r="W654" s="12" t="s">
        <v>25</v>
      </c>
      <c r="X654" s="12">
        <v>10792</v>
      </c>
      <c r="Y654" s="12" t="s">
        <v>6639</v>
      </c>
      <c r="Z654" s="12" t="s">
        <v>6639</v>
      </c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</row>
    <row r="655" spans="1:56" s="12" customFormat="1" x14ac:dyDescent="0.2">
      <c r="A655" s="12" t="s">
        <v>922</v>
      </c>
      <c r="B655" s="12" t="s">
        <v>921</v>
      </c>
      <c r="C655" s="12" t="s">
        <v>13</v>
      </c>
      <c r="D655" s="12" t="s">
        <v>7210</v>
      </c>
      <c r="E655" s="12" t="s">
        <v>8031</v>
      </c>
      <c r="F655" s="12" t="s">
        <v>7160</v>
      </c>
      <c r="G655" s="12" t="s">
        <v>7649</v>
      </c>
      <c r="H655" s="12">
        <v>82</v>
      </c>
      <c r="I655" s="12" t="s">
        <v>7647</v>
      </c>
      <c r="J655" s="80">
        <v>9.1111111111111107</v>
      </c>
      <c r="K655" s="12" t="s">
        <v>7161</v>
      </c>
      <c r="L655" s="12" t="s">
        <v>21</v>
      </c>
      <c r="M655" s="12" t="s">
        <v>8110</v>
      </c>
      <c r="N655" s="12">
        <v>73.7</v>
      </c>
      <c r="O655" s="12">
        <v>0.11</v>
      </c>
      <c r="P655" s="12">
        <v>0.99399999999999999</v>
      </c>
      <c r="Q655" s="12" t="s">
        <v>7181</v>
      </c>
      <c r="R655" s="12">
        <v>0.42199999999999999</v>
      </c>
      <c r="S655" s="12">
        <v>2.9810669999999999</v>
      </c>
      <c r="T655" s="12">
        <v>892482</v>
      </c>
      <c r="U655" s="12">
        <v>0.114</v>
      </c>
      <c r="V655" s="12" t="s">
        <v>7661</v>
      </c>
      <c r="W655" s="12" t="s">
        <v>25</v>
      </c>
      <c r="X655" s="12">
        <v>9906</v>
      </c>
      <c r="Y655" s="12" t="s">
        <v>6639</v>
      </c>
      <c r="Z655" s="12" t="s">
        <v>6639</v>
      </c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</row>
    <row r="656" spans="1:56" s="12" customFormat="1" x14ac:dyDescent="0.2">
      <c r="A656" s="12" t="s">
        <v>902</v>
      </c>
      <c r="B656" s="12" t="s">
        <v>901</v>
      </c>
      <c r="C656" s="12" t="s">
        <v>13</v>
      </c>
      <c r="D656" s="12" t="s">
        <v>7210</v>
      </c>
      <c r="E656" s="12" t="s">
        <v>8031</v>
      </c>
      <c r="F656" s="12" t="s">
        <v>7160</v>
      </c>
      <c r="G656" s="12" t="s">
        <v>7649</v>
      </c>
      <c r="H656" s="12">
        <v>84</v>
      </c>
      <c r="I656" s="12" t="s">
        <v>7647</v>
      </c>
      <c r="J656" s="80">
        <v>9.3333333333333321</v>
      </c>
      <c r="K656" s="12" t="s">
        <v>7161</v>
      </c>
      <c r="L656" s="12" t="s">
        <v>21</v>
      </c>
      <c r="M656" s="12" t="s">
        <v>8110</v>
      </c>
      <c r="N656" s="12">
        <v>88.9</v>
      </c>
      <c r="O656" s="12">
        <v>0.14099999999999999</v>
      </c>
      <c r="P656" s="12">
        <v>0.98899999999999999</v>
      </c>
      <c r="Q656" s="12" t="s">
        <v>7314</v>
      </c>
      <c r="R656" s="12">
        <v>0.75700000000000001</v>
      </c>
      <c r="S656" s="12">
        <v>2.631643</v>
      </c>
      <c r="T656" s="12">
        <v>873180</v>
      </c>
      <c r="U656" s="12">
        <v>0.126</v>
      </c>
      <c r="V656" s="12" t="s">
        <v>7661</v>
      </c>
      <c r="W656" s="12" t="s">
        <v>11</v>
      </c>
      <c r="X656" s="12">
        <v>4821</v>
      </c>
      <c r="Y656" s="12">
        <v>5.5750000000000001E-3</v>
      </c>
      <c r="Z656" s="12">
        <v>4.1949117789360502</v>
      </c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</row>
    <row r="657" spans="1:39" s="12" customFormat="1" x14ac:dyDescent="0.2">
      <c r="A657" s="12" t="s">
        <v>1031</v>
      </c>
      <c r="B657" s="12" t="s">
        <v>1030</v>
      </c>
      <c r="C657" s="12" t="s">
        <v>13</v>
      </c>
      <c r="D657" s="12" t="s">
        <v>7210</v>
      </c>
      <c r="E657" s="12" t="s">
        <v>8031</v>
      </c>
      <c r="F657" s="12" t="s">
        <v>7160</v>
      </c>
      <c r="G657" s="12" t="s">
        <v>7649</v>
      </c>
      <c r="H657" s="12">
        <v>79</v>
      </c>
      <c r="I657" s="12" t="s">
        <v>7647</v>
      </c>
      <c r="J657" s="80">
        <v>8.7777777777777768</v>
      </c>
      <c r="K657" s="12" t="s">
        <v>7161</v>
      </c>
      <c r="L657" s="12" t="s">
        <v>21</v>
      </c>
      <c r="M657" s="12" t="s">
        <v>8110</v>
      </c>
      <c r="N657" s="12">
        <v>243</v>
      </c>
      <c r="O657" s="12">
        <v>9.1999999999999998E-2</v>
      </c>
      <c r="P657" s="12">
        <v>0.996</v>
      </c>
      <c r="Q657" s="12" t="s">
        <v>7250</v>
      </c>
      <c r="R657" s="12">
        <v>0.68100000000000005</v>
      </c>
      <c r="S657" s="12">
        <v>2.1896520000000002</v>
      </c>
      <c r="T657" s="12">
        <v>899293</v>
      </c>
      <c r="U657" s="12">
        <v>9.7000000000000003E-2</v>
      </c>
      <c r="V657" s="12" t="s">
        <v>7661</v>
      </c>
      <c r="W657" s="12" t="s">
        <v>11</v>
      </c>
      <c r="X657" s="12">
        <v>4035</v>
      </c>
      <c r="Y657" s="12">
        <v>3.986E-3</v>
      </c>
      <c r="Z657" s="12">
        <v>2.8926063646048319</v>
      </c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</row>
    <row r="658" spans="1:39" s="12" customFormat="1" x14ac:dyDescent="0.2">
      <c r="A658" s="12" t="s">
        <v>918</v>
      </c>
      <c r="B658" s="12" t="s">
        <v>917</v>
      </c>
      <c r="C658" s="12" t="s">
        <v>13</v>
      </c>
      <c r="D658" s="12" t="s">
        <v>7210</v>
      </c>
      <c r="E658" s="12" t="s">
        <v>8031</v>
      </c>
      <c r="F658" s="12" t="s">
        <v>7160</v>
      </c>
      <c r="G658" s="12" t="s">
        <v>7649</v>
      </c>
      <c r="H658" s="12">
        <v>84</v>
      </c>
      <c r="I658" s="12" t="s">
        <v>7647</v>
      </c>
      <c r="J658" s="80">
        <v>9.3333333333333321</v>
      </c>
      <c r="K658" s="12" t="s">
        <v>7161</v>
      </c>
      <c r="L658" s="12" t="s">
        <v>21</v>
      </c>
      <c r="M658" s="12" t="s">
        <v>8110</v>
      </c>
      <c r="N658" s="12">
        <v>184</v>
      </c>
      <c r="O658" s="12">
        <v>0.11700000000000001</v>
      </c>
      <c r="P658" s="12">
        <v>0.996</v>
      </c>
      <c r="Q658" s="12" t="s">
        <v>7256</v>
      </c>
      <c r="R658" s="12">
        <v>0.83199999999999996</v>
      </c>
      <c r="S658" s="12">
        <v>1.850347</v>
      </c>
      <c r="T658" s="12">
        <v>865688</v>
      </c>
      <c r="U658" s="12">
        <v>0.111</v>
      </c>
      <c r="V658" s="12" t="s">
        <v>7661</v>
      </c>
      <c r="W658" s="12" t="s">
        <v>11</v>
      </c>
      <c r="X658" s="12">
        <v>3333</v>
      </c>
      <c r="Y658" s="12">
        <v>4.2379999999999996E-3</v>
      </c>
      <c r="Z658" s="12">
        <v>2.8980492531608086</v>
      </c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</row>
    <row r="659" spans="1:39" s="12" customFormat="1" x14ac:dyDescent="0.2">
      <c r="A659" s="12" t="s">
        <v>5261</v>
      </c>
      <c r="B659" s="12" t="s">
        <v>5260</v>
      </c>
      <c r="C659" s="12" t="s">
        <v>13</v>
      </c>
      <c r="D659" s="12" t="s">
        <v>7210</v>
      </c>
      <c r="E659" s="12" t="s">
        <v>8031</v>
      </c>
      <c r="F659" s="12" t="s">
        <v>7160</v>
      </c>
      <c r="G659" s="12" t="s">
        <v>7649</v>
      </c>
      <c r="H659" s="12">
        <v>74</v>
      </c>
      <c r="I659" s="12" t="s">
        <v>7647</v>
      </c>
      <c r="J659" s="80">
        <v>8.2222222222222214</v>
      </c>
      <c r="K659" s="12" t="s">
        <v>7161</v>
      </c>
      <c r="L659" s="12" t="s">
        <v>21</v>
      </c>
      <c r="M659" s="12" t="s">
        <v>8110</v>
      </c>
      <c r="N659" s="12">
        <v>142</v>
      </c>
      <c r="O659" s="12">
        <v>0.152</v>
      </c>
      <c r="P659" s="12">
        <v>0.99399999999999999</v>
      </c>
      <c r="Q659" s="12" t="s">
        <v>7262</v>
      </c>
      <c r="R659" s="12">
        <v>0.81100000000000005</v>
      </c>
      <c r="S659" s="12">
        <v>3.8047170000000001</v>
      </c>
      <c r="T659" s="12">
        <v>859417</v>
      </c>
      <c r="U659" s="12">
        <v>0.124</v>
      </c>
      <c r="V659" s="12" t="s">
        <v>7661</v>
      </c>
      <c r="W659" s="12" t="s">
        <v>25</v>
      </c>
      <c r="X659" s="12">
        <v>9017</v>
      </c>
      <c r="Y659" s="12" t="s">
        <v>6639</v>
      </c>
      <c r="Z659" s="12" t="s">
        <v>6639</v>
      </c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</row>
    <row r="660" spans="1:39" s="12" customFormat="1" x14ac:dyDescent="0.2">
      <c r="A660" s="12" t="s">
        <v>4241</v>
      </c>
      <c r="B660" s="12" t="s">
        <v>4239</v>
      </c>
      <c r="C660" s="12" t="s">
        <v>13</v>
      </c>
      <c r="D660" s="12" t="s">
        <v>7210</v>
      </c>
      <c r="E660" s="12" t="s">
        <v>8031</v>
      </c>
      <c r="F660" s="12" t="s">
        <v>7160</v>
      </c>
      <c r="G660" s="12" t="s">
        <v>7649</v>
      </c>
      <c r="H660" s="12">
        <v>68</v>
      </c>
      <c r="I660" s="12" t="s">
        <v>7647</v>
      </c>
      <c r="J660" s="80">
        <v>7.5555555555555554</v>
      </c>
      <c r="K660" s="12" t="s">
        <v>7161</v>
      </c>
      <c r="L660" s="12" t="s">
        <v>21</v>
      </c>
      <c r="M660" s="12" t="s">
        <v>8110</v>
      </c>
      <c r="N660" s="12">
        <v>90.4</v>
      </c>
      <c r="O660" s="12">
        <v>0.17199999999999999</v>
      </c>
      <c r="P660" s="12">
        <v>0.99199999999999999</v>
      </c>
      <c r="Q660" s="12" t="s">
        <v>7223</v>
      </c>
      <c r="R660" s="12">
        <v>9.2999999999999999E-2</v>
      </c>
      <c r="S660" s="12">
        <v>1.0703819999999999</v>
      </c>
      <c r="T660" s="12">
        <v>656704</v>
      </c>
      <c r="U660" s="12">
        <v>0.13800000000000001</v>
      </c>
      <c r="V660" s="12" t="s">
        <v>7661</v>
      </c>
      <c r="W660" s="12" t="s">
        <v>25</v>
      </c>
      <c r="X660" s="12">
        <v>3865</v>
      </c>
      <c r="Y660" s="12" t="s">
        <v>6639</v>
      </c>
      <c r="Z660" s="12" t="s">
        <v>6639</v>
      </c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</row>
    <row r="661" spans="1:39" s="12" customFormat="1" x14ac:dyDescent="0.2">
      <c r="A661" s="12" t="s">
        <v>925</v>
      </c>
      <c r="B661" s="12" t="s">
        <v>924</v>
      </c>
      <c r="C661" s="12" t="s">
        <v>13</v>
      </c>
      <c r="D661" s="12" t="s">
        <v>7210</v>
      </c>
      <c r="E661" s="12" t="s">
        <v>8031</v>
      </c>
      <c r="F661" s="12" t="s">
        <v>7160</v>
      </c>
      <c r="G661" s="12" t="s">
        <v>7649</v>
      </c>
      <c r="H661" s="12">
        <v>85</v>
      </c>
      <c r="I661" s="12" t="s">
        <v>7647</v>
      </c>
      <c r="J661" s="80">
        <v>9.4444444444444446</v>
      </c>
      <c r="K661" s="12" t="s">
        <v>7161</v>
      </c>
      <c r="L661" s="12" t="s">
        <v>21</v>
      </c>
      <c r="M661" s="12" t="s">
        <v>8110</v>
      </c>
      <c r="N661" s="12">
        <v>126</v>
      </c>
      <c r="O661" s="12">
        <v>0.123</v>
      </c>
      <c r="P661" s="12">
        <v>0.99</v>
      </c>
      <c r="Q661" s="12" t="s">
        <v>7224</v>
      </c>
      <c r="R661" s="12">
        <v>0.73299999999999998</v>
      </c>
      <c r="S661" s="12">
        <v>2.9042309999999998</v>
      </c>
      <c r="T661" s="12">
        <v>913041</v>
      </c>
      <c r="U661" s="12">
        <v>0.11899999999999999</v>
      </c>
      <c r="V661" s="12" t="s">
        <v>7661</v>
      </c>
      <c r="W661" s="12" t="s">
        <v>11</v>
      </c>
      <c r="X661" s="12">
        <v>5580</v>
      </c>
      <c r="Y661" s="12">
        <v>3.9940000000000002E-3</v>
      </c>
      <c r="Z661" s="12">
        <v>3.820192693044552</v>
      </c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</row>
    <row r="662" spans="1:39" s="12" customFormat="1" x14ac:dyDescent="0.2">
      <c r="A662" s="12" t="s">
        <v>1116</v>
      </c>
      <c r="B662" s="12" t="s">
        <v>1114</v>
      </c>
      <c r="C662" s="12" t="s">
        <v>13</v>
      </c>
      <c r="D662" s="12" t="s">
        <v>7210</v>
      </c>
      <c r="E662" s="12" t="s">
        <v>8031</v>
      </c>
      <c r="F662" s="12" t="s">
        <v>7160</v>
      </c>
      <c r="G662" s="12" t="s">
        <v>7649</v>
      </c>
      <c r="H662" s="12">
        <v>75</v>
      </c>
      <c r="I662" s="12" t="s">
        <v>7647</v>
      </c>
      <c r="J662" s="80">
        <v>8.3333333333333321</v>
      </c>
      <c r="K662" s="12" t="s">
        <v>7161</v>
      </c>
      <c r="L662" s="12" t="s">
        <v>21</v>
      </c>
      <c r="M662" s="12" t="s">
        <v>8110</v>
      </c>
      <c r="N662" s="12">
        <v>56.1</v>
      </c>
      <c r="O662" s="12">
        <v>0.14000000000000001</v>
      </c>
      <c r="P662" s="12">
        <v>0.997</v>
      </c>
      <c r="Q662" s="12" t="s">
        <v>7237</v>
      </c>
      <c r="R662" s="12">
        <v>0.104</v>
      </c>
      <c r="S662" s="12">
        <v>0.36149900000000001</v>
      </c>
      <c r="T662" s="12">
        <v>337508</v>
      </c>
      <c r="U662" s="12">
        <v>0.10100000000000001</v>
      </c>
      <c r="V662" s="12" t="s">
        <v>7661</v>
      </c>
      <c r="W662" s="12" t="s">
        <v>11</v>
      </c>
      <c r="X662" s="12">
        <v>226</v>
      </c>
      <c r="Y662" s="12">
        <v>7.404E-3</v>
      </c>
      <c r="Z662" s="12">
        <v>0.98761400779206643</v>
      </c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</row>
    <row r="663" spans="1:39" s="12" customFormat="1" x14ac:dyDescent="0.2">
      <c r="A663" s="12" t="s">
        <v>1138</v>
      </c>
      <c r="B663" s="12" t="s">
        <v>1137</v>
      </c>
      <c r="C663" s="12" t="s">
        <v>13</v>
      </c>
      <c r="D663" s="12" t="s">
        <v>7210</v>
      </c>
      <c r="E663" s="12" t="s">
        <v>8031</v>
      </c>
      <c r="F663" s="12" t="s">
        <v>7160</v>
      </c>
      <c r="G663" s="12" t="s">
        <v>7649</v>
      </c>
      <c r="H663" s="12">
        <v>80</v>
      </c>
      <c r="I663" s="12" t="s">
        <v>7647</v>
      </c>
      <c r="J663" s="80">
        <v>8.8888888888888893</v>
      </c>
      <c r="K663" s="12" t="s">
        <v>7161</v>
      </c>
      <c r="L663" s="12" t="s">
        <v>21</v>
      </c>
      <c r="M663" s="12" t="s">
        <v>8110</v>
      </c>
      <c r="N663" s="12">
        <v>115</v>
      </c>
      <c r="O663" s="12">
        <v>0.161</v>
      </c>
      <c r="P663" s="12">
        <v>0.99099999999999999</v>
      </c>
      <c r="Q663" s="12" t="s">
        <v>7333</v>
      </c>
      <c r="R663" s="12">
        <v>0.55100000000000005</v>
      </c>
      <c r="S663" s="12">
        <v>1.3036080000000001</v>
      </c>
      <c r="T663" s="12">
        <v>740205</v>
      </c>
      <c r="U663" s="12">
        <v>0.155</v>
      </c>
      <c r="V663" s="12" t="s">
        <v>7661</v>
      </c>
      <c r="W663" s="12" t="s">
        <v>11</v>
      </c>
      <c r="X663" s="12">
        <v>2054</v>
      </c>
      <c r="Y663" s="12">
        <v>8.5190000000000005E-3</v>
      </c>
      <c r="Z663" s="12">
        <v>3.1740105946901362</v>
      </c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</row>
    <row r="664" spans="1:39" s="12" customFormat="1" x14ac:dyDescent="0.2">
      <c r="A664" s="12" t="s">
        <v>1134</v>
      </c>
      <c r="B664" s="12" t="s">
        <v>1131</v>
      </c>
      <c r="C664" s="12" t="s">
        <v>13</v>
      </c>
      <c r="D664" s="12" t="s">
        <v>7210</v>
      </c>
      <c r="E664" s="12" t="s">
        <v>8031</v>
      </c>
      <c r="F664" s="12" t="s">
        <v>7160</v>
      </c>
      <c r="G664" s="12" t="s">
        <v>7649</v>
      </c>
      <c r="H664" s="12">
        <v>85</v>
      </c>
      <c r="I664" s="12" t="s">
        <v>7647</v>
      </c>
      <c r="J664" s="80">
        <v>9.4444444444444446</v>
      </c>
      <c r="K664" s="12" t="s">
        <v>7161</v>
      </c>
      <c r="L664" s="12" t="s">
        <v>21</v>
      </c>
      <c r="M664" s="12" t="s">
        <v>8110</v>
      </c>
      <c r="N664" s="12">
        <v>125</v>
      </c>
      <c r="O664" s="12">
        <v>0.17599999999999999</v>
      </c>
      <c r="P664" s="12">
        <v>0.98099999999999998</v>
      </c>
      <c r="Q664" s="12" t="s">
        <v>7332</v>
      </c>
      <c r="R664" s="12">
        <v>0.45</v>
      </c>
      <c r="S664" s="12">
        <v>1.9778549999999999</v>
      </c>
      <c r="T664" s="12">
        <v>813406</v>
      </c>
      <c r="U664" s="12">
        <v>0.16400000000000001</v>
      </c>
      <c r="V664" s="12" t="s">
        <v>7661</v>
      </c>
      <c r="W664" s="12" t="s">
        <v>25</v>
      </c>
      <c r="X664" s="12">
        <v>7512</v>
      </c>
      <c r="Y664" s="12" t="s">
        <v>6639</v>
      </c>
      <c r="Z664" s="12" t="s">
        <v>6639</v>
      </c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</row>
    <row r="665" spans="1:39" s="12" customFormat="1" x14ac:dyDescent="0.2">
      <c r="A665" s="12" t="s">
        <v>1613</v>
      </c>
      <c r="B665" s="12" t="s">
        <v>1611</v>
      </c>
      <c r="C665" s="12" t="s">
        <v>13</v>
      </c>
      <c r="D665" s="12" t="s">
        <v>7210</v>
      </c>
      <c r="E665" s="12" t="s">
        <v>8124</v>
      </c>
      <c r="F665" s="12" t="s">
        <v>7160</v>
      </c>
      <c r="G665" s="12" t="s">
        <v>7649</v>
      </c>
      <c r="H665" s="12">
        <v>23</v>
      </c>
      <c r="I665" s="12" t="s">
        <v>7647</v>
      </c>
      <c r="J665" s="80">
        <v>2.5555555555555554</v>
      </c>
      <c r="K665" s="12" t="s">
        <v>7161</v>
      </c>
      <c r="L665" s="12" t="s">
        <v>21</v>
      </c>
      <c r="M665" s="12" t="s">
        <v>8110</v>
      </c>
      <c r="N665" s="12">
        <v>13.5</v>
      </c>
      <c r="O665" s="12">
        <v>0.14099999999999999</v>
      </c>
      <c r="P665" s="12">
        <v>0.98299999999999998</v>
      </c>
      <c r="Q665" s="12" t="s">
        <v>7227</v>
      </c>
      <c r="R665" s="12">
        <v>5.0999999999999997E-2</v>
      </c>
      <c r="S665" s="12">
        <v>8.9026999999999995E-2</v>
      </c>
      <c r="T665" s="12">
        <v>99468</v>
      </c>
      <c r="U665" s="12">
        <v>8.4000000000000005E-2</v>
      </c>
      <c r="V665" s="12" t="s">
        <v>7661</v>
      </c>
      <c r="W665" s="12" t="s">
        <v>25</v>
      </c>
      <c r="X665" s="12">
        <v>50</v>
      </c>
      <c r="Y665" s="12" t="s">
        <v>6639</v>
      </c>
      <c r="Z665" s="12" t="s">
        <v>6639</v>
      </c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</row>
    <row r="666" spans="1:39" s="12" customFormat="1" x14ac:dyDescent="0.2">
      <c r="A666" s="12" t="s">
        <v>906</v>
      </c>
      <c r="B666" s="12" t="s">
        <v>905</v>
      </c>
      <c r="C666" s="12" t="s">
        <v>13</v>
      </c>
      <c r="D666" s="12" t="s">
        <v>7210</v>
      </c>
      <c r="E666" s="12" t="s">
        <v>8031</v>
      </c>
      <c r="F666" s="12" t="s">
        <v>7160</v>
      </c>
      <c r="G666" s="12" t="s">
        <v>7649</v>
      </c>
      <c r="H666" s="12">
        <v>77</v>
      </c>
      <c r="I666" s="12" t="s">
        <v>7647</v>
      </c>
      <c r="J666" s="80">
        <v>8.5555555555555554</v>
      </c>
      <c r="K666" s="12" t="s">
        <v>7161</v>
      </c>
      <c r="L666" s="12" t="s">
        <v>21</v>
      </c>
      <c r="M666" s="12" t="s">
        <v>8110</v>
      </c>
      <c r="N666" s="12">
        <v>33.6</v>
      </c>
      <c r="O666" s="12">
        <v>0.188</v>
      </c>
      <c r="P666" s="12">
        <v>0.98499999999999999</v>
      </c>
      <c r="Q666" s="12" t="s">
        <v>7329</v>
      </c>
      <c r="R666" s="12">
        <v>4.3999999999999997E-2</v>
      </c>
      <c r="S666" s="12">
        <v>0.66844199999999998</v>
      </c>
      <c r="T666" s="12">
        <v>476130</v>
      </c>
      <c r="U666" s="12">
        <v>0.13900000000000001</v>
      </c>
      <c r="V666" s="12" t="s">
        <v>7661</v>
      </c>
      <c r="W666" s="12" t="s">
        <v>25</v>
      </c>
      <c r="X666" s="12">
        <v>2125</v>
      </c>
      <c r="Y666" s="12" t="s">
        <v>6639</v>
      </c>
      <c r="Z666" s="12" t="s">
        <v>6639</v>
      </c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</row>
    <row r="667" spans="1:39" s="12" customFormat="1" x14ac:dyDescent="0.2">
      <c r="A667" s="12" t="s">
        <v>5174</v>
      </c>
      <c r="B667" s="12" t="s">
        <v>5172</v>
      </c>
      <c r="C667" s="12" t="s">
        <v>143</v>
      </c>
      <c r="D667" s="12" t="s">
        <v>7159</v>
      </c>
      <c r="E667" s="12" t="s">
        <v>8031</v>
      </c>
      <c r="F667" s="12" t="s">
        <v>7160</v>
      </c>
      <c r="G667" s="12" t="s">
        <v>7649</v>
      </c>
      <c r="H667" s="12">
        <v>75</v>
      </c>
      <c r="I667" s="12" t="s">
        <v>7647</v>
      </c>
      <c r="J667" s="80">
        <v>8.3333333333333321</v>
      </c>
      <c r="K667" s="12" t="s">
        <v>7161</v>
      </c>
      <c r="L667" s="12" t="s">
        <v>21</v>
      </c>
      <c r="M667" s="12" t="s">
        <v>8110</v>
      </c>
      <c r="N667" s="12">
        <v>183</v>
      </c>
      <c r="O667" s="12">
        <v>5.0999999999999997E-2</v>
      </c>
      <c r="P667" s="12">
        <v>0.998</v>
      </c>
      <c r="Q667" s="12" t="s">
        <v>7177</v>
      </c>
      <c r="R667" s="12">
        <v>4.2000000000000003E-2</v>
      </c>
      <c r="S667" s="12">
        <v>0.60419500000000004</v>
      </c>
      <c r="T667" s="12">
        <v>497335</v>
      </c>
      <c r="U667" s="12">
        <v>3.3000000000000002E-2</v>
      </c>
      <c r="V667" s="12" t="s">
        <v>7661</v>
      </c>
      <c r="W667" s="12" t="s">
        <v>11</v>
      </c>
      <c r="X667" s="12">
        <v>536</v>
      </c>
      <c r="Y667" s="12">
        <v>-9.4200000000000002E-4</v>
      </c>
      <c r="Z667" s="12">
        <v>-0.75298977708465065</v>
      </c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</row>
    <row r="668" spans="1:39" s="12" customFormat="1" x14ac:dyDescent="0.2">
      <c r="A668" s="12" t="s">
        <v>4986</v>
      </c>
      <c r="B668" s="12" t="s">
        <v>4985</v>
      </c>
      <c r="C668" s="12" t="s">
        <v>13</v>
      </c>
      <c r="D668" s="12" t="s">
        <v>7159</v>
      </c>
      <c r="E668" s="12" t="s">
        <v>8031</v>
      </c>
      <c r="F668" s="12" t="s">
        <v>7160</v>
      </c>
      <c r="G668" s="12" t="s">
        <v>7649</v>
      </c>
      <c r="H668" s="12">
        <v>82</v>
      </c>
      <c r="I668" s="12" t="s">
        <v>7647</v>
      </c>
      <c r="J668" s="80">
        <v>9.1111111111111107</v>
      </c>
      <c r="K668" s="12" t="s">
        <v>7161</v>
      </c>
      <c r="L668" s="12" t="s">
        <v>21</v>
      </c>
      <c r="M668" s="12" t="s">
        <v>8110</v>
      </c>
      <c r="N668" s="12">
        <v>75.3</v>
      </c>
      <c r="O668" s="12">
        <v>0.23</v>
      </c>
      <c r="P668" s="12">
        <v>0.98199999999999998</v>
      </c>
      <c r="Q668" s="12" t="s">
        <v>7280</v>
      </c>
      <c r="R668" s="12">
        <v>0.27100000000000002</v>
      </c>
      <c r="S668" s="12">
        <v>1.682285</v>
      </c>
      <c r="T668" s="12">
        <v>758722</v>
      </c>
      <c r="U668" s="12">
        <v>0.17599999999999999</v>
      </c>
      <c r="V668" s="12" t="s">
        <v>7661</v>
      </c>
      <c r="W668" s="12" t="s">
        <v>11</v>
      </c>
      <c r="X668" s="12">
        <v>2515</v>
      </c>
      <c r="Y668" s="12">
        <v>6.8960000000000002E-3</v>
      </c>
      <c r="Z668" s="12">
        <v>3.2132077001428607</v>
      </c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</row>
    <row r="669" spans="1:39" s="12" customFormat="1" x14ac:dyDescent="0.2">
      <c r="A669" s="12" t="s">
        <v>611</v>
      </c>
      <c r="B669" s="12" t="s">
        <v>610</v>
      </c>
      <c r="C669" s="12" t="s">
        <v>13</v>
      </c>
      <c r="D669" s="12" t="s">
        <v>7210</v>
      </c>
      <c r="E669" s="12" t="s">
        <v>8031</v>
      </c>
      <c r="F669" s="12" t="s">
        <v>7160</v>
      </c>
      <c r="G669" s="12" t="s">
        <v>7649</v>
      </c>
      <c r="H669" s="12">
        <v>77</v>
      </c>
      <c r="I669" s="12" t="s">
        <v>7647</v>
      </c>
      <c r="J669" s="80">
        <v>8.5555555555555554</v>
      </c>
      <c r="K669" s="12" t="s">
        <v>7161</v>
      </c>
      <c r="L669" s="12" t="s">
        <v>21</v>
      </c>
      <c r="M669" s="12" t="s">
        <v>8110</v>
      </c>
      <c r="N669" s="12">
        <v>54.2</v>
      </c>
      <c r="O669" s="12">
        <v>0.155</v>
      </c>
      <c r="P669" s="12">
        <v>0.99399999999999999</v>
      </c>
      <c r="Q669" s="12" t="s">
        <v>7221</v>
      </c>
      <c r="R669" s="12">
        <v>4.5999999999999999E-2</v>
      </c>
      <c r="S669" s="12">
        <v>1.3298840000000001</v>
      </c>
      <c r="T669" s="12">
        <v>690111</v>
      </c>
      <c r="U669" s="12">
        <v>0.14799999999999999</v>
      </c>
      <c r="V669" s="12" t="s">
        <v>7661</v>
      </c>
      <c r="W669" s="12" t="s">
        <v>25</v>
      </c>
      <c r="X669" s="12">
        <v>4784</v>
      </c>
      <c r="Y669" s="12" t="s">
        <v>6639</v>
      </c>
      <c r="Z669" s="12" t="s">
        <v>6639</v>
      </c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</row>
    <row r="670" spans="1:39" s="12" customFormat="1" x14ac:dyDescent="0.2">
      <c r="A670" s="12" t="s">
        <v>4496</v>
      </c>
      <c r="B670" s="12" t="s">
        <v>4495</v>
      </c>
      <c r="C670" s="12" t="s">
        <v>13</v>
      </c>
      <c r="D670" s="12" t="s">
        <v>7210</v>
      </c>
      <c r="E670" s="12" t="s">
        <v>8031</v>
      </c>
      <c r="F670" s="12" t="s">
        <v>7160</v>
      </c>
      <c r="G670" s="12" t="s">
        <v>7649</v>
      </c>
      <c r="H670" s="12">
        <v>71</v>
      </c>
      <c r="I670" s="12" t="s">
        <v>7647</v>
      </c>
      <c r="J670" s="80">
        <v>7.8888888888888884</v>
      </c>
      <c r="K670" s="12" t="s">
        <v>7161</v>
      </c>
      <c r="L670" s="12" t="s">
        <v>21</v>
      </c>
      <c r="M670" s="12" t="s">
        <v>8110</v>
      </c>
      <c r="N670" s="12">
        <v>138</v>
      </c>
      <c r="O670" s="12">
        <v>0.115</v>
      </c>
      <c r="P670" s="12">
        <v>0.99299999999999999</v>
      </c>
      <c r="Q670" s="12" t="s">
        <v>7181</v>
      </c>
      <c r="R670" s="12">
        <v>0.77100000000000002</v>
      </c>
      <c r="S670" s="12">
        <v>4.4490809999999996</v>
      </c>
      <c r="T670" s="12">
        <v>914627</v>
      </c>
      <c r="U670" s="12">
        <v>9.9000000000000005E-2</v>
      </c>
      <c r="V670" s="12" t="s">
        <v>7661</v>
      </c>
      <c r="W670" s="12" t="s">
        <v>11</v>
      </c>
      <c r="X670" s="12">
        <v>6257</v>
      </c>
      <c r="Y670" s="12">
        <v>6.1710000000000003E-3</v>
      </c>
      <c r="Z670" s="12">
        <v>5.7907884142942674</v>
      </c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</row>
    <row r="671" spans="1:39" s="12" customFormat="1" x14ac:dyDescent="0.2">
      <c r="A671" s="12" t="s">
        <v>4537</v>
      </c>
      <c r="B671" s="12" t="s">
        <v>4536</v>
      </c>
      <c r="C671" s="12" t="s">
        <v>13</v>
      </c>
      <c r="D671" s="12" t="s">
        <v>7210</v>
      </c>
      <c r="E671" s="12" t="s">
        <v>8031</v>
      </c>
      <c r="F671" s="12" t="s">
        <v>7160</v>
      </c>
      <c r="G671" s="12" t="s">
        <v>7649</v>
      </c>
      <c r="H671" s="12">
        <v>70</v>
      </c>
      <c r="I671" s="12" t="s">
        <v>7647</v>
      </c>
      <c r="J671" s="80">
        <v>7.7777777777777777</v>
      </c>
      <c r="K671" s="12" t="s">
        <v>7161</v>
      </c>
      <c r="L671" s="12" t="s">
        <v>21</v>
      </c>
      <c r="M671" s="12" t="s">
        <v>8110</v>
      </c>
      <c r="N671" s="12">
        <v>179</v>
      </c>
      <c r="O671" s="12">
        <v>0.14399999999999999</v>
      </c>
      <c r="P671" s="12">
        <v>0.995</v>
      </c>
      <c r="Q671" s="12" t="s">
        <v>7202</v>
      </c>
      <c r="R671" s="12">
        <v>0.81100000000000005</v>
      </c>
      <c r="S671" s="12">
        <v>4.2892780000000004</v>
      </c>
      <c r="T671" s="12">
        <v>899897</v>
      </c>
      <c r="U671" s="12">
        <v>0.115</v>
      </c>
      <c r="V671" s="12" t="s">
        <v>7661</v>
      </c>
      <c r="W671" s="12" t="s">
        <v>11</v>
      </c>
      <c r="X671" s="12">
        <v>6037</v>
      </c>
      <c r="Y671" s="12">
        <v>5.914E-3</v>
      </c>
      <c r="Z671" s="12">
        <v>5.1916357954246184</v>
      </c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</row>
    <row r="672" spans="1:39" s="12" customFormat="1" x14ac:dyDescent="0.2">
      <c r="A672" s="12" t="s">
        <v>4503</v>
      </c>
      <c r="B672" s="12" t="s">
        <v>4502</v>
      </c>
      <c r="C672" s="12" t="s">
        <v>13</v>
      </c>
      <c r="D672" s="12" t="s">
        <v>7210</v>
      </c>
      <c r="E672" s="12" t="s">
        <v>8031</v>
      </c>
      <c r="F672" s="12" t="s">
        <v>7160</v>
      </c>
      <c r="G672" s="12" t="s">
        <v>7649</v>
      </c>
      <c r="H672" s="12">
        <v>69</v>
      </c>
      <c r="I672" s="12" t="s">
        <v>7647</v>
      </c>
      <c r="J672" s="80">
        <v>7.6666666666666661</v>
      </c>
      <c r="K672" s="12" t="s">
        <v>7161</v>
      </c>
      <c r="L672" s="12" t="s">
        <v>21</v>
      </c>
      <c r="M672" s="12" t="s">
        <v>8110</v>
      </c>
      <c r="N672" s="12">
        <v>30.7</v>
      </c>
      <c r="O672" s="12">
        <v>0.121</v>
      </c>
      <c r="P672" s="12">
        <v>0.999</v>
      </c>
      <c r="Q672" s="12" t="s">
        <v>7258</v>
      </c>
      <c r="R672" s="12">
        <v>0.44</v>
      </c>
      <c r="S672" s="12">
        <v>4.0955760000000003</v>
      </c>
      <c r="T672" s="12">
        <v>861701</v>
      </c>
      <c r="U672" s="12">
        <v>0.11899999999999999</v>
      </c>
      <c r="V672" s="12" t="s">
        <v>7661</v>
      </c>
      <c r="W672" s="12" t="s">
        <v>25</v>
      </c>
      <c r="X672" s="12">
        <v>9254</v>
      </c>
      <c r="Y672" s="12" t="s">
        <v>6639</v>
      </c>
      <c r="Z672" s="12" t="s">
        <v>6639</v>
      </c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</row>
    <row r="673" spans="1:39" s="12" customFormat="1" x14ac:dyDescent="0.2">
      <c r="A673" s="12" t="s">
        <v>4505</v>
      </c>
      <c r="B673" s="12" t="s">
        <v>4504</v>
      </c>
      <c r="C673" s="12" t="s">
        <v>13</v>
      </c>
      <c r="D673" s="12" t="s">
        <v>7210</v>
      </c>
      <c r="E673" s="12" t="s">
        <v>8031</v>
      </c>
      <c r="F673" s="12" t="s">
        <v>7160</v>
      </c>
      <c r="G673" s="12" t="s">
        <v>7649</v>
      </c>
      <c r="H673" s="12">
        <v>74</v>
      </c>
      <c r="I673" s="12" t="s">
        <v>7647</v>
      </c>
      <c r="J673" s="80">
        <v>8.2222222222222214</v>
      </c>
      <c r="K673" s="12" t="s">
        <v>7161</v>
      </c>
      <c r="L673" s="12" t="s">
        <v>21</v>
      </c>
      <c r="M673" s="12" t="s">
        <v>8110</v>
      </c>
      <c r="N673" s="12">
        <v>61.1</v>
      </c>
      <c r="O673" s="12">
        <v>0.151</v>
      </c>
      <c r="P673" s="12">
        <v>1</v>
      </c>
      <c r="Q673" s="12" t="s">
        <v>7169</v>
      </c>
      <c r="R673" s="12">
        <v>0.08</v>
      </c>
      <c r="S673" s="12">
        <v>2.0736659999999998</v>
      </c>
      <c r="T673" s="12">
        <v>784177</v>
      </c>
      <c r="U673" s="12">
        <v>0.13700000000000001</v>
      </c>
      <c r="V673" s="12" t="s">
        <v>7661</v>
      </c>
      <c r="W673" s="12" t="s">
        <v>11</v>
      </c>
      <c r="X673" s="12">
        <v>3324</v>
      </c>
      <c r="Y673" s="12">
        <v>9.1330000000000005E-3</v>
      </c>
      <c r="Z673" s="12">
        <v>4.7802288103390707</v>
      </c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</row>
    <row r="674" spans="1:39" s="12" customFormat="1" x14ac:dyDescent="0.2">
      <c r="A674" s="12" t="s">
        <v>4508</v>
      </c>
      <c r="B674" s="12" t="s">
        <v>4507</v>
      </c>
      <c r="C674" s="12" t="s">
        <v>13</v>
      </c>
      <c r="D674" s="12" t="s">
        <v>7210</v>
      </c>
      <c r="E674" s="12" t="s">
        <v>8031</v>
      </c>
      <c r="F674" s="12" t="s">
        <v>7160</v>
      </c>
      <c r="G674" s="12" t="s">
        <v>7649</v>
      </c>
      <c r="H674" s="12">
        <v>70</v>
      </c>
      <c r="I674" s="12" t="s">
        <v>7647</v>
      </c>
      <c r="J674" s="80">
        <v>7.7777777777777777</v>
      </c>
      <c r="K674" s="12" t="s">
        <v>7161</v>
      </c>
      <c r="L674" s="12" t="s">
        <v>21</v>
      </c>
      <c r="M674" s="12" t="s">
        <v>8110</v>
      </c>
      <c r="N674" s="12">
        <v>100</v>
      </c>
      <c r="O674" s="12">
        <v>0.189</v>
      </c>
      <c r="P674" s="12">
        <v>0.98899999999999999</v>
      </c>
      <c r="Q674" s="12" t="s">
        <v>7238</v>
      </c>
      <c r="R674" s="12">
        <v>0.46899999999999997</v>
      </c>
      <c r="S674" s="12">
        <v>2.9442979999999999</v>
      </c>
      <c r="T674" s="12">
        <v>826439</v>
      </c>
      <c r="U674" s="12">
        <v>0.16600000000000001</v>
      </c>
      <c r="V674" s="12" t="s">
        <v>7661</v>
      </c>
      <c r="W674" s="12" t="s">
        <v>25</v>
      </c>
      <c r="X674" s="12">
        <v>7968</v>
      </c>
      <c r="Y674" s="12" t="s">
        <v>6639</v>
      </c>
      <c r="Z674" s="12" t="s">
        <v>6639</v>
      </c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</row>
    <row r="675" spans="1:39" s="12" customFormat="1" x14ac:dyDescent="0.2">
      <c r="A675" s="12" t="s">
        <v>4511</v>
      </c>
      <c r="B675" s="12" t="s">
        <v>4510</v>
      </c>
      <c r="C675" s="12" t="s">
        <v>13</v>
      </c>
      <c r="D675" s="12" t="s">
        <v>7210</v>
      </c>
      <c r="E675" s="12" t="s">
        <v>8031</v>
      </c>
      <c r="F675" s="12" t="s">
        <v>7160</v>
      </c>
      <c r="G675" s="12" t="s">
        <v>7649</v>
      </c>
      <c r="H675" s="12">
        <v>70</v>
      </c>
      <c r="I675" s="12" t="s">
        <v>7647</v>
      </c>
      <c r="J675" s="80">
        <v>7.7777777777777777</v>
      </c>
      <c r="K675" s="12" t="s">
        <v>7161</v>
      </c>
      <c r="L675" s="12" t="s">
        <v>21</v>
      </c>
      <c r="M675" s="12" t="s">
        <v>8110</v>
      </c>
      <c r="N675" s="12">
        <v>79.8</v>
      </c>
      <c r="O675" s="12">
        <v>0.151</v>
      </c>
      <c r="P675" s="12">
        <v>0.995</v>
      </c>
      <c r="Q675" s="12" t="s">
        <v>7259</v>
      </c>
      <c r="R675" s="12">
        <v>0.193</v>
      </c>
      <c r="S675" s="12">
        <v>2.111027</v>
      </c>
      <c r="T675" s="12">
        <v>797896</v>
      </c>
      <c r="U675" s="12">
        <v>0.129</v>
      </c>
      <c r="V675" s="12" t="s">
        <v>7661</v>
      </c>
      <c r="W675" s="12" t="s">
        <v>25</v>
      </c>
      <c r="X675" s="12">
        <v>6972</v>
      </c>
      <c r="Y675" s="12" t="s">
        <v>6639</v>
      </c>
      <c r="Z675" s="12" t="s">
        <v>6639</v>
      </c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</row>
    <row r="676" spans="1:39" s="12" customFormat="1" x14ac:dyDescent="0.2">
      <c r="A676" s="12" t="s">
        <v>4513</v>
      </c>
      <c r="B676" s="12" t="s">
        <v>4512</v>
      </c>
      <c r="C676" s="12" t="s">
        <v>13</v>
      </c>
      <c r="D676" s="12" t="s">
        <v>7210</v>
      </c>
      <c r="E676" s="12" t="s">
        <v>8031</v>
      </c>
      <c r="F676" s="12" t="s">
        <v>7160</v>
      </c>
      <c r="G676" s="12" t="s">
        <v>7649</v>
      </c>
      <c r="H676" s="12">
        <v>75</v>
      </c>
      <c r="I676" s="12" t="s">
        <v>7647</v>
      </c>
      <c r="J676" s="80">
        <v>8.3333333333333321</v>
      </c>
      <c r="K676" s="12" t="s">
        <v>7161</v>
      </c>
      <c r="L676" s="12" t="s">
        <v>21</v>
      </c>
      <c r="M676" s="12" t="s">
        <v>8110</v>
      </c>
      <c r="N676" s="12">
        <v>142</v>
      </c>
      <c r="O676" s="12">
        <v>0.125</v>
      </c>
      <c r="P676" s="12">
        <v>0.996</v>
      </c>
      <c r="Q676" s="12" t="s">
        <v>7260</v>
      </c>
      <c r="R676" s="12">
        <v>0.72599999999999998</v>
      </c>
      <c r="S676" s="12">
        <v>4.1347060000000004</v>
      </c>
      <c r="T676" s="12">
        <v>899370</v>
      </c>
      <c r="U676" s="12">
        <v>0.112</v>
      </c>
      <c r="V676" s="12" t="s">
        <v>7661</v>
      </c>
      <c r="W676" s="12" t="s">
        <v>11</v>
      </c>
      <c r="X676" s="12">
        <v>6095</v>
      </c>
      <c r="Y676" s="12">
        <v>4.3080000000000002E-3</v>
      </c>
      <c r="Z676" s="12">
        <v>4.1367548943917587</v>
      </c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</row>
    <row r="677" spans="1:39" s="12" customFormat="1" x14ac:dyDescent="0.2">
      <c r="A677" s="12" t="s">
        <v>3783</v>
      </c>
      <c r="B677" s="12" t="s">
        <v>3781</v>
      </c>
      <c r="C677" s="12" t="s">
        <v>13</v>
      </c>
      <c r="D677" s="12" t="s">
        <v>7210</v>
      </c>
      <c r="E677" s="12" t="s">
        <v>8031</v>
      </c>
      <c r="F677" s="12" t="s">
        <v>7160</v>
      </c>
      <c r="G677" s="12" t="s">
        <v>7649</v>
      </c>
      <c r="H677" s="12">
        <v>76</v>
      </c>
      <c r="I677" s="12" t="s">
        <v>7647</v>
      </c>
      <c r="J677" s="80">
        <v>8.4444444444444446</v>
      </c>
      <c r="K677" s="12" t="s">
        <v>7161</v>
      </c>
      <c r="L677" s="12" t="s">
        <v>21</v>
      </c>
      <c r="M677" s="12" t="s">
        <v>8110</v>
      </c>
      <c r="N677" s="12">
        <v>84.1</v>
      </c>
      <c r="O677" s="12">
        <v>0.154</v>
      </c>
      <c r="P677" s="12">
        <v>0.99399999999999999</v>
      </c>
      <c r="Q677" s="12" t="s">
        <v>7181</v>
      </c>
      <c r="R677" s="12">
        <v>0.40899999999999997</v>
      </c>
      <c r="S677" s="12">
        <v>3.5059710000000002</v>
      </c>
      <c r="T677" s="12">
        <v>869383</v>
      </c>
      <c r="U677" s="12">
        <v>0.14799999999999999</v>
      </c>
      <c r="V677" s="12" t="s">
        <v>7661</v>
      </c>
      <c r="W677" s="12" t="s">
        <v>11</v>
      </c>
      <c r="X677" s="12">
        <v>5304</v>
      </c>
      <c r="Y677" s="12">
        <v>6.2350000000000001E-3</v>
      </c>
      <c r="Z677" s="12">
        <v>5.1445762057368425</v>
      </c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</row>
    <row r="678" spans="1:39" s="12" customFormat="1" x14ac:dyDescent="0.2">
      <c r="A678" s="12" t="s">
        <v>4516</v>
      </c>
      <c r="B678" s="12" t="s">
        <v>4515</v>
      </c>
      <c r="C678" s="12" t="s">
        <v>13</v>
      </c>
      <c r="D678" s="12" t="s">
        <v>7210</v>
      </c>
      <c r="E678" s="12" t="s">
        <v>8031</v>
      </c>
      <c r="F678" s="12" t="s">
        <v>7160</v>
      </c>
      <c r="G678" s="12" t="s">
        <v>7649</v>
      </c>
      <c r="H678" s="12">
        <v>69</v>
      </c>
      <c r="I678" s="12" t="s">
        <v>7647</v>
      </c>
      <c r="J678" s="80">
        <v>7.6666666666666661</v>
      </c>
      <c r="K678" s="12" t="s">
        <v>7161</v>
      </c>
      <c r="L678" s="12" t="s">
        <v>21</v>
      </c>
      <c r="M678" s="12" t="s">
        <v>8110</v>
      </c>
      <c r="N678" s="12">
        <v>132</v>
      </c>
      <c r="O678" s="12">
        <v>0.124</v>
      </c>
      <c r="P678" s="12">
        <v>0.999</v>
      </c>
      <c r="Q678" s="12" t="s">
        <v>7206</v>
      </c>
      <c r="R678" s="12">
        <v>0.45200000000000001</v>
      </c>
      <c r="S678" s="12">
        <v>3.558173</v>
      </c>
      <c r="T678" s="12">
        <v>864622</v>
      </c>
      <c r="U678" s="12">
        <v>0.11799999999999999</v>
      </c>
      <c r="V678" s="12" t="s">
        <v>7661</v>
      </c>
      <c r="W678" s="12" t="s">
        <v>25</v>
      </c>
      <c r="X678" s="12">
        <v>9140</v>
      </c>
      <c r="Y678" s="12" t="s">
        <v>6639</v>
      </c>
      <c r="Z678" s="12" t="s">
        <v>6639</v>
      </c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</row>
    <row r="679" spans="1:39" s="12" customFormat="1" x14ac:dyDescent="0.2">
      <c r="A679" s="12" t="s">
        <v>1435</v>
      </c>
      <c r="B679" s="12" t="s">
        <v>1434</v>
      </c>
      <c r="C679" s="12" t="s">
        <v>13</v>
      </c>
      <c r="D679" s="12" t="s">
        <v>7210</v>
      </c>
      <c r="E679" s="12" t="s">
        <v>8124</v>
      </c>
      <c r="F679" s="12" t="s">
        <v>7160</v>
      </c>
      <c r="G679" s="12" t="s">
        <v>7649</v>
      </c>
      <c r="H679" s="12">
        <v>75</v>
      </c>
      <c r="I679" s="12" t="s">
        <v>7647</v>
      </c>
      <c r="J679" s="80">
        <v>8.3333333333333321</v>
      </c>
      <c r="K679" s="12" t="s">
        <v>7161</v>
      </c>
      <c r="L679" s="12" t="s">
        <v>21</v>
      </c>
      <c r="M679" s="12" t="s">
        <v>8110</v>
      </c>
      <c r="N679" s="12">
        <v>233</v>
      </c>
      <c r="O679" s="12">
        <v>0.12</v>
      </c>
      <c r="P679" s="12">
        <v>0.99099999999999999</v>
      </c>
      <c r="Q679" s="12" t="s">
        <v>7226</v>
      </c>
      <c r="R679" s="12">
        <v>0.80700000000000005</v>
      </c>
      <c r="S679" s="12">
        <v>5.4700519999999999</v>
      </c>
      <c r="T679" s="12">
        <v>857331</v>
      </c>
      <c r="U679" s="12">
        <v>0.108</v>
      </c>
      <c r="V679" s="12" t="s">
        <v>7661</v>
      </c>
      <c r="W679" s="12" t="s">
        <v>11</v>
      </c>
      <c r="X679" s="12">
        <v>6572</v>
      </c>
      <c r="Y679" s="12">
        <v>5.3920000000000001E-3</v>
      </c>
      <c r="Z679" s="12">
        <v>5.66710389129923</v>
      </c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</row>
    <row r="680" spans="1:39" s="12" customFormat="1" x14ac:dyDescent="0.2">
      <c r="A680" s="12" t="s">
        <v>3943</v>
      </c>
      <c r="B680" s="12" t="s">
        <v>3941</v>
      </c>
      <c r="C680" s="12" t="s">
        <v>13</v>
      </c>
      <c r="D680" s="12" t="s">
        <v>7210</v>
      </c>
      <c r="E680" s="12" t="s">
        <v>8031</v>
      </c>
      <c r="F680" s="12" t="s">
        <v>7160</v>
      </c>
      <c r="G680" s="12" t="s">
        <v>7649</v>
      </c>
      <c r="H680" s="12">
        <v>70</v>
      </c>
      <c r="I680" s="12" t="s">
        <v>7647</v>
      </c>
      <c r="J680" s="80">
        <v>7.7777777777777777</v>
      </c>
      <c r="K680" s="12" t="s">
        <v>7161</v>
      </c>
      <c r="L680" s="12" t="s">
        <v>21</v>
      </c>
      <c r="M680" s="12" t="s">
        <v>8110</v>
      </c>
      <c r="N680" s="12">
        <v>47.8</v>
      </c>
      <c r="O680" s="12">
        <v>0.16600000000000001</v>
      </c>
      <c r="P680" s="12">
        <v>0.995</v>
      </c>
      <c r="Q680" s="12" t="s">
        <v>7263</v>
      </c>
      <c r="R680" s="12">
        <v>8.1000000000000003E-2</v>
      </c>
      <c r="S680" s="12">
        <v>0.91454100000000005</v>
      </c>
      <c r="T680" s="12">
        <v>580106</v>
      </c>
      <c r="U680" s="12">
        <v>0.152</v>
      </c>
      <c r="V680" s="12" t="s">
        <v>7661</v>
      </c>
      <c r="W680" s="12" t="s">
        <v>25</v>
      </c>
      <c r="X680" s="12">
        <v>3010</v>
      </c>
      <c r="Y680" s="12" t="s">
        <v>6639</v>
      </c>
      <c r="Z680" s="12" t="s">
        <v>6639</v>
      </c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</row>
    <row r="681" spans="1:39" s="12" customFormat="1" x14ac:dyDescent="0.2">
      <c r="A681" s="12" t="s">
        <v>4004</v>
      </c>
      <c r="B681" s="12" t="s">
        <v>4003</v>
      </c>
      <c r="C681" s="12" t="s">
        <v>13</v>
      </c>
      <c r="D681" s="12" t="s">
        <v>7210</v>
      </c>
      <c r="E681" s="12" t="s">
        <v>8031</v>
      </c>
      <c r="F681" s="12" t="s">
        <v>7160</v>
      </c>
      <c r="G681" s="12" t="s">
        <v>7649</v>
      </c>
      <c r="H681" s="12">
        <v>78</v>
      </c>
      <c r="I681" s="12" t="s">
        <v>7647</v>
      </c>
      <c r="J681" s="80">
        <v>8.6666666666666661</v>
      </c>
      <c r="K681" s="12" t="s">
        <v>7161</v>
      </c>
      <c r="L681" s="12" t="s">
        <v>21</v>
      </c>
      <c r="M681" s="12" t="s">
        <v>8110</v>
      </c>
      <c r="N681" s="12">
        <v>24.6</v>
      </c>
      <c r="O681" s="12">
        <v>0.17100000000000001</v>
      </c>
      <c r="P681" s="12">
        <v>0.97899999999999998</v>
      </c>
      <c r="Q681" s="12" t="s">
        <v>7266</v>
      </c>
      <c r="R681" s="12">
        <v>3.6999999999999998E-2</v>
      </c>
      <c r="S681" s="12">
        <v>0.84629900000000002</v>
      </c>
      <c r="T681" s="12">
        <v>560056</v>
      </c>
      <c r="U681" s="12">
        <v>0.151</v>
      </c>
      <c r="V681" s="12" t="s">
        <v>7661</v>
      </c>
      <c r="W681" s="12" t="s">
        <v>25</v>
      </c>
      <c r="X681" s="12">
        <v>2831</v>
      </c>
      <c r="Y681" s="12" t="s">
        <v>6639</v>
      </c>
      <c r="Z681" s="12" t="s">
        <v>6639</v>
      </c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</row>
    <row r="682" spans="1:39" s="12" customFormat="1" x14ac:dyDescent="0.2">
      <c r="A682" s="12" t="s">
        <v>4007</v>
      </c>
      <c r="B682" s="12" t="s">
        <v>4006</v>
      </c>
      <c r="C682" s="12" t="s">
        <v>13</v>
      </c>
      <c r="D682" s="12" t="s">
        <v>7210</v>
      </c>
      <c r="E682" s="12" t="s">
        <v>8031</v>
      </c>
      <c r="F682" s="12" t="s">
        <v>7160</v>
      </c>
      <c r="G682" s="12" t="s">
        <v>7649</v>
      </c>
      <c r="H682" s="12">
        <v>76</v>
      </c>
      <c r="I682" s="12" t="s">
        <v>7647</v>
      </c>
      <c r="J682" s="80">
        <v>8.4444444444444446</v>
      </c>
      <c r="K682" s="12" t="s">
        <v>7161</v>
      </c>
      <c r="L682" s="12" t="s">
        <v>21</v>
      </c>
      <c r="M682" s="12" t="s">
        <v>8110</v>
      </c>
      <c r="N682" s="12">
        <v>87</v>
      </c>
      <c r="O682" s="12">
        <v>0.16500000000000001</v>
      </c>
      <c r="P682" s="12">
        <v>0.99099999999999999</v>
      </c>
      <c r="Q682" s="12" t="s">
        <v>7164</v>
      </c>
      <c r="R682" s="12">
        <v>0.36399999999999999</v>
      </c>
      <c r="S682" s="12">
        <v>3.8670749999999998</v>
      </c>
      <c r="T682" s="12">
        <v>831565</v>
      </c>
      <c r="U682" s="12">
        <v>0.16200000000000001</v>
      </c>
      <c r="V682" s="12" t="s">
        <v>7661</v>
      </c>
      <c r="W682" s="12" t="s">
        <v>11</v>
      </c>
      <c r="X682" s="12">
        <v>5349</v>
      </c>
      <c r="Y682" s="12">
        <v>7.9120000000000006E-3</v>
      </c>
      <c r="Z682" s="12">
        <v>6.1935500032094994</v>
      </c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</row>
    <row r="683" spans="1:39" s="12" customFormat="1" x14ac:dyDescent="0.2">
      <c r="A683" s="12" t="s">
        <v>5540</v>
      </c>
      <c r="B683" s="12" t="s">
        <v>4517</v>
      </c>
      <c r="C683" s="12" t="s">
        <v>13</v>
      </c>
      <c r="D683" s="12" t="s">
        <v>7210</v>
      </c>
      <c r="E683" s="12" t="s">
        <v>8124</v>
      </c>
      <c r="F683" s="12" t="s">
        <v>7160</v>
      </c>
      <c r="G683" s="12" t="s">
        <v>7649</v>
      </c>
      <c r="H683" s="12">
        <v>75</v>
      </c>
      <c r="I683" s="12" t="s">
        <v>7647</v>
      </c>
      <c r="J683" s="80">
        <v>8.3333333333333321</v>
      </c>
      <c r="K683" s="12" t="s">
        <v>7161</v>
      </c>
      <c r="L683" s="12" t="s">
        <v>21</v>
      </c>
      <c r="M683" s="12" t="s">
        <v>8110</v>
      </c>
      <c r="N683" s="12">
        <v>167</v>
      </c>
      <c r="O683" s="12">
        <v>0.16500000000000001</v>
      </c>
      <c r="P683" s="12">
        <v>0.98699999999999999</v>
      </c>
      <c r="Q683" s="12" t="s">
        <v>7290</v>
      </c>
      <c r="R683" s="12">
        <v>0.28399999999999997</v>
      </c>
      <c r="S683" s="12">
        <v>1.2100599999999999</v>
      </c>
      <c r="T683" s="12">
        <v>689073</v>
      </c>
      <c r="U683" s="12">
        <v>0.13400000000000001</v>
      </c>
      <c r="V683" s="12" t="s">
        <v>7661</v>
      </c>
      <c r="W683" s="12" t="s">
        <v>25</v>
      </c>
      <c r="X683" s="12">
        <v>4104</v>
      </c>
      <c r="Y683" s="12" t="s">
        <v>6639</v>
      </c>
      <c r="Z683" s="12" t="s">
        <v>6639</v>
      </c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</row>
    <row r="684" spans="1:39" s="12" customFormat="1" x14ac:dyDescent="0.2">
      <c r="A684" s="12" t="s">
        <v>5542</v>
      </c>
      <c r="B684" s="12" t="s">
        <v>4517</v>
      </c>
      <c r="C684" s="12" t="s">
        <v>13</v>
      </c>
      <c r="D684" s="12" t="s">
        <v>7210</v>
      </c>
      <c r="E684" s="12" t="s">
        <v>8124</v>
      </c>
      <c r="F684" s="12" t="s">
        <v>7160</v>
      </c>
      <c r="G684" s="12" t="s">
        <v>7649</v>
      </c>
      <c r="H684" s="12">
        <v>75</v>
      </c>
      <c r="I684" s="12" t="s">
        <v>7648</v>
      </c>
      <c r="J684" s="80">
        <v>8.3333333333333321</v>
      </c>
      <c r="K684" s="12" t="s">
        <v>7373</v>
      </c>
      <c r="L684" s="12" t="s">
        <v>21</v>
      </c>
      <c r="M684" s="12" t="s">
        <v>8110</v>
      </c>
      <c r="N684" s="12">
        <v>107</v>
      </c>
      <c r="O684" s="12" t="s">
        <v>17</v>
      </c>
      <c r="P684" s="12">
        <v>0.995</v>
      </c>
      <c r="Q684" s="12" t="s">
        <v>7246</v>
      </c>
      <c r="R684" s="12" t="s">
        <v>17</v>
      </c>
      <c r="S684" s="12">
        <v>0.76891699999999996</v>
      </c>
      <c r="T684" s="12">
        <v>577258</v>
      </c>
      <c r="U684" s="12" t="s">
        <v>17</v>
      </c>
      <c r="V684" s="12" t="s">
        <v>7661</v>
      </c>
      <c r="W684" s="12" t="s">
        <v>25</v>
      </c>
      <c r="X684" s="12">
        <v>2415</v>
      </c>
      <c r="Y684" s="12" t="s">
        <v>6639</v>
      </c>
      <c r="Z684" s="12" t="s">
        <v>6639</v>
      </c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</row>
    <row r="685" spans="1:39" s="12" customFormat="1" x14ac:dyDescent="0.2">
      <c r="A685" s="12" t="s">
        <v>5541</v>
      </c>
      <c r="B685" s="12" t="s">
        <v>4517</v>
      </c>
      <c r="C685" s="12" t="s">
        <v>13</v>
      </c>
      <c r="D685" s="12" t="s">
        <v>7210</v>
      </c>
      <c r="E685" s="12" t="s">
        <v>8124</v>
      </c>
      <c r="F685" s="12" t="s">
        <v>7160</v>
      </c>
      <c r="G685" s="12" t="s">
        <v>7649</v>
      </c>
      <c r="H685" s="12">
        <v>75</v>
      </c>
      <c r="I685" s="12" t="s">
        <v>7647</v>
      </c>
      <c r="J685" s="80">
        <v>8.3333333333333321</v>
      </c>
      <c r="K685" s="12" t="s">
        <v>7161</v>
      </c>
      <c r="L685" s="12" t="s">
        <v>21</v>
      </c>
      <c r="M685" s="12" t="s">
        <v>8110</v>
      </c>
      <c r="N685" s="12">
        <v>171</v>
      </c>
      <c r="O685" s="12">
        <v>0.14299999999999999</v>
      </c>
      <c r="P685" s="12">
        <v>0.98599999999999999</v>
      </c>
      <c r="Q685" s="12" t="s">
        <v>7271</v>
      </c>
      <c r="R685" s="12">
        <v>0.27500000000000002</v>
      </c>
      <c r="S685" s="12">
        <v>2.240783</v>
      </c>
      <c r="T685" s="12">
        <v>795585</v>
      </c>
      <c r="U685" s="12">
        <v>0.127</v>
      </c>
      <c r="V685" s="12" t="s">
        <v>7661</v>
      </c>
      <c r="W685" s="12" t="s">
        <v>25</v>
      </c>
      <c r="X685" s="12">
        <v>6643</v>
      </c>
      <c r="Y685" s="12" t="s">
        <v>6639</v>
      </c>
      <c r="Z685" s="12" t="s">
        <v>6639</v>
      </c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</row>
    <row r="686" spans="1:39" s="12" customFormat="1" x14ac:dyDescent="0.2">
      <c r="A686" s="12" t="s">
        <v>5543</v>
      </c>
      <c r="B686" s="12" t="s">
        <v>4517</v>
      </c>
      <c r="C686" s="12" t="s">
        <v>13</v>
      </c>
      <c r="D686" s="12" t="s">
        <v>7210</v>
      </c>
      <c r="E686" s="12" t="s">
        <v>8124</v>
      </c>
      <c r="F686" s="12" t="s">
        <v>7160</v>
      </c>
      <c r="G686" s="12" t="s">
        <v>7649</v>
      </c>
      <c r="H686" s="12">
        <v>75</v>
      </c>
      <c r="I686" s="12" t="s">
        <v>7648</v>
      </c>
      <c r="J686" s="80">
        <v>8.3333333333333321</v>
      </c>
      <c r="K686" s="12" t="s">
        <v>7373</v>
      </c>
      <c r="L686" s="12" t="s">
        <v>21</v>
      </c>
      <c r="M686" s="12" t="s">
        <v>8110</v>
      </c>
      <c r="N686" s="12">
        <v>87.7</v>
      </c>
      <c r="O686" s="12" t="s">
        <v>17</v>
      </c>
      <c r="P686" s="12">
        <v>0.996</v>
      </c>
      <c r="Q686" s="12" t="s">
        <v>7250</v>
      </c>
      <c r="R686" s="12" t="s">
        <v>17</v>
      </c>
      <c r="S686" s="12">
        <v>1.002337</v>
      </c>
      <c r="T686" s="12">
        <v>665882</v>
      </c>
      <c r="U686" s="12" t="s">
        <v>17</v>
      </c>
      <c r="V686" s="12" t="s">
        <v>7661</v>
      </c>
      <c r="W686" s="12" t="s">
        <v>25</v>
      </c>
      <c r="X686" s="12">
        <v>3496</v>
      </c>
      <c r="Y686" s="12" t="s">
        <v>6639</v>
      </c>
      <c r="Z686" s="12" t="s">
        <v>6639</v>
      </c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</row>
    <row r="687" spans="1:39" s="12" customFormat="1" x14ac:dyDescent="0.2">
      <c r="A687" s="12" t="s">
        <v>171</v>
      </c>
      <c r="B687" s="12" t="s">
        <v>169</v>
      </c>
      <c r="C687" s="12" t="s">
        <v>13</v>
      </c>
      <c r="D687" s="12" t="s">
        <v>7210</v>
      </c>
      <c r="E687" s="12" t="s">
        <v>8124</v>
      </c>
      <c r="F687" s="12" t="s">
        <v>7160</v>
      </c>
      <c r="G687" s="12" t="s">
        <v>7649</v>
      </c>
      <c r="H687" s="12">
        <v>75</v>
      </c>
      <c r="I687" s="12" t="s">
        <v>7647</v>
      </c>
      <c r="J687" s="80">
        <v>8.3333333333333321</v>
      </c>
      <c r="K687" s="12" t="s">
        <v>7161</v>
      </c>
      <c r="L687" s="12" t="s">
        <v>21</v>
      </c>
      <c r="M687" s="12" t="s">
        <v>8110</v>
      </c>
      <c r="N687" s="12">
        <v>183</v>
      </c>
      <c r="O687" s="12">
        <v>0.158</v>
      </c>
      <c r="P687" s="12">
        <v>0.997</v>
      </c>
      <c r="Q687" s="12" t="s">
        <v>7222</v>
      </c>
      <c r="R687" s="12">
        <v>0.36399999999999999</v>
      </c>
      <c r="S687" s="12">
        <v>1.65374</v>
      </c>
      <c r="T687" s="12">
        <v>856388</v>
      </c>
      <c r="U687" s="12">
        <v>0.13600000000000001</v>
      </c>
      <c r="V687" s="12" t="s">
        <v>7661</v>
      </c>
      <c r="W687" s="12" t="s">
        <v>25</v>
      </c>
      <c r="X687" s="12">
        <v>5522</v>
      </c>
      <c r="Y687" s="12" t="s">
        <v>6639</v>
      </c>
      <c r="Z687" s="12" t="s">
        <v>6639</v>
      </c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</row>
    <row r="688" spans="1:39" s="12" customFormat="1" x14ac:dyDescent="0.2">
      <c r="A688" s="12" t="s">
        <v>5544</v>
      </c>
      <c r="B688" s="12" t="s">
        <v>4519</v>
      </c>
      <c r="C688" s="12" t="s">
        <v>13</v>
      </c>
      <c r="D688" s="12" t="s">
        <v>7210</v>
      </c>
      <c r="E688" s="12" t="s">
        <v>8124</v>
      </c>
      <c r="F688" s="12" t="s">
        <v>7160</v>
      </c>
      <c r="G688" s="12" t="s">
        <v>7649</v>
      </c>
      <c r="H688" s="12">
        <v>75</v>
      </c>
      <c r="I688" s="12" t="s">
        <v>7647</v>
      </c>
      <c r="J688" s="80">
        <v>8.3333333333333321</v>
      </c>
      <c r="K688" s="12" t="s">
        <v>7161</v>
      </c>
      <c r="L688" s="12" t="s">
        <v>21</v>
      </c>
      <c r="M688" s="12" t="s">
        <v>8110</v>
      </c>
      <c r="N688" s="12">
        <v>264</v>
      </c>
      <c r="O688" s="12">
        <v>0.156</v>
      </c>
      <c r="P688" s="12">
        <v>0.995</v>
      </c>
      <c r="Q688" s="12" t="s">
        <v>7263</v>
      </c>
      <c r="R688" s="12">
        <v>0.45100000000000001</v>
      </c>
      <c r="S688" s="12">
        <v>2.006602</v>
      </c>
      <c r="T688" s="12">
        <v>796464</v>
      </c>
      <c r="U688" s="12">
        <v>0.13600000000000001</v>
      </c>
      <c r="V688" s="12" t="s">
        <v>7661</v>
      </c>
      <c r="W688" s="12" t="s">
        <v>11</v>
      </c>
      <c r="X688" s="12">
        <v>3167</v>
      </c>
      <c r="Y688" s="12">
        <v>4.7569999999999999E-3</v>
      </c>
      <c r="Z688" s="12">
        <v>3.0582946840833665</v>
      </c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</row>
    <row r="689" spans="1:39" s="12" customFormat="1" x14ac:dyDescent="0.2">
      <c r="A689" s="12" t="s">
        <v>5545</v>
      </c>
      <c r="B689" s="12" t="s">
        <v>4519</v>
      </c>
      <c r="C689" s="12" t="s">
        <v>13</v>
      </c>
      <c r="D689" s="12" t="s">
        <v>7210</v>
      </c>
      <c r="E689" s="12" t="s">
        <v>8124</v>
      </c>
      <c r="F689" s="12" t="s">
        <v>7160</v>
      </c>
      <c r="G689" s="12" t="s">
        <v>7649</v>
      </c>
      <c r="H689" s="12">
        <v>75</v>
      </c>
      <c r="I689" s="12" t="s">
        <v>7648</v>
      </c>
      <c r="J689" s="80">
        <v>8.3333333333333321</v>
      </c>
      <c r="K689" s="12" t="s">
        <v>7373</v>
      </c>
      <c r="L689" s="12" t="s">
        <v>21</v>
      </c>
      <c r="M689" s="12" t="s">
        <v>8110</v>
      </c>
      <c r="N689" s="12">
        <v>115</v>
      </c>
      <c r="O689" s="12" t="s">
        <v>17</v>
      </c>
      <c r="P689" s="12">
        <v>0.98899999999999999</v>
      </c>
      <c r="Q689" s="12" t="s">
        <v>7374</v>
      </c>
      <c r="R689" s="12" t="s">
        <v>17</v>
      </c>
      <c r="S689" s="12">
        <v>0.86326099999999995</v>
      </c>
      <c r="T689" s="12">
        <v>620332</v>
      </c>
      <c r="U689" s="12" t="s">
        <v>17</v>
      </c>
      <c r="V689" s="12" t="s">
        <v>7661</v>
      </c>
      <c r="W689" s="12" t="s">
        <v>11</v>
      </c>
      <c r="X689" s="12">
        <v>954</v>
      </c>
      <c r="Y689" s="12">
        <v>6.5709999999999996E-3</v>
      </c>
      <c r="Z689" s="12">
        <v>1.9812207648579496</v>
      </c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</row>
    <row r="690" spans="1:39" s="12" customFormat="1" x14ac:dyDescent="0.2">
      <c r="A690" s="12" t="s">
        <v>4522</v>
      </c>
      <c r="B690" s="12" t="s">
        <v>4521</v>
      </c>
      <c r="C690" s="12" t="s">
        <v>13</v>
      </c>
      <c r="D690" s="12" t="s">
        <v>7210</v>
      </c>
      <c r="E690" s="12" t="s">
        <v>8124</v>
      </c>
      <c r="F690" s="12" t="s">
        <v>7160</v>
      </c>
      <c r="G690" s="12" t="s">
        <v>7649</v>
      </c>
      <c r="H690" s="12">
        <v>75</v>
      </c>
      <c r="I690" s="12" t="s">
        <v>7647</v>
      </c>
      <c r="J690" s="80">
        <v>8.3333333333333321</v>
      </c>
      <c r="K690" s="12" t="s">
        <v>7161</v>
      </c>
      <c r="L690" s="12" t="s">
        <v>21</v>
      </c>
      <c r="M690" s="12" t="s">
        <v>8110</v>
      </c>
      <c r="N690" s="12">
        <v>281</v>
      </c>
      <c r="O690" s="12">
        <v>0.11700000000000001</v>
      </c>
      <c r="P690" s="12">
        <v>0.99099999999999999</v>
      </c>
      <c r="Q690" s="12" t="s">
        <v>8015</v>
      </c>
      <c r="R690" s="12">
        <v>0.32900000000000001</v>
      </c>
      <c r="S690" s="12">
        <v>2.7021950000000001</v>
      </c>
      <c r="T690" s="12">
        <v>962353</v>
      </c>
      <c r="U690" s="12">
        <v>0.11</v>
      </c>
      <c r="V690" s="12" t="s">
        <v>7661</v>
      </c>
      <c r="W690" s="12" t="s">
        <v>11</v>
      </c>
      <c r="X690" s="12">
        <v>4060</v>
      </c>
      <c r="Y690" s="12">
        <v>4.4219999999999997E-3</v>
      </c>
      <c r="Z690" s="12">
        <v>3.6048873859919714</v>
      </c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</row>
    <row r="691" spans="1:39" s="12" customFormat="1" x14ac:dyDescent="0.2">
      <c r="A691" s="12" t="s">
        <v>181</v>
      </c>
      <c r="B691" s="12" t="s">
        <v>180</v>
      </c>
      <c r="C691" s="12" t="s">
        <v>13</v>
      </c>
      <c r="D691" s="12" t="s">
        <v>7210</v>
      </c>
      <c r="E691" s="12" t="s">
        <v>8124</v>
      </c>
      <c r="F691" s="12" t="s">
        <v>7160</v>
      </c>
      <c r="G691" s="12" t="s">
        <v>7649</v>
      </c>
      <c r="H691" s="12">
        <v>75</v>
      </c>
      <c r="I691" s="12" t="s">
        <v>7647</v>
      </c>
      <c r="J691" s="80">
        <v>8.3333333333333321</v>
      </c>
      <c r="K691" s="12" t="s">
        <v>7161</v>
      </c>
      <c r="L691" s="12" t="s">
        <v>21</v>
      </c>
      <c r="M691" s="12" t="s">
        <v>8110</v>
      </c>
      <c r="N691" s="12">
        <v>72.900000000000006</v>
      </c>
      <c r="O691" s="12">
        <v>0.13600000000000001</v>
      </c>
      <c r="P691" s="12">
        <v>0.999</v>
      </c>
      <c r="Q691" s="12" t="s">
        <v>7196</v>
      </c>
      <c r="R691" s="12" t="s">
        <v>17</v>
      </c>
      <c r="S691" s="12">
        <v>0.60531199999999996</v>
      </c>
      <c r="T691" s="12">
        <v>661402</v>
      </c>
      <c r="U691" s="12">
        <v>0.09</v>
      </c>
      <c r="V691" s="12" t="s">
        <v>7661</v>
      </c>
      <c r="W691" s="12" t="s">
        <v>11</v>
      </c>
      <c r="X691" s="12">
        <v>463</v>
      </c>
      <c r="Y691" s="12">
        <v>1.1634E-2</v>
      </c>
      <c r="Z691" s="12">
        <v>1.9022550895624666</v>
      </c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</row>
    <row r="692" spans="1:39" s="12" customFormat="1" x14ac:dyDescent="0.2">
      <c r="A692" s="12" t="s">
        <v>1682</v>
      </c>
      <c r="B692" s="12" t="s">
        <v>1681</v>
      </c>
      <c r="C692" s="12" t="s">
        <v>13</v>
      </c>
      <c r="D692" s="12" t="s">
        <v>8032</v>
      </c>
      <c r="E692" s="12" t="s">
        <v>8124</v>
      </c>
      <c r="F692" s="12" t="s">
        <v>7160</v>
      </c>
      <c r="G692" s="12" t="s">
        <v>7649</v>
      </c>
      <c r="H692" s="12">
        <v>76</v>
      </c>
      <c r="I692" s="12" t="s">
        <v>7647</v>
      </c>
      <c r="J692" s="80">
        <v>8.4444444444444446</v>
      </c>
      <c r="K692" s="12" t="s">
        <v>7161</v>
      </c>
      <c r="L692" s="12" t="s">
        <v>21</v>
      </c>
      <c r="M692" s="12" t="s">
        <v>8110</v>
      </c>
      <c r="N692" s="12">
        <v>13.3</v>
      </c>
      <c r="O692" s="12">
        <v>0.18</v>
      </c>
      <c r="P692" s="12">
        <v>0.96499999999999997</v>
      </c>
      <c r="Q692" s="12" t="s">
        <v>7301</v>
      </c>
      <c r="R692" s="12">
        <v>0.10199999999999999</v>
      </c>
      <c r="S692" s="12">
        <v>0.17372399999999999</v>
      </c>
      <c r="T692" s="12">
        <v>181699</v>
      </c>
      <c r="U692" s="12">
        <v>0.10100000000000001</v>
      </c>
      <c r="V692" s="12" t="s">
        <v>7661</v>
      </c>
      <c r="W692" s="12" t="s">
        <v>25</v>
      </c>
      <c r="X692" s="12">
        <v>191</v>
      </c>
      <c r="Y692" s="12" t="s">
        <v>6639</v>
      </c>
      <c r="Z692" s="12" t="s">
        <v>6639</v>
      </c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</row>
    <row r="693" spans="1:39" s="12" customFormat="1" x14ac:dyDescent="0.2">
      <c r="A693" s="12" t="s">
        <v>1657</v>
      </c>
      <c r="B693" s="12" t="s">
        <v>1656</v>
      </c>
      <c r="C693" s="12" t="s">
        <v>13</v>
      </c>
      <c r="D693" s="12" t="s">
        <v>8032</v>
      </c>
      <c r="E693" s="12" t="s">
        <v>8124</v>
      </c>
      <c r="F693" s="12" t="s">
        <v>7160</v>
      </c>
      <c r="G693" s="12" t="s">
        <v>7649</v>
      </c>
      <c r="H693" s="12">
        <v>73</v>
      </c>
      <c r="I693" s="12" t="s">
        <v>7647</v>
      </c>
      <c r="J693" s="80">
        <v>8.1111111111111107</v>
      </c>
      <c r="K693" s="12" t="s">
        <v>7161</v>
      </c>
      <c r="L693" s="12" t="s">
        <v>21</v>
      </c>
      <c r="M693" s="12" t="s">
        <v>8110</v>
      </c>
      <c r="N693" s="12">
        <v>14.2</v>
      </c>
      <c r="O693" s="12">
        <v>0.193</v>
      </c>
      <c r="P693" s="12">
        <v>0.96399999999999997</v>
      </c>
      <c r="Q693" s="12" t="s">
        <v>7292</v>
      </c>
      <c r="R693" s="12">
        <v>4.2000000000000003E-2</v>
      </c>
      <c r="S693" s="12">
        <v>0.13924600000000001</v>
      </c>
      <c r="T693" s="12">
        <v>148535</v>
      </c>
      <c r="U693" s="12">
        <v>0.10299999999999999</v>
      </c>
      <c r="V693" s="12" t="s">
        <v>7661</v>
      </c>
      <c r="W693" s="12" t="s">
        <v>25</v>
      </c>
      <c r="X693" s="12">
        <v>148</v>
      </c>
      <c r="Y693" s="12" t="s">
        <v>6639</v>
      </c>
      <c r="Z693" s="12" t="s">
        <v>6639</v>
      </c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</row>
    <row r="694" spans="1:39" s="12" customFormat="1" x14ac:dyDescent="0.2">
      <c r="A694" s="12" t="s">
        <v>1650</v>
      </c>
      <c r="B694" s="12" t="s">
        <v>1649</v>
      </c>
      <c r="C694" s="12" t="s">
        <v>13</v>
      </c>
      <c r="D694" s="12" t="s">
        <v>8032</v>
      </c>
      <c r="E694" s="12" t="s">
        <v>8124</v>
      </c>
      <c r="F694" s="12" t="s">
        <v>7160</v>
      </c>
      <c r="G694" s="12" t="s">
        <v>7649</v>
      </c>
      <c r="H694" s="12">
        <v>73</v>
      </c>
      <c r="I694" s="12" t="s">
        <v>7647</v>
      </c>
      <c r="J694" s="80">
        <v>8.1111111111111107</v>
      </c>
      <c r="K694" s="12" t="s">
        <v>7161</v>
      </c>
      <c r="L694" s="12" t="s">
        <v>21</v>
      </c>
      <c r="M694" s="12" t="s">
        <v>8110</v>
      </c>
      <c r="N694" s="12">
        <v>21</v>
      </c>
      <c r="O694" s="12">
        <v>0.16200000000000001</v>
      </c>
      <c r="P694" s="12">
        <v>0.996</v>
      </c>
      <c r="Q694" s="12" t="s">
        <v>7291</v>
      </c>
      <c r="R694" s="12">
        <v>0.13800000000000001</v>
      </c>
      <c r="S694" s="12">
        <v>0.39382499999999998</v>
      </c>
      <c r="T694" s="12">
        <v>364312</v>
      </c>
      <c r="U694" s="12">
        <v>0.115</v>
      </c>
      <c r="V694" s="12" t="s">
        <v>7661</v>
      </c>
      <c r="W694" s="12" t="s">
        <v>11</v>
      </c>
      <c r="X694" s="12">
        <v>244</v>
      </c>
      <c r="Y694" s="12">
        <v>8.0929999999999995E-3</v>
      </c>
      <c r="Z694" s="12">
        <v>0.99146103722285062</v>
      </c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</row>
    <row r="695" spans="1:39" s="12" customFormat="1" x14ac:dyDescent="0.2">
      <c r="A695" s="12" t="s">
        <v>1680</v>
      </c>
      <c r="B695" s="12" t="s">
        <v>1679</v>
      </c>
      <c r="C695" s="12" t="s">
        <v>13</v>
      </c>
      <c r="D695" s="12" t="s">
        <v>8032</v>
      </c>
      <c r="E695" s="12" t="s">
        <v>8124</v>
      </c>
      <c r="F695" s="12" t="s">
        <v>7160</v>
      </c>
      <c r="G695" s="12" t="s">
        <v>7649</v>
      </c>
      <c r="H695" s="12">
        <v>77</v>
      </c>
      <c r="I695" s="12" t="s">
        <v>7647</v>
      </c>
      <c r="J695" s="80">
        <v>8.5555555555555554</v>
      </c>
      <c r="K695" s="12" t="s">
        <v>7161</v>
      </c>
      <c r="L695" s="12" t="s">
        <v>21</v>
      </c>
      <c r="M695" s="12" t="s">
        <v>8110</v>
      </c>
      <c r="N695" s="12">
        <v>6.4</v>
      </c>
      <c r="O695" s="12">
        <v>0.17100000000000001</v>
      </c>
      <c r="P695" s="12">
        <v>0.873</v>
      </c>
      <c r="Q695" s="12" t="s">
        <v>7300</v>
      </c>
      <c r="R695" s="12">
        <v>2.4E-2</v>
      </c>
      <c r="S695" s="12">
        <v>0.104389</v>
      </c>
      <c r="T695" s="12">
        <v>115625</v>
      </c>
      <c r="U695" s="12">
        <v>9.0999999999999998E-2</v>
      </c>
      <c r="V695" s="12" t="s">
        <v>7661</v>
      </c>
      <c r="W695" s="12" t="s">
        <v>1126</v>
      </c>
      <c r="X695" s="12">
        <v>43</v>
      </c>
      <c r="Y695" s="12" t="s">
        <v>6638</v>
      </c>
      <c r="Z695" s="12" t="s">
        <v>6638</v>
      </c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</row>
    <row r="696" spans="1:39" s="12" customFormat="1" x14ac:dyDescent="0.2">
      <c r="A696" s="12" t="s">
        <v>4159</v>
      </c>
      <c r="B696" s="12" t="s">
        <v>4157</v>
      </c>
      <c r="C696" s="12" t="s">
        <v>13</v>
      </c>
      <c r="D696" s="12" t="s">
        <v>8032</v>
      </c>
      <c r="E696" s="12" t="s">
        <v>8124</v>
      </c>
      <c r="F696" s="12" t="s">
        <v>7160</v>
      </c>
      <c r="G696" s="12" t="s">
        <v>7649</v>
      </c>
      <c r="H696" s="12">
        <v>75</v>
      </c>
      <c r="I696" s="12" t="s">
        <v>7647</v>
      </c>
      <c r="J696" s="80">
        <v>8.3333333333333321</v>
      </c>
      <c r="K696" s="12" t="s">
        <v>7161</v>
      </c>
      <c r="L696" s="12" t="s">
        <v>21</v>
      </c>
      <c r="M696" s="12" t="s">
        <v>8110</v>
      </c>
      <c r="N696" s="12">
        <v>7.6</v>
      </c>
      <c r="O696" s="12">
        <v>9.1999999999999998E-2</v>
      </c>
      <c r="P696" s="12">
        <v>0.97299999999999998</v>
      </c>
      <c r="Q696" s="12" t="s">
        <v>7326</v>
      </c>
      <c r="R696" s="12">
        <v>5.8999999999999997E-2</v>
      </c>
      <c r="S696" s="12">
        <v>0.707453</v>
      </c>
      <c r="T696" s="12">
        <v>551548</v>
      </c>
      <c r="U696" s="12">
        <v>7.1999999999999995E-2</v>
      </c>
      <c r="V696" s="12" t="s">
        <v>7661</v>
      </c>
      <c r="W696" s="12" t="s">
        <v>11</v>
      </c>
      <c r="X696" s="12">
        <v>757</v>
      </c>
      <c r="Y696" s="12">
        <v>1.3015000000000001E-2</v>
      </c>
      <c r="Z696" s="12">
        <v>2.2756261468832317</v>
      </c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</row>
    <row r="697" spans="1:39" s="12" customFormat="1" x14ac:dyDescent="0.2">
      <c r="A697" s="12" t="s">
        <v>4163</v>
      </c>
      <c r="B697" s="12" t="s">
        <v>4162</v>
      </c>
      <c r="C697" s="12" t="s">
        <v>13</v>
      </c>
      <c r="D697" s="12" t="s">
        <v>8032</v>
      </c>
      <c r="E697" s="12" t="s">
        <v>8124</v>
      </c>
      <c r="F697" s="12" t="s">
        <v>7160</v>
      </c>
      <c r="G697" s="12" t="s">
        <v>7649</v>
      </c>
      <c r="H697" s="12">
        <v>74</v>
      </c>
      <c r="I697" s="12" t="s">
        <v>7647</v>
      </c>
      <c r="J697" s="80">
        <v>8.2222222222222214</v>
      </c>
      <c r="K697" s="12" t="s">
        <v>7161</v>
      </c>
      <c r="L697" s="12" t="s">
        <v>21</v>
      </c>
      <c r="M697" s="12" t="s">
        <v>8110</v>
      </c>
      <c r="N697" s="12">
        <v>28</v>
      </c>
      <c r="O697" s="12">
        <v>0.11600000000000001</v>
      </c>
      <c r="P697" s="12">
        <v>0.99099999999999999</v>
      </c>
      <c r="Q697" s="12" t="s">
        <v>7327</v>
      </c>
      <c r="R697" s="12">
        <v>0.126</v>
      </c>
      <c r="S697" s="12">
        <v>0.26011600000000001</v>
      </c>
      <c r="T697" s="12">
        <v>264519</v>
      </c>
      <c r="U697" s="12">
        <v>0.08</v>
      </c>
      <c r="V697" s="12" t="s">
        <v>7661</v>
      </c>
      <c r="W697" s="12" t="s">
        <v>11</v>
      </c>
      <c r="X697" s="12">
        <v>101</v>
      </c>
      <c r="Y697" s="12" t="s">
        <v>8052</v>
      </c>
      <c r="Z697" s="12" t="s">
        <v>8052</v>
      </c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</row>
    <row r="698" spans="1:39" s="12" customFormat="1" x14ac:dyDescent="0.2">
      <c r="A698" s="12" t="s">
        <v>5451</v>
      </c>
      <c r="B698" s="12" t="s">
        <v>5449</v>
      </c>
      <c r="C698" s="12" t="s">
        <v>13</v>
      </c>
      <c r="D698" s="12" t="s">
        <v>8032</v>
      </c>
      <c r="E698" s="12" t="s">
        <v>8124</v>
      </c>
      <c r="F698" s="12" t="s">
        <v>7160</v>
      </c>
      <c r="G698" s="12" t="s">
        <v>7649</v>
      </c>
      <c r="H698" s="12">
        <v>76</v>
      </c>
      <c r="I698" s="12" t="s">
        <v>7647</v>
      </c>
      <c r="J698" s="80">
        <v>8.4444444444444446</v>
      </c>
      <c r="K698" s="12" t="s">
        <v>7161</v>
      </c>
      <c r="L698" s="12" t="s">
        <v>21</v>
      </c>
      <c r="M698" s="12" t="s">
        <v>8110</v>
      </c>
      <c r="N698" s="12">
        <v>1.99</v>
      </c>
      <c r="O698" s="12" t="s">
        <v>7796</v>
      </c>
      <c r="P698" s="12" t="s">
        <v>7796</v>
      </c>
      <c r="Q698" s="12" t="s">
        <v>7796</v>
      </c>
      <c r="R698" s="12">
        <v>5.1999999999999998E-2</v>
      </c>
      <c r="S698" s="12">
        <v>1.3813000000000001E-2</v>
      </c>
      <c r="T698" s="12">
        <v>16145</v>
      </c>
      <c r="U698" s="12">
        <v>2.3E-2</v>
      </c>
      <c r="V698" s="12" t="s">
        <v>7661</v>
      </c>
      <c r="W698" s="12" t="s">
        <v>1126</v>
      </c>
      <c r="X698" s="12">
        <v>7</v>
      </c>
      <c r="Y698" s="12" t="s">
        <v>6638</v>
      </c>
      <c r="Z698" s="12" t="s">
        <v>6638</v>
      </c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</row>
    <row r="699" spans="1:39" s="12" customFormat="1" x14ac:dyDescent="0.2">
      <c r="A699" s="12" t="s">
        <v>1654</v>
      </c>
      <c r="B699" s="12" t="s">
        <v>1653</v>
      </c>
      <c r="C699" s="12" t="s">
        <v>13</v>
      </c>
      <c r="D699" s="12" t="s">
        <v>8032</v>
      </c>
      <c r="E699" s="12" t="s">
        <v>8124</v>
      </c>
      <c r="F699" s="12" t="s">
        <v>7160</v>
      </c>
      <c r="G699" s="12" t="s">
        <v>7649</v>
      </c>
      <c r="H699" s="12">
        <v>75</v>
      </c>
      <c r="I699" s="12" t="s">
        <v>7647</v>
      </c>
      <c r="J699" s="80">
        <v>8.3333333333333321</v>
      </c>
      <c r="K699" s="12" t="s">
        <v>7161</v>
      </c>
      <c r="L699" s="12" t="s">
        <v>21</v>
      </c>
      <c r="M699" s="12" t="s">
        <v>8110</v>
      </c>
      <c r="N699" s="12">
        <v>49.8</v>
      </c>
      <c r="O699" s="12">
        <v>0.19500000000000001</v>
      </c>
      <c r="P699" s="12">
        <v>0.99199999999999999</v>
      </c>
      <c r="Q699" s="12" t="s">
        <v>7223</v>
      </c>
      <c r="R699" s="12">
        <v>0.33500000000000002</v>
      </c>
      <c r="S699" s="12">
        <v>0.37916899999999998</v>
      </c>
      <c r="T699" s="12">
        <v>343931</v>
      </c>
      <c r="U699" s="12">
        <v>0.126</v>
      </c>
      <c r="V699" s="12" t="s">
        <v>7661</v>
      </c>
      <c r="W699" s="12" t="s">
        <v>25</v>
      </c>
      <c r="X699" s="12">
        <v>761</v>
      </c>
      <c r="Y699" s="12" t="s">
        <v>6639</v>
      </c>
      <c r="Z699" s="12" t="s">
        <v>6639</v>
      </c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</row>
    <row r="700" spans="1:39" s="12" customFormat="1" x14ac:dyDescent="0.2">
      <c r="A700" s="12" t="s">
        <v>1659</v>
      </c>
      <c r="B700" s="12" t="s">
        <v>1658</v>
      </c>
      <c r="C700" s="12" t="s">
        <v>13</v>
      </c>
      <c r="D700" s="12" t="s">
        <v>8032</v>
      </c>
      <c r="E700" s="12" t="s">
        <v>8124</v>
      </c>
      <c r="F700" s="12" t="s">
        <v>7160</v>
      </c>
      <c r="G700" s="12" t="s">
        <v>7649</v>
      </c>
      <c r="H700" s="12">
        <v>74</v>
      </c>
      <c r="I700" s="12" t="s">
        <v>7647</v>
      </c>
      <c r="J700" s="80">
        <v>8.2222222222222214</v>
      </c>
      <c r="K700" s="12" t="s">
        <v>7161</v>
      </c>
      <c r="L700" s="12" t="s">
        <v>21</v>
      </c>
      <c r="M700" s="12" t="s">
        <v>8110</v>
      </c>
      <c r="N700" s="12">
        <v>16.5</v>
      </c>
      <c r="O700" s="12">
        <v>0.183</v>
      </c>
      <c r="P700" s="12">
        <v>0.95299999999999996</v>
      </c>
      <c r="Q700" s="12" t="s">
        <v>7293</v>
      </c>
      <c r="R700" s="12">
        <v>0.10100000000000001</v>
      </c>
      <c r="S700" s="12">
        <v>0.215971</v>
      </c>
      <c r="T700" s="12">
        <v>218844</v>
      </c>
      <c r="U700" s="12">
        <v>0.122</v>
      </c>
      <c r="V700" s="12" t="s">
        <v>7661</v>
      </c>
      <c r="W700" s="12" t="s">
        <v>11</v>
      </c>
      <c r="X700" s="12">
        <v>81</v>
      </c>
      <c r="Y700" s="12" t="s">
        <v>8052</v>
      </c>
      <c r="Z700" s="12" t="s">
        <v>8052</v>
      </c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</row>
    <row r="701" spans="1:39" s="12" customFormat="1" x14ac:dyDescent="0.2">
      <c r="A701" s="12" t="s">
        <v>1127</v>
      </c>
      <c r="B701" s="12" t="s">
        <v>1125</v>
      </c>
      <c r="C701" s="12" t="s">
        <v>13</v>
      </c>
      <c r="D701" s="12" t="s">
        <v>8032</v>
      </c>
      <c r="E701" s="12" t="s">
        <v>8124</v>
      </c>
      <c r="F701" s="12" t="s">
        <v>7160</v>
      </c>
      <c r="G701" s="12" t="s">
        <v>7649</v>
      </c>
      <c r="H701" s="12">
        <v>74</v>
      </c>
      <c r="I701" s="12" t="s">
        <v>7647</v>
      </c>
      <c r="J701" s="80">
        <v>8.2222222222222214</v>
      </c>
      <c r="K701" s="12" t="s">
        <v>7161</v>
      </c>
      <c r="L701" s="12" t="s">
        <v>21</v>
      </c>
      <c r="M701" s="12" t="s">
        <v>8110</v>
      </c>
      <c r="N701" s="12">
        <v>7.25</v>
      </c>
      <c r="O701" s="12">
        <v>0.14799999999999999</v>
      </c>
      <c r="P701" s="12">
        <v>0.89600000000000002</v>
      </c>
      <c r="Q701" s="12" t="s">
        <v>7298</v>
      </c>
      <c r="R701" s="12">
        <v>3.9E-2</v>
      </c>
      <c r="S701" s="12">
        <v>8.3347000000000004E-2</v>
      </c>
      <c r="T701" s="12">
        <v>94223</v>
      </c>
      <c r="U701" s="12">
        <v>8.4000000000000005E-2</v>
      </c>
      <c r="V701" s="12" t="s">
        <v>7661</v>
      </c>
      <c r="W701" s="12" t="s">
        <v>1126</v>
      </c>
      <c r="X701" s="12">
        <v>28</v>
      </c>
      <c r="Y701" s="12" t="s">
        <v>6638</v>
      </c>
      <c r="Z701" s="12" t="s">
        <v>6638</v>
      </c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</row>
    <row r="702" spans="1:39" s="12" customFormat="1" x14ac:dyDescent="0.2">
      <c r="A702" s="12" t="s">
        <v>1661</v>
      </c>
      <c r="B702" s="12" t="s">
        <v>1660</v>
      </c>
      <c r="C702" s="12" t="s">
        <v>13</v>
      </c>
      <c r="D702" s="12" t="s">
        <v>8032</v>
      </c>
      <c r="E702" s="12" t="s">
        <v>8124</v>
      </c>
      <c r="F702" s="12" t="s">
        <v>7160</v>
      </c>
      <c r="G702" s="12" t="s">
        <v>7649</v>
      </c>
      <c r="H702" s="12">
        <v>73</v>
      </c>
      <c r="I702" s="12" t="s">
        <v>7647</v>
      </c>
      <c r="J702" s="80">
        <v>8.1111111111111107</v>
      </c>
      <c r="K702" s="12" t="s">
        <v>7161</v>
      </c>
      <c r="L702" s="12" t="s">
        <v>21</v>
      </c>
      <c r="M702" s="12" t="s">
        <v>8110</v>
      </c>
      <c r="N702" s="12">
        <v>13</v>
      </c>
      <c r="O702" s="12">
        <v>0.14099999999999999</v>
      </c>
      <c r="P702" s="12">
        <v>0.99</v>
      </c>
      <c r="Q702" s="12" t="s">
        <v>7294</v>
      </c>
      <c r="R702" s="12">
        <v>2.5999999999999999E-2</v>
      </c>
      <c r="S702" s="12">
        <v>3.7494E-2</v>
      </c>
      <c r="T702" s="12">
        <v>43754</v>
      </c>
      <c r="U702" s="12">
        <v>0.111</v>
      </c>
      <c r="V702" s="12" t="s">
        <v>7661</v>
      </c>
      <c r="W702" s="12" t="s">
        <v>11</v>
      </c>
      <c r="X702" s="12">
        <v>3</v>
      </c>
      <c r="Y702" s="12" t="s">
        <v>8052</v>
      </c>
      <c r="Z702" s="12" t="s">
        <v>8052</v>
      </c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</row>
    <row r="703" spans="1:39" s="12" customFormat="1" x14ac:dyDescent="0.2">
      <c r="A703" s="12" t="s">
        <v>1664</v>
      </c>
      <c r="B703" s="12" t="s">
        <v>1663</v>
      </c>
      <c r="C703" s="12" t="s">
        <v>13</v>
      </c>
      <c r="D703" s="12" t="s">
        <v>8032</v>
      </c>
      <c r="E703" s="12" t="s">
        <v>8124</v>
      </c>
      <c r="F703" s="12" t="s">
        <v>7160</v>
      </c>
      <c r="G703" s="12" t="s">
        <v>7649</v>
      </c>
      <c r="H703" s="12">
        <v>74</v>
      </c>
      <c r="I703" s="12" t="s">
        <v>7647</v>
      </c>
      <c r="J703" s="80">
        <v>8.2222222222222214</v>
      </c>
      <c r="K703" s="12" t="s">
        <v>7161</v>
      </c>
      <c r="L703" s="12" t="s">
        <v>21</v>
      </c>
      <c r="M703" s="12" t="s">
        <v>8110</v>
      </c>
      <c r="N703" s="12">
        <v>0.40500000000000003</v>
      </c>
      <c r="O703" s="12" t="s">
        <v>7796</v>
      </c>
      <c r="P703" s="12" t="s">
        <v>7796</v>
      </c>
      <c r="Q703" s="12" t="s">
        <v>7796</v>
      </c>
      <c r="R703" s="12">
        <v>2.1999999999999999E-2</v>
      </c>
      <c r="S703" s="12">
        <v>2.8171999999999999E-2</v>
      </c>
      <c r="T703" s="12">
        <v>33138</v>
      </c>
      <c r="U703" s="12">
        <v>8.3000000000000004E-2</v>
      </c>
      <c r="V703" s="12" t="s">
        <v>7661</v>
      </c>
      <c r="W703" s="12" t="s">
        <v>11</v>
      </c>
      <c r="X703" s="12">
        <v>4</v>
      </c>
      <c r="Y703" s="12" t="s">
        <v>8052</v>
      </c>
      <c r="Z703" s="12" t="s">
        <v>8052</v>
      </c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</row>
    <row r="704" spans="1:39" s="12" customFormat="1" x14ac:dyDescent="0.2">
      <c r="A704" s="12" t="s">
        <v>1666</v>
      </c>
      <c r="B704" s="12" t="s">
        <v>1665</v>
      </c>
      <c r="C704" s="12" t="s">
        <v>13</v>
      </c>
      <c r="D704" s="12" t="s">
        <v>8032</v>
      </c>
      <c r="E704" s="12" t="s">
        <v>8124</v>
      </c>
      <c r="F704" s="12" t="s">
        <v>7160</v>
      </c>
      <c r="G704" s="12" t="s">
        <v>7649</v>
      </c>
      <c r="H704" s="12">
        <v>75</v>
      </c>
      <c r="I704" s="12" t="s">
        <v>7647</v>
      </c>
      <c r="J704" s="80">
        <v>8.3333333333333321</v>
      </c>
      <c r="K704" s="12" t="s">
        <v>7161</v>
      </c>
      <c r="L704" s="12" t="s">
        <v>21</v>
      </c>
      <c r="M704" s="12" t="s">
        <v>8110</v>
      </c>
      <c r="N704" s="12">
        <v>2.73</v>
      </c>
      <c r="O704" s="12">
        <v>0.17899999999999999</v>
      </c>
      <c r="P704" s="12">
        <v>0.97799999999999998</v>
      </c>
      <c r="Q704" s="12" t="s">
        <v>7295</v>
      </c>
      <c r="R704" s="12">
        <v>4.1000000000000002E-2</v>
      </c>
      <c r="S704" s="12">
        <v>2.5555999999999999E-2</v>
      </c>
      <c r="T704" s="12">
        <v>29440</v>
      </c>
      <c r="U704" s="12">
        <v>6.7000000000000004E-2</v>
      </c>
      <c r="V704" s="12" t="s">
        <v>7661</v>
      </c>
      <c r="W704" s="12" t="s">
        <v>25</v>
      </c>
      <c r="X704" s="12">
        <v>11</v>
      </c>
      <c r="Y704" s="12" t="s">
        <v>6639</v>
      </c>
      <c r="Z704" s="12" t="s">
        <v>6639</v>
      </c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</row>
    <row r="705" spans="1:56" s="12" customFormat="1" x14ac:dyDescent="0.2">
      <c r="A705" s="12" t="s">
        <v>1668</v>
      </c>
      <c r="B705" s="12" t="s">
        <v>1667</v>
      </c>
      <c r="C705" s="12" t="s">
        <v>13</v>
      </c>
      <c r="D705" s="12" t="s">
        <v>8032</v>
      </c>
      <c r="E705" s="12" t="s">
        <v>8124</v>
      </c>
      <c r="F705" s="12" t="s">
        <v>7160</v>
      </c>
      <c r="G705" s="12" t="s">
        <v>7649</v>
      </c>
      <c r="H705" s="12">
        <v>77</v>
      </c>
      <c r="I705" s="12" t="s">
        <v>7647</v>
      </c>
      <c r="J705" s="80">
        <v>8.5555555555555554</v>
      </c>
      <c r="K705" s="12" t="s">
        <v>7161</v>
      </c>
      <c r="L705" s="12" t="s">
        <v>21</v>
      </c>
      <c r="M705" s="12" t="s">
        <v>8110</v>
      </c>
      <c r="N705" s="12">
        <v>4.67</v>
      </c>
      <c r="O705" s="12">
        <v>0.183</v>
      </c>
      <c r="P705" s="12">
        <v>0.98</v>
      </c>
      <c r="Q705" s="12" t="s">
        <v>7296</v>
      </c>
      <c r="R705" s="12">
        <v>3.6999999999999998E-2</v>
      </c>
      <c r="S705" s="12">
        <v>9.7739999999999994E-2</v>
      </c>
      <c r="T705" s="12">
        <v>109739</v>
      </c>
      <c r="U705" s="12">
        <v>0.112</v>
      </c>
      <c r="V705" s="12" t="s">
        <v>7661</v>
      </c>
      <c r="W705" s="12" t="s">
        <v>11</v>
      </c>
      <c r="X705" s="12">
        <v>23</v>
      </c>
      <c r="Y705" s="12" t="s">
        <v>8052</v>
      </c>
      <c r="Z705" s="12" t="s">
        <v>8052</v>
      </c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</row>
    <row r="706" spans="1:56" s="12" customFormat="1" x14ac:dyDescent="0.2">
      <c r="A706" s="12" t="s">
        <v>1671</v>
      </c>
      <c r="B706" s="12" t="s">
        <v>1670</v>
      </c>
      <c r="C706" s="12" t="s">
        <v>13</v>
      </c>
      <c r="D706" s="12" t="s">
        <v>8032</v>
      </c>
      <c r="E706" s="12" t="s">
        <v>8124</v>
      </c>
      <c r="F706" s="12" t="s">
        <v>7160</v>
      </c>
      <c r="G706" s="12" t="s">
        <v>7649</v>
      </c>
      <c r="H706" s="12">
        <v>76</v>
      </c>
      <c r="I706" s="12" t="s">
        <v>7647</v>
      </c>
      <c r="J706" s="80">
        <v>8.4444444444444446</v>
      </c>
      <c r="K706" s="12" t="s">
        <v>7161</v>
      </c>
      <c r="L706" s="12" t="s">
        <v>21</v>
      </c>
      <c r="M706" s="12" t="s">
        <v>8110</v>
      </c>
      <c r="N706" s="12">
        <v>7.17</v>
      </c>
      <c r="O706" s="12">
        <v>0.21299999999999999</v>
      </c>
      <c r="P706" s="12">
        <v>0.94399999999999995</v>
      </c>
      <c r="Q706" s="12" t="s">
        <v>7297</v>
      </c>
      <c r="R706" s="12">
        <v>5.1999999999999998E-2</v>
      </c>
      <c r="S706" s="12">
        <v>0.13714100000000001</v>
      </c>
      <c r="T706" s="12">
        <v>145415</v>
      </c>
      <c r="U706" s="12">
        <v>0.123</v>
      </c>
      <c r="V706" s="12" t="s">
        <v>7661</v>
      </c>
      <c r="W706" s="12" t="s">
        <v>25</v>
      </c>
      <c r="X706" s="12">
        <v>160</v>
      </c>
      <c r="Y706" s="12" t="s">
        <v>6639</v>
      </c>
      <c r="Z706" s="12" t="s">
        <v>6639</v>
      </c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</row>
    <row r="707" spans="1:56" s="12" customFormat="1" x14ac:dyDescent="0.2">
      <c r="A707" s="12" t="s">
        <v>1677</v>
      </c>
      <c r="B707" s="12" t="s">
        <v>1676</v>
      </c>
      <c r="C707" s="12" t="s">
        <v>13</v>
      </c>
      <c r="D707" s="12" t="s">
        <v>8032</v>
      </c>
      <c r="E707" s="12" t="s">
        <v>8124</v>
      </c>
      <c r="F707" s="12" t="s">
        <v>7160</v>
      </c>
      <c r="G707" s="12" t="s">
        <v>7649</v>
      </c>
      <c r="H707" s="12">
        <v>60</v>
      </c>
      <c r="I707" s="12" t="s">
        <v>7647</v>
      </c>
      <c r="J707" s="80">
        <v>6.6666666666666661</v>
      </c>
      <c r="K707" s="12" t="s">
        <v>7161</v>
      </c>
      <c r="L707" s="12" t="s">
        <v>21</v>
      </c>
      <c r="M707" s="12" t="s">
        <v>8110</v>
      </c>
      <c r="N707" s="12">
        <v>7.69</v>
      </c>
      <c r="O707" s="12">
        <v>0.17499999999999999</v>
      </c>
      <c r="P707" s="12">
        <v>0.87</v>
      </c>
      <c r="Q707" s="12" t="s">
        <v>7299</v>
      </c>
      <c r="R707" s="12">
        <v>5.1999999999999998E-2</v>
      </c>
      <c r="S707" s="12">
        <v>9.6962999999999994E-2</v>
      </c>
      <c r="T707" s="12">
        <v>106819</v>
      </c>
      <c r="U707" s="12">
        <v>0.10299999999999999</v>
      </c>
      <c r="V707" s="12" t="s">
        <v>7661</v>
      </c>
      <c r="W707" s="12" t="s">
        <v>25</v>
      </c>
      <c r="X707" s="12">
        <v>78</v>
      </c>
      <c r="Y707" s="12" t="s">
        <v>6639</v>
      </c>
      <c r="Z707" s="12" t="s">
        <v>6639</v>
      </c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</row>
    <row r="708" spans="1:56" s="12" customFormat="1" x14ac:dyDescent="0.2">
      <c r="A708" s="12" t="s">
        <v>1675</v>
      </c>
      <c r="B708" s="12" t="s">
        <v>1674</v>
      </c>
      <c r="C708" s="12" t="s">
        <v>13</v>
      </c>
      <c r="D708" s="12" t="s">
        <v>8032</v>
      </c>
      <c r="E708" s="12" t="s">
        <v>8124</v>
      </c>
      <c r="F708" s="12" t="s">
        <v>7160</v>
      </c>
      <c r="G708" s="12" t="s">
        <v>7649</v>
      </c>
      <c r="H708" s="12">
        <v>74</v>
      </c>
      <c r="I708" s="12" t="s">
        <v>7647</v>
      </c>
      <c r="J708" s="80">
        <v>8.2222222222222214</v>
      </c>
      <c r="K708" s="12" t="s">
        <v>7161</v>
      </c>
      <c r="L708" s="12" t="s">
        <v>21</v>
      </c>
      <c r="M708" s="12" t="s">
        <v>8110</v>
      </c>
      <c r="N708" s="12">
        <v>0.7</v>
      </c>
      <c r="O708" s="12" t="s">
        <v>7796</v>
      </c>
      <c r="P708" s="12" t="s">
        <v>7796</v>
      </c>
      <c r="Q708" s="12" t="s">
        <v>7796</v>
      </c>
      <c r="R708" s="12">
        <v>3.4000000000000002E-2</v>
      </c>
      <c r="S708" s="12">
        <v>0.10437200000000001</v>
      </c>
      <c r="T708" s="12">
        <v>112575</v>
      </c>
      <c r="U708" s="12">
        <v>7.8E-2</v>
      </c>
      <c r="V708" s="12" t="s">
        <v>7661</v>
      </c>
      <c r="W708" s="12" t="s">
        <v>25</v>
      </c>
      <c r="X708" s="12">
        <v>86</v>
      </c>
      <c r="Y708" s="12" t="s">
        <v>6639</v>
      </c>
      <c r="Z708" s="12" t="s">
        <v>6639</v>
      </c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</row>
    <row r="709" spans="1:56" s="12" customFormat="1" x14ac:dyDescent="0.2">
      <c r="A709" s="12" t="s">
        <v>4724</v>
      </c>
      <c r="B709" s="12" t="s">
        <v>4723</v>
      </c>
      <c r="C709" s="12" t="s">
        <v>13</v>
      </c>
      <c r="D709" s="12" t="s">
        <v>8032</v>
      </c>
      <c r="E709" s="12" t="s">
        <v>8124</v>
      </c>
      <c r="F709" s="12" t="s">
        <v>7160</v>
      </c>
      <c r="G709" s="12" t="s">
        <v>7649</v>
      </c>
      <c r="H709" s="12">
        <v>74</v>
      </c>
      <c r="I709" s="12" t="s">
        <v>7647</v>
      </c>
      <c r="J709" s="80">
        <v>8.2222222222222214</v>
      </c>
      <c r="K709" s="12" t="s">
        <v>7161</v>
      </c>
      <c r="L709" s="12" t="s">
        <v>21</v>
      </c>
      <c r="M709" s="12" t="s">
        <v>8110</v>
      </c>
      <c r="N709" s="12">
        <v>3.75</v>
      </c>
      <c r="O709" s="12">
        <v>0.14699999999999999</v>
      </c>
      <c r="P709" s="12">
        <v>0.94799999999999995</v>
      </c>
      <c r="Q709" s="12" t="s">
        <v>7310</v>
      </c>
      <c r="R709" s="12">
        <v>3.3000000000000002E-2</v>
      </c>
      <c r="S709" s="12">
        <v>0.213756</v>
      </c>
      <c r="T709" s="12">
        <v>214118</v>
      </c>
      <c r="U709" s="12">
        <v>0.10199999999999999</v>
      </c>
      <c r="V709" s="12" t="s">
        <v>7661</v>
      </c>
      <c r="W709" s="12" t="s">
        <v>25</v>
      </c>
      <c r="X709" s="12">
        <v>357</v>
      </c>
      <c r="Y709" s="12" t="s">
        <v>6639</v>
      </c>
      <c r="Z709" s="12" t="s">
        <v>6639</v>
      </c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</row>
    <row r="710" spans="1:56" s="12" customFormat="1" x14ac:dyDescent="0.2">
      <c r="A710" s="12" t="s">
        <v>3843</v>
      </c>
      <c r="B710" s="12" t="s">
        <v>3842</v>
      </c>
      <c r="C710" s="12" t="s">
        <v>13</v>
      </c>
      <c r="D710" s="12" t="s">
        <v>7210</v>
      </c>
      <c r="E710" s="12" t="s">
        <v>8124</v>
      </c>
      <c r="F710" s="12" t="s">
        <v>7160</v>
      </c>
      <c r="G710" s="12" t="s">
        <v>7649</v>
      </c>
      <c r="H710" s="12">
        <v>75</v>
      </c>
      <c r="I710" s="12" t="s">
        <v>7647</v>
      </c>
      <c r="J710" s="80">
        <v>8.3333333333333321</v>
      </c>
      <c r="K710" s="12" t="s">
        <v>7161</v>
      </c>
      <c r="L710" s="12" t="s">
        <v>21</v>
      </c>
      <c r="M710" s="12" t="s">
        <v>8110</v>
      </c>
      <c r="N710" s="12">
        <v>38.9</v>
      </c>
      <c r="O710" s="12">
        <v>0.24299999999999999</v>
      </c>
      <c r="P710" s="12">
        <v>0.997</v>
      </c>
      <c r="Q710" s="12" t="s">
        <v>7231</v>
      </c>
      <c r="R710" s="12">
        <v>0.23100000000000001</v>
      </c>
      <c r="S710" s="12">
        <v>0.16806699999999999</v>
      </c>
      <c r="T710" s="12">
        <v>173123</v>
      </c>
      <c r="U710" s="12">
        <v>0.13600000000000001</v>
      </c>
      <c r="V710" s="12" t="s">
        <v>7661</v>
      </c>
      <c r="W710" s="12" t="s">
        <v>11</v>
      </c>
      <c r="X710" s="12">
        <v>49</v>
      </c>
      <c r="Y710" s="12" t="s">
        <v>8052</v>
      </c>
      <c r="Z710" s="12" t="s">
        <v>8052</v>
      </c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</row>
    <row r="711" spans="1:56" s="12" customFormat="1" x14ac:dyDescent="0.2">
      <c r="A711" s="12" t="s">
        <v>3840</v>
      </c>
      <c r="B711" s="12" t="s">
        <v>3839</v>
      </c>
      <c r="C711" s="12" t="s">
        <v>13</v>
      </c>
      <c r="D711" s="12" t="s">
        <v>7210</v>
      </c>
      <c r="E711" s="12" t="s">
        <v>8124</v>
      </c>
      <c r="F711" s="12" t="s">
        <v>7160</v>
      </c>
      <c r="G711" s="12" t="s">
        <v>7649</v>
      </c>
      <c r="H711" s="12">
        <v>75</v>
      </c>
      <c r="I711" s="12" t="s">
        <v>7647</v>
      </c>
      <c r="J711" s="80">
        <v>8.3333333333333321</v>
      </c>
      <c r="K711" s="12" t="s">
        <v>7161</v>
      </c>
      <c r="L711" s="12" t="s">
        <v>21</v>
      </c>
      <c r="M711" s="12" t="s">
        <v>8110</v>
      </c>
      <c r="N711" s="12">
        <v>110</v>
      </c>
      <c r="O711" s="12">
        <v>0.18</v>
      </c>
      <c r="P711" s="12">
        <v>0.998</v>
      </c>
      <c r="Q711" s="12" t="s">
        <v>7204</v>
      </c>
      <c r="R711" s="12">
        <v>0.81</v>
      </c>
      <c r="S711" s="12">
        <v>1.303552</v>
      </c>
      <c r="T711" s="12">
        <v>646340</v>
      </c>
      <c r="U711" s="12">
        <v>0.154</v>
      </c>
      <c r="V711" s="12" t="s">
        <v>7661</v>
      </c>
      <c r="W711" s="12" t="s">
        <v>11</v>
      </c>
      <c r="X711" s="12">
        <v>1743</v>
      </c>
      <c r="Y711" s="12">
        <v>2.2729999999999998E-3</v>
      </c>
      <c r="Z711" s="12">
        <v>1.3547010151615657</v>
      </c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P711" s="12" t="s">
        <v>3201</v>
      </c>
      <c r="AQ711" s="12" t="s">
        <v>8047</v>
      </c>
      <c r="AR711" s="12" t="s">
        <v>8051</v>
      </c>
      <c r="AS711" s="12">
        <v>228.6</v>
      </c>
      <c r="AT711" s="12">
        <v>0.1555</v>
      </c>
      <c r="AU711" s="12" t="s">
        <v>174</v>
      </c>
      <c r="AV711" s="12">
        <v>0.99848599999999998</v>
      </c>
      <c r="AW711" s="12">
        <v>0.99063800000000002</v>
      </c>
      <c r="AX711" s="12">
        <v>0.99969600000000003</v>
      </c>
      <c r="AY711" s="12">
        <v>65144</v>
      </c>
      <c r="AZ711" s="12">
        <v>560</v>
      </c>
      <c r="BA711" s="12">
        <v>0.16449999999999901</v>
      </c>
      <c r="BB711" s="12">
        <v>5998</v>
      </c>
      <c r="BC711" s="12">
        <v>44.821428571428498</v>
      </c>
      <c r="BD711" s="12">
        <v>0.251</v>
      </c>
    </row>
    <row r="712" spans="1:56" s="12" customFormat="1" x14ac:dyDescent="0.2">
      <c r="A712" s="12" t="s">
        <v>2083</v>
      </c>
      <c r="B712" s="12" t="s">
        <v>2082</v>
      </c>
      <c r="C712" s="12" t="s">
        <v>13</v>
      </c>
      <c r="D712" s="12" t="s">
        <v>7210</v>
      </c>
      <c r="E712" s="12" t="s">
        <v>8124</v>
      </c>
      <c r="F712" s="12" t="s">
        <v>7160</v>
      </c>
      <c r="G712" s="12" t="s">
        <v>7649</v>
      </c>
      <c r="H712" s="12">
        <v>75</v>
      </c>
      <c r="I712" s="12" t="s">
        <v>7647</v>
      </c>
      <c r="J712" s="80">
        <v>8.3333333333333321</v>
      </c>
      <c r="K712" s="12" t="s">
        <v>7161</v>
      </c>
      <c r="L712" s="12" t="s">
        <v>21</v>
      </c>
      <c r="M712" s="12" t="s">
        <v>8110</v>
      </c>
      <c r="N712" s="12">
        <v>59.9</v>
      </c>
      <c r="O712" s="12">
        <v>0.153</v>
      </c>
      <c r="P712" s="12">
        <v>0.995</v>
      </c>
      <c r="Q712" s="12" t="s">
        <v>7195</v>
      </c>
      <c r="R712" s="12">
        <v>0.44</v>
      </c>
      <c r="S712" s="12">
        <v>1.0764199999999999</v>
      </c>
      <c r="T712" s="12">
        <v>615135</v>
      </c>
      <c r="U712" s="12">
        <v>0.13100000000000001</v>
      </c>
      <c r="V712" s="12" t="s">
        <v>7661</v>
      </c>
      <c r="W712" s="12" t="s">
        <v>11</v>
      </c>
      <c r="X712" s="12">
        <v>1313</v>
      </c>
      <c r="Y712" s="12">
        <v>7.7860000000000004E-3</v>
      </c>
      <c r="Z712" s="12">
        <v>2.6951145596762265</v>
      </c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</row>
    <row r="713" spans="1:56" s="12" customFormat="1" x14ac:dyDescent="0.2">
      <c r="A713" s="12" t="s">
        <v>2080</v>
      </c>
      <c r="B713" s="12" t="s">
        <v>2079</v>
      </c>
      <c r="C713" s="12" t="s">
        <v>13</v>
      </c>
      <c r="D713" s="12" t="s">
        <v>7210</v>
      </c>
      <c r="E713" s="12" t="s">
        <v>8124</v>
      </c>
      <c r="F713" s="12" t="s">
        <v>7160</v>
      </c>
      <c r="G713" s="12" t="s">
        <v>7649</v>
      </c>
      <c r="H713" s="12">
        <v>75</v>
      </c>
      <c r="I713" s="12" t="s">
        <v>7647</v>
      </c>
      <c r="J713" s="80">
        <v>8.3333333333333321</v>
      </c>
      <c r="K713" s="12" t="s">
        <v>7161</v>
      </c>
      <c r="L713" s="12" t="s">
        <v>21</v>
      </c>
      <c r="M713" s="12" t="s">
        <v>8110</v>
      </c>
      <c r="N713" s="12">
        <v>6.12</v>
      </c>
      <c r="O713" s="12">
        <v>0.10100000000000001</v>
      </c>
      <c r="P713" s="12">
        <v>0.997</v>
      </c>
      <c r="Q713" s="12" t="s">
        <v>7232</v>
      </c>
      <c r="R713" s="12">
        <v>7.0000000000000007E-2</v>
      </c>
      <c r="S713" s="12">
        <v>1.1414120000000001</v>
      </c>
      <c r="T713" s="12">
        <v>657401</v>
      </c>
      <c r="U713" s="12">
        <v>8.2000000000000003E-2</v>
      </c>
      <c r="V713" s="12" t="s">
        <v>7661</v>
      </c>
      <c r="W713" s="12" t="s">
        <v>11</v>
      </c>
      <c r="X713" s="12">
        <v>1601</v>
      </c>
      <c r="Y713" s="12">
        <v>6.6519999999999999E-3</v>
      </c>
      <c r="Z713" s="12">
        <v>2.5542774355392455</v>
      </c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</row>
    <row r="714" spans="1:56" s="12" customFormat="1" x14ac:dyDescent="0.2">
      <c r="A714" s="12" t="s">
        <v>4991</v>
      </c>
      <c r="B714" s="12" t="s">
        <v>4989</v>
      </c>
      <c r="C714" s="12" t="s">
        <v>143</v>
      </c>
      <c r="D714" s="12" t="s">
        <v>7159</v>
      </c>
      <c r="E714" s="12" t="s">
        <v>8031</v>
      </c>
      <c r="F714" s="12" t="s">
        <v>7160</v>
      </c>
      <c r="G714" s="12" t="s">
        <v>7649</v>
      </c>
      <c r="H714" s="12">
        <v>70</v>
      </c>
      <c r="I714" s="12" t="s">
        <v>7647</v>
      </c>
      <c r="J714" s="80">
        <v>7.7777777777777777</v>
      </c>
      <c r="K714" s="12" t="s">
        <v>7161</v>
      </c>
      <c r="L714" s="12" t="s">
        <v>21</v>
      </c>
      <c r="M714" s="12" t="s">
        <v>8110</v>
      </c>
      <c r="N714" s="12">
        <v>65</v>
      </c>
      <c r="O714" s="12">
        <v>8.1000000000000003E-2</v>
      </c>
      <c r="P714" s="12">
        <v>0.999</v>
      </c>
      <c r="Q714" s="12" t="s">
        <v>7206</v>
      </c>
      <c r="R714" s="12">
        <v>8.8999999999999996E-2</v>
      </c>
      <c r="S714" s="12">
        <v>0.77633399999999997</v>
      </c>
      <c r="T714" s="12">
        <v>596425</v>
      </c>
      <c r="U714" s="12">
        <v>4.2999999999999997E-2</v>
      </c>
      <c r="V714" s="12" t="s">
        <v>7661</v>
      </c>
      <c r="W714" s="12" t="s">
        <v>11</v>
      </c>
      <c r="X714" s="12">
        <v>941</v>
      </c>
      <c r="Y714" s="12">
        <v>4.7210000000000004E-3</v>
      </c>
      <c r="Z714" s="12">
        <v>1.4590847418863331</v>
      </c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</row>
    <row r="715" spans="1:56" s="12" customFormat="1" x14ac:dyDescent="0.2">
      <c r="A715" s="12" t="s">
        <v>4077</v>
      </c>
      <c r="B715" s="12" t="s">
        <v>4076</v>
      </c>
      <c r="C715" s="12" t="s">
        <v>13</v>
      </c>
      <c r="D715" s="12" t="s">
        <v>7210</v>
      </c>
      <c r="E715" s="12" t="s">
        <v>8124</v>
      </c>
      <c r="F715" s="12" t="s">
        <v>7160</v>
      </c>
      <c r="G715" s="12" t="s">
        <v>7649</v>
      </c>
      <c r="H715" s="12">
        <v>80</v>
      </c>
      <c r="I715" s="12" t="s">
        <v>7647</v>
      </c>
      <c r="J715" s="80">
        <v>8.8888888888888893</v>
      </c>
      <c r="K715" s="12" t="s">
        <v>7161</v>
      </c>
      <c r="L715" s="12" t="s">
        <v>21</v>
      </c>
      <c r="M715" s="12" t="s">
        <v>8110</v>
      </c>
      <c r="N715" s="12">
        <v>96.1</v>
      </c>
      <c r="O715" s="12">
        <v>0.151</v>
      </c>
      <c r="P715" s="12">
        <v>0.996</v>
      </c>
      <c r="Q715" s="12" t="s">
        <v>7236</v>
      </c>
      <c r="R715" s="12">
        <v>0.65400000000000003</v>
      </c>
      <c r="S715" s="12">
        <v>3.533623</v>
      </c>
      <c r="T715" s="12">
        <v>841098</v>
      </c>
      <c r="U715" s="12">
        <v>0.126</v>
      </c>
      <c r="V715" s="12" t="s">
        <v>7661</v>
      </c>
      <c r="W715" s="12" t="s">
        <v>11</v>
      </c>
      <c r="X715" s="12">
        <v>5032</v>
      </c>
      <c r="Y715" s="12">
        <v>4.3070000000000001E-3</v>
      </c>
      <c r="Z715" s="12">
        <v>4.118394027133399</v>
      </c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</row>
    <row r="716" spans="1:56" s="12" customFormat="1" x14ac:dyDescent="0.2">
      <c r="A716" s="12" t="s">
        <v>4016</v>
      </c>
      <c r="B716" s="12" t="s">
        <v>4015</v>
      </c>
      <c r="C716" s="12" t="s">
        <v>13</v>
      </c>
      <c r="D716" s="12" t="s">
        <v>7210</v>
      </c>
      <c r="E716" s="12" t="s">
        <v>8124</v>
      </c>
      <c r="F716" s="12" t="s">
        <v>7160</v>
      </c>
      <c r="G716" s="12" t="s">
        <v>7649</v>
      </c>
      <c r="H716" s="12">
        <v>34</v>
      </c>
      <c r="I716" s="12" t="s">
        <v>7647</v>
      </c>
      <c r="J716" s="80">
        <v>3.7777777777777777</v>
      </c>
      <c r="K716" s="12" t="s">
        <v>7161</v>
      </c>
      <c r="L716" s="12" t="s">
        <v>21</v>
      </c>
      <c r="M716" s="12" t="s">
        <v>8110</v>
      </c>
      <c r="N716" s="12">
        <v>103</v>
      </c>
      <c r="O716" s="12">
        <v>0.18</v>
      </c>
      <c r="P716" s="12">
        <v>0.99</v>
      </c>
      <c r="Q716" s="12" t="s">
        <v>7253</v>
      </c>
      <c r="R716" s="12">
        <v>0.69099999999999995</v>
      </c>
      <c r="S716" s="12">
        <v>3.9546399999999999</v>
      </c>
      <c r="T716" s="12">
        <v>880790</v>
      </c>
      <c r="U716" s="12">
        <v>0.14299999999999999</v>
      </c>
      <c r="V716" s="12" t="s">
        <v>7661</v>
      </c>
      <c r="W716" s="12" t="s">
        <v>11</v>
      </c>
      <c r="X716" s="12">
        <v>5600</v>
      </c>
      <c r="Y716" s="12">
        <v>4.6239999999999996E-3</v>
      </c>
      <c r="Z716" s="12">
        <v>4.4089364870959473</v>
      </c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</row>
    <row r="717" spans="1:56" s="66" customFormat="1" x14ac:dyDescent="0.2">
      <c r="A717" s="12" t="s">
        <v>3925</v>
      </c>
      <c r="B717" s="12" t="s">
        <v>3924</v>
      </c>
      <c r="C717" s="12" t="s">
        <v>13</v>
      </c>
      <c r="D717" s="12" t="s">
        <v>7210</v>
      </c>
      <c r="E717" s="12" t="s">
        <v>8124</v>
      </c>
      <c r="F717" s="12" t="s">
        <v>7160</v>
      </c>
      <c r="G717" s="12" t="s">
        <v>7649</v>
      </c>
      <c r="H717" s="12">
        <v>8</v>
      </c>
      <c r="I717" s="12" t="s">
        <v>7647</v>
      </c>
      <c r="J717" s="80">
        <v>0.88888888888888884</v>
      </c>
      <c r="K717" s="12" t="s">
        <v>7161</v>
      </c>
      <c r="L717" s="12" t="s">
        <v>21</v>
      </c>
      <c r="M717" s="12" t="s">
        <v>8110</v>
      </c>
      <c r="N717" s="12">
        <v>42</v>
      </c>
      <c r="O717" s="12">
        <v>0.14199999999999999</v>
      </c>
      <c r="P717" s="12">
        <v>0.995</v>
      </c>
      <c r="Q717" s="12" t="s">
        <v>7977</v>
      </c>
      <c r="R717" s="12">
        <v>0.185</v>
      </c>
      <c r="S717" s="12">
        <v>2.192132</v>
      </c>
      <c r="T717" s="12">
        <v>803813</v>
      </c>
      <c r="U717" s="12">
        <v>0.115</v>
      </c>
      <c r="V717" s="12" t="s">
        <v>7661</v>
      </c>
      <c r="W717" s="12" t="s">
        <v>25</v>
      </c>
      <c r="X717" s="12">
        <v>7234</v>
      </c>
      <c r="Y717" s="12" t="s">
        <v>6639</v>
      </c>
      <c r="Z717" s="12" t="s">
        <v>6639</v>
      </c>
      <c r="AA717" s="12"/>
      <c r="AB717" s="12"/>
      <c r="AC717" s="12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</row>
    <row r="718" spans="1:56" s="60" customFormat="1" x14ac:dyDescent="0.2">
      <c r="A718" s="12"/>
      <c r="J718" s="74"/>
      <c r="V718" s="12"/>
    </row>
    <row r="719" spans="1:56" s="66" customFormat="1" x14ac:dyDescent="0.2">
      <c r="A719" s="77" t="s">
        <v>7642</v>
      </c>
      <c r="J719" s="73"/>
      <c r="V719" s="77"/>
    </row>
    <row r="720" spans="1:56" s="173" customFormat="1" ht="51" x14ac:dyDescent="0.2">
      <c r="A720" s="172" t="s">
        <v>8024</v>
      </c>
      <c r="B720" s="172" t="s">
        <v>8026</v>
      </c>
      <c r="C720" s="173" t="s">
        <v>8192</v>
      </c>
      <c r="D720" s="67" t="s">
        <v>8195</v>
      </c>
      <c r="J720" s="174"/>
      <c r="V720" s="172"/>
    </row>
    <row r="721" spans="1:22" s="60" customFormat="1" x14ac:dyDescent="0.2">
      <c r="A721" s="12" t="s">
        <v>8027</v>
      </c>
      <c r="B721" s="12" t="s">
        <v>8028</v>
      </c>
      <c r="C721" s="60">
        <v>70</v>
      </c>
      <c r="D721" s="60" t="s">
        <v>8038</v>
      </c>
      <c r="J721" s="74"/>
      <c r="V721" s="12"/>
    </row>
    <row r="722" spans="1:22" s="60" customFormat="1" x14ac:dyDescent="0.2">
      <c r="A722" s="12" t="s">
        <v>8035</v>
      </c>
      <c r="B722" s="12" t="s">
        <v>7650</v>
      </c>
      <c r="C722" s="60">
        <v>14</v>
      </c>
      <c r="D722" s="60" t="s">
        <v>8039</v>
      </c>
      <c r="J722" s="74"/>
      <c r="V722" s="12"/>
    </row>
    <row r="723" spans="1:22" s="60" customFormat="1" x14ac:dyDescent="0.2">
      <c r="A723" s="12" t="s">
        <v>8035</v>
      </c>
      <c r="B723" s="12" t="s">
        <v>8036</v>
      </c>
      <c r="C723" s="60">
        <v>15</v>
      </c>
      <c r="D723" s="60" t="s">
        <v>8040</v>
      </c>
      <c r="J723" s="74"/>
      <c r="V723" s="12"/>
    </row>
    <row r="724" spans="1:22" s="60" customFormat="1" x14ac:dyDescent="0.2">
      <c r="A724" s="12" t="s">
        <v>8035</v>
      </c>
      <c r="B724" s="12" t="s">
        <v>8037</v>
      </c>
      <c r="C724" s="60">
        <v>71</v>
      </c>
      <c r="D724" s="60" t="s">
        <v>8041</v>
      </c>
      <c r="J724" s="74"/>
      <c r="V724" s="12"/>
    </row>
    <row r="725" spans="1:22" s="60" customFormat="1" x14ac:dyDescent="0.2">
      <c r="A725" s="12" t="s">
        <v>8025</v>
      </c>
      <c r="B725" s="12" t="s">
        <v>7643</v>
      </c>
      <c r="C725" s="60" t="s">
        <v>8196</v>
      </c>
      <c r="D725" s="60" t="s">
        <v>8042</v>
      </c>
      <c r="J725" s="74"/>
      <c r="V725" s="12"/>
    </row>
    <row r="726" spans="1:22" s="60" customFormat="1" x14ac:dyDescent="0.2">
      <c r="A726" s="12" t="s">
        <v>8025</v>
      </c>
      <c r="B726" s="12" t="s">
        <v>7644</v>
      </c>
      <c r="C726" s="60" t="s">
        <v>8196</v>
      </c>
      <c r="D726" s="60" t="s">
        <v>8111</v>
      </c>
      <c r="J726" s="74"/>
      <c r="V726" s="12"/>
    </row>
    <row r="727" spans="1:22" s="60" customFormat="1" x14ac:dyDescent="0.2">
      <c r="A727" s="12" t="s">
        <v>8025</v>
      </c>
      <c r="B727" s="12" t="s">
        <v>7645</v>
      </c>
      <c r="C727" s="60">
        <v>17</v>
      </c>
      <c r="D727" s="60" t="s">
        <v>8112</v>
      </c>
      <c r="J727" s="74"/>
      <c r="V727" s="12"/>
    </row>
    <row r="728" spans="1:22" s="60" customFormat="1" x14ac:dyDescent="0.2">
      <c r="A728" s="12" t="s">
        <v>8025</v>
      </c>
      <c r="B728" s="12" t="s">
        <v>7646</v>
      </c>
      <c r="C728" s="60">
        <v>17</v>
      </c>
      <c r="D728" s="60" t="s">
        <v>8113</v>
      </c>
      <c r="J728" s="74"/>
      <c r="V728" s="12"/>
    </row>
    <row r="729" spans="1:22" s="60" customFormat="1" x14ac:dyDescent="0.2">
      <c r="A729" s="12" t="s">
        <v>8025</v>
      </c>
      <c r="B729" s="12" t="s">
        <v>7647</v>
      </c>
      <c r="C729" s="60">
        <v>17</v>
      </c>
      <c r="D729" s="69" t="s">
        <v>8114</v>
      </c>
      <c r="J729" s="74"/>
      <c r="V729" s="12"/>
    </row>
    <row r="730" spans="1:22" s="60" customFormat="1" x14ac:dyDescent="0.2">
      <c r="A730" s="12" t="s">
        <v>8025</v>
      </c>
      <c r="B730" s="12" t="s">
        <v>7648</v>
      </c>
      <c r="C730" s="60">
        <v>72</v>
      </c>
      <c r="D730" s="60" t="s">
        <v>8115</v>
      </c>
      <c r="J730" s="74"/>
      <c r="V730" s="12"/>
    </row>
    <row r="731" spans="1:22" s="60" customFormat="1" x14ac:dyDescent="0.2">
      <c r="A731" s="12" t="s">
        <v>8025</v>
      </c>
      <c r="B731" s="60" t="s">
        <v>8132</v>
      </c>
      <c r="C731" s="60" t="s">
        <v>8194</v>
      </c>
      <c r="D731" s="78" t="s">
        <v>8193</v>
      </c>
      <c r="J731" s="74"/>
      <c r="V731" s="12"/>
    </row>
    <row r="736" spans="1:22" x14ac:dyDescent="0.2">
      <c r="G736" s="57"/>
    </row>
    <row r="737" spans="7:7" x14ac:dyDescent="0.2">
      <c r="G737" s="57"/>
    </row>
    <row r="738" spans="7:7" x14ac:dyDescent="0.2">
      <c r="G738" s="57"/>
    </row>
    <row r="739" spans="7:7" x14ac:dyDescent="0.2">
      <c r="G739" s="57"/>
    </row>
    <row r="740" spans="7:7" x14ac:dyDescent="0.2">
      <c r="G740" s="57"/>
    </row>
    <row r="741" spans="7:7" x14ac:dyDescent="0.2">
      <c r="G741" s="57"/>
    </row>
    <row r="742" spans="7:7" x14ac:dyDescent="0.2">
      <c r="G742" s="57"/>
    </row>
    <row r="743" spans="7:7" x14ac:dyDescent="0.2">
      <c r="G743" s="57"/>
    </row>
    <row r="744" spans="7:7" x14ac:dyDescent="0.2">
      <c r="G744" s="57"/>
    </row>
    <row r="745" spans="7:7" x14ac:dyDescent="0.2">
      <c r="G745" s="57"/>
    </row>
    <row r="746" spans="7:7" x14ac:dyDescent="0.2">
      <c r="G746" s="57"/>
    </row>
    <row r="747" spans="7:7" x14ac:dyDescent="0.2">
      <c r="G747" s="57"/>
    </row>
    <row r="748" spans="7:7" x14ac:dyDescent="0.2">
      <c r="G748" s="57"/>
    </row>
    <row r="749" spans="7:7" x14ac:dyDescent="0.2">
      <c r="G749" s="57"/>
    </row>
    <row r="750" spans="7:7" x14ac:dyDescent="0.2">
      <c r="G750" s="57"/>
    </row>
    <row r="751" spans="7:7" x14ac:dyDescent="0.2">
      <c r="G751" s="57"/>
    </row>
    <row r="752" spans="7:7" x14ac:dyDescent="0.2">
      <c r="G752" s="57"/>
    </row>
    <row r="753" spans="7:7" x14ac:dyDescent="0.2">
      <c r="G753" s="57"/>
    </row>
    <row r="754" spans="7:7" x14ac:dyDescent="0.2">
      <c r="G754" s="57"/>
    </row>
    <row r="755" spans="7:7" x14ac:dyDescent="0.2">
      <c r="G755" s="57"/>
    </row>
    <row r="756" spans="7:7" x14ac:dyDescent="0.2">
      <c r="G756" s="57"/>
    </row>
    <row r="757" spans="7:7" x14ac:dyDescent="0.2">
      <c r="G757" s="57"/>
    </row>
    <row r="758" spans="7:7" x14ac:dyDescent="0.2">
      <c r="G758" s="57"/>
    </row>
    <row r="759" spans="7:7" x14ac:dyDescent="0.2">
      <c r="G759" s="57"/>
    </row>
    <row r="760" spans="7:7" x14ac:dyDescent="0.2">
      <c r="G760" s="57"/>
    </row>
    <row r="761" spans="7:7" x14ac:dyDescent="0.2">
      <c r="G761" s="57"/>
    </row>
    <row r="762" spans="7:7" x14ac:dyDescent="0.2">
      <c r="G762" s="57"/>
    </row>
    <row r="763" spans="7:7" x14ac:dyDescent="0.2">
      <c r="G763" s="57"/>
    </row>
    <row r="764" spans="7:7" x14ac:dyDescent="0.2">
      <c r="G764" s="57"/>
    </row>
    <row r="765" spans="7:7" x14ac:dyDescent="0.2">
      <c r="G765" s="57"/>
    </row>
    <row r="766" spans="7:7" x14ac:dyDescent="0.2">
      <c r="G766" s="57"/>
    </row>
    <row r="767" spans="7:7" x14ac:dyDescent="0.2">
      <c r="G767" s="57"/>
    </row>
    <row r="768" spans="7:7" x14ac:dyDescent="0.2">
      <c r="G768" s="57"/>
    </row>
    <row r="769" spans="7:7" x14ac:dyDescent="0.2">
      <c r="G769" s="57"/>
    </row>
    <row r="770" spans="7:7" x14ac:dyDescent="0.2">
      <c r="G770" s="57"/>
    </row>
    <row r="771" spans="7:7" x14ac:dyDescent="0.2">
      <c r="G771" s="57"/>
    </row>
    <row r="772" spans="7:7" x14ac:dyDescent="0.2">
      <c r="G772" s="57"/>
    </row>
    <row r="773" spans="7:7" x14ac:dyDescent="0.2">
      <c r="G773" s="57"/>
    </row>
    <row r="774" spans="7:7" x14ac:dyDescent="0.2">
      <c r="G774" s="57"/>
    </row>
    <row r="775" spans="7:7" x14ac:dyDescent="0.2">
      <c r="G775" s="57"/>
    </row>
    <row r="776" spans="7:7" x14ac:dyDescent="0.2">
      <c r="G776" s="57"/>
    </row>
    <row r="777" spans="7:7" x14ac:dyDescent="0.2">
      <c r="G777" s="57"/>
    </row>
    <row r="778" spans="7:7" x14ac:dyDescent="0.2">
      <c r="G778" s="57"/>
    </row>
    <row r="779" spans="7:7" x14ac:dyDescent="0.2">
      <c r="G779" s="57"/>
    </row>
    <row r="780" spans="7:7" x14ac:dyDescent="0.2">
      <c r="G780" s="57"/>
    </row>
    <row r="781" spans="7:7" x14ac:dyDescent="0.2">
      <c r="G781" s="57"/>
    </row>
    <row r="782" spans="7:7" x14ac:dyDescent="0.2">
      <c r="G782" s="57"/>
    </row>
    <row r="783" spans="7:7" x14ac:dyDescent="0.2">
      <c r="G783" s="57"/>
    </row>
    <row r="784" spans="7:7" x14ac:dyDescent="0.2">
      <c r="G784" s="57"/>
    </row>
    <row r="785" spans="7:7" x14ac:dyDescent="0.2">
      <c r="G785" s="57"/>
    </row>
    <row r="786" spans="7:7" x14ac:dyDescent="0.2">
      <c r="G786" s="57"/>
    </row>
    <row r="787" spans="7:7" x14ac:dyDescent="0.2">
      <c r="G787" s="57"/>
    </row>
    <row r="788" spans="7:7" x14ac:dyDescent="0.2">
      <c r="G788" s="57"/>
    </row>
    <row r="789" spans="7:7" x14ac:dyDescent="0.2">
      <c r="G789" s="57"/>
    </row>
    <row r="790" spans="7:7" x14ac:dyDescent="0.2">
      <c r="G790" s="57"/>
    </row>
    <row r="791" spans="7:7" x14ac:dyDescent="0.2">
      <c r="G791" s="57"/>
    </row>
    <row r="792" spans="7:7" x14ac:dyDescent="0.2">
      <c r="G792" s="57"/>
    </row>
    <row r="793" spans="7:7" x14ac:dyDescent="0.2">
      <c r="G793" s="57"/>
    </row>
    <row r="794" spans="7:7" x14ac:dyDescent="0.2">
      <c r="G794" s="57"/>
    </row>
    <row r="795" spans="7:7" x14ac:dyDescent="0.2">
      <c r="G795" s="57"/>
    </row>
    <row r="796" spans="7:7" x14ac:dyDescent="0.2">
      <c r="G796" s="57"/>
    </row>
    <row r="797" spans="7:7" x14ac:dyDescent="0.2">
      <c r="G797" s="57"/>
    </row>
    <row r="798" spans="7:7" x14ac:dyDescent="0.2">
      <c r="G798" s="57"/>
    </row>
    <row r="799" spans="7:7" x14ac:dyDescent="0.2">
      <c r="G799" s="57"/>
    </row>
    <row r="800" spans="7:7" x14ac:dyDescent="0.2">
      <c r="G800" s="57"/>
    </row>
    <row r="801" spans="7:7" x14ac:dyDescent="0.2">
      <c r="G801" s="57"/>
    </row>
    <row r="802" spans="7:7" x14ac:dyDescent="0.2">
      <c r="G802" s="57"/>
    </row>
    <row r="803" spans="7:7" x14ac:dyDescent="0.2">
      <c r="G803" s="57"/>
    </row>
    <row r="804" spans="7:7" x14ac:dyDescent="0.2">
      <c r="G804" s="57"/>
    </row>
    <row r="805" spans="7:7" x14ac:dyDescent="0.2">
      <c r="G805" s="57"/>
    </row>
    <row r="806" spans="7:7" x14ac:dyDescent="0.2">
      <c r="G806" s="57"/>
    </row>
    <row r="807" spans="7:7" x14ac:dyDescent="0.2">
      <c r="G807" s="57"/>
    </row>
    <row r="808" spans="7:7" x14ac:dyDescent="0.2">
      <c r="G808" s="57"/>
    </row>
    <row r="809" spans="7:7" x14ac:dyDescent="0.2">
      <c r="G809" s="57"/>
    </row>
    <row r="810" spans="7:7" x14ac:dyDescent="0.2">
      <c r="G810" s="57"/>
    </row>
    <row r="811" spans="7:7" x14ac:dyDescent="0.2">
      <c r="G811" s="57"/>
    </row>
    <row r="812" spans="7:7" x14ac:dyDescent="0.2">
      <c r="G812" s="57"/>
    </row>
    <row r="813" spans="7:7" x14ac:dyDescent="0.2">
      <c r="G813" s="57"/>
    </row>
    <row r="814" spans="7:7" x14ac:dyDescent="0.2">
      <c r="G814" s="57"/>
    </row>
    <row r="815" spans="7:7" x14ac:dyDescent="0.2">
      <c r="G815" s="57"/>
    </row>
    <row r="816" spans="7:7" x14ac:dyDescent="0.2">
      <c r="G816" s="57"/>
    </row>
    <row r="817" spans="7:7" x14ac:dyDescent="0.2">
      <c r="G817" s="57"/>
    </row>
    <row r="818" spans="7:7" x14ac:dyDescent="0.2">
      <c r="G818" s="57"/>
    </row>
    <row r="819" spans="7:7" x14ac:dyDescent="0.2">
      <c r="G819" s="57"/>
    </row>
    <row r="820" spans="7:7" x14ac:dyDescent="0.2">
      <c r="G820" s="57"/>
    </row>
    <row r="821" spans="7:7" x14ac:dyDescent="0.2">
      <c r="G821" s="57"/>
    </row>
    <row r="822" spans="7:7" x14ac:dyDescent="0.2">
      <c r="G822" s="57"/>
    </row>
    <row r="823" spans="7:7" x14ac:dyDescent="0.2">
      <c r="G823" s="57"/>
    </row>
    <row r="824" spans="7:7" x14ac:dyDescent="0.2">
      <c r="G824" s="57"/>
    </row>
    <row r="825" spans="7:7" x14ac:dyDescent="0.2">
      <c r="G825" s="57"/>
    </row>
    <row r="826" spans="7:7" x14ac:dyDescent="0.2">
      <c r="G826" s="57"/>
    </row>
    <row r="827" spans="7:7" x14ac:dyDescent="0.2">
      <c r="G827" s="57"/>
    </row>
    <row r="828" spans="7:7" x14ac:dyDescent="0.2">
      <c r="G828" s="57"/>
    </row>
    <row r="829" spans="7:7" x14ac:dyDescent="0.2">
      <c r="G829" s="57"/>
    </row>
    <row r="830" spans="7:7" x14ac:dyDescent="0.2">
      <c r="G830" s="57"/>
    </row>
    <row r="831" spans="7:7" x14ac:dyDescent="0.2">
      <c r="G831" s="57"/>
    </row>
    <row r="832" spans="7:7" x14ac:dyDescent="0.2">
      <c r="G832" s="57"/>
    </row>
    <row r="833" spans="7:7" x14ac:dyDescent="0.2">
      <c r="G833" s="57"/>
    </row>
    <row r="834" spans="7:7" x14ac:dyDescent="0.2">
      <c r="G834" s="57"/>
    </row>
    <row r="835" spans="7:7" x14ac:dyDescent="0.2">
      <c r="G835" s="57"/>
    </row>
    <row r="836" spans="7:7" x14ac:dyDescent="0.2">
      <c r="G836" s="57"/>
    </row>
    <row r="837" spans="7:7" x14ac:dyDescent="0.2">
      <c r="G837" s="57"/>
    </row>
    <row r="838" spans="7:7" x14ac:dyDescent="0.2">
      <c r="G838" s="57"/>
    </row>
    <row r="839" spans="7:7" x14ac:dyDescent="0.2">
      <c r="G839" s="57"/>
    </row>
    <row r="840" spans="7:7" x14ac:dyDescent="0.2">
      <c r="G840" s="57"/>
    </row>
    <row r="841" spans="7:7" x14ac:dyDescent="0.2">
      <c r="G841" s="57"/>
    </row>
    <row r="842" spans="7:7" x14ac:dyDescent="0.2">
      <c r="G842" s="57"/>
    </row>
    <row r="843" spans="7:7" x14ac:dyDescent="0.2">
      <c r="G843" s="57"/>
    </row>
    <row r="844" spans="7:7" x14ac:dyDescent="0.2">
      <c r="G844" s="57"/>
    </row>
    <row r="845" spans="7:7" x14ac:dyDescent="0.2">
      <c r="G845" s="57"/>
    </row>
    <row r="846" spans="7:7" x14ac:dyDescent="0.2">
      <c r="G846" s="57"/>
    </row>
    <row r="847" spans="7:7" x14ac:dyDescent="0.2">
      <c r="G847" s="57"/>
    </row>
    <row r="848" spans="7:7" x14ac:dyDescent="0.2">
      <c r="G848" s="57"/>
    </row>
    <row r="849" spans="7:7" x14ac:dyDescent="0.2">
      <c r="G849" s="57"/>
    </row>
    <row r="850" spans="7:7" x14ac:dyDescent="0.2">
      <c r="G850" s="57"/>
    </row>
    <row r="851" spans="7:7" x14ac:dyDescent="0.2">
      <c r="G851" s="57"/>
    </row>
    <row r="852" spans="7:7" x14ac:dyDescent="0.2">
      <c r="G852" s="57"/>
    </row>
    <row r="853" spans="7:7" x14ac:dyDescent="0.2">
      <c r="G853" s="57"/>
    </row>
    <row r="854" spans="7:7" x14ac:dyDescent="0.2">
      <c r="G854" s="57"/>
    </row>
    <row r="855" spans="7:7" x14ac:dyDescent="0.2">
      <c r="G855" s="57"/>
    </row>
    <row r="856" spans="7:7" x14ac:dyDescent="0.2">
      <c r="G856" s="57"/>
    </row>
    <row r="857" spans="7:7" x14ac:dyDescent="0.2">
      <c r="G857" s="57"/>
    </row>
    <row r="858" spans="7:7" x14ac:dyDescent="0.2">
      <c r="G858" s="57"/>
    </row>
    <row r="859" spans="7:7" x14ac:dyDescent="0.2">
      <c r="G859" s="57"/>
    </row>
    <row r="860" spans="7:7" x14ac:dyDescent="0.2">
      <c r="G860" s="57"/>
    </row>
    <row r="861" spans="7:7" x14ac:dyDescent="0.2">
      <c r="G861" s="57"/>
    </row>
    <row r="862" spans="7:7" x14ac:dyDescent="0.2">
      <c r="G862" s="57"/>
    </row>
    <row r="863" spans="7:7" x14ac:dyDescent="0.2">
      <c r="G863" s="57"/>
    </row>
    <row r="864" spans="7:7" x14ac:dyDescent="0.2">
      <c r="G864" s="57"/>
    </row>
    <row r="865" spans="7:7" x14ac:dyDescent="0.2">
      <c r="G865" s="57"/>
    </row>
    <row r="866" spans="7:7" x14ac:dyDescent="0.2">
      <c r="G866" s="57"/>
    </row>
    <row r="867" spans="7:7" x14ac:dyDescent="0.2">
      <c r="G867" s="57"/>
    </row>
    <row r="868" spans="7:7" x14ac:dyDescent="0.2">
      <c r="G868" s="57"/>
    </row>
    <row r="869" spans="7:7" x14ac:dyDescent="0.2">
      <c r="G869" s="57"/>
    </row>
    <row r="870" spans="7:7" x14ac:dyDescent="0.2">
      <c r="G870" s="57"/>
    </row>
    <row r="871" spans="7:7" x14ac:dyDescent="0.2">
      <c r="G871" s="57"/>
    </row>
    <row r="872" spans="7:7" x14ac:dyDescent="0.2">
      <c r="G872" s="57"/>
    </row>
    <row r="873" spans="7:7" x14ac:dyDescent="0.2">
      <c r="G873" s="57"/>
    </row>
    <row r="874" spans="7:7" x14ac:dyDescent="0.2">
      <c r="G874" s="57"/>
    </row>
    <row r="875" spans="7:7" x14ac:dyDescent="0.2">
      <c r="G875" s="57"/>
    </row>
    <row r="876" spans="7:7" x14ac:dyDescent="0.2">
      <c r="G876" s="57"/>
    </row>
    <row r="877" spans="7:7" x14ac:dyDescent="0.2">
      <c r="G877" s="57"/>
    </row>
    <row r="878" spans="7:7" x14ac:dyDescent="0.2">
      <c r="G878" s="57"/>
    </row>
    <row r="879" spans="7:7" x14ac:dyDescent="0.2">
      <c r="G879" s="57"/>
    </row>
    <row r="880" spans="7:7" x14ac:dyDescent="0.2">
      <c r="G880" s="57"/>
    </row>
    <row r="881" spans="7:7" x14ac:dyDescent="0.2">
      <c r="G881" s="57"/>
    </row>
    <row r="882" spans="7:7" x14ac:dyDescent="0.2">
      <c r="G882" s="57"/>
    </row>
    <row r="883" spans="7:7" x14ac:dyDescent="0.2">
      <c r="G883" s="57"/>
    </row>
    <row r="884" spans="7:7" x14ac:dyDescent="0.2">
      <c r="G884" s="57"/>
    </row>
    <row r="885" spans="7:7" x14ac:dyDescent="0.2">
      <c r="G885" s="57"/>
    </row>
    <row r="886" spans="7:7" x14ac:dyDescent="0.2">
      <c r="G886" s="57"/>
    </row>
    <row r="887" spans="7:7" x14ac:dyDescent="0.2">
      <c r="G887" s="57"/>
    </row>
    <row r="888" spans="7:7" x14ac:dyDescent="0.2">
      <c r="G888" s="57"/>
    </row>
    <row r="889" spans="7:7" x14ac:dyDescent="0.2">
      <c r="G889" s="57"/>
    </row>
    <row r="890" spans="7:7" x14ac:dyDescent="0.2">
      <c r="G890" s="57"/>
    </row>
    <row r="891" spans="7:7" x14ac:dyDescent="0.2">
      <c r="G891" s="57"/>
    </row>
    <row r="892" spans="7:7" x14ac:dyDescent="0.2">
      <c r="G892" s="57"/>
    </row>
    <row r="893" spans="7:7" x14ac:dyDescent="0.2">
      <c r="G893" s="57"/>
    </row>
    <row r="894" spans="7:7" x14ac:dyDescent="0.2">
      <c r="G894" s="57"/>
    </row>
    <row r="895" spans="7:7" x14ac:dyDescent="0.2">
      <c r="G895" s="57"/>
    </row>
    <row r="896" spans="7:7" x14ac:dyDescent="0.2">
      <c r="G896" s="57"/>
    </row>
    <row r="897" spans="7:7" x14ac:dyDescent="0.2">
      <c r="G897" s="57"/>
    </row>
    <row r="898" spans="7:7" x14ac:dyDescent="0.2">
      <c r="G898" s="57"/>
    </row>
    <row r="899" spans="7:7" x14ac:dyDescent="0.2">
      <c r="G899" s="57"/>
    </row>
    <row r="900" spans="7:7" x14ac:dyDescent="0.2">
      <c r="G900" s="57"/>
    </row>
    <row r="901" spans="7:7" x14ac:dyDescent="0.2">
      <c r="G901" s="57"/>
    </row>
    <row r="902" spans="7:7" x14ac:dyDescent="0.2">
      <c r="G902" s="57"/>
    </row>
    <row r="903" spans="7:7" x14ac:dyDescent="0.2">
      <c r="G903" s="57"/>
    </row>
    <row r="904" spans="7:7" x14ac:dyDescent="0.2">
      <c r="G904" s="57"/>
    </row>
    <row r="905" spans="7:7" x14ac:dyDescent="0.2">
      <c r="G905" s="57"/>
    </row>
    <row r="906" spans="7:7" x14ac:dyDescent="0.2">
      <c r="G906" s="57"/>
    </row>
    <row r="907" spans="7:7" x14ac:dyDescent="0.2">
      <c r="G907" s="57"/>
    </row>
    <row r="908" spans="7:7" x14ac:dyDescent="0.2">
      <c r="G908" s="57"/>
    </row>
    <row r="909" spans="7:7" x14ac:dyDescent="0.2">
      <c r="G909" s="57"/>
    </row>
    <row r="910" spans="7:7" x14ac:dyDescent="0.2">
      <c r="G910" s="57"/>
    </row>
    <row r="911" spans="7:7" x14ac:dyDescent="0.2">
      <c r="G911" s="57"/>
    </row>
    <row r="912" spans="7:7" x14ac:dyDescent="0.2">
      <c r="G912" s="57"/>
    </row>
    <row r="913" spans="7:7" x14ac:dyDescent="0.2">
      <c r="G913" s="57"/>
    </row>
    <row r="914" spans="7:7" x14ac:dyDescent="0.2">
      <c r="G914" s="57"/>
    </row>
    <row r="915" spans="7:7" x14ac:dyDescent="0.2">
      <c r="G915" s="57"/>
    </row>
    <row r="916" spans="7:7" x14ac:dyDescent="0.2">
      <c r="G916" s="57"/>
    </row>
    <row r="917" spans="7:7" x14ac:dyDescent="0.2">
      <c r="G917" s="57"/>
    </row>
    <row r="918" spans="7:7" x14ac:dyDescent="0.2">
      <c r="G918" s="57"/>
    </row>
    <row r="919" spans="7:7" x14ac:dyDescent="0.2">
      <c r="G919" s="57"/>
    </row>
    <row r="920" spans="7:7" x14ac:dyDescent="0.2">
      <c r="G920" s="57"/>
    </row>
    <row r="921" spans="7:7" x14ac:dyDescent="0.2">
      <c r="G921" s="57"/>
    </row>
    <row r="922" spans="7:7" x14ac:dyDescent="0.2">
      <c r="G922" s="57"/>
    </row>
    <row r="923" spans="7:7" x14ac:dyDescent="0.2">
      <c r="G923" s="57"/>
    </row>
    <row r="924" spans="7:7" x14ac:dyDescent="0.2">
      <c r="G924" s="57"/>
    </row>
    <row r="925" spans="7:7" x14ac:dyDescent="0.2">
      <c r="G925" s="57"/>
    </row>
    <row r="926" spans="7:7" x14ac:dyDescent="0.2">
      <c r="G926" s="57"/>
    </row>
    <row r="927" spans="7:7" x14ac:dyDescent="0.2">
      <c r="G927" s="57"/>
    </row>
    <row r="928" spans="7:7" x14ac:dyDescent="0.2">
      <c r="G928" s="57"/>
    </row>
    <row r="929" spans="7:7" x14ac:dyDescent="0.2">
      <c r="G929" s="57"/>
    </row>
    <row r="930" spans="7:7" x14ac:dyDescent="0.2">
      <c r="G930" s="57"/>
    </row>
    <row r="931" spans="7:7" x14ac:dyDescent="0.2">
      <c r="G931" s="57"/>
    </row>
    <row r="932" spans="7:7" x14ac:dyDescent="0.2">
      <c r="G932" s="57"/>
    </row>
    <row r="933" spans="7:7" x14ac:dyDescent="0.2">
      <c r="G933" s="57"/>
    </row>
    <row r="934" spans="7:7" x14ac:dyDescent="0.2">
      <c r="G934" s="57"/>
    </row>
    <row r="935" spans="7:7" x14ac:dyDescent="0.2">
      <c r="G935" s="57"/>
    </row>
    <row r="936" spans="7:7" x14ac:dyDescent="0.2">
      <c r="G936" s="57"/>
    </row>
    <row r="937" spans="7:7" x14ac:dyDescent="0.2">
      <c r="G937" s="57"/>
    </row>
    <row r="938" spans="7:7" x14ac:dyDescent="0.2">
      <c r="G938" s="57"/>
    </row>
    <row r="939" spans="7:7" x14ac:dyDescent="0.2">
      <c r="G939" s="57"/>
    </row>
    <row r="940" spans="7:7" x14ac:dyDescent="0.2">
      <c r="G940" s="57"/>
    </row>
    <row r="941" spans="7:7" x14ac:dyDescent="0.2">
      <c r="G941" s="57"/>
    </row>
    <row r="942" spans="7:7" x14ac:dyDescent="0.2">
      <c r="G942" s="57"/>
    </row>
    <row r="943" spans="7:7" x14ac:dyDescent="0.2">
      <c r="G943" s="57"/>
    </row>
    <row r="944" spans="7:7" x14ac:dyDescent="0.2">
      <c r="G944" s="57"/>
    </row>
    <row r="945" spans="7:7" x14ac:dyDescent="0.2">
      <c r="G945" s="57"/>
    </row>
    <row r="946" spans="7:7" x14ac:dyDescent="0.2">
      <c r="G946" s="57"/>
    </row>
    <row r="947" spans="7:7" x14ac:dyDescent="0.2">
      <c r="G947" s="57"/>
    </row>
    <row r="948" spans="7:7" x14ac:dyDescent="0.2">
      <c r="G948" s="57"/>
    </row>
    <row r="949" spans="7:7" x14ac:dyDescent="0.2">
      <c r="G949" s="57"/>
    </row>
    <row r="950" spans="7:7" x14ac:dyDescent="0.2">
      <c r="G950" s="57"/>
    </row>
    <row r="951" spans="7:7" x14ac:dyDescent="0.2">
      <c r="G951" s="57"/>
    </row>
    <row r="952" spans="7:7" x14ac:dyDescent="0.2">
      <c r="G952" s="57"/>
    </row>
    <row r="953" spans="7:7" x14ac:dyDescent="0.2">
      <c r="G953" s="57"/>
    </row>
    <row r="954" spans="7:7" x14ac:dyDescent="0.2">
      <c r="G954" s="57"/>
    </row>
    <row r="955" spans="7:7" x14ac:dyDescent="0.2">
      <c r="G955" s="57"/>
    </row>
    <row r="956" spans="7:7" x14ac:dyDescent="0.2">
      <c r="G956" s="57"/>
    </row>
    <row r="957" spans="7:7" x14ac:dyDescent="0.2">
      <c r="G957" s="57"/>
    </row>
    <row r="958" spans="7:7" x14ac:dyDescent="0.2">
      <c r="G958" s="57"/>
    </row>
    <row r="959" spans="7:7" x14ac:dyDescent="0.2">
      <c r="G959" s="57"/>
    </row>
    <row r="960" spans="7:7" x14ac:dyDescent="0.2">
      <c r="G960" s="57"/>
    </row>
    <row r="961" spans="7:7" x14ac:dyDescent="0.2">
      <c r="G961" s="57"/>
    </row>
    <row r="962" spans="7:7" x14ac:dyDescent="0.2">
      <c r="G962" s="57"/>
    </row>
    <row r="963" spans="7:7" x14ac:dyDescent="0.2">
      <c r="G963" s="57"/>
    </row>
    <row r="964" spans="7:7" x14ac:dyDescent="0.2">
      <c r="G964" s="57"/>
    </row>
    <row r="965" spans="7:7" x14ac:dyDescent="0.2">
      <c r="G965" s="57"/>
    </row>
    <row r="966" spans="7:7" x14ac:dyDescent="0.2">
      <c r="G966" s="57"/>
    </row>
    <row r="967" spans="7:7" x14ac:dyDescent="0.2">
      <c r="G967" s="57"/>
    </row>
    <row r="968" spans="7:7" x14ac:dyDescent="0.2">
      <c r="G968" s="57"/>
    </row>
    <row r="969" spans="7:7" x14ac:dyDescent="0.2">
      <c r="G969" s="57"/>
    </row>
    <row r="970" spans="7:7" x14ac:dyDescent="0.2">
      <c r="G970" s="57"/>
    </row>
    <row r="971" spans="7:7" x14ac:dyDescent="0.2">
      <c r="G971" s="57"/>
    </row>
    <row r="972" spans="7:7" x14ac:dyDescent="0.2">
      <c r="G972" s="57"/>
    </row>
    <row r="973" spans="7:7" x14ac:dyDescent="0.2">
      <c r="G973" s="57"/>
    </row>
    <row r="974" spans="7:7" x14ac:dyDescent="0.2">
      <c r="G974" s="57"/>
    </row>
    <row r="975" spans="7:7" x14ac:dyDescent="0.2">
      <c r="G975" s="57"/>
    </row>
    <row r="976" spans="7:7" x14ac:dyDescent="0.2">
      <c r="G976" s="57"/>
    </row>
    <row r="977" spans="7:7" x14ac:dyDescent="0.2">
      <c r="G977" s="57"/>
    </row>
    <row r="978" spans="7:7" x14ac:dyDescent="0.2">
      <c r="G978" s="57"/>
    </row>
    <row r="979" spans="7:7" x14ac:dyDescent="0.2">
      <c r="G979" s="57"/>
    </row>
    <row r="980" spans="7:7" x14ac:dyDescent="0.2">
      <c r="G980" s="57"/>
    </row>
    <row r="981" spans="7:7" x14ac:dyDescent="0.2">
      <c r="G981" s="57"/>
    </row>
    <row r="982" spans="7:7" x14ac:dyDescent="0.2">
      <c r="G982" s="57"/>
    </row>
    <row r="983" spans="7:7" x14ac:dyDescent="0.2">
      <c r="G983" s="57"/>
    </row>
    <row r="984" spans="7:7" x14ac:dyDescent="0.2">
      <c r="G984" s="57"/>
    </row>
    <row r="985" spans="7:7" x14ac:dyDescent="0.2">
      <c r="G985" s="57"/>
    </row>
    <row r="986" spans="7:7" x14ac:dyDescent="0.2">
      <c r="G986" s="57"/>
    </row>
    <row r="987" spans="7:7" x14ac:dyDescent="0.2">
      <c r="G987" s="57"/>
    </row>
    <row r="988" spans="7:7" x14ac:dyDescent="0.2">
      <c r="G988" s="57"/>
    </row>
    <row r="989" spans="7:7" x14ac:dyDescent="0.2">
      <c r="G989" s="57"/>
    </row>
    <row r="990" spans="7:7" x14ac:dyDescent="0.2">
      <c r="G990" s="57"/>
    </row>
    <row r="991" spans="7:7" x14ac:dyDescent="0.2">
      <c r="G991" s="57"/>
    </row>
    <row r="992" spans="7:7" x14ac:dyDescent="0.2">
      <c r="G992" s="57"/>
    </row>
    <row r="993" spans="7:7" x14ac:dyDescent="0.2">
      <c r="G993" s="57"/>
    </row>
    <row r="994" spans="7:7" x14ac:dyDescent="0.2">
      <c r="G994" s="57"/>
    </row>
    <row r="995" spans="7:7" x14ac:dyDescent="0.2">
      <c r="G995" s="57"/>
    </row>
    <row r="996" spans="7:7" x14ac:dyDescent="0.2">
      <c r="G996" s="57"/>
    </row>
    <row r="997" spans="7:7" x14ac:dyDescent="0.2">
      <c r="G997" s="57"/>
    </row>
    <row r="998" spans="7:7" x14ac:dyDescent="0.2">
      <c r="G998" s="57"/>
    </row>
    <row r="999" spans="7:7" x14ac:dyDescent="0.2">
      <c r="G999" s="57"/>
    </row>
    <row r="1000" spans="7:7" x14ac:dyDescent="0.2">
      <c r="G1000" s="57"/>
    </row>
    <row r="1001" spans="7:7" x14ac:dyDescent="0.2">
      <c r="G1001" s="57"/>
    </row>
    <row r="1002" spans="7:7" x14ac:dyDescent="0.2">
      <c r="G1002" s="57"/>
    </row>
    <row r="1003" spans="7:7" x14ac:dyDescent="0.2">
      <c r="G1003" s="57"/>
    </row>
    <row r="1004" spans="7:7" x14ac:dyDescent="0.2">
      <c r="G1004" s="57"/>
    </row>
    <row r="1005" spans="7:7" x14ac:dyDescent="0.2">
      <c r="G1005" s="57"/>
    </row>
    <row r="1006" spans="7:7" x14ac:dyDescent="0.2">
      <c r="G1006" s="57"/>
    </row>
    <row r="1007" spans="7:7" x14ac:dyDescent="0.2">
      <c r="G1007" s="57"/>
    </row>
    <row r="1008" spans="7:7" x14ac:dyDescent="0.2">
      <c r="G1008" s="57"/>
    </row>
    <row r="1009" spans="7:7" x14ac:dyDescent="0.2">
      <c r="G1009" s="57"/>
    </row>
    <row r="1010" spans="7:7" x14ac:dyDescent="0.2">
      <c r="G1010" s="57"/>
    </row>
    <row r="1011" spans="7:7" x14ac:dyDescent="0.2">
      <c r="G1011" s="57"/>
    </row>
    <row r="1012" spans="7:7" x14ac:dyDescent="0.2">
      <c r="G1012" s="57"/>
    </row>
    <row r="1013" spans="7:7" x14ac:dyDescent="0.2">
      <c r="G1013" s="57"/>
    </row>
    <row r="1014" spans="7:7" x14ac:dyDescent="0.2">
      <c r="G1014" s="57"/>
    </row>
    <row r="1015" spans="7:7" x14ac:dyDescent="0.2">
      <c r="G1015" s="57"/>
    </row>
    <row r="1016" spans="7:7" x14ac:dyDescent="0.2">
      <c r="G1016" s="57"/>
    </row>
    <row r="1017" spans="7:7" x14ac:dyDescent="0.2">
      <c r="G1017" s="57"/>
    </row>
    <row r="1018" spans="7:7" x14ac:dyDescent="0.2">
      <c r="G1018" s="57"/>
    </row>
    <row r="1019" spans="7:7" x14ac:dyDescent="0.2">
      <c r="G1019" s="57"/>
    </row>
    <row r="1020" spans="7:7" x14ac:dyDescent="0.2">
      <c r="G1020" s="57"/>
    </row>
    <row r="1021" spans="7:7" x14ac:dyDescent="0.2">
      <c r="G1021" s="57"/>
    </row>
    <row r="1022" spans="7:7" x14ac:dyDescent="0.2">
      <c r="G1022" s="57"/>
    </row>
    <row r="1023" spans="7:7" x14ac:dyDescent="0.2">
      <c r="G1023" s="57"/>
    </row>
    <row r="1024" spans="7:7" x14ac:dyDescent="0.2">
      <c r="G1024" s="57"/>
    </row>
    <row r="1025" spans="7:7" x14ac:dyDescent="0.2">
      <c r="G1025" s="57"/>
    </row>
    <row r="1026" spans="7:7" x14ac:dyDescent="0.2">
      <c r="G1026" s="57"/>
    </row>
    <row r="1027" spans="7:7" x14ac:dyDescent="0.2">
      <c r="G1027" s="57"/>
    </row>
    <row r="1028" spans="7:7" x14ac:dyDescent="0.2">
      <c r="G1028" s="57"/>
    </row>
    <row r="1029" spans="7:7" x14ac:dyDescent="0.2">
      <c r="G1029" s="57"/>
    </row>
    <row r="1030" spans="7:7" x14ac:dyDescent="0.2">
      <c r="G1030" s="57"/>
    </row>
    <row r="1031" spans="7:7" x14ac:dyDescent="0.2">
      <c r="G1031" s="57"/>
    </row>
    <row r="1032" spans="7:7" x14ac:dyDescent="0.2">
      <c r="G1032" s="57"/>
    </row>
    <row r="1033" spans="7:7" x14ac:dyDescent="0.2">
      <c r="G1033" s="57"/>
    </row>
    <row r="1034" spans="7:7" x14ac:dyDescent="0.2">
      <c r="G1034" s="57"/>
    </row>
    <row r="1035" spans="7:7" x14ac:dyDescent="0.2">
      <c r="G1035" s="57"/>
    </row>
    <row r="1036" spans="7:7" x14ac:dyDescent="0.2">
      <c r="G1036" s="57"/>
    </row>
    <row r="1037" spans="7:7" x14ac:dyDescent="0.2">
      <c r="G1037" s="57"/>
    </row>
    <row r="1038" spans="7:7" x14ac:dyDescent="0.2">
      <c r="G1038" s="57"/>
    </row>
    <row r="1039" spans="7:7" x14ac:dyDescent="0.2">
      <c r="G1039" s="57"/>
    </row>
    <row r="1040" spans="7:7" x14ac:dyDescent="0.2">
      <c r="G1040" s="57"/>
    </row>
    <row r="1041" spans="7:7" x14ac:dyDescent="0.2">
      <c r="G1041" s="57"/>
    </row>
    <row r="1042" spans="7:7" x14ac:dyDescent="0.2">
      <c r="G1042" s="57"/>
    </row>
    <row r="1043" spans="7:7" x14ac:dyDescent="0.2">
      <c r="G1043" s="57"/>
    </row>
    <row r="1044" spans="7:7" x14ac:dyDescent="0.2">
      <c r="G1044" s="57"/>
    </row>
    <row r="1045" spans="7:7" x14ac:dyDescent="0.2">
      <c r="G1045" s="57"/>
    </row>
    <row r="1046" spans="7:7" x14ac:dyDescent="0.2">
      <c r="G1046" s="57"/>
    </row>
    <row r="1047" spans="7:7" x14ac:dyDescent="0.2">
      <c r="G1047" s="57"/>
    </row>
    <row r="1048" spans="7:7" x14ac:dyDescent="0.2">
      <c r="G1048" s="57"/>
    </row>
    <row r="1049" spans="7:7" x14ac:dyDescent="0.2">
      <c r="G1049" s="57"/>
    </row>
    <row r="1050" spans="7:7" x14ac:dyDescent="0.2">
      <c r="G1050" s="57"/>
    </row>
    <row r="1051" spans="7:7" x14ac:dyDescent="0.2">
      <c r="G1051" s="57"/>
    </row>
    <row r="1052" spans="7:7" x14ac:dyDescent="0.2">
      <c r="G1052" s="57"/>
    </row>
    <row r="1053" spans="7:7" x14ac:dyDescent="0.2">
      <c r="G1053" s="57"/>
    </row>
    <row r="1054" spans="7:7" x14ac:dyDescent="0.2">
      <c r="G1054" s="57"/>
    </row>
    <row r="1055" spans="7:7" x14ac:dyDescent="0.2">
      <c r="G1055" s="57"/>
    </row>
    <row r="1056" spans="7:7" x14ac:dyDescent="0.2">
      <c r="G1056" s="57"/>
    </row>
    <row r="1057" spans="7:7" x14ac:dyDescent="0.2">
      <c r="G1057" s="57"/>
    </row>
    <row r="1058" spans="7:7" x14ac:dyDescent="0.2">
      <c r="G1058" s="57"/>
    </row>
    <row r="1059" spans="7:7" x14ac:dyDescent="0.2">
      <c r="G1059" s="57"/>
    </row>
    <row r="1060" spans="7:7" x14ac:dyDescent="0.2">
      <c r="G1060" s="57"/>
    </row>
    <row r="1061" spans="7:7" x14ac:dyDescent="0.2">
      <c r="G1061" s="57"/>
    </row>
    <row r="1062" spans="7:7" x14ac:dyDescent="0.2">
      <c r="G1062" s="57"/>
    </row>
    <row r="1063" spans="7:7" x14ac:dyDescent="0.2">
      <c r="G1063" s="57"/>
    </row>
    <row r="1064" spans="7:7" x14ac:dyDescent="0.2">
      <c r="G1064" s="57"/>
    </row>
    <row r="1065" spans="7:7" x14ac:dyDescent="0.2">
      <c r="G1065" s="57"/>
    </row>
    <row r="1066" spans="7:7" x14ac:dyDescent="0.2">
      <c r="G1066" s="57"/>
    </row>
    <row r="1067" spans="7:7" x14ac:dyDescent="0.2">
      <c r="G1067" s="57"/>
    </row>
    <row r="1068" spans="7:7" x14ac:dyDescent="0.2">
      <c r="G1068" s="57"/>
    </row>
    <row r="1069" spans="7:7" x14ac:dyDescent="0.2">
      <c r="G1069" s="57"/>
    </row>
    <row r="1070" spans="7:7" x14ac:dyDescent="0.2">
      <c r="G1070" s="57"/>
    </row>
    <row r="1071" spans="7:7" x14ac:dyDescent="0.2">
      <c r="G1071" s="57"/>
    </row>
    <row r="1072" spans="7:7" x14ac:dyDescent="0.2">
      <c r="G1072" s="57"/>
    </row>
    <row r="1073" spans="7:7" x14ac:dyDescent="0.2">
      <c r="G1073" s="57"/>
    </row>
    <row r="1074" spans="7:7" x14ac:dyDescent="0.2">
      <c r="G1074" s="57"/>
    </row>
    <row r="1075" spans="7:7" x14ac:dyDescent="0.2">
      <c r="G1075" s="57"/>
    </row>
    <row r="1076" spans="7:7" x14ac:dyDescent="0.2">
      <c r="G1076" s="57"/>
    </row>
    <row r="1077" spans="7:7" x14ac:dyDescent="0.2">
      <c r="G1077" s="57"/>
    </row>
    <row r="1078" spans="7:7" x14ac:dyDescent="0.2">
      <c r="G1078" s="57"/>
    </row>
    <row r="1079" spans="7:7" x14ac:dyDescent="0.2">
      <c r="G1079" s="57"/>
    </row>
    <row r="1080" spans="7:7" x14ac:dyDescent="0.2">
      <c r="G1080" s="57"/>
    </row>
    <row r="1081" spans="7:7" x14ac:dyDescent="0.2">
      <c r="G1081" s="57"/>
    </row>
    <row r="1082" spans="7:7" x14ac:dyDescent="0.2">
      <c r="G1082" s="57"/>
    </row>
    <row r="1083" spans="7:7" x14ac:dyDescent="0.2">
      <c r="G1083" s="57"/>
    </row>
    <row r="1084" spans="7:7" x14ac:dyDescent="0.2">
      <c r="G1084" s="57"/>
    </row>
    <row r="1085" spans="7:7" x14ac:dyDescent="0.2">
      <c r="G1085" s="57"/>
    </row>
    <row r="1086" spans="7:7" x14ac:dyDescent="0.2">
      <c r="G1086" s="57"/>
    </row>
    <row r="1087" spans="7:7" x14ac:dyDescent="0.2">
      <c r="G1087" s="57"/>
    </row>
    <row r="1088" spans="7:7" x14ac:dyDescent="0.2">
      <c r="G1088" s="57"/>
    </row>
    <row r="1089" spans="7:7" x14ac:dyDescent="0.2">
      <c r="G1089" s="57"/>
    </row>
    <row r="1090" spans="7:7" x14ac:dyDescent="0.2">
      <c r="G1090" s="57"/>
    </row>
    <row r="1091" spans="7:7" x14ac:dyDescent="0.2">
      <c r="G1091" s="57"/>
    </row>
    <row r="1092" spans="7:7" x14ac:dyDescent="0.2">
      <c r="G1092" s="57"/>
    </row>
    <row r="1093" spans="7:7" x14ac:dyDescent="0.2">
      <c r="G1093" s="57"/>
    </row>
    <row r="1094" spans="7:7" x14ac:dyDescent="0.2">
      <c r="G1094" s="57"/>
    </row>
    <row r="1095" spans="7:7" x14ac:dyDescent="0.2">
      <c r="G1095" s="57"/>
    </row>
    <row r="1096" spans="7:7" x14ac:dyDescent="0.2">
      <c r="G1096" s="57"/>
    </row>
    <row r="1097" spans="7:7" x14ac:dyDescent="0.2">
      <c r="G1097" s="57"/>
    </row>
    <row r="1098" spans="7:7" x14ac:dyDescent="0.2">
      <c r="G1098" s="57"/>
    </row>
    <row r="1099" spans="7:7" x14ac:dyDescent="0.2">
      <c r="G1099" s="57"/>
    </row>
    <row r="1100" spans="7:7" x14ac:dyDescent="0.2">
      <c r="G1100" s="57"/>
    </row>
    <row r="1101" spans="7:7" x14ac:dyDescent="0.2">
      <c r="G1101" s="57"/>
    </row>
    <row r="1102" spans="7:7" x14ac:dyDescent="0.2">
      <c r="G1102" s="57"/>
    </row>
    <row r="1103" spans="7:7" x14ac:dyDescent="0.2">
      <c r="G1103" s="57"/>
    </row>
    <row r="1104" spans="7:7" x14ac:dyDescent="0.2">
      <c r="G1104" s="57"/>
    </row>
    <row r="1105" spans="7:7" x14ac:dyDescent="0.2">
      <c r="G1105" s="57"/>
    </row>
    <row r="1106" spans="7:7" x14ac:dyDescent="0.2">
      <c r="G1106" s="57"/>
    </row>
    <row r="1107" spans="7:7" x14ac:dyDescent="0.2">
      <c r="G1107" s="57"/>
    </row>
    <row r="1108" spans="7:7" x14ac:dyDescent="0.2">
      <c r="G1108" s="57"/>
    </row>
    <row r="1109" spans="7:7" x14ac:dyDescent="0.2">
      <c r="G1109" s="57"/>
    </row>
    <row r="1110" spans="7:7" x14ac:dyDescent="0.2">
      <c r="G1110" s="57"/>
    </row>
    <row r="1111" spans="7:7" x14ac:dyDescent="0.2">
      <c r="G1111" s="57"/>
    </row>
    <row r="1112" spans="7:7" x14ac:dyDescent="0.2">
      <c r="G1112" s="57"/>
    </row>
    <row r="1113" spans="7:7" x14ac:dyDescent="0.2">
      <c r="G1113" s="57"/>
    </row>
    <row r="1114" spans="7:7" x14ac:dyDescent="0.2">
      <c r="G1114" s="57"/>
    </row>
    <row r="1115" spans="7:7" x14ac:dyDescent="0.2">
      <c r="G1115" s="57"/>
    </row>
    <row r="1116" spans="7:7" x14ac:dyDescent="0.2">
      <c r="G1116" s="57"/>
    </row>
    <row r="1117" spans="7:7" x14ac:dyDescent="0.2">
      <c r="G1117" s="57"/>
    </row>
    <row r="1118" spans="7:7" x14ac:dyDescent="0.2">
      <c r="G1118" s="57"/>
    </row>
    <row r="1119" spans="7:7" x14ac:dyDescent="0.2">
      <c r="G1119" s="57"/>
    </row>
    <row r="1120" spans="7:7" x14ac:dyDescent="0.2">
      <c r="G1120" s="57"/>
    </row>
    <row r="1121" spans="7:7" x14ac:dyDescent="0.2">
      <c r="G1121" s="57"/>
    </row>
    <row r="1122" spans="7:7" x14ac:dyDescent="0.2">
      <c r="G1122" s="57"/>
    </row>
    <row r="1123" spans="7:7" x14ac:dyDescent="0.2">
      <c r="G1123" s="57"/>
    </row>
    <row r="1124" spans="7:7" x14ac:dyDescent="0.2">
      <c r="G1124" s="57"/>
    </row>
    <row r="1125" spans="7:7" x14ac:dyDescent="0.2">
      <c r="G1125" s="57"/>
    </row>
    <row r="1126" spans="7:7" x14ac:dyDescent="0.2">
      <c r="G1126" s="57"/>
    </row>
    <row r="1127" spans="7:7" x14ac:dyDescent="0.2">
      <c r="G1127" s="57"/>
    </row>
    <row r="1128" spans="7:7" x14ac:dyDescent="0.2">
      <c r="G1128" s="57"/>
    </row>
    <row r="1129" spans="7:7" x14ac:dyDescent="0.2">
      <c r="G1129" s="57"/>
    </row>
    <row r="1130" spans="7:7" x14ac:dyDescent="0.2">
      <c r="G1130" s="57"/>
    </row>
    <row r="1131" spans="7:7" x14ac:dyDescent="0.2">
      <c r="G1131" s="57"/>
    </row>
    <row r="1132" spans="7:7" x14ac:dyDescent="0.2">
      <c r="G1132" s="57"/>
    </row>
    <row r="1133" spans="7:7" x14ac:dyDescent="0.2">
      <c r="G1133" s="57"/>
    </row>
    <row r="1134" spans="7:7" x14ac:dyDescent="0.2">
      <c r="G1134" s="57"/>
    </row>
    <row r="1135" spans="7:7" x14ac:dyDescent="0.2">
      <c r="G1135" s="57"/>
    </row>
    <row r="1136" spans="7:7" x14ac:dyDescent="0.2">
      <c r="G1136" s="57"/>
    </row>
    <row r="1137" spans="7:7" x14ac:dyDescent="0.2">
      <c r="G1137" s="57"/>
    </row>
    <row r="1138" spans="7:7" x14ac:dyDescent="0.2">
      <c r="G1138" s="57"/>
    </row>
    <row r="1139" spans="7:7" x14ac:dyDescent="0.2">
      <c r="G1139" s="57"/>
    </row>
    <row r="1140" spans="7:7" x14ac:dyDescent="0.2">
      <c r="G1140" s="57"/>
    </row>
    <row r="1141" spans="7:7" x14ac:dyDescent="0.2">
      <c r="G1141" s="57"/>
    </row>
    <row r="1142" spans="7:7" x14ac:dyDescent="0.2">
      <c r="G1142" s="57"/>
    </row>
    <row r="1143" spans="7:7" x14ac:dyDescent="0.2">
      <c r="G1143" s="57"/>
    </row>
    <row r="1144" spans="7:7" x14ac:dyDescent="0.2">
      <c r="G1144" s="57"/>
    </row>
    <row r="1145" spans="7:7" x14ac:dyDescent="0.2">
      <c r="G1145" s="57"/>
    </row>
    <row r="1146" spans="7:7" x14ac:dyDescent="0.2">
      <c r="G1146" s="57"/>
    </row>
    <row r="1147" spans="7:7" x14ac:dyDescent="0.2">
      <c r="G1147" s="57"/>
    </row>
    <row r="1148" spans="7:7" x14ac:dyDescent="0.2">
      <c r="G1148" s="57"/>
    </row>
    <row r="1149" spans="7:7" x14ac:dyDescent="0.2">
      <c r="G1149" s="57"/>
    </row>
    <row r="1150" spans="7:7" x14ac:dyDescent="0.2">
      <c r="G1150" s="57"/>
    </row>
    <row r="1151" spans="7:7" x14ac:dyDescent="0.2">
      <c r="G1151" s="57"/>
    </row>
    <row r="1152" spans="7:7" x14ac:dyDescent="0.2">
      <c r="G1152" s="57"/>
    </row>
    <row r="1153" spans="7:7" x14ac:dyDescent="0.2">
      <c r="G1153" s="57"/>
    </row>
    <row r="1154" spans="7:7" x14ac:dyDescent="0.2">
      <c r="G1154" s="57"/>
    </row>
    <row r="1155" spans="7:7" x14ac:dyDescent="0.2">
      <c r="G1155" s="57"/>
    </row>
    <row r="1156" spans="7:7" x14ac:dyDescent="0.2">
      <c r="G1156" s="57"/>
    </row>
    <row r="1157" spans="7:7" x14ac:dyDescent="0.2">
      <c r="G1157" s="57"/>
    </row>
    <row r="1158" spans="7:7" x14ac:dyDescent="0.2">
      <c r="G1158" s="57"/>
    </row>
    <row r="1159" spans="7:7" x14ac:dyDescent="0.2">
      <c r="G1159" s="57"/>
    </row>
    <row r="1160" spans="7:7" x14ac:dyDescent="0.2">
      <c r="G1160" s="57"/>
    </row>
    <row r="1161" spans="7:7" x14ac:dyDescent="0.2">
      <c r="G1161" s="57"/>
    </row>
    <row r="1162" spans="7:7" x14ac:dyDescent="0.2">
      <c r="G1162" s="57"/>
    </row>
    <row r="1163" spans="7:7" x14ac:dyDescent="0.2">
      <c r="G1163" s="57"/>
    </row>
    <row r="1164" spans="7:7" x14ac:dyDescent="0.2">
      <c r="G1164" s="57"/>
    </row>
    <row r="1165" spans="7:7" x14ac:dyDescent="0.2">
      <c r="G1165" s="57"/>
    </row>
    <row r="1166" spans="7:7" x14ac:dyDescent="0.2">
      <c r="G1166" s="57"/>
    </row>
    <row r="1167" spans="7:7" x14ac:dyDescent="0.2">
      <c r="G1167" s="57"/>
    </row>
    <row r="1168" spans="7:7" x14ac:dyDescent="0.2">
      <c r="G1168" s="57"/>
    </row>
    <row r="1169" spans="7:7" x14ac:dyDescent="0.2">
      <c r="G1169" s="57"/>
    </row>
    <row r="1170" spans="7:7" x14ac:dyDescent="0.2">
      <c r="G1170" s="57"/>
    </row>
    <row r="1171" spans="7:7" x14ac:dyDescent="0.2">
      <c r="G1171" s="57"/>
    </row>
    <row r="1172" spans="7:7" x14ac:dyDescent="0.2">
      <c r="G1172" s="57"/>
    </row>
    <row r="1173" spans="7:7" x14ac:dyDescent="0.2">
      <c r="G1173" s="57"/>
    </row>
    <row r="1174" spans="7:7" x14ac:dyDescent="0.2">
      <c r="G1174" s="57"/>
    </row>
    <row r="1175" spans="7:7" x14ac:dyDescent="0.2">
      <c r="G1175" s="57"/>
    </row>
    <row r="1176" spans="7:7" x14ac:dyDescent="0.2">
      <c r="G1176" s="57"/>
    </row>
    <row r="1177" spans="7:7" x14ac:dyDescent="0.2">
      <c r="G1177" s="57"/>
    </row>
    <row r="1178" spans="7:7" x14ac:dyDescent="0.2">
      <c r="G1178" s="57"/>
    </row>
    <row r="1179" spans="7:7" x14ac:dyDescent="0.2">
      <c r="G1179" s="57"/>
    </row>
    <row r="1180" spans="7:7" x14ac:dyDescent="0.2">
      <c r="G1180" s="57"/>
    </row>
    <row r="1181" spans="7:7" x14ac:dyDescent="0.2">
      <c r="G1181" s="57"/>
    </row>
    <row r="1182" spans="7:7" x14ac:dyDescent="0.2">
      <c r="G1182" s="57"/>
    </row>
    <row r="1183" spans="7:7" x14ac:dyDescent="0.2">
      <c r="G1183" s="57"/>
    </row>
    <row r="1184" spans="7:7" x14ac:dyDescent="0.2">
      <c r="G1184" s="57"/>
    </row>
    <row r="1185" spans="7:7" x14ac:dyDescent="0.2">
      <c r="G1185" s="57"/>
    </row>
    <row r="1186" spans="7:7" x14ac:dyDescent="0.2">
      <c r="G1186" s="57"/>
    </row>
    <row r="1187" spans="7:7" x14ac:dyDescent="0.2">
      <c r="G1187" s="57"/>
    </row>
    <row r="1188" spans="7:7" x14ac:dyDescent="0.2">
      <c r="G1188" s="57"/>
    </row>
    <row r="1189" spans="7:7" x14ac:dyDescent="0.2">
      <c r="G1189" s="57"/>
    </row>
    <row r="1190" spans="7:7" x14ac:dyDescent="0.2">
      <c r="G1190" s="57"/>
    </row>
    <row r="1191" spans="7:7" x14ac:dyDescent="0.2">
      <c r="G1191" s="57"/>
    </row>
    <row r="1192" spans="7:7" x14ac:dyDescent="0.2">
      <c r="G1192" s="57"/>
    </row>
    <row r="1193" spans="7:7" x14ac:dyDescent="0.2">
      <c r="G1193" s="57"/>
    </row>
    <row r="1194" spans="7:7" x14ac:dyDescent="0.2">
      <c r="G1194" s="57"/>
    </row>
    <row r="1195" spans="7:7" x14ac:dyDescent="0.2">
      <c r="G1195" s="57"/>
    </row>
    <row r="1196" spans="7:7" x14ac:dyDescent="0.2">
      <c r="G1196" s="57"/>
    </row>
    <row r="1197" spans="7:7" x14ac:dyDescent="0.2">
      <c r="G1197" s="57"/>
    </row>
    <row r="1198" spans="7:7" x14ac:dyDescent="0.2">
      <c r="G1198" s="57"/>
    </row>
    <row r="1199" spans="7:7" x14ac:dyDescent="0.2">
      <c r="G1199" s="57"/>
    </row>
    <row r="1200" spans="7:7" x14ac:dyDescent="0.2">
      <c r="G1200" s="57"/>
    </row>
    <row r="1201" spans="7:7" x14ac:dyDescent="0.2">
      <c r="G1201" s="57"/>
    </row>
    <row r="1202" spans="7:7" x14ac:dyDescent="0.2">
      <c r="G1202" s="57"/>
    </row>
    <row r="1203" spans="7:7" x14ac:dyDescent="0.2">
      <c r="G1203" s="57"/>
    </row>
    <row r="1204" spans="7:7" x14ac:dyDescent="0.2">
      <c r="G1204" s="57"/>
    </row>
    <row r="1205" spans="7:7" x14ac:dyDescent="0.2">
      <c r="G1205" s="57"/>
    </row>
    <row r="1206" spans="7:7" x14ac:dyDescent="0.2">
      <c r="G1206" s="57"/>
    </row>
    <row r="1207" spans="7:7" x14ac:dyDescent="0.2">
      <c r="G1207" s="57"/>
    </row>
    <row r="1208" spans="7:7" x14ac:dyDescent="0.2">
      <c r="G1208" s="57"/>
    </row>
    <row r="1209" spans="7:7" x14ac:dyDescent="0.2">
      <c r="G1209" s="57"/>
    </row>
    <row r="1210" spans="7:7" x14ac:dyDescent="0.2">
      <c r="G1210" s="57"/>
    </row>
    <row r="1211" spans="7:7" x14ac:dyDescent="0.2">
      <c r="G1211" s="57"/>
    </row>
    <row r="1212" spans="7:7" x14ac:dyDescent="0.2">
      <c r="G1212" s="57"/>
    </row>
    <row r="1213" spans="7:7" x14ac:dyDescent="0.2">
      <c r="G1213" s="57"/>
    </row>
    <row r="1214" spans="7:7" x14ac:dyDescent="0.2">
      <c r="G1214" s="57"/>
    </row>
    <row r="1215" spans="7:7" x14ac:dyDescent="0.2">
      <c r="G1215" s="57"/>
    </row>
    <row r="1216" spans="7:7" x14ac:dyDescent="0.2">
      <c r="G1216" s="57"/>
    </row>
    <row r="1217" spans="7:7" x14ac:dyDescent="0.2">
      <c r="G1217" s="57"/>
    </row>
    <row r="1218" spans="7:7" x14ac:dyDescent="0.2">
      <c r="G1218" s="57"/>
    </row>
    <row r="1219" spans="7:7" x14ac:dyDescent="0.2">
      <c r="G1219" s="57"/>
    </row>
    <row r="1220" spans="7:7" x14ac:dyDescent="0.2">
      <c r="G1220" s="57"/>
    </row>
    <row r="1221" spans="7:7" x14ac:dyDescent="0.2">
      <c r="G1221" s="57"/>
    </row>
    <row r="1222" spans="7:7" x14ac:dyDescent="0.2">
      <c r="G1222" s="57"/>
    </row>
    <row r="1223" spans="7:7" x14ac:dyDescent="0.2">
      <c r="G1223" s="57"/>
    </row>
    <row r="1224" spans="7:7" x14ac:dyDescent="0.2">
      <c r="G1224" s="57"/>
    </row>
    <row r="1225" spans="7:7" x14ac:dyDescent="0.2">
      <c r="G1225" s="57"/>
    </row>
    <row r="1226" spans="7:7" x14ac:dyDescent="0.2">
      <c r="G1226" s="57"/>
    </row>
    <row r="1227" spans="7:7" x14ac:dyDescent="0.2">
      <c r="G1227" s="57"/>
    </row>
    <row r="1228" spans="7:7" x14ac:dyDescent="0.2">
      <c r="G1228" s="57"/>
    </row>
    <row r="1229" spans="7:7" x14ac:dyDescent="0.2">
      <c r="G1229" s="57"/>
    </row>
    <row r="1230" spans="7:7" x14ac:dyDescent="0.2">
      <c r="G1230" s="57"/>
    </row>
    <row r="1231" spans="7:7" x14ac:dyDescent="0.2">
      <c r="G1231" s="57"/>
    </row>
    <row r="1232" spans="7:7" x14ac:dyDescent="0.2">
      <c r="G1232" s="57"/>
    </row>
    <row r="1233" spans="7:7" x14ac:dyDescent="0.2">
      <c r="G1233" s="57"/>
    </row>
    <row r="1234" spans="7:7" x14ac:dyDescent="0.2">
      <c r="G1234" s="57"/>
    </row>
    <row r="1235" spans="7:7" x14ac:dyDescent="0.2">
      <c r="G1235" s="57"/>
    </row>
    <row r="1236" spans="7:7" x14ac:dyDescent="0.2">
      <c r="G1236" s="57"/>
    </row>
    <row r="1237" spans="7:7" x14ac:dyDescent="0.2">
      <c r="G1237" s="57"/>
    </row>
    <row r="1238" spans="7:7" x14ac:dyDescent="0.2">
      <c r="G1238" s="57"/>
    </row>
    <row r="1239" spans="7:7" x14ac:dyDescent="0.2">
      <c r="G1239" s="57"/>
    </row>
    <row r="1240" spans="7:7" x14ac:dyDescent="0.2">
      <c r="G1240" s="57"/>
    </row>
    <row r="1241" spans="7:7" x14ac:dyDescent="0.2">
      <c r="G1241" s="57"/>
    </row>
    <row r="1242" spans="7:7" x14ac:dyDescent="0.2">
      <c r="G1242" s="57"/>
    </row>
    <row r="1243" spans="7:7" x14ac:dyDescent="0.2">
      <c r="G1243" s="57"/>
    </row>
    <row r="1244" spans="7:7" x14ac:dyDescent="0.2">
      <c r="G1244" s="57"/>
    </row>
    <row r="1245" spans="7:7" x14ac:dyDescent="0.2">
      <c r="G1245" s="57"/>
    </row>
    <row r="1246" spans="7:7" x14ac:dyDescent="0.2">
      <c r="G1246" s="57"/>
    </row>
    <row r="1247" spans="7:7" x14ac:dyDescent="0.2">
      <c r="G1247" s="57"/>
    </row>
    <row r="1248" spans="7:7" x14ac:dyDescent="0.2">
      <c r="G1248" s="57"/>
    </row>
    <row r="1249" spans="7:7" x14ac:dyDescent="0.2">
      <c r="G1249" s="57"/>
    </row>
    <row r="1250" spans="7:7" x14ac:dyDescent="0.2">
      <c r="G1250" s="57"/>
    </row>
    <row r="1251" spans="7:7" x14ac:dyDescent="0.2">
      <c r="G1251" s="57"/>
    </row>
    <row r="1252" spans="7:7" x14ac:dyDescent="0.2">
      <c r="G1252" s="57"/>
    </row>
    <row r="1253" spans="7:7" x14ac:dyDescent="0.2">
      <c r="G1253" s="57"/>
    </row>
    <row r="1254" spans="7:7" x14ac:dyDescent="0.2">
      <c r="G1254" s="57"/>
    </row>
    <row r="1255" spans="7:7" x14ac:dyDescent="0.2">
      <c r="G1255" s="57"/>
    </row>
    <row r="1256" spans="7:7" x14ac:dyDescent="0.2">
      <c r="G1256" s="57"/>
    </row>
    <row r="1257" spans="7:7" x14ac:dyDescent="0.2">
      <c r="G1257" s="57"/>
    </row>
    <row r="1258" spans="7:7" x14ac:dyDescent="0.2">
      <c r="G1258" s="57"/>
    </row>
    <row r="1259" spans="7:7" x14ac:dyDescent="0.2">
      <c r="G1259" s="57"/>
    </row>
    <row r="1260" spans="7:7" x14ac:dyDescent="0.2">
      <c r="G1260" s="57"/>
    </row>
    <row r="1261" spans="7:7" x14ac:dyDescent="0.2">
      <c r="G1261" s="57"/>
    </row>
    <row r="1262" spans="7:7" x14ac:dyDescent="0.2">
      <c r="G1262" s="57"/>
    </row>
    <row r="1263" spans="7:7" x14ac:dyDescent="0.2">
      <c r="G1263" s="57"/>
    </row>
    <row r="1264" spans="7:7" x14ac:dyDescent="0.2">
      <c r="G1264" s="57"/>
    </row>
    <row r="1265" spans="7:7" x14ac:dyDescent="0.2">
      <c r="G1265" s="57"/>
    </row>
    <row r="1266" spans="7:7" x14ac:dyDescent="0.2">
      <c r="G1266" s="57"/>
    </row>
    <row r="1267" spans="7:7" x14ac:dyDescent="0.2">
      <c r="G1267" s="57"/>
    </row>
    <row r="1268" spans="7:7" x14ac:dyDescent="0.2">
      <c r="G1268" s="57"/>
    </row>
    <row r="1269" spans="7:7" x14ac:dyDescent="0.2">
      <c r="G1269" s="57"/>
    </row>
    <row r="1270" spans="7:7" x14ac:dyDescent="0.2">
      <c r="G1270" s="57"/>
    </row>
    <row r="1271" spans="7:7" x14ac:dyDescent="0.2">
      <c r="G1271" s="57"/>
    </row>
    <row r="1272" spans="7:7" x14ac:dyDescent="0.2">
      <c r="G1272" s="57"/>
    </row>
    <row r="1273" spans="7:7" x14ac:dyDescent="0.2">
      <c r="G1273" s="57"/>
    </row>
    <row r="1274" spans="7:7" x14ac:dyDescent="0.2">
      <c r="G1274" s="57"/>
    </row>
    <row r="1275" spans="7:7" x14ac:dyDescent="0.2">
      <c r="G1275" s="57"/>
    </row>
    <row r="1276" spans="7:7" x14ac:dyDescent="0.2">
      <c r="G1276" s="57"/>
    </row>
    <row r="1277" spans="7:7" x14ac:dyDescent="0.2">
      <c r="G1277" s="57"/>
    </row>
    <row r="1278" spans="7:7" x14ac:dyDescent="0.2">
      <c r="G1278" s="57"/>
    </row>
    <row r="1279" spans="7:7" x14ac:dyDescent="0.2">
      <c r="G1279" s="57"/>
    </row>
    <row r="1280" spans="7:7" x14ac:dyDescent="0.2">
      <c r="G1280" s="57"/>
    </row>
    <row r="1281" spans="7:7" x14ac:dyDescent="0.2">
      <c r="G1281" s="57"/>
    </row>
    <row r="1282" spans="7:7" x14ac:dyDescent="0.2">
      <c r="G1282" s="57"/>
    </row>
    <row r="1283" spans="7:7" x14ac:dyDescent="0.2">
      <c r="G1283" s="57"/>
    </row>
    <row r="1284" spans="7:7" x14ac:dyDescent="0.2">
      <c r="G1284" s="57"/>
    </row>
    <row r="1285" spans="7:7" x14ac:dyDescent="0.2">
      <c r="G1285" s="57"/>
    </row>
    <row r="1286" spans="7:7" x14ac:dyDescent="0.2">
      <c r="G1286" s="57"/>
    </row>
    <row r="1287" spans="7:7" x14ac:dyDescent="0.2">
      <c r="G1287" s="57"/>
    </row>
    <row r="1288" spans="7:7" x14ac:dyDescent="0.2">
      <c r="G1288" s="57"/>
    </row>
    <row r="1289" spans="7:7" x14ac:dyDescent="0.2">
      <c r="G1289" s="57"/>
    </row>
    <row r="1290" spans="7:7" x14ac:dyDescent="0.2">
      <c r="G1290" s="57"/>
    </row>
    <row r="1291" spans="7:7" x14ac:dyDescent="0.2">
      <c r="G1291" s="57"/>
    </row>
    <row r="1292" spans="7:7" x14ac:dyDescent="0.2">
      <c r="G1292" s="57"/>
    </row>
    <row r="1293" spans="7:7" x14ac:dyDescent="0.2">
      <c r="G1293" s="57"/>
    </row>
    <row r="1294" spans="7:7" x14ac:dyDescent="0.2">
      <c r="G1294" s="57"/>
    </row>
    <row r="1295" spans="7:7" x14ac:dyDescent="0.2">
      <c r="G1295" s="57"/>
    </row>
    <row r="1296" spans="7:7" x14ac:dyDescent="0.2">
      <c r="G1296" s="57"/>
    </row>
    <row r="1297" spans="7:7" x14ac:dyDescent="0.2">
      <c r="G1297" s="57"/>
    </row>
    <row r="1298" spans="7:7" x14ac:dyDescent="0.2">
      <c r="G1298" s="57"/>
    </row>
    <row r="1299" spans="7:7" x14ac:dyDescent="0.2">
      <c r="G1299" s="57"/>
    </row>
    <row r="1300" spans="7:7" x14ac:dyDescent="0.2">
      <c r="G1300" s="57"/>
    </row>
    <row r="1301" spans="7:7" x14ac:dyDescent="0.2">
      <c r="G1301" s="57"/>
    </row>
    <row r="1302" spans="7:7" x14ac:dyDescent="0.2">
      <c r="G1302" s="57"/>
    </row>
    <row r="1303" spans="7:7" x14ac:dyDescent="0.2">
      <c r="G1303" s="57"/>
    </row>
    <row r="1304" spans="7:7" x14ac:dyDescent="0.2">
      <c r="G1304" s="57"/>
    </row>
    <row r="1305" spans="7:7" x14ac:dyDescent="0.2">
      <c r="G1305" s="57"/>
    </row>
    <row r="1306" spans="7:7" x14ac:dyDescent="0.2">
      <c r="G1306" s="57"/>
    </row>
    <row r="1307" spans="7:7" x14ac:dyDescent="0.2">
      <c r="G1307" s="57"/>
    </row>
    <row r="1308" spans="7:7" x14ac:dyDescent="0.2">
      <c r="G1308" s="57"/>
    </row>
    <row r="1309" spans="7:7" x14ac:dyDescent="0.2">
      <c r="G1309" s="57"/>
    </row>
    <row r="1310" spans="7:7" x14ac:dyDescent="0.2">
      <c r="G1310" s="57"/>
    </row>
    <row r="1311" spans="7:7" x14ac:dyDescent="0.2">
      <c r="G1311" s="57"/>
    </row>
    <row r="1312" spans="7:7" x14ac:dyDescent="0.2">
      <c r="G1312" s="57"/>
    </row>
    <row r="1313" spans="7:7" x14ac:dyDescent="0.2">
      <c r="G1313" s="57"/>
    </row>
    <row r="1314" spans="7:7" x14ac:dyDescent="0.2">
      <c r="G1314" s="57"/>
    </row>
    <row r="1315" spans="7:7" x14ac:dyDescent="0.2">
      <c r="G1315" s="57"/>
    </row>
    <row r="1316" spans="7:7" x14ac:dyDescent="0.2">
      <c r="G1316" s="57"/>
    </row>
    <row r="1317" spans="7:7" x14ac:dyDescent="0.2">
      <c r="G1317" s="57"/>
    </row>
    <row r="1318" spans="7:7" x14ac:dyDescent="0.2">
      <c r="G1318" s="57"/>
    </row>
    <row r="1319" spans="7:7" x14ac:dyDescent="0.2">
      <c r="G1319" s="57"/>
    </row>
    <row r="1320" spans="7:7" x14ac:dyDescent="0.2">
      <c r="G1320" s="57"/>
    </row>
    <row r="1321" spans="7:7" x14ac:dyDescent="0.2">
      <c r="G1321" s="57"/>
    </row>
    <row r="1322" spans="7:7" x14ac:dyDescent="0.2">
      <c r="G1322" s="57"/>
    </row>
    <row r="1323" spans="7:7" x14ac:dyDescent="0.2">
      <c r="G1323" s="57"/>
    </row>
    <row r="1324" spans="7:7" x14ac:dyDescent="0.2">
      <c r="G1324" s="57"/>
    </row>
    <row r="1325" spans="7:7" x14ac:dyDescent="0.2">
      <c r="G1325" s="57"/>
    </row>
    <row r="1326" spans="7:7" x14ac:dyDescent="0.2">
      <c r="G1326" s="57"/>
    </row>
    <row r="1327" spans="7:7" x14ac:dyDescent="0.2">
      <c r="G1327" s="57"/>
    </row>
    <row r="1328" spans="7:7" x14ac:dyDescent="0.2">
      <c r="G1328" s="57"/>
    </row>
    <row r="1329" spans="7:7" x14ac:dyDescent="0.2">
      <c r="G1329" s="57"/>
    </row>
    <row r="1330" spans="7:7" x14ac:dyDescent="0.2">
      <c r="G1330" s="57"/>
    </row>
    <row r="1331" spans="7:7" x14ac:dyDescent="0.2">
      <c r="G1331" s="57"/>
    </row>
    <row r="1332" spans="7:7" x14ac:dyDescent="0.2">
      <c r="G1332" s="57"/>
    </row>
    <row r="1333" spans="7:7" x14ac:dyDescent="0.2">
      <c r="G1333" s="57"/>
    </row>
    <row r="1334" spans="7:7" x14ac:dyDescent="0.2">
      <c r="G1334" s="57"/>
    </row>
    <row r="1335" spans="7:7" x14ac:dyDescent="0.2">
      <c r="G1335" s="57"/>
    </row>
    <row r="1336" spans="7:7" x14ac:dyDescent="0.2">
      <c r="G1336" s="57"/>
    </row>
    <row r="1337" spans="7:7" x14ac:dyDescent="0.2">
      <c r="G1337" s="57"/>
    </row>
    <row r="1338" spans="7:7" x14ac:dyDescent="0.2">
      <c r="G1338" s="57"/>
    </row>
    <row r="1339" spans="7:7" x14ac:dyDescent="0.2">
      <c r="G1339" s="57"/>
    </row>
    <row r="1340" spans="7:7" x14ac:dyDescent="0.2">
      <c r="G1340" s="57"/>
    </row>
    <row r="1341" spans="7:7" x14ac:dyDescent="0.2">
      <c r="G1341" s="57"/>
    </row>
    <row r="1342" spans="7:7" x14ac:dyDescent="0.2">
      <c r="G1342" s="57"/>
    </row>
    <row r="1343" spans="7:7" x14ac:dyDescent="0.2">
      <c r="G1343" s="57"/>
    </row>
    <row r="1344" spans="7:7" x14ac:dyDescent="0.2">
      <c r="G1344" s="57"/>
    </row>
    <row r="1345" spans="7:7" x14ac:dyDescent="0.2">
      <c r="G1345" s="57"/>
    </row>
    <row r="1346" spans="7:7" x14ac:dyDescent="0.2">
      <c r="G1346" s="57"/>
    </row>
    <row r="1347" spans="7:7" x14ac:dyDescent="0.2">
      <c r="G1347" s="57"/>
    </row>
    <row r="1348" spans="7:7" x14ac:dyDescent="0.2">
      <c r="G1348" s="57"/>
    </row>
    <row r="1349" spans="7:7" x14ac:dyDescent="0.2">
      <c r="G1349" s="57"/>
    </row>
    <row r="1350" spans="7:7" x14ac:dyDescent="0.2">
      <c r="G1350" s="57"/>
    </row>
    <row r="1351" spans="7:7" x14ac:dyDescent="0.2">
      <c r="G1351" s="57"/>
    </row>
    <row r="1352" spans="7:7" x14ac:dyDescent="0.2">
      <c r="G1352" s="57"/>
    </row>
    <row r="1353" spans="7:7" x14ac:dyDescent="0.2">
      <c r="G1353" s="57"/>
    </row>
    <row r="1354" spans="7:7" x14ac:dyDescent="0.2">
      <c r="G1354" s="57"/>
    </row>
    <row r="1355" spans="7:7" x14ac:dyDescent="0.2">
      <c r="G1355" s="57"/>
    </row>
    <row r="1356" spans="7:7" x14ac:dyDescent="0.2">
      <c r="G1356" s="57"/>
    </row>
    <row r="1357" spans="7:7" x14ac:dyDescent="0.2">
      <c r="G1357" s="57"/>
    </row>
    <row r="1358" spans="7:7" x14ac:dyDescent="0.2">
      <c r="G1358" s="57"/>
    </row>
    <row r="1359" spans="7:7" x14ac:dyDescent="0.2">
      <c r="G1359" s="57"/>
    </row>
    <row r="1360" spans="7:7" x14ac:dyDescent="0.2">
      <c r="G1360" s="57"/>
    </row>
    <row r="1361" spans="7:7" x14ac:dyDescent="0.2">
      <c r="G1361" s="57"/>
    </row>
    <row r="1362" spans="7:7" x14ac:dyDescent="0.2">
      <c r="G1362" s="57"/>
    </row>
    <row r="1363" spans="7:7" x14ac:dyDescent="0.2">
      <c r="G1363" s="57"/>
    </row>
    <row r="1364" spans="7:7" x14ac:dyDescent="0.2">
      <c r="G1364" s="57"/>
    </row>
    <row r="1365" spans="7:7" x14ac:dyDescent="0.2">
      <c r="G1365" s="57"/>
    </row>
    <row r="1366" spans="7:7" x14ac:dyDescent="0.2">
      <c r="G1366" s="57"/>
    </row>
    <row r="1367" spans="7:7" x14ac:dyDescent="0.2">
      <c r="G1367" s="57"/>
    </row>
    <row r="1368" spans="7:7" x14ac:dyDescent="0.2">
      <c r="G1368" s="57"/>
    </row>
    <row r="1369" spans="7:7" x14ac:dyDescent="0.2">
      <c r="G1369" s="57"/>
    </row>
    <row r="1370" spans="7:7" x14ac:dyDescent="0.2">
      <c r="G1370" s="57"/>
    </row>
    <row r="1371" spans="7:7" x14ac:dyDescent="0.2">
      <c r="G1371" s="57"/>
    </row>
    <row r="1372" spans="7:7" x14ac:dyDescent="0.2">
      <c r="G1372" s="57"/>
    </row>
    <row r="1373" spans="7:7" x14ac:dyDescent="0.2">
      <c r="G1373" s="57"/>
    </row>
    <row r="1374" spans="7:7" x14ac:dyDescent="0.2">
      <c r="G1374" s="57"/>
    </row>
    <row r="1375" spans="7:7" x14ac:dyDescent="0.2">
      <c r="G1375" s="57"/>
    </row>
    <row r="1376" spans="7:7" x14ac:dyDescent="0.2">
      <c r="G1376" s="57"/>
    </row>
    <row r="1377" spans="7:7" x14ac:dyDescent="0.2">
      <c r="G1377" s="57"/>
    </row>
    <row r="1378" spans="7:7" x14ac:dyDescent="0.2">
      <c r="G1378" s="57"/>
    </row>
    <row r="1379" spans="7:7" x14ac:dyDescent="0.2">
      <c r="G1379" s="57"/>
    </row>
    <row r="1380" spans="7:7" x14ac:dyDescent="0.2">
      <c r="G1380" s="57"/>
    </row>
    <row r="1381" spans="7:7" x14ac:dyDescent="0.2">
      <c r="G1381" s="57"/>
    </row>
    <row r="1382" spans="7:7" x14ac:dyDescent="0.2">
      <c r="G1382" s="57"/>
    </row>
    <row r="1383" spans="7:7" x14ac:dyDescent="0.2">
      <c r="G1383" s="57"/>
    </row>
    <row r="1384" spans="7:7" x14ac:dyDescent="0.2">
      <c r="G1384" s="57"/>
    </row>
    <row r="1385" spans="7:7" x14ac:dyDescent="0.2">
      <c r="G1385" s="57"/>
    </row>
    <row r="1386" spans="7:7" x14ac:dyDescent="0.2">
      <c r="G1386" s="57"/>
    </row>
    <row r="1387" spans="7:7" x14ac:dyDescent="0.2">
      <c r="G1387" s="57"/>
    </row>
    <row r="1388" spans="7:7" x14ac:dyDescent="0.2">
      <c r="G1388" s="57"/>
    </row>
    <row r="1389" spans="7:7" x14ac:dyDescent="0.2">
      <c r="G1389" s="57"/>
    </row>
    <row r="1390" spans="7:7" x14ac:dyDescent="0.2">
      <c r="G1390" s="57"/>
    </row>
    <row r="1391" spans="7:7" x14ac:dyDescent="0.2">
      <c r="G1391" s="57"/>
    </row>
    <row r="1392" spans="7:7" x14ac:dyDescent="0.2">
      <c r="G1392" s="57"/>
    </row>
    <row r="1393" spans="7:7" x14ac:dyDescent="0.2">
      <c r="G1393" s="57"/>
    </row>
    <row r="1394" spans="7:7" x14ac:dyDescent="0.2">
      <c r="G1394" s="57"/>
    </row>
    <row r="1395" spans="7:7" x14ac:dyDescent="0.2">
      <c r="G1395" s="57"/>
    </row>
    <row r="1396" spans="7:7" x14ac:dyDescent="0.2">
      <c r="G1396" s="57"/>
    </row>
    <row r="1397" spans="7:7" x14ac:dyDescent="0.2">
      <c r="G1397" s="57"/>
    </row>
    <row r="1398" spans="7:7" x14ac:dyDescent="0.2">
      <c r="G1398" s="57"/>
    </row>
    <row r="1399" spans="7:7" x14ac:dyDescent="0.2">
      <c r="G1399" s="57"/>
    </row>
    <row r="1400" spans="7:7" x14ac:dyDescent="0.2">
      <c r="G1400" s="57"/>
    </row>
    <row r="1401" spans="7:7" x14ac:dyDescent="0.2">
      <c r="G1401" s="57"/>
    </row>
    <row r="1402" spans="7:7" x14ac:dyDescent="0.2">
      <c r="G1402" s="57"/>
    </row>
    <row r="1403" spans="7:7" x14ac:dyDescent="0.2">
      <c r="G1403" s="57"/>
    </row>
    <row r="1404" spans="7:7" x14ac:dyDescent="0.2">
      <c r="G1404" s="57"/>
    </row>
    <row r="1405" spans="7:7" x14ac:dyDescent="0.2">
      <c r="G1405" s="57"/>
    </row>
    <row r="1406" spans="7:7" x14ac:dyDescent="0.2">
      <c r="G1406" s="57"/>
    </row>
    <row r="1407" spans="7:7" x14ac:dyDescent="0.2">
      <c r="G1407" s="57"/>
    </row>
    <row r="1408" spans="7:7" x14ac:dyDescent="0.2">
      <c r="G1408" s="57"/>
    </row>
    <row r="1409" spans="7:7" x14ac:dyDescent="0.2">
      <c r="G1409" s="57"/>
    </row>
    <row r="1410" spans="7:7" x14ac:dyDescent="0.2">
      <c r="G1410" s="57"/>
    </row>
    <row r="1411" spans="7:7" x14ac:dyDescent="0.2">
      <c r="G1411" s="57"/>
    </row>
    <row r="1412" spans="7:7" x14ac:dyDescent="0.2">
      <c r="G1412" s="57"/>
    </row>
    <row r="1413" spans="7:7" x14ac:dyDescent="0.2">
      <c r="G1413" s="57"/>
    </row>
    <row r="1414" spans="7:7" x14ac:dyDescent="0.2">
      <c r="G1414" s="57"/>
    </row>
    <row r="1415" spans="7:7" x14ac:dyDescent="0.2">
      <c r="G1415" s="57"/>
    </row>
    <row r="1416" spans="7:7" x14ac:dyDescent="0.2">
      <c r="G1416" s="57"/>
    </row>
    <row r="1417" spans="7:7" x14ac:dyDescent="0.2">
      <c r="G1417" s="57"/>
    </row>
    <row r="1418" spans="7:7" x14ac:dyDescent="0.2">
      <c r="G1418" s="57"/>
    </row>
    <row r="1419" spans="7:7" x14ac:dyDescent="0.2">
      <c r="G1419" s="57"/>
    </row>
    <row r="1420" spans="7:7" x14ac:dyDescent="0.2">
      <c r="G1420" s="57"/>
    </row>
    <row r="1421" spans="7:7" x14ac:dyDescent="0.2">
      <c r="G1421" s="57"/>
    </row>
    <row r="1422" spans="7:7" x14ac:dyDescent="0.2">
      <c r="G1422" s="57"/>
    </row>
    <row r="1423" spans="7:7" x14ac:dyDescent="0.2">
      <c r="G1423" s="57"/>
    </row>
    <row r="1424" spans="7:7" x14ac:dyDescent="0.2">
      <c r="G1424" s="57"/>
    </row>
    <row r="1425" spans="7:7" x14ac:dyDescent="0.2">
      <c r="G1425" s="57"/>
    </row>
    <row r="1426" spans="7:7" x14ac:dyDescent="0.2">
      <c r="G1426" s="57"/>
    </row>
    <row r="1427" spans="7:7" x14ac:dyDescent="0.2">
      <c r="G1427" s="57"/>
    </row>
    <row r="1428" spans="7:7" x14ac:dyDescent="0.2">
      <c r="G1428" s="57"/>
    </row>
    <row r="1429" spans="7:7" x14ac:dyDescent="0.2">
      <c r="G1429" s="57"/>
    </row>
    <row r="1430" spans="7:7" x14ac:dyDescent="0.2">
      <c r="G1430" s="57"/>
    </row>
    <row r="1431" spans="7:7" x14ac:dyDescent="0.2">
      <c r="G1431" s="57"/>
    </row>
    <row r="1432" spans="7:7" x14ac:dyDescent="0.2">
      <c r="G1432" s="57"/>
    </row>
    <row r="1433" spans="7:7" x14ac:dyDescent="0.2">
      <c r="G1433" s="57"/>
    </row>
    <row r="1434" spans="7:7" x14ac:dyDescent="0.2">
      <c r="G1434" s="57"/>
    </row>
    <row r="1435" spans="7:7" x14ac:dyDescent="0.2">
      <c r="G1435" s="57"/>
    </row>
    <row r="1436" spans="7:7" x14ac:dyDescent="0.2">
      <c r="G1436" s="57"/>
    </row>
    <row r="1437" spans="7:7" x14ac:dyDescent="0.2">
      <c r="G1437" s="57"/>
    </row>
    <row r="1438" spans="7:7" x14ac:dyDescent="0.2">
      <c r="G1438" s="57"/>
    </row>
    <row r="1439" spans="7:7" x14ac:dyDescent="0.2">
      <c r="G1439" s="57"/>
    </row>
    <row r="1440" spans="7:7" x14ac:dyDescent="0.2">
      <c r="G1440" s="57"/>
    </row>
    <row r="1441" spans="7:7" x14ac:dyDescent="0.2">
      <c r="G1441" s="57"/>
    </row>
    <row r="1442" spans="7:7" x14ac:dyDescent="0.2">
      <c r="G1442" s="57"/>
    </row>
    <row r="1443" spans="7:7" x14ac:dyDescent="0.2">
      <c r="G1443" s="57"/>
    </row>
    <row r="1444" spans="7:7" x14ac:dyDescent="0.2">
      <c r="G1444" s="57"/>
    </row>
    <row r="1445" spans="7:7" x14ac:dyDescent="0.2">
      <c r="G1445" s="57"/>
    </row>
    <row r="1446" spans="7:7" x14ac:dyDescent="0.2">
      <c r="G1446" s="57"/>
    </row>
    <row r="1447" spans="7:7" x14ac:dyDescent="0.2">
      <c r="G1447" s="57"/>
    </row>
  </sheetData>
  <sortState ref="A4:BD717">
    <sortCondition ref="B4:B717"/>
    <sortCondition ref="A4:A717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232"/>
  <sheetViews>
    <sheetView workbookViewId="0">
      <pane ySplit="3" topLeftCell="A4" activePane="bottomLeft" state="frozen"/>
      <selection pane="bottomLeft" activeCell="A4" sqref="A4"/>
    </sheetView>
  </sheetViews>
  <sheetFormatPr baseColWidth="10" defaultColWidth="10" defaultRowHeight="16" x14ac:dyDescent="0.2"/>
  <cols>
    <col min="1" max="1" width="39.5" style="3" customWidth="1"/>
    <col min="2" max="2" width="28.1640625" style="3" customWidth="1"/>
    <col min="3" max="3" width="18" style="3" customWidth="1"/>
    <col min="4" max="4" width="44.1640625" style="2" customWidth="1"/>
    <col min="5" max="5" width="16.83203125" style="2" bestFit="1" customWidth="1"/>
    <col min="6" max="9" width="10.5" style="2" bestFit="1" customWidth="1"/>
    <col min="10" max="10" width="8.33203125" style="3" customWidth="1"/>
    <col min="11" max="13" width="5.1640625" style="3" bestFit="1" customWidth="1"/>
    <col min="14" max="17" width="10" style="2"/>
    <col min="18" max="18" width="25.1640625" style="3" customWidth="1"/>
    <col min="19" max="16384" width="10" style="2"/>
  </cols>
  <sheetData>
    <row r="1" spans="1:23" x14ac:dyDescent="0.2">
      <c r="A1" s="159" t="s">
        <v>8182</v>
      </c>
    </row>
    <row r="3" spans="1:23" s="10" customFormat="1" x14ac:dyDescent="0.2">
      <c r="A3" s="6" t="s">
        <v>5781</v>
      </c>
      <c r="B3" s="6" t="s">
        <v>5780</v>
      </c>
      <c r="C3" s="10" t="s">
        <v>7</v>
      </c>
      <c r="D3" s="10" t="s">
        <v>9</v>
      </c>
      <c r="E3" s="10" t="s">
        <v>5782</v>
      </c>
      <c r="F3" s="10" t="s">
        <v>5783</v>
      </c>
      <c r="G3" s="10" t="s">
        <v>5784</v>
      </c>
      <c r="H3" s="10" t="s">
        <v>5786</v>
      </c>
      <c r="I3" s="10" t="s">
        <v>5787</v>
      </c>
      <c r="J3" s="6"/>
      <c r="K3" s="6"/>
      <c r="L3" s="6"/>
      <c r="M3" s="6"/>
      <c r="R3" s="3"/>
    </row>
    <row r="4" spans="1:23" ht="16" customHeight="1" x14ac:dyDescent="0.2">
      <c r="A4" s="3" t="s">
        <v>6691</v>
      </c>
      <c r="B4" s="3" t="s">
        <v>6710</v>
      </c>
      <c r="C4" s="3" t="s">
        <v>1469</v>
      </c>
      <c r="D4" s="3" t="s">
        <v>1470</v>
      </c>
      <c r="E4" s="2" t="s">
        <v>5344</v>
      </c>
      <c r="F4" s="2" t="s">
        <v>5356</v>
      </c>
      <c r="G4" s="3" t="s">
        <v>17</v>
      </c>
      <c r="H4" s="3" t="s">
        <v>17</v>
      </c>
      <c r="I4" s="3" t="s">
        <v>17</v>
      </c>
      <c r="N4" s="3"/>
      <c r="O4" s="3"/>
      <c r="P4" s="3"/>
      <c r="Q4" s="3"/>
      <c r="S4" s="3"/>
    </row>
    <row r="5" spans="1:23" ht="16" customHeight="1" x14ac:dyDescent="0.2">
      <c r="A5" s="3" t="s">
        <v>5796</v>
      </c>
      <c r="B5" s="3" t="s">
        <v>6710</v>
      </c>
      <c r="C5" s="3" t="s">
        <v>1469</v>
      </c>
      <c r="D5" s="3" t="s">
        <v>1470</v>
      </c>
      <c r="E5" s="2" t="s">
        <v>1464</v>
      </c>
      <c r="F5" s="2" t="s">
        <v>5333</v>
      </c>
      <c r="G5" s="3" t="s">
        <v>17</v>
      </c>
      <c r="H5" s="3" t="s">
        <v>17</v>
      </c>
      <c r="I5" s="3" t="s">
        <v>17</v>
      </c>
      <c r="N5" s="3"/>
      <c r="O5" s="3"/>
      <c r="P5" s="3"/>
      <c r="Q5" s="3"/>
      <c r="S5" s="3"/>
    </row>
    <row r="6" spans="1:23" ht="16" customHeight="1" x14ac:dyDescent="0.2">
      <c r="A6" s="3" t="s">
        <v>5796</v>
      </c>
      <c r="B6" s="3" t="s">
        <v>6710</v>
      </c>
      <c r="C6" s="3" t="s">
        <v>1469</v>
      </c>
      <c r="D6" s="3" t="s">
        <v>1470</v>
      </c>
      <c r="E6" s="2" t="s">
        <v>5367</v>
      </c>
      <c r="F6" s="2" t="s">
        <v>1464</v>
      </c>
      <c r="G6" s="3" t="s">
        <v>17</v>
      </c>
      <c r="H6" s="3" t="s">
        <v>17</v>
      </c>
      <c r="I6" s="3" t="s">
        <v>17</v>
      </c>
      <c r="N6" s="3"/>
      <c r="O6" s="3"/>
      <c r="P6" s="3"/>
      <c r="Q6" s="3"/>
      <c r="S6" s="3"/>
      <c r="T6" s="3"/>
      <c r="U6" s="3"/>
      <c r="V6" s="3"/>
      <c r="W6" s="3"/>
    </row>
    <row r="7" spans="1:23" ht="16" customHeight="1" x14ac:dyDescent="0.2">
      <c r="A7" s="3" t="s">
        <v>5796</v>
      </c>
      <c r="B7" s="3" t="s">
        <v>6710</v>
      </c>
      <c r="C7" s="3" t="s">
        <v>1469</v>
      </c>
      <c r="D7" s="3" t="s">
        <v>1470</v>
      </c>
      <c r="E7" s="2" t="s">
        <v>5360</v>
      </c>
      <c r="F7" s="2" t="s">
        <v>1464</v>
      </c>
      <c r="G7" s="3" t="s">
        <v>17</v>
      </c>
      <c r="H7" s="3" t="s">
        <v>17</v>
      </c>
      <c r="I7" s="3" t="s">
        <v>17</v>
      </c>
      <c r="N7" s="3"/>
      <c r="O7" s="3"/>
      <c r="P7" s="3"/>
      <c r="Q7" s="3"/>
      <c r="R7" s="8"/>
      <c r="S7" s="3"/>
    </row>
    <row r="8" spans="1:23" s="3" customFormat="1" ht="16" customHeight="1" x14ac:dyDescent="0.2">
      <c r="A8" s="3" t="s">
        <v>5796</v>
      </c>
      <c r="B8" s="3" t="s">
        <v>6710</v>
      </c>
      <c r="C8" s="3" t="s">
        <v>1469</v>
      </c>
      <c r="D8" s="3" t="s">
        <v>1470</v>
      </c>
      <c r="E8" s="2" t="s">
        <v>5367</v>
      </c>
      <c r="F8" s="2" t="s">
        <v>5360</v>
      </c>
      <c r="G8" s="3" t="s">
        <v>17</v>
      </c>
      <c r="H8" s="3" t="s">
        <v>17</v>
      </c>
      <c r="I8" s="3" t="s">
        <v>17</v>
      </c>
      <c r="T8" s="2"/>
      <c r="U8" s="2"/>
      <c r="V8" s="2"/>
      <c r="W8" s="2"/>
    </row>
    <row r="9" spans="1:23" ht="17" customHeight="1" x14ac:dyDescent="0.2">
      <c r="A9" s="3" t="s">
        <v>6693</v>
      </c>
      <c r="B9" s="3" t="s">
        <v>6710</v>
      </c>
      <c r="C9" s="3" t="s">
        <v>537</v>
      </c>
      <c r="D9" s="3" t="s">
        <v>524</v>
      </c>
      <c r="E9" s="2" t="s">
        <v>585</v>
      </c>
      <c r="F9" s="2" t="s">
        <v>579</v>
      </c>
      <c r="G9" s="3" t="s">
        <v>17</v>
      </c>
      <c r="H9" s="3" t="s">
        <v>17</v>
      </c>
      <c r="I9" s="3" t="s">
        <v>17</v>
      </c>
      <c r="N9" s="3"/>
      <c r="O9" s="3"/>
      <c r="P9" s="3"/>
      <c r="Q9" s="3"/>
      <c r="S9" s="3"/>
      <c r="T9" s="3"/>
      <c r="U9" s="3"/>
      <c r="V9" s="3"/>
      <c r="W9" s="3"/>
    </row>
    <row r="10" spans="1:23" ht="16" customHeight="1" x14ac:dyDescent="0.2">
      <c r="A10" s="3" t="s">
        <v>6694</v>
      </c>
      <c r="B10" s="3" t="s">
        <v>6710</v>
      </c>
      <c r="C10" s="3" t="s">
        <v>530</v>
      </c>
      <c r="D10" s="3" t="s">
        <v>524</v>
      </c>
      <c r="E10" s="2" t="s">
        <v>568</v>
      </c>
      <c r="F10" s="2" t="s">
        <v>562</v>
      </c>
      <c r="G10" s="3" t="s">
        <v>17</v>
      </c>
      <c r="H10" s="3" t="s">
        <v>17</v>
      </c>
      <c r="I10" s="3" t="s">
        <v>17</v>
      </c>
      <c r="N10" s="3"/>
      <c r="O10" s="3"/>
      <c r="P10" s="3"/>
      <c r="Q10" s="3"/>
      <c r="S10" s="3"/>
    </row>
    <row r="11" spans="1:23" s="3" customFormat="1" ht="16" customHeight="1" x14ac:dyDescent="0.2">
      <c r="A11" s="8" t="s">
        <v>5797</v>
      </c>
      <c r="B11" s="8" t="s">
        <v>5778</v>
      </c>
      <c r="C11" s="3" t="s">
        <v>1600</v>
      </c>
      <c r="D11" s="3" t="s">
        <v>826</v>
      </c>
      <c r="E11" s="3" t="s">
        <v>1639</v>
      </c>
      <c r="F11" s="3" t="s">
        <v>1602</v>
      </c>
      <c r="G11" s="3" t="s">
        <v>1644</v>
      </c>
      <c r="H11" s="3" t="s">
        <v>17</v>
      </c>
      <c r="I11" s="3" t="s">
        <v>17</v>
      </c>
      <c r="R11" s="8"/>
      <c r="T11" s="2"/>
      <c r="U11" s="2"/>
      <c r="V11" s="2"/>
      <c r="W11" s="2"/>
    </row>
    <row r="12" spans="1:23" s="3" customFormat="1" ht="16" customHeight="1" x14ac:dyDescent="0.2">
      <c r="A12" s="3" t="s">
        <v>5794</v>
      </c>
      <c r="B12" s="3" t="s">
        <v>5793</v>
      </c>
      <c r="C12" s="3" t="s">
        <v>1972</v>
      </c>
      <c r="D12" s="3" t="s">
        <v>826</v>
      </c>
      <c r="E12" s="3" t="s">
        <v>1996</v>
      </c>
      <c r="F12" s="3" t="s">
        <v>1980</v>
      </c>
      <c r="G12" s="3" t="s">
        <v>1973</v>
      </c>
      <c r="H12" s="3" t="s">
        <v>17</v>
      </c>
      <c r="I12" s="3" t="s">
        <v>17</v>
      </c>
      <c r="T12" s="2"/>
      <c r="U12" s="2"/>
      <c r="V12" s="2"/>
      <c r="W12" s="2"/>
    </row>
    <row r="13" spans="1:23" ht="16" customHeight="1" x14ac:dyDescent="0.2">
      <c r="A13" s="3" t="s">
        <v>6720</v>
      </c>
      <c r="B13" s="3" t="s">
        <v>6710</v>
      </c>
      <c r="C13" s="3" t="s">
        <v>6786</v>
      </c>
      <c r="D13" s="3" t="s">
        <v>826</v>
      </c>
      <c r="E13" s="3" t="s">
        <v>3842</v>
      </c>
      <c r="F13" s="3" t="s">
        <v>3839</v>
      </c>
      <c r="G13" s="3" t="s">
        <v>17</v>
      </c>
      <c r="H13" s="3" t="s">
        <v>17</v>
      </c>
      <c r="I13" s="3" t="s">
        <v>17</v>
      </c>
      <c r="N13" s="3"/>
      <c r="O13" s="3"/>
      <c r="P13" s="3"/>
      <c r="Q13" s="3"/>
      <c r="S13" s="3"/>
      <c r="T13" s="3"/>
      <c r="U13" s="3"/>
      <c r="V13" s="3"/>
      <c r="W13" s="3"/>
    </row>
    <row r="14" spans="1:23" s="3" customFormat="1" ht="16" customHeight="1" x14ac:dyDescent="0.2">
      <c r="A14" s="3" t="s">
        <v>6721</v>
      </c>
      <c r="B14" s="3" t="s">
        <v>6710</v>
      </c>
      <c r="C14" s="3" t="s">
        <v>4606</v>
      </c>
      <c r="D14" s="3" t="s">
        <v>826</v>
      </c>
      <c r="E14" s="3" t="s">
        <v>4634</v>
      </c>
      <c r="F14" s="3" t="s">
        <v>4639</v>
      </c>
      <c r="G14" s="3" t="s">
        <v>17</v>
      </c>
      <c r="H14" s="3" t="s">
        <v>17</v>
      </c>
      <c r="I14" s="3" t="s">
        <v>17</v>
      </c>
    </row>
    <row r="15" spans="1:23" s="3" customFormat="1" ht="16" customHeight="1" x14ac:dyDescent="0.2">
      <c r="A15" s="8" t="s">
        <v>6701</v>
      </c>
      <c r="B15" s="8" t="s">
        <v>5779</v>
      </c>
      <c r="C15" s="3" t="s">
        <v>5127</v>
      </c>
      <c r="D15" s="3" t="s">
        <v>1152</v>
      </c>
      <c r="E15" s="3" t="s">
        <v>5397</v>
      </c>
      <c r="F15" s="3" t="s">
        <v>5157</v>
      </c>
      <c r="G15" s="3" t="s">
        <v>17</v>
      </c>
      <c r="H15" s="3" t="s">
        <v>17</v>
      </c>
      <c r="I15" s="3" t="s">
        <v>17</v>
      </c>
    </row>
    <row r="16" spans="1:23" s="3" customFormat="1" ht="16" customHeight="1" x14ac:dyDescent="0.2">
      <c r="A16" s="3" t="s">
        <v>5795</v>
      </c>
      <c r="B16" s="3" t="s">
        <v>5793</v>
      </c>
      <c r="C16" s="3" t="s">
        <v>7449</v>
      </c>
      <c r="D16" s="3" t="s">
        <v>1152</v>
      </c>
      <c r="E16" s="3" t="s">
        <v>1222</v>
      </c>
      <c r="F16" s="3" t="s">
        <v>1207</v>
      </c>
      <c r="G16" s="3" t="s">
        <v>1203</v>
      </c>
      <c r="H16" s="3" t="s">
        <v>1197</v>
      </c>
      <c r="I16" s="3" t="s">
        <v>17</v>
      </c>
      <c r="T16" s="2"/>
      <c r="U16" s="2"/>
      <c r="V16" s="2"/>
      <c r="W16" s="2"/>
    </row>
    <row r="17" spans="1:23" s="9" customFormat="1" ht="16" customHeight="1" x14ac:dyDescent="0.2">
      <c r="A17" s="3" t="s">
        <v>6704</v>
      </c>
      <c r="B17" s="3" t="s">
        <v>6710</v>
      </c>
      <c r="C17" s="3" t="s">
        <v>5806</v>
      </c>
      <c r="D17" s="3" t="s">
        <v>1152</v>
      </c>
      <c r="E17" s="3" t="s">
        <v>1254</v>
      </c>
      <c r="F17" s="3" t="s">
        <v>1262</v>
      </c>
      <c r="G17" s="3" t="s">
        <v>17</v>
      </c>
      <c r="H17" s="3" t="s">
        <v>17</v>
      </c>
      <c r="I17" s="3" t="s">
        <v>17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2"/>
      <c r="U17" s="2"/>
      <c r="V17" s="2"/>
      <c r="W17" s="2"/>
    </row>
    <row r="18" spans="1:23" s="3" customFormat="1" ht="17" customHeight="1" x14ac:dyDescent="0.2">
      <c r="A18" s="3" t="s">
        <v>5798</v>
      </c>
      <c r="B18" s="8" t="s">
        <v>6959</v>
      </c>
      <c r="C18" s="3" t="s">
        <v>7049</v>
      </c>
      <c r="D18" s="3" t="s">
        <v>173</v>
      </c>
      <c r="E18" s="3" t="s">
        <v>4550</v>
      </c>
      <c r="F18" s="3" t="s">
        <v>4556</v>
      </c>
      <c r="G18" s="3" t="s">
        <v>17</v>
      </c>
      <c r="H18" s="3" t="s">
        <v>17</v>
      </c>
      <c r="I18" s="3" t="s">
        <v>17</v>
      </c>
    </row>
    <row r="19" spans="1:23" s="3" customFormat="1" ht="17" customHeight="1" x14ac:dyDescent="0.2">
      <c r="A19" s="3" t="s">
        <v>5798</v>
      </c>
      <c r="B19" s="3" t="s">
        <v>6710</v>
      </c>
      <c r="C19" s="3" t="s">
        <v>7049</v>
      </c>
      <c r="D19" s="3" t="s">
        <v>173</v>
      </c>
      <c r="E19" s="3" t="s">
        <v>4550</v>
      </c>
      <c r="F19" s="3" t="s">
        <v>4546</v>
      </c>
      <c r="G19" s="3" t="s">
        <v>17</v>
      </c>
      <c r="H19" s="3" t="s">
        <v>17</v>
      </c>
      <c r="I19" s="3" t="s">
        <v>17</v>
      </c>
      <c r="T19" s="2"/>
      <c r="U19" s="2"/>
      <c r="V19" s="2"/>
      <c r="W19" s="2"/>
    </row>
    <row r="20" spans="1:23" ht="16" customHeight="1" x14ac:dyDescent="0.2">
      <c r="A20" s="3" t="s">
        <v>6719</v>
      </c>
      <c r="B20" s="8" t="s">
        <v>5773</v>
      </c>
      <c r="C20" s="3" t="s">
        <v>7052</v>
      </c>
      <c r="D20" s="3" t="s">
        <v>173</v>
      </c>
      <c r="E20" s="3" t="s">
        <v>3204</v>
      </c>
      <c r="F20" s="3" t="s">
        <v>3215</v>
      </c>
      <c r="G20" s="3" t="s">
        <v>17</v>
      </c>
      <c r="H20" s="3" t="s">
        <v>17</v>
      </c>
      <c r="I20" s="3" t="s">
        <v>17</v>
      </c>
      <c r="N20" s="3"/>
      <c r="O20" s="3"/>
      <c r="P20" s="3"/>
      <c r="Q20" s="3"/>
      <c r="S20" s="3"/>
    </row>
    <row r="21" spans="1:23" s="3" customFormat="1" ht="16" customHeight="1" x14ac:dyDescent="0.2">
      <c r="A21" s="3" t="s">
        <v>6717</v>
      </c>
      <c r="B21" s="8" t="s">
        <v>6709</v>
      </c>
      <c r="C21" s="3" t="s">
        <v>6947</v>
      </c>
      <c r="D21" s="3" t="s">
        <v>173</v>
      </c>
      <c r="E21" s="3" t="s">
        <v>4014</v>
      </c>
      <c r="F21" s="3" t="s">
        <v>4039</v>
      </c>
      <c r="G21" s="3" t="s">
        <v>17</v>
      </c>
      <c r="H21" s="3" t="s">
        <v>17</v>
      </c>
      <c r="I21" s="3" t="s">
        <v>17</v>
      </c>
      <c r="T21" s="2"/>
      <c r="U21" s="2"/>
      <c r="V21" s="2"/>
      <c r="W21" s="2"/>
    </row>
    <row r="22" spans="1:23" s="3" customFormat="1" ht="16" customHeight="1" x14ac:dyDescent="0.2">
      <c r="A22" s="3" t="s">
        <v>6718</v>
      </c>
      <c r="B22" s="3" t="s">
        <v>6710</v>
      </c>
      <c r="C22" s="3" t="s">
        <v>6947</v>
      </c>
      <c r="D22" s="3" t="s">
        <v>173</v>
      </c>
      <c r="E22" s="3" t="s">
        <v>3238</v>
      </c>
      <c r="F22" s="3" t="s">
        <v>4035</v>
      </c>
      <c r="G22" s="3" t="s">
        <v>17</v>
      </c>
      <c r="H22" s="3" t="s">
        <v>17</v>
      </c>
      <c r="I22" s="3" t="s">
        <v>17</v>
      </c>
      <c r="T22" s="2"/>
      <c r="U22" s="2"/>
      <c r="V22" s="2"/>
      <c r="W22" s="2"/>
    </row>
    <row r="23" spans="1:23" s="3" customFormat="1" ht="16" customHeight="1" x14ac:dyDescent="0.2">
      <c r="A23" s="3" t="s">
        <v>6722</v>
      </c>
      <c r="B23" s="8" t="s">
        <v>5776</v>
      </c>
      <c r="C23" s="3" t="s">
        <v>6952</v>
      </c>
      <c r="D23" s="3" t="s">
        <v>173</v>
      </c>
      <c r="E23" s="3" t="s">
        <v>3192</v>
      </c>
      <c r="F23" s="3" t="s">
        <v>4011</v>
      </c>
      <c r="G23" s="3" t="s">
        <v>17</v>
      </c>
      <c r="H23" s="3" t="s">
        <v>17</v>
      </c>
      <c r="I23" s="3" t="s">
        <v>17</v>
      </c>
      <c r="T23" s="2"/>
      <c r="U23" s="2"/>
      <c r="V23" s="2"/>
      <c r="W23" s="2"/>
    </row>
    <row r="24" spans="1:23" s="3" customFormat="1" ht="16" customHeight="1" x14ac:dyDescent="0.2">
      <c r="A24" s="3" t="s">
        <v>6723</v>
      </c>
      <c r="B24" s="3" t="s">
        <v>6710</v>
      </c>
      <c r="C24" s="3" t="s">
        <v>6952</v>
      </c>
      <c r="D24" s="3" t="s">
        <v>173</v>
      </c>
      <c r="E24" s="3" t="s">
        <v>3171</v>
      </c>
      <c r="F24" s="3" t="s">
        <v>3919</v>
      </c>
      <c r="G24" s="3" t="s">
        <v>17</v>
      </c>
      <c r="H24" s="3" t="s">
        <v>17</v>
      </c>
      <c r="I24" s="3" t="s">
        <v>17</v>
      </c>
      <c r="T24" s="2"/>
      <c r="U24" s="2"/>
      <c r="V24" s="2"/>
      <c r="W24" s="2"/>
    </row>
    <row r="25" spans="1:23" s="3" customFormat="1" ht="16" customHeight="1" x14ac:dyDescent="0.2">
      <c r="A25" s="3" t="s">
        <v>6724</v>
      </c>
      <c r="B25" s="3" t="s">
        <v>5772</v>
      </c>
      <c r="C25" s="3" t="s">
        <v>6952</v>
      </c>
      <c r="D25" s="3" t="s">
        <v>173</v>
      </c>
      <c r="E25" s="3" t="s">
        <v>4076</v>
      </c>
      <c r="F25" s="3" t="s">
        <v>4015</v>
      </c>
      <c r="G25" s="3" t="s">
        <v>17</v>
      </c>
      <c r="H25" s="3" t="s">
        <v>17</v>
      </c>
      <c r="I25" s="3" t="s">
        <v>17</v>
      </c>
      <c r="T25" s="2"/>
      <c r="U25" s="2"/>
      <c r="V25" s="2"/>
      <c r="W25" s="2"/>
    </row>
    <row r="26" spans="1:23" s="3" customFormat="1" ht="16" customHeight="1" x14ac:dyDescent="0.2">
      <c r="A26" s="3" t="s">
        <v>5799</v>
      </c>
      <c r="B26" s="3" t="s">
        <v>6710</v>
      </c>
      <c r="C26" s="3" t="s">
        <v>6952</v>
      </c>
      <c r="D26" s="3" t="s">
        <v>173</v>
      </c>
      <c r="E26" s="3" t="s">
        <v>3154</v>
      </c>
      <c r="F26" s="3" t="s">
        <v>3962</v>
      </c>
      <c r="G26" s="3" t="s">
        <v>17</v>
      </c>
      <c r="H26" s="3" t="s">
        <v>17</v>
      </c>
      <c r="I26" s="3" t="s">
        <v>17</v>
      </c>
      <c r="T26" s="2"/>
      <c r="U26" s="2"/>
      <c r="V26" s="2"/>
      <c r="W26" s="2"/>
    </row>
    <row r="27" spans="1:23" s="3" customFormat="1" ht="16" customHeight="1" x14ac:dyDescent="0.2">
      <c r="A27" s="3" t="s">
        <v>5799</v>
      </c>
      <c r="B27" s="3" t="s">
        <v>5776</v>
      </c>
      <c r="C27" s="3" t="s">
        <v>6952</v>
      </c>
      <c r="D27" s="3" t="s">
        <v>173</v>
      </c>
      <c r="E27" s="3" t="s">
        <v>4021</v>
      </c>
      <c r="F27" s="3" t="s">
        <v>3962</v>
      </c>
      <c r="G27" s="3" t="s">
        <v>17</v>
      </c>
      <c r="H27" s="3" t="s">
        <v>17</v>
      </c>
      <c r="I27" s="3" t="s">
        <v>17</v>
      </c>
      <c r="T27" s="2"/>
      <c r="U27" s="2"/>
      <c r="V27" s="2"/>
      <c r="W27" s="2"/>
    </row>
    <row r="28" spans="1:23" s="3" customFormat="1" ht="16" customHeight="1" x14ac:dyDescent="0.2">
      <c r="A28" s="3" t="s">
        <v>5800</v>
      </c>
      <c r="B28" s="3" t="s">
        <v>5774</v>
      </c>
      <c r="C28" s="3" t="s">
        <v>6952</v>
      </c>
      <c r="D28" s="3" t="s">
        <v>173</v>
      </c>
      <c r="E28" s="3" t="s">
        <v>4009</v>
      </c>
      <c r="F28" s="3" t="s">
        <v>3954</v>
      </c>
      <c r="G28" s="3" t="s">
        <v>4071</v>
      </c>
      <c r="H28" s="2" t="s">
        <v>17</v>
      </c>
      <c r="I28" s="3" t="s">
        <v>17</v>
      </c>
      <c r="T28" s="2"/>
      <c r="U28" s="2"/>
      <c r="V28" s="2"/>
      <c r="W28" s="2"/>
    </row>
    <row r="29" spans="1:23" ht="17" customHeight="1" x14ac:dyDescent="0.2">
      <c r="A29" s="3" t="s">
        <v>5801</v>
      </c>
      <c r="B29" s="3" t="s">
        <v>6710</v>
      </c>
      <c r="C29" s="3" t="s">
        <v>6952</v>
      </c>
      <c r="D29" s="3" t="s">
        <v>173</v>
      </c>
      <c r="E29" s="3" t="s">
        <v>3173</v>
      </c>
      <c r="F29" s="3" t="s">
        <v>3182</v>
      </c>
      <c r="G29" s="3" t="s">
        <v>17</v>
      </c>
      <c r="H29" s="3" t="s">
        <v>17</v>
      </c>
      <c r="I29" s="3" t="s">
        <v>17</v>
      </c>
      <c r="N29" s="3"/>
      <c r="O29" s="3"/>
      <c r="P29" s="3"/>
      <c r="Q29" s="3"/>
      <c r="S29" s="3"/>
    </row>
    <row r="30" spans="1:23" ht="17" customHeight="1" x14ac:dyDescent="0.2">
      <c r="A30" s="3" t="s">
        <v>5801</v>
      </c>
      <c r="B30" s="3" t="s">
        <v>6710</v>
      </c>
      <c r="C30" s="3" t="s">
        <v>6952</v>
      </c>
      <c r="D30" s="3" t="s">
        <v>173</v>
      </c>
      <c r="E30" s="3" t="s">
        <v>3173</v>
      </c>
      <c r="F30" s="3" t="s">
        <v>3184</v>
      </c>
      <c r="G30" s="3" t="s">
        <v>17</v>
      </c>
      <c r="H30" s="3" t="s">
        <v>17</v>
      </c>
      <c r="I30" s="3" t="s">
        <v>17</v>
      </c>
      <c r="N30" s="3"/>
      <c r="O30" s="3"/>
      <c r="P30" s="3"/>
      <c r="Q30" s="3"/>
      <c r="S30" s="3"/>
    </row>
    <row r="31" spans="1:23" ht="17" customHeight="1" x14ac:dyDescent="0.2">
      <c r="A31" s="3" t="s">
        <v>6714</v>
      </c>
      <c r="B31" s="8" t="s">
        <v>5779</v>
      </c>
      <c r="C31" s="3" t="s">
        <v>7446</v>
      </c>
      <c r="D31" s="3" t="s">
        <v>173</v>
      </c>
      <c r="E31" s="3" t="s">
        <v>4539</v>
      </c>
      <c r="F31" s="3" t="s">
        <v>4543</v>
      </c>
      <c r="G31" s="3" t="s">
        <v>17</v>
      </c>
      <c r="H31" s="3" t="s">
        <v>17</v>
      </c>
      <c r="I31" s="3" t="s">
        <v>17</v>
      </c>
      <c r="N31" s="3"/>
      <c r="O31" s="3"/>
      <c r="P31" s="3"/>
      <c r="Q31" s="3"/>
      <c r="S31" s="3"/>
      <c r="T31" s="3"/>
      <c r="U31" s="3"/>
      <c r="V31" s="3"/>
      <c r="W31" s="3"/>
    </row>
    <row r="32" spans="1:23" ht="16" customHeight="1" x14ac:dyDescent="0.2">
      <c r="A32" s="3" t="s">
        <v>6715</v>
      </c>
      <c r="B32" s="8" t="s">
        <v>6709</v>
      </c>
      <c r="C32" s="3" t="s">
        <v>6951</v>
      </c>
      <c r="D32" s="3" t="s">
        <v>173</v>
      </c>
      <c r="E32" s="3" t="s">
        <v>3948</v>
      </c>
      <c r="F32" s="3" t="s">
        <v>4047</v>
      </c>
      <c r="G32" s="3" t="s">
        <v>17</v>
      </c>
      <c r="H32" s="3" t="s">
        <v>17</v>
      </c>
      <c r="I32" s="3" t="s">
        <v>17</v>
      </c>
      <c r="N32" s="3"/>
      <c r="O32" s="3"/>
      <c r="P32" s="3"/>
      <c r="Q32" s="3"/>
      <c r="S32" s="3"/>
      <c r="T32" s="3"/>
      <c r="U32" s="3"/>
      <c r="V32" s="3"/>
      <c r="W32" s="3"/>
    </row>
    <row r="33" spans="1:23" ht="16" customHeight="1" x14ac:dyDescent="0.2">
      <c r="A33" s="3" t="s">
        <v>6716</v>
      </c>
      <c r="B33" s="8" t="s">
        <v>6709</v>
      </c>
      <c r="C33" s="3" t="s">
        <v>6951</v>
      </c>
      <c r="D33" s="3" t="s">
        <v>173</v>
      </c>
      <c r="E33" s="3" t="s">
        <v>4042</v>
      </c>
      <c r="F33" s="3" t="s">
        <v>3999</v>
      </c>
      <c r="G33" s="3" t="s">
        <v>17</v>
      </c>
      <c r="H33" s="3" t="s">
        <v>17</v>
      </c>
      <c r="I33" s="3" t="s">
        <v>17</v>
      </c>
      <c r="N33" s="3"/>
      <c r="O33" s="3"/>
      <c r="P33" s="3"/>
      <c r="Q33" s="3"/>
      <c r="S33" s="3"/>
      <c r="T33" s="3"/>
      <c r="U33" s="3"/>
      <c r="V33" s="3"/>
      <c r="W33" s="3"/>
    </row>
    <row r="34" spans="1:23" s="3" customFormat="1" ht="16" customHeight="1" x14ac:dyDescent="0.2">
      <c r="A34" s="3" t="s">
        <v>6923</v>
      </c>
      <c r="B34" s="3" t="s">
        <v>6710</v>
      </c>
      <c r="C34" s="3" t="s">
        <v>6951</v>
      </c>
      <c r="D34" s="3" t="s">
        <v>173</v>
      </c>
      <c r="E34" s="3" t="s">
        <v>4067</v>
      </c>
      <c r="F34" s="3" t="s">
        <v>4056</v>
      </c>
      <c r="G34" s="3" t="s">
        <v>17</v>
      </c>
      <c r="H34" s="3" t="s">
        <v>17</v>
      </c>
      <c r="I34" s="3" t="s">
        <v>17</v>
      </c>
    </row>
    <row r="35" spans="1:23" s="3" customFormat="1" x14ac:dyDescent="0.2">
      <c r="A35" s="3" t="s">
        <v>6923</v>
      </c>
      <c r="B35" s="3" t="s">
        <v>6710</v>
      </c>
      <c r="C35" s="3" t="s">
        <v>6951</v>
      </c>
      <c r="D35" s="3" t="s">
        <v>173</v>
      </c>
      <c r="E35" s="3" t="s">
        <v>4067</v>
      </c>
      <c r="F35" s="3" t="s">
        <v>3987</v>
      </c>
      <c r="G35" s="3" t="s">
        <v>17</v>
      </c>
      <c r="H35" s="3" t="s">
        <v>17</v>
      </c>
      <c r="I35" s="3" t="s">
        <v>17</v>
      </c>
    </row>
    <row r="36" spans="1:23" s="3" customFormat="1" ht="17" customHeight="1" x14ac:dyDescent="0.2">
      <c r="A36" s="3" t="s">
        <v>6923</v>
      </c>
      <c r="B36" s="8" t="s">
        <v>6709</v>
      </c>
      <c r="C36" s="3" t="s">
        <v>6951</v>
      </c>
      <c r="D36" s="3" t="s">
        <v>173</v>
      </c>
      <c r="E36" s="3" t="s">
        <v>4051</v>
      </c>
      <c r="F36" s="3" t="s">
        <v>4056</v>
      </c>
      <c r="G36" s="3" t="s">
        <v>17</v>
      </c>
      <c r="H36" s="3" t="s">
        <v>17</v>
      </c>
      <c r="I36" s="3" t="s">
        <v>17</v>
      </c>
    </row>
    <row r="37" spans="1:23" s="3" customFormat="1" ht="17" customHeight="1" x14ac:dyDescent="0.2">
      <c r="A37" s="3" t="s">
        <v>6923</v>
      </c>
      <c r="B37" s="8" t="s">
        <v>5779</v>
      </c>
      <c r="C37" s="3" t="s">
        <v>6951</v>
      </c>
      <c r="D37" s="3" t="s">
        <v>173</v>
      </c>
      <c r="E37" s="3" t="s">
        <v>4051</v>
      </c>
      <c r="F37" s="3" t="s">
        <v>4067</v>
      </c>
      <c r="G37" s="3" t="s">
        <v>17</v>
      </c>
      <c r="H37" s="3" t="s">
        <v>17</v>
      </c>
      <c r="I37" s="3" t="s">
        <v>17</v>
      </c>
      <c r="R37" s="8"/>
    </row>
    <row r="38" spans="1:23" s="3" customFormat="1" ht="17" customHeight="1" x14ac:dyDescent="0.2">
      <c r="A38" s="3" t="s">
        <v>6923</v>
      </c>
      <c r="B38" s="3" t="s">
        <v>6710</v>
      </c>
      <c r="C38" s="3" t="s">
        <v>6951</v>
      </c>
      <c r="D38" s="3" t="s">
        <v>173</v>
      </c>
      <c r="E38" s="3" t="s">
        <v>3987</v>
      </c>
      <c r="F38" s="3" t="s">
        <v>4051</v>
      </c>
      <c r="G38" s="3" t="s">
        <v>17</v>
      </c>
      <c r="H38" s="3" t="s">
        <v>17</v>
      </c>
      <c r="I38" s="3" t="s">
        <v>17</v>
      </c>
    </row>
    <row r="39" spans="1:23" s="3" customFormat="1" ht="17" customHeight="1" x14ac:dyDescent="0.2">
      <c r="A39" s="3" t="s">
        <v>6690</v>
      </c>
      <c r="B39" s="3" t="s">
        <v>6710</v>
      </c>
      <c r="C39" s="3" t="s">
        <v>56</v>
      </c>
      <c r="D39" s="3" t="s">
        <v>18</v>
      </c>
      <c r="E39" s="3" t="s">
        <v>112</v>
      </c>
      <c r="F39" s="3" t="s">
        <v>60</v>
      </c>
      <c r="G39" s="3" t="s">
        <v>17</v>
      </c>
      <c r="H39" s="3" t="s">
        <v>17</v>
      </c>
      <c r="I39" s="3" t="s">
        <v>17</v>
      </c>
    </row>
    <row r="40" spans="1:23" s="3" customFormat="1" ht="17" customHeight="1" x14ac:dyDescent="0.2">
      <c r="A40" s="3" t="s">
        <v>6687</v>
      </c>
      <c r="B40" s="3" t="s">
        <v>5788</v>
      </c>
      <c r="C40" s="3" t="s">
        <v>56</v>
      </c>
      <c r="D40" s="3" t="s">
        <v>18</v>
      </c>
      <c r="E40" s="3" t="s">
        <v>133</v>
      </c>
      <c r="F40" s="3" t="s">
        <v>64</v>
      </c>
      <c r="G40" s="3" t="s">
        <v>95</v>
      </c>
      <c r="H40" s="3" t="s">
        <v>153</v>
      </c>
      <c r="I40" s="3" t="s">
        <v>148</v>
      </c>
    </row>
    <row r="41" spans="1:23" s="3" customFormat="1" ht="17" customHeight="1" x14ac:dyDescent="0.2">
      <c r="A41" s="3" t="s">
        <v>6695</v>
      </c>
      <c r="B41" s="3" t="s">
        <v>6710</v>
      </c>
      <c r="C41" s="3" t="s">
        <v>3913</v>
      </c>
      <c r="D41" s="3" t="s">
        <v>18</v>
      </c>
      <c r="E41" s="3" t="s">
        <v>5263</v>
      </c>
      <c r="F41" s="3" t="s">
        <v>5254</v>
      </c>
      <c r="G41" s="3" t="s">
        <v>17</v>
      </c>
      <c r="H41" s="3" t="s">
        <v>17</v>
      </c>
      <c r="I41" s="3" t="s">
        <v>17</v>
      </c>
      <c r="R41" s="8"/>
      <c r="T41" s="2"/>
      <c r="U41" s="2"/>
      <c r="V41" s="2"/>
      <c r="W41" s="2"/>
    </row>
    <row r="42" spans="1:23" ht="17" customHeight="1" x14ac:dyDescent="0.2">
      <c r="A42" s="3" t="s">
        <v>6696</v>
      </c>
      <c r="B42" s="8" t="s">
        <v>6711</v>
      </c>
      <c r="C42" s="3" t="s">
        <v>3913</v>
      </c>
      <c r="D42" s="3" t="s">
        <v>18</v>
      </c>
      <c r="E42" s="3" t="s">
        <v>5386</v>
      </c>
      <c r="F42" s="3" t="s">
        <v>5248</v>
      </c>
      <c r="G42" s="3" t="s">
        <v>17</v>
      </c>
      <c r="H42" s="3" t="s">
        <v>17</v>
      </c>
      <c r="I42" s="3" t="s">
        <v>17</v>
      </c>
      <c r="N42" s="3"/>
      <c r="O42" s="3"/>
      <c r="P42" s="3"/>
      <c r="Q42" s="3"/>
      <c r="R42" s="8"/>
      <c r="S42" s="3"/>
      <c r="T42" s="3"/>
      <c r="U42" s="3"/>
      <c r="V42" s="3"/>
      <c r="W42" s="3"/>
    </row>
    <row r="43" spans="1:23" ht="17" customHeight="1" x14ac:dyDescent="0.2">
      <c r="A43" s="3" t="s">
        <v>6697</v>
      </c>
      <c r="B43" s="8" t="s">
        <v>6709</v>
      </c>
      <c r="C43" s="3" t="s">
        <v>3913</v>
      </c>
      <c r="D43" s="3" t="s">
        <v>18</v>
      </c>
      <c r="E43" s="3" t="s">
        <v>5391</v>
      </c>
      <c r="F43" s="3" t="s">
        <v>5244</v>
      </c>
      <c r="G43" s="3" t="s">
        <v>17</v>
      </c>
      <c r="H43" s="3" t="s">
        <v>17</v>
      </c>
      <c r="I43" s="3" t="s">
        <v>17</v>
      </c>
      <c r="N43" s="3"/>
      <c r="O43" s="3"/>
      <c r="P43" s="3"/>
      <c r="Q43" s="3"/>
      <c r="R43" s="8"/>
      <c r="S43" s="3"/>
      <c r="T43" s="3"/>
      <c r="U43" s="3"/>
      <c r="V43" s="3"/>
      <c r="W43" s="3"/>
    </row>
    <row r="44" spans="1:23" ht="17" customHeight="1" x14ac:dyDescent="0.2">
      <c r="A44" s="3" t="s">
        <v>6698</v>
      </c>
      <c r="B44" s="8" t="s">
        <v>6709</v>
      </c>
      <c r="C44" s="3" t="s">
        <v>3913</v>
      </c>
      <c r="D44" s="3" t="s">
        <v>18</v>
      </c>
      <c r="E44" s="3" t="s">
        <v>5389</v>
      </c>
      <c r="F44" s="3" t="s">
        <v>5224</v>
      </c>
      <c r="G44" s="3" t="s">
        <v>17</v>
      </c>
      <c r="H44" s="3" t="s">
        <v>17</v>
      </c>
      <c r="I44" s="3" t="s">
        <v>17</v>
      </c>
      <c r="N44" s="3"/>
      <c r="O44" s="3"/>
      <c r="P44" s="3"/>
      <c r="Q44" s="3"/>
      <c r="R44" s="8"/>
      <c r="S44" s="3"/>
      <c r="T44" s="3"/>
      <c r="U44" s="3"/>
      <c r="V44" s="3"/>
      <c r="W44" s="3"/>
    </row>
    <row r="45" spans="1:23" ht="17" customHeight="1" x14ac:dyDescent="0.2">
      <c r="A45" s="3" t="s">
        <v>7399</v>
      </c>
      <c r="B45" s="8" t="s">
        <v>5772</v>
      </c>
      <c r="C45" s="3" t="s">
        <v>3913</v>
      </c>
      <c r="D45" s="3" t="s">
        <v>18</v>
      </c>
      <c r="E45" s="3" t="s">
        <v>5393</v>
      </c>
      <c r="F45" s="3" t="s">
        <v>5163</v>
      </c>
      <c r="G45" s="3" t="s">
        <v>17</v>
      </c>
      <c r="H45" s="3" t="s">
        <v>17</v>
      </c>
      <c r="I45" s="3" t="s">
        <v>17</v>
      </c>
      <c r="N45" s="3"/>
      <c r="O45" s="3"/>
      <c r="P45" s="3"/>
      <c r="Q45" s="3"/>
      <c r="R45" s="8"/>
      <c r="S45" s="3"/>
    </row>
    <row r="46" spans="1:23" x14ac:dyDescent="0.2">
      <c r="A46" s="3" t="s">
        <v>5804</v>
      </c>
      <c r="B46" s="8" t="s">
        <v>6689</v>
      </c>
      <c r="C46" s="3" t="s">
        <v>3913</v>
      </c>
      <c r="D46" s="3" t="s">
        <v>18</v>
      </c>
      <c r="E46" s="3" t="s">
        <v>4265</v>
      </c>
      <c r="F46" s="3" t="s">
        <v>4227</v>
      </c>
      <c r="G46" s="3" t="s">
        <v>4261</v>
      </c>
      <c r="H46" s="3" t="s">
        <v>17</v>
      </c>
      <c r="I46" s="3" t="s">
        <v>17</v>
      </c>
      <c r="N46" s="3"/>
      <c r="O46" s="3"/>
      <c r="P46" s="3"/>
      <c r="Q46" s="3"/>
      <c r="R46" s="8"/>
      <c r="S46" s="3"/>
      <c r="T46" s="3"/>
      <c r="U46" s="3"/>
      <c r="V46" s="3"/>
      <c r="W46" s="3"/>
    </row>
    <row r="47" spans="1:23" s="3" customFormat="1" ht="17" customHeight="1" x14ac:dyDescent="0.2">
      <c r="A47" s="3" t="s">
        <v>6700</v>
      </c>
      <c r="B47" s="3" t="s">
        <v>6710</v>
      </c>
      <c r="C47" s="3" t="s">
        <v>1232</v>
      </c>
      <c r="D47" s="3" t="s">
        <v>18</v>
      </c>
      <c r="E47" s="3" t="s">
        <v>1381</v>
      </c>
      <c r="F47" s="3" t="s">
        <v>1356</v>
      </c>
      <c r="G47" s="3" t="s">
        <v>17</v>
      </c>
      <c r="H47" s="3" t="s">
        <v>17</v>
      </c>
      <c r="I47" s="3" t="s">
        <v>17</v>
      </c>
      <c r="T47" s="2"/>
      <c r="U47" s="2"/>
      <c r="V47" s="2"/>
      <c r="W47" s="2"/>
    </row>
    <row r="48" spans="1:23" ht="17" customHeight="1" x14ac:dyDescent="0.2">
      <c r="A48" s="3" t="s">
        <v>6700</v>
      </c>
      <c r="B48" s="8" t="s">
        <v>5773</v>
      </c>
      <c r="C48" s="3" t="s">
        <v>1232</v>
      </c>
      <c r="D48" s="3" t="s">
        <v>18</v>
      </c>
      <c r="E48" s="3" t="s">
        <v>1286</v>
      </c>
      <c r="F48" s="3" t="s">
        <v>1381</v>
      </c>
      <c r="G48" s="3" t="s">
        <v>17</v>
      </c>
      <c r="H48" s="3" t="s">
        <v>17</v>
      </c>
      <c r="I48" s="3" t="s">
        <v>17</v>
      </c>
      <c r="N48" s="3"/>
      <c r="O48" s="3"/>
      <c r="P48" s="3"/>
      <c r="Q48" s="3"/>
      <c r="R48" s="8"/>
      <c r="S48" s="3"/>
    </row>
    <row r="49" spans="1:23" ht="17" customHeight="1" x14ac:dyDescent="0.2">
      <c r="A49" s="8" t="s">
        <v>6688</v>
      </c>
      <c r="B49" s="3" t="s">
        <v>6710</v>
      </c>
      <c r="C49" s="3" t="s">
        <v>77</v>
      </c>
      <c r="D49" s="3" t="s">
        <v>18</v>
      </c>
      <c r="E49" s="3" t="s">
        <v>78</v>
      </c>
      <c r="F49" s="3" t="s">
        <v>86</v>
      </c>
      <c r="G49" s="3" t="s">
        <v>17</v>
      </c>
      <c r="H49" s="3" t="s">
        <v>17</v>
      </c>
      <c r="I49" s="3" t="s">
        <v>17</v>
      </c>
      <c r="N49" s="3"/>
      <c r="O49" s="3"/>
      <c r="P49" s="3"/>
      <c r="Q49" s="3"/>
      <c r="R49" s="8"/>
      <c r="S49" s="3"/>
    </row>
    <row r="50" spans="1:23" s="3" customFormat="1" x14ac:dyDescent="0.2">
      <c r="A50" s="3" t="s">
        <v>5802</v>
      </c>
      <c r="B50" s="3" t="s">
        <v>6710</v>
      </c>
      <c r="C50" s="3" t="s">
        <v>5790</v>
      </c>
      <c r="D50" s="3" t="s">
        <v>18</v>
      </c>
      <c r="E50" s="3" t="s">
        <v>137</v>
      </c>
      <c r="F50" s="3" t="s">
        <v>109</v>
      </c>
      <c r="G50" s="3" t="s">
        <v>17</v>
      </c>
      <c r="H50" s="3" t="s">
        <v>17</v>
      </c>
      <c r="I50" s="3" t="s">
        <v>17</v>
      </c>
      <c r="R50"/>
      <c r="T50" s="2"/>
      <c r="U50" s="2"/>
      <c r="V50" s="2"/>
      <c r="W50" s="2"/>
    </row>
    <row r="51" spans="1:23" s="3" customFormat="1" ht="16" customHeight="1" x14ac:dyDescent="0.2">
      <c r="A51" s="3" t="s">
        <v>5802</v>
      </c>
      <c r="B51" s="3" t="s">
        <v>5792</v>
      </c>
      <c r="C51" s="3" t="s">
        <v>5790</v>
      </c>
      <c r="D51" s="3" t="s">
        <v>18</v>
      </c>
      <c r="E51" s="3" t="s">
        <v>109</v>
      </c>
      <c r="F51" s="3" t="s">
        <v>145</v>
      </c>
      <c r="G51" s="3" t="s">
        <v>99</v>
      </c>
      <c r="H51" s="3" t="s">
        <v>17</v>
      </c>
      <c r="I51" s="3" t="s">
        <v>17</v>
      </c>
      <c r="R51"/>
      <c r="T51" s="2"/>
      <c r="U51" s="2"/>
      <c r="V51" s="2"/>
      <c r="W51" s="2"/>
    </row>
    <row r="52" spans="1:23" ht="17" customHeight="1" x14ac:dyDescent="0.2">
      <c r="A52" s="3" t="s">
        <v>5802</v>
      </c>
      <c r="B52" s="3" t="s">
        <v>5775</v>
      </c>
      <c r="C52" s="3" t="s">
        <v>5790</v>
      </c>
      <c r="D52" s="3" t="s">
        <v>18</v>
      </c>
      <c r="E52" s="3" t="s">
        <v>6699</v>
      </c>
      <c r="F52" s="3" t="s">
        <v>137</v>
      </c>
      <c r="G52" s="3" t="s">
        <v>17</v>
      </c>
      <c r="H52" s="3" t="s">
        <v>17</v>
      </c>
      <c r="I52" s="3" t="s">
        <v>17</v>
      </c>
      <c r="N52" s="3"/>
      <c r="O52" s="3"/>
      <c r="P52" s="3"/>
      <c r="Q52" s="3"/>
      <c r="R52"/>
      <c r="S52" s="3"/>
    </row>
    <row r="53" spans="1:23" ht="17" customHeight="1" x14ac:dyDescent="0.2">
      <c r="A53" s="3" t="s">
        <v>6703</v>
      </c>
      <c r="B53" s="8" t="s">
        <v>6709</v>
      </c>
      <c r="C53" s="3" t="s">
        <v>5310</v>
      </c>
      <c r="D53" s="3" t="s">
        <v>18</v>
      </c>
      <c r="E53" s="3" t="s">
        <v>5382</v>
      </c>
      <c r="F53" s="3" t="s">
        <v>5308</v>
      </c>
      <c r="G53" s="3" t="s">
        <v>17</v>
      </c>
      <c r="H53" s="3" t="s">
        <v>17</v>
      </c>
      <c r="I53" s="3" t="s">
        <v>17</v>
      </c>
      <c r="N53" s="3"/>
      <c r="O53" s="3"/>
      <c r="P53" s="3"/>
      <c r="Q53" s="3"/>
      <c r="R53"/>
      <c r="S53" s="3"/>
    </row>
    <row r="54" spans="1:23" ht="17" customHeight="1" x14ac:dyDescent="0.2">
      <c r="A54" s="3" t="s">
        <v>6702</v>
      </c>
      <c r="B54" s="8" t="s">
        <v>6709</v>
      </c>
      <c r="C54" s="3" t="s">
        <v>4249</v>
      </c>
      <c r="D54" s="3" t="s">
        <v>18</v>
      </c>
      <c r="E54" s="3" t="s">
        <v>4245</v>
      </c>
      <c r="F54" s="3" t="s">
        <v>5377</v>
      </c>
      <c r="G54" s="3" t="s">
        <v>17</v>
      </c>
      <c r="H54" s="3" t="s">
        <v>17</v>
      </c>
      <c r="I54" s="3" t="s">
        <v>17</v>
      </c>
      <c r="N54" s="3"/>
      <c r="O54" s="3"/>
      <c r="P54" s="3"/>
      <c r="Q54" s="3"/>
      <c r="R54"/>
      <c r="S54" s="3"/>
      <c r="T54" s="3"/>
      <c r="U54" s="3"/>
      <c r="V54" s="3"/>
      <c r="W54" s="3"/>
    </row>
    <row r="55" spans="1:23" ht="16" customHeight="1" x14ac:dyDescent="0.2">
      <c r="A55" s="8" t="s">
        <v>6708</v>
      </c>
      <c r="B55" s="8" t="s">
        <v>6709</v>
      </c>
      <c r="C55" s="3" t="s">
        <v>4570</v>
      </c>
      <c r="D55" s="3" t="s">
        <v>3789</v>
      </c>
      <c r="E55" s="3" t="s">
        <v>4579</v>
      </c>
      <c r="F55" s="3" t="s">
        <v>4573</v>
      </c>
      <c r="G55" s="3" t="s">
        <v>17</v>
      </c>
      <c r="H55" s="3" t="s">
        <v>17</v>
      </c>
      <c r="I55" s="3" t="s">
        <v>17</v>
      </c>
      <c r="N55" s="3"/>
      <c r="O55" s="3"/>
      <c r="P55" s="3"/>
      <c r="Q55" s="3"/>
      <c r="R55"/>
      <c r="S55" s="3"/>
    </row>
    <row r="56" spans="1:23" s="3" customFormat="1" ht="17" customHeight="1" x14ac:dyDescent="0.2">
      <c r="A56" s="8" t="s">
        <v>6692</v>
      </c>
      <c r="B56" s="3" t="s">
        <v>6710</v>
      </c>
      <c r="C56" s="3" t="s">
        <v>197</v>
      </c>
      <c r="D56" s="3" t="s">
        <v>198</v>
      </c>
      <c r="E56" s="2" t="s">
        <v>323</v>
      </c>
      <c r="F56" s="2" t="s">
        <v>311</v>
      </c>
      <c r="G56" s="3" t="s">
        <v>17</v>
      </c>
      <c r="H56" s="3" t="s">
        <v>17</v>
      </c>
      <c r="I56" s="3" t="s">
        <v>17</v>
      </c>
      <c r="R56"/>
      <c r="T56" s="2"/>
      <c r="U56" s="2"/>
      <c r="V56" s="2"/>
      <c r="W56" s="2"/>
    </row>
    <row r="57" spans="1:23" ht="16" customHeight="1" x14ac:dyDescent="0.2">
      <c r="A57" s="8" t="s">
        <v>7122</v>
      </c>
      <c r="B57" s="3" t="s">
        <v>5775</v>
      </c>
      <c r="C57" s="3" t="s">
        <v>6983</v>
      </c>
      <c r="D57" s="3" t="s">
        <v>932</v>
      </c>
      <c r="E57" s="3" t="s">
        <v>4719</v>
      </c>
      <c r="F57" s="3" t="s">
        <v>4723</v>
      </c>
      <c r="G57" s="3" t="s">
        <v>17</v>
      </c>
      <c r="H57" s="3" t="s">
        <v>17</v>
      </c>
      <c r="I57" s="3" t="s">
        <v>17</v>
      </c>
      <c r="N57" s="3"/>
      <c r="O57" s="3"/>
      <c r="P57" s="3"/>
      <c r="Q57" s="3"/>
      <c r="R57"/>
      <c r="S57" s="3"/>
      <c r="T57" s="3"/>
      <c r="U57" s="3"/>
      <c r="V57" s="3"/>
      <c r="W57" s="3"/>
    </row>
    <row r="58" spans="1:23" s="3" customFormat="1" ht="17" customHeight="1" x14ac:dyDescent="0.2">
      <c r="A58" s="8" t="s">
        <v>7120</v>
      </c>
      <c r="B58" s="3" t="s">
        <v>6712</v>
      </c>
      <c r="C58" s="3" t="s">
        <v>6983</v>
      </c>
      <c r="D58" s="3" t="s">
        <v>932</v>
      </c>
      <c r="E58" s="3" t="s">
        <v>1656</v>
      </c>
      <c r="F58" s="3" t="s">
        <v>1676</v>
      </c>
      <c r="G58" s="3" t="s">
        <v>17</v>
      </c>
      <c r="H58" s="3" t="s">
        <v>17</v>
      </c>
      <c r="I58" s="3" t="s">
        <v>17</v>
      </c>
      <c r="R58"/>
    </row>
    <row r="59" spans="1:23" s="3" customFormat="1" ht="16" customHeight="1" x14ac:dyDescent="0.2">
      <c r="A59" s="8" t="s">
        <v>7120</v>
      </c>
      <c r="B59" s="3" t="s">
        <v>6710</v>
      </c>
      <c r="C59" s="3" t="s">
        <v>6983</v>
      </c>
      <c r="D59" s="3" t="s">
        <v>932</v>
      </c>
      <c r="E59" s="3" t="s">
        <v>1656</v>
      </c>
      <c r="F59" s="3" t="s">
        <v>4707</v>
      </c>
      <c r="G59" s="3" t="s">
        <v>17</v>
      </c>
      <c r="H59" s="3" t="s">
        <v>17</v>
      </c>
      <c r="I59" s="3" t="s">
        <v>17</v>
      </c>
      <c r="R59"/>
      <c r="T59" s="9"/>
      <c r="U59" s="9"/>
      <c r="V59" s="9"/>
      <c r="W59" s="9"/>
    </row>
    <row r="60" spans="1:23" ht="17" customHeight="1" x14ac:dyDescent="0.2">
      <c r="A60" s="8" t="s">
        <v>7120</v>
      </c>
      <c r="B60" s="3" t="s">
        <v>6710</v>
      </c>
      <c r="C60" s="3" t="s">
        <v>6983</v>
      </c>
      <c r="D60" s="3" t="s">
        <v>932</v>
      </c>
      <c r="E60" s="3" t="s">
        <v>1653</v>
      </c>
      <c r="F60" s="3" t="s">
        <v>4707</v>
      </c>
      <c r="G60" s="3" t="s">
        <v>17</v>
      </c>
      <c r="H60" s="3" t="s">
        <v>17</v>
      </c>
      <c r="I60" s="3" t="s">
        <v>17</v>
      </c>
      <c r="N60" s="3"/>
      <c r="O60" s="3"/>
      <c r="P60" s="3"/>
      <c r="Q60" s="3"/>
      <c r="R60"/>
      <c r="S60" s="3"/>
      <c r="T60" s="3"/>
      <c r="U60" s="3"/>
      <c r="V60" s="3"/>
      <c r="W60" s="3"/>
    </row>
    <row r="61" spans="1:23" x14ac:dyDescent="0.2">
      <c r="A61" s="8" t="s">
        <v>7121</v>
      </c>
      <c r="B61" s="8" t="s">
        <v>6709</v>
      </c>
      <c r="C61" s="3" t="s">
        <v>6983</v>
      </c>
      <c r="D61" s="3" t="s">
        <v>932</v>
      </c>
      <c r="E61" s="3" t="s">
        <v>1681</v>
      </c>
      <c r="F61" s="3" t="s">
        <v>1679</v>
      </c>
      <c r="G61" s="3" t="s">
        <v>17</v>
      </c>
      <c r="H61" s="3" t="s">
        <v>17</v>
      </c>
      <c r="I61" s="3" t="s">
        <v>17</v>
      </c>
      <c r="N61" s="3"/>
      <c r="O61" s="3"/>
      <c r="P61" s="3"/>
      <c r="Q61" s="3"/>
      <c r="R61"/>
      <c r="S61" s="3"/>
      <c r="T61" s="3"/>
      <c r="U61" s="3"/>
      <c r="V61" s="3"/>
      <c r="W61" s="3"/>
    </row>
    <row r="62" spans="1:23" ht="17" customHeight="1" x14ac:dyDescent="0.2">
      <c r="A62" s="8" t="s">
        <v>7121</v>
      </c>
      <c r="B62" s="3" t="s">
        <v>5777</v>
      </c>
      <c r="C62" s="3" t="s">
        <v>6983</v>
      </c>
      <c r="D62" s="3" t="s">
        <v>932</v>
      </c>
      <c r="E62" s="3" t="s">
        <v>1681</v>
      </c>
      <c r="F62" s="3" t="s">
        <v>1658</v>
      </c>
      <c r="G62" s="3" t="s">
        <v>17</v>
      </c>
      <c r="H62" s="3" t="s">
        <v>17</v>
      </c>
      <c r="I62" s="3" t="s">
        <v>17</v>
      </c>
      <c r="N62" s="3"/>
      <c r="O62" s="3"/>
      <c r="P62" s="3"/>
      <c r="Q62" s="3"/>
      <c r="R62"/>
      <c r="S62" s="3"/>
      <c r="T62" s="3"/>
      <c r="U62" s="3"/>
      <c r="V62" s="3"/>
      <c r="W62" s="3"/>
    </row>
    <row r="63" spans="1:23" ht="17" customHeight="1" x14ac:dyDescent="0.2">
      <c r="A63" s="8" t="s">
        <v>7121</v>
      </c>
      <c r="B63" s="3" t="s">
        <v>6710</v>
      </c>
      <c r="C63" s="3" t="s">
        <v>6983</v>
      </c>
      <c r="D63" s="3" t="s">
        <v>932</v>
      </c>
      <c r="E63" s="3" t="s">
        <v>4711</v>
      </c>
      <c r="F63" s="3" t="s">
        <v>1681</v>
      </c>
      <c r="G63" s="3" t="s">
        <v>17</v>
      </c>
      <c r="H63" s="3" t="s">
        <v>17</v>
      </c>
      <c r="I63" s="3" t="s">
        <v>17</v>
      </c>
      <c r="N63" s="3"/>
      <c r="O63" s="3"/>
      <c r="P63" s="3"/>
      <c r="Q63" s="3"/>
      <c r="R63"/>
      <c r="S63" s="3"/>
      <c r="T63" s="3"/>
      <c r="U63" s="3"/>
      <c r="V63" s="3"/>
      <c r="W63" s="3"/>
    </row>
    <row r="64" spans="1:23" ht="17" customHeight="1" x14ac:dyDescent="0.2">
      <c r="A64" s="8" t="s">
        <v>7121</v>
      </c>
      <c r="B64" s="3" t="s">
        <v>6710</v>
      </c>
      <c r="C64" s="3" t="s">
        <v>6983</v>
      </c>
      <c r="D64" s="3" t="s">
        <v>932</v>
      </c>
      <c r="E64" s="3" t="s">
        <v>4721</v>
      </c>
      <c r="F64" s="3" t="s">
        <v>1674</v>
      </c>
      <c r="G64" s="3" t="s">
        <v>17</v>
      </c>
      <c r="H64" s="3" t="s">
        <v>17</v>
      </c>
      <c r="I64" s="3" t="s">
        <v>17</v>
      </c>
      <c r="N64" s="3"/>
      <c r="O64" s="3"/>
      <c r="P64" s="3"/>
      <c r="Q64" s="3"/>
      <c r="R64"/>
      <c r="S64" s="3"/>
      <c r="T64" s="3"/>
      <c r="U64" s="3"/>
      <c r="V64" s="3"/>
      <c r="W64" s="3"/>
    </row>
    <row r="65" spans="1:23" s="3" customFormat="1" ht="17" customHeight="1" x14ac:dyDescent="0.2">
      <c r="A65" s="8" t="s">
        <v>7121</v>
      </c>
      <c r="B65" s="3" t="s">
        <v>6710</v>
      </c>
      <c r="C65" s="3" t="s">
        <v>6983</v>
      </c>
      <c r="D65" s="3" t="s">
        <v>932</v>
      </c>
      <c r="E65" s="3" t="s">
        <v>4711</v>
      </c>
      <c r="F65" s="3" t="s">
        <v>4703</v>
      </c>
      <c r="G65" s="3" t="s">
        <v>17</v>
      </c>
      <c r="H65" s="3" t="s">
        <v>17</v>
      </c>
      <c r="I65" s="3" t="s">
        <v>17</v>
      </c>
      <c r="R65"/>
    </row>
    <row r="66" spans="1:23" s="3" customFormat="1" ht="16" customHeight="1" x14ac:dyDescent="0.2">
      <c r="A66" s="8" t="s">
        <v>7121</v>
      </c>
      <c r="B66" s="3" t="s">
        <v>6710</v>
      </c>
      <c r="C66" s="3" t="s">
        <v>6983</v>
      </c>
      <c r="D66" s="3" t="s">
        <v>932</v>
      </c>
      <c r="E66" s="3" t="s">
        <v>4711</v>
      </c>
      <c r="F66" s="3" t="s">
        <v>4721</v>
      </c>
      <c r="G66" s="3" t="s">
        <v>17</v>
      </c>
      <c r="H66" s="3" t="s">
        <v>17</v>
      </c>
      <c r="I66" s="3" t="s">
        <v>17</v>
      </c>
      <c r="R66"/>
    </row>
    <row r="67" spans="1:23" s="3" customFormat="1" ht="16" customHeight="1" x14ac:dyDescent="0.2">
      <c r="A67" s="8" t="s">
        <v>7121</v>
      </c>
      <c r="B67" s="3" t="s">
        <v>6710</v>
      </c>
      <c r="C67" s="3" t="s">
        <v>6983</v>
      </c>
      <c r="D67" s="3" t="s">
        <v>932</v>
      </c>
      <c r="E67" s="3" t="s">
        <v>4703</v>
      </c>
      <c r="F67" s="3" t="s">
        <v>4721</v>
      </c>
      <c r="G67" s="3" t="s">
        <v>17</v>
      </c>
      <c r="H67" s="3" t="s">
        <v>17</v>
      </c>
      <c r="I67" s="3" t="s">
        <v>17</v>
      </c>
      <c r="R67"/>
    </row>
    <row r="68" spans="1:23" ht="16" customHeight="1" x14ac:dyDescent="0.2">
      <c r="A68" s="8" t="s">
        <v>6707</v>
      </c>
      <c r="B68" s="3" t="s">
        <v>6712</v>
      </c>
      <c r="C68" s="3" t="s">
        <v>931</v>
      </c>
      <c r="D68" s="3" t="s">
        <v>932</v>
      </c>
      <c r="E68" s="3" t="s">
        <v>1129</v>
      </c>
      <c r="F68" s="3" t="s">
        <v>927</v>
      </c>
      <c r="G68" s="3" t="s">
        <v>17</v>
      </c>
      <c r="H68" s="3" t="s">
        <v>17</v>
      </c>
      <c r="I68" s="3" t="s">
        <v>17</v>
      </c>
      <c r="N68" s="3"/>
      <c r="O68" s="3"/>
      <c r="P68" s="3"/>
      <c r="Q68" s="3"/>
      <c r="R68"/>
      <c r="S68" s="3"/>
    </row>
    <row r="69" spans="1:23" x14ac:dyDescent="0.2">
      <c r="A69" s="3" t="s">
        <v>6713</v>
      </c>
      <c r="B69" s="3" t="s">
        <v>6710</v>
      </c>
      <c r="C69" s="3" t="s">
        <v>992</v>
      </c>
      <c r="D69" s="3" t="s">
        <v>932</v>
      </c>
      <c r="E69" s="3" t="s">
        <v>3346</v>
      </c>
      <c r="F69" s="3" t="s">
        <v>3324</v>
      </c>
      <c r="G69" s="3" t="s">
        <v>17</v>
      </c>
      <c r="H69" s="3" t="s">
        <v>17</v>
      </c>
      <c r="I69" s="3" t="s">
        <v>17</v>
      </c>
      <c r="N69" s="3"/>
      <c r="O69" s="3"/>
      <c r="P69" s="3"/>
      <c r="Q69" s="3"/>
      <c r="R69"/>
      <c r="S69" s="3"/>
    </row>
    <row r="70" spans="1:23" x14ac:dyDescent="0.2">
      <c r="A70" s="3" t="s">
        <v>6713</v>
      </c>
      <c r="B70" s="3" t="s">
        <v>6710</v>
      </c>
      <c r="C70" s="3" t="s">
        <v>992</v>
      </c>
      <c r="D70" s="3" t="s">
        <v>932</v>
      </c>
      <c r="E70" s="3" t="s">
        <v>3321</v>
      </c>
      <c r="F70" s="3" t="s">
        <v>3324</v>
      </c>
      <c r="G70" s="3" t="s">
        <v>17</v>
      </c>
      <c r="H70" s="3" t="s">
        <v>17</v>
      </c>
      <c r="I70" s="3" t="s">
        <v>17</v>
      </c>
      <c r="N70" s="3"/>
      <c r="O70" s="3"/>
      <c r="P70" s="3"/>
      <c r="Q70" s="3"/>
      <c r="R70"/>
      <c r="S70" s="3"/>
    </row>
    <row r="71" spans="1:23" x14ac:dyDescent="0.2">
      <c r="A71" s="8" t="s">
        <v>6705</v>
      </c>
      <c r="B71" s="3" t="s">
        <v>6710</v>
      </c>
      <c r="C71" s="3" t="s">
        <v>899</v>
      </c>
      <c r="D71" s="3" t="s">
        <v>865</v>
      </c>
      <c r="E71" s="3" t="s">
        <v>1010</v>
      </c>
      <c r="F71" s="3" t="s">
        <v>895</v>
      </c>
      <c r="G71" s="3" t="s">
        <v>17</v>
      </c>
      <c r="H71" s="3" t="s">
        <v>17</v>
      </c>
      <c r="I71" s="3" t="s">
        <v>17</v>
      </c>
      <c r="N71" s="3"/>
      <c r="O71" s="3"/>
      <c r="P71" s="3"/>
      <c r="Q71" s="3"/>
      <c r="R71"/>
      <c r="S71" s="3"/>
    </row>
    <row r="72" spans="1:23" s="3" customFormat="1" ht="17" customHeight="1" x14ac:dyDescent="0.2">
      <c r="A72" s="8" t="s">
        <v>6706</v>
      </c>
      <c r="B72" s="3" t="s">
        <v>6710</v>
      </c>
      <c r="C72" s="3" t="s">
        <v>1331</v>
      </c>
      <c r="D72" s="3" t="s">
        <v>865</v>
      </c>
      <c r="E72" s="3" t="s">
        <v>1332</v>
      </c>
      <c r="F72" s="3" t="s">
        <v>1327</v>
      </c>
      <c r="G72" s="3" t="s">
        <v>17</v>
      </c>
      <c r="H72" s="3" t="s">
        <v>17</v>
      </c>
      <c r="I72" s="3" t="s">
        <v>17</v>
      </c>
      <c r="T72" s="2"/>
      <c r="U72" s="2"/>
      <c r="V72" s="2"/>
      <c r="W72" s="2"/>
    </row>
    <row r="73" spans="1:23" x14ac:dyDescent="0.2">
      <c r="R73"/>
    </row>
    <row r="74" spans="1:23" ht="17" customHeight="1" x14ac:dyDescent="0.2">
      <c r="R74"/>
    </row>
    <row r="75" spans="1:23" x14ac:dyDescent="0.2">
      <c r="R75"/>
    </row>
    <row r="76" spans="1:23" s="3" customFormat="1" ht="17" customHeight="1" x14ac:dyDescent="0.2">
      <c r="E76" s="2"/>
      <c r="F76" s="2"/>
      <c r="G76" s="2"/>
      <c r="H76" s="2"/>
      <c r="I76" s="2"/>
      <c r="N76" s="2"/>
      <c r="O76" s="2"/>
      <c r="P76" s="2"/>
      <c r="Q76" s="2"/>
      <c r="R76"/>
      <c r="S76" s="2"/>
      <c r="T76" s="2"/>
      <c r="U76" s="2"/>
      <c r="V76" s="2"/>
      <c r="W76" s="2"/>
    </row>
    <row r="77" spans="1:23" s="3" customFormat="1" ht="17" customHeight="1" x14ac:dyDescent="0.2">
      <c r="D77" s="2"/>
      <c r="E77" s="2"/>
      <c r="F77" s="2"/>
      <c r="G77" s="2"/>
      <c r="H77" s="2"/>
      <c r="I77" s="2"/>
      <c r="N77" s="2"/>
      <c r="O77" s="2"/>
      <c r="P77" s="2"/>
      <c r="Q77" s="2"/>
      <c r="R77"/>
      <c r="S77" s="2"/>
      <c r="T77" s="2"/>
      <c r="U77" s="2"/>
      <c r="V77" s="2"/>
      <c r="W77" s="2"/>
    </row>
    <row r="78" spans="1:23" s="3" customFormat="1" ht="17" customHeight="1" x14ac:dyDescent="0.2">
      <c r="D78" s="2"/>
      <c r="E78" s="2"/>
      <c r="F78" s="2"/>
      <c r="G78" s="2"/>
      <c r="H78" s="2"/>
      <c r="I78" s="2"/>
      <c r="N78" s="2"/>
      <c r="O78" s="2"/>
      <c r="P78" s="2"/>
      <c r="Q78" s="2"/>
      <c r="R78"/>
      <c r="S78" s="2"/>
      <c r="T78" s="2"/>
      <c r="U78" s="2"/>
      <c r="V78" s="2"/>
      <c r="W78" s="2"/>
    </row>
    <row r="79" spans="1:23" s="3" customFormat="1" ht="16" customHeight="1" x14ac:dyDescent="0.2">
      <c r="D79" s="2"/>
      <c r="E79" s="2"/>
      <c r="F79" s="2"/>
      <c r="G79" s="2"/>
      <c r="H79" s="2"/>
      <c r="I79" s="2"/>
      <c r="N79" s="2"/>
      <c r="O79" s="2"/>
      <c r="P79" s="2"/>
      <c r="Q79" s="2"/>
      <c r="R79"/>
      <c r="S79" s="2"/>
      <c r="T79" s="2"/>
      <c r="U79" s="2"/>
      <c r="V79" s="2"/>
      <c r="W79" s="2"/>
    </row>
    <row r="80" spans="1:23" x14ac:dyDescent="0.2">
      <c r="R80"/>
    </row>
    <row r="81" spans="1:18" x14ac:dyDescent="0.2">
      <c r="R81"/>
    </row>
    <row r="82" spans="1:18" x14ac:dyDescent="0.2">
      <c r="R82"/>
    </row>
    <row r="83" spans="1:18" x14ac:dyDescent="0.2">
      <c r="R83"/>
    </row>
    <row r="84" spans="1:18" x14ac:dyDescent="0.2">
      <c r="R84"/>
    </row>
    <row r="85" spans="1:18" x14ac:dyDescent="0.2">
      <c r="R85"/>
    </row>
    <row r="86" spans="1:18" x14ac:dyDescent="0.2">
      <c r="R86"/>
    </row>
    <row r="87" spans="1:18" x14ac:dyDescent="0.2">
      <c r="R87"/>
    </row>
    <row r="88" spans="1:18" s="3" customFormat="1" ht="16" customHeight="1" x14ac:dyDescent="0.2">
      <c r="A88" s="8"/>
      <c r="B88" s="8"/>
      <c r="D88" s="2"/>
      <c r="E88" s="2"/>
      <c r="F88" s="2"/>
      <c r="G88" s="2"/>
      <c r="H88" s="2"/>
      <c r="I88" s="2"/>
      <c r="N88" s="2"/>
      <c r="O88" s="2"/>
      <c r="P88" s="2"/>
      <c r="R88"/>
    </row>
    <row r="89" spans="1:18" s="3" customFormat="1" ht="16" customHeight="1" x14ac:dyDescent="0.2">
      <c r="A89" s="8"/>
      <c r="B89" s="8"/>
      <c r="N89" s="2"/>
      <c r="O89" s="2"/>
      <c r="P89" s="2"/>
      <c r="R89"/>
    </row>
    <row r="90" spans="1:18" s="3" customFormat="1" ht="16" customHeight="1" x14ac:dyDescent="0.2">
      <c r="A90" s="8"/>
      <c r="B90" s="8"/>
      <c r="D90" s="2"/>
      <c r="E90" s="2"/>
      <c r="F90" s="2"/>
      <c r="G90" s="2"/>
      <c r="H90" s="2"/>
      <c r="I90" s="2"/>
      <c r="N90" s="2"/>
      <c r="O90" s="2"/>
      <c r="P90" s="2"/>
      <c r="R90"/>
    </row>
    <row r="91" spans="1:18" s="3" customFormat="1" ht="16" customHeight="1" x14ac:dyDescent="0.2">
      <c r="A91" s="8"/>
      <c r="B91" s="8"/>
      <c r="N91" s="2"/>
      <c r="O91" s="2"/>
      <c r="P91" s="2"/>
      <c r="R91"/>
    </row>
    <row r="92" spans="1:18" s="3" customFormat="1" ht="16" customHeight="1" x14ac:dyDescent="0.2">
      <c r="A92" s="8"/>
      <c r="B92" s="8"/>
      <c r="D92" s="2"/>
      <c r="E92" s="2"/>
      <c r="F92" s="2"/>
      <c r="G92" s="2"/>
      <c r="H92" s="2"/>
      <c r="I92" s="2"/>
      <c r="N92" s="2"/>
      <c r="O92" s="2"/>
      <c r="P92" s="2"/>
      <c r="R92"/>
    </row>
    <row r="93" spans="1:18" s="3" customFormat="1" ht="16" customHeight="1" x14ac:dyDescent="0.2">
      <c r="A93" s="8"/>
      <c r="B93" s="8"/>
      <c r="D93" s="2"/>
      <c r="E93" s="2"/>
      <c r="F93" s="2"/>
      <c r="G93" s="2"/>
      <c r="H93" s="2"/>
      <c r="I93" s="2"/>
      <c r="N93" s="2"/>
      <c r="O93" s="2"/>
      <c r="P93" s="2"/>
      <c r="R93"/>
    </row>
    <row r="94" spans="1:18" s="3" customFormat="1" ht="16" customHeight="1" x14ac:dyDescent="0.2">
      <c r="A94" s="8"/>
      <c r="B94" s="8"/>
      <c r="D94" s="2"/>
      <c r="E94" s="2"/>
      <c r="F94" s="2"/>
      <c r="G94" s="2"/>
      <c r="H94" s="2"/>
      <c r="I94" s="2"/>
      <c r="N94" s="2"/>
      <c r="O94" s="2"/>
      <c r="P94" s="2"/>
      <c r="R94"/>
    </row>
    <row r="95" spans="1:18" s="3" customFormat="1" ht="16" customHeight="1" x14ac:dyDescent="0.2">
      <c r="A95" s="8"/>
      <c r="B95" s="8"/>
      <c r="D95" s="2"/>
      <c r="E95" s="2"/>
      <c r="F95" s="2"/>
      <c r="G95" s="2"/>
      <c r="H95" s="2"/>
      <c r="I95" s="2"/>
      <c r="N95" s="2"/>
      <c r="O95" s="2"/>
      <c r="P95" s="2"/>
      <c r="R95"/>
    </row>
    <row r="96" spans="1:18" s="3" customFormat="1" ht="16" customHeight="1" x14ac:dyDescent="0.2">
      <c r="A96" s="8"/>
      <c r="B96" s="8"/>
      <c r="N96" s="2"/>
      <c r="O96" s="2"/>
      <c r="P96" s="2"/>
      <c r="R96"/>
    </row>
    <row r="97" spans="1:18" s="3" customFormat="1" ht="16" customHeight="1" x14ac:dyDescent="0.2">
      <c r="A97" s="8"/>
      <c r="B97" s="8"/>
      <c r="N97" s="2"/>
      <c r="O97" s="2"/>
      <c r="P97" s="2"/>
      <c r="R97"/>
    </row>
    <row r="98" spans="1:18" s="3" customFormat="1" ht="16" customHeight="1" x14ac:dyDescent="0.2">
      <c r="A98" s="8"/>
      <c r="B98" s="8"/>
      <c r="D98" s="2"/>
      <c r="E98" s="2"/>
      <c r="F98" s="2"/>
      <c r="G98" s="2"/>
      <c r="H98" s="2"/>
      <c r="I98" s="2"/>
      <c r="N98" s="2"/>
      <c r="O98" s="2"/>
      <c r="P98" s="2"/>
      <c r="R98"/>
    </row>
    <row r="99" spans="1:18" s="3" customFormat="1" ht="16" customHeight="1" x14ac:dyDescent="0.2">
      <c r="A99" s="8"/>
      <c r="B99" s="8"/>
      <c r="N99" s="2"/>
      <c r="O99" s="2"/>
      <c r="P99" s="2"/>
      <c r="R99"/>
    </row>
    <row r="100" spans="1:18" s="3" customFormat="1" ht="16" customHeight="1" x14ac:dyDescent="0.2">
      <c r="A100" s="8"/>
      <c r="B100" s="8"/>
      <c r="D100" s="2"/>
      <c r="E100" s="2"/>
      <c r="F100" s="2"/>
      <c r="G100" s="2"/>
      <c r="H100" s="2"/>
      <c r="I100" s="2"/>
      <c r="N100" s="2"/>
      <c r="O100" s="2"/>
      <c r="P100" s="2"/>
      <c r="R100"/>
    </row>
    <row r="101" spans="1:18" s="3" customFormat="1" ht="16" customHeight="1" x14ac:dyDescent="0.2">
      <c r="A101" s="8"/>
      <c r="B101" s="8"/>
      <c r="D101" s="2"/>
      <c r="E101" s="2"/>
      <c r="F101" s="2"/>
      <c r="G101" s="2"/>
      <c r="H101" s="2"/>
      <c r="I101" s="2"/>
      <c r="N101" s="2"/>
      <c r="O101" s="2"/>
      <c r="P101" s="2"/>
      <c r="R101"/>
    </row>
    <row r="102" spans="1:18" s="3" customFormat="1" ht="16" customHeight="1" x14ac:dyDescent="0.2">
      <c r="A102" s="8"/>
      <c r="B102" s="8"/>
      <c r="N102" s="2"/>
      <c r="O102" s="2"/>
      <c r="P102" s="2"/>
      <c r="R102"/>
    </row>
    <row r="103" spans="1:18" s="3" customFormat="1" ht="16" customHeight="1" x14ac:dyDescent="0.2">
      <c r="A103" s="8"/>
      <c r="B103" s="8"/>
      <c r="D103" s="4"/>
      <c r="E103" s="4"/>
      <c r="F103" s="4"/>
      <c r="G103" s="4"/>
      <c r="H103" s="4"/>
      <c r="I103" s="4"/>
      <c r="N103" s="2"/>
      <c r="O103" s="2"/>
      <c r="P103" s="2"/>
      <c r="R103"/>
    </row>
    <row r="104" spans="1:18" s="3" customFormat="1" ht="16" customHeight="1" x14ac:dyDescent="0.2">
      <c r="A104" s="8"/>
      <c r="B104" s="8"/>
      <c r="D104" s="2"/>
      <c r="E104" s="2"/>
      <c r="F104" s="2"/>
      <c r="G104" s="2"/>
      <c r="H104" s="2"/>
      <c r="I104" s="2"/>
      <c r="N104" s="2"/>
      <c r="O104" s="2"/>
      <c r="P104" s="2"/>
      <c r="R104"/>
    </row>
    <row r="105" spans="1:18" s="3" customFormat="1" ht="16" customHeight="1" x14ac:dyDescent="0.2">
      <c r="A105" s="8"/>
      <c r="B105" s="8"/>
      <c r="D105" s="2"/>
      <c r="E105" s="2"/>
      <c r="F105" s="2"/>
      <c r="G105" s="2"/>
      <c r="H105" s="2"/>
      <c r="I105" s="2"/>
      <c r="N105" s="2"/>
      <c r="O105" s="2"/>
      <c r="P105" s="2"/>
      <c r="R105"/>
    </row>
    <row r="106" spans="1:18" s="3" customFormat="1" ht="16" customHeight="1" x14ac:dyDescent="0.2">
      <c r="A106" s="8"/>
      <c r="B106" s="8"/>
      <c r="D106" s="2"/>
      <c r="E106" s="2"/>
      <c r="F106" s="2"/>
      <c r="G106" s="2"/>
      <c r="H106" s="2"/>
      <c r="I106" s="2"/>
      <c r="N106" s="2"/>
      <c r="O106" s="2"/>
      <c r="P106" s="2"/>
      <c r="R106"/>
    </row>
    <row r="107" spans="1:18" s="3" customFormat="1" ht="16" customHeight="1" x14ac:dyDescent="0.2">
      <c r="A107" s="8"/>
      <c r="B107" s="8"/>
      <c r="D107" s="2"/>
      <c r="E107" s="2"/>
      <c r="F107" s="2"/>
      <c r="G107" s="2"/>
      <c r="H107" s="2"/>
      <c r="I107" s="2"/>
      <c r="N107" s="2"/>
      <c r="O107" s="2"/>
      <c r="P107" s="2"/>
      <c r="R107"/>
    </row>
    <row r="108" spans="1:18" s="3" customFormat="1" ht="16" customHeight="1" x14ac:dyDescent="0.2">
      <c r="A108" s="8"/>
      <c r="B108" s="8"/>
      <c r="D108" s="2"/>
      <c r="E108" s="2"/>
      <c r="F108" s="2"/>
      <c r="G108" s="2"/>
      <c r="H108" s="2"/>
      <c r="I108" s="2"/>
      <c r="N108" s="2"/>
      <c r="O108" s="2"/>
      <c r="P108" s="2"/>
      <c r="R108"/>
    </row>
    <row r="109" spans="1:18" s="3" customFormat="1" ht="16" customHeight="1" x14ac:dyDescent="0.2">
      <c r="A109" s="8"/>
      <c r="B109" s="8"/>
      <c r="D109" s="2"/>
      <c r="E109" s="2"/>
      <c r="F109" s="2"/>
      <c r="G109" s="2"/>
      <c r="H109" s="2"/>
      <c r="I109" s="2"/>
      <c r="N109" s="2"/>
      <c r="O109" s="2"/>
      <c r="P109" s="2"/>
      <c r="R109"/>
    </row>
    <row r="110" spans="1:18" s="3" customFormat="1" ht="16" customHeight="1" x14ac:dyDescent="0.2">
      <c r="A110" s="8"/>
      <c r="B110" s="8"/>
      <c r="D110" s="2"/>
      <c r="E110" s="2"/>
      <c r="F110" s="2"/>
      <c r="G110" s="2"/>
      <c r="H110" s="2"/>
      <c r="I110" s="2"/>
      <c r="N110" s="2"/>
      <c r="O110" s="2"/>
      <c r="P110" s="2"/>
      <c r="R110"/>
    </row>
    <row r="111" spans="1:18" s="3" customFormat="1" ht="16" customHeight="1" x14ac:dyDescent="0.2">
      <c r="A111" s="8"/>
      <c r="B111" s="8"/>
      <c r="D111" s="2"/>
      <c r="E111" s="2"/>
      <c r="F111" s="2"/>
      <c r="G111" s="2"/>
      <c r="H111" s="2"/>
      <c r="I111" s="2"/>
      <c r="R111"/>
    </row>
    <row r="112" spans="1:18" s="3" customFormat="1" ht="16" customHeight="1" x14ac:dyDescent="0.2">
      <c r="A112" s="8"/>
      <c r="B112" s="8"/>
      <c r="D112" s="2"/>
      <c r="E112" s="2"/>
      <c r="F112" s="2"/>
      <c r="G112" s="2"/>
      <c r="H112" s="2"/>
      <c r="I112" s="2"/>
      <c r="R112"/>
    </row>
    <row r="113" spans="1:18" s="3" customFormat="1" ht="16" customHeight="1" x14ac:dyDescent="0.2">
      <c r="A113" s="8"/>
      <c r="B113" s="8"/>
      <c r="R113"/>
    </row>
    <row r="114" spans="1:18" s="3" customFormat="1" ht="16" customHeight="1" x14ac:dyDescent="0.2">
      <c r="A114" s="8"/>
      <c r="B114" s="8"/>
      <c r="D114" s="2"/>
      <c r="E114" s="2"/>
      <c r="F114" s="2"/>
      <c r="G114" s="2"/>
      <c r="H114" s="2"/>
      <c r="I114" s="2"/>
      <c r="R114"/>
    </row>
    <row r="115" spans="1:18" s="3" customFormat="1" ht="16" customHeight="1" x14ac:dyDescent="0.2">
      <c r="A115" s="8"/>
      <c r="B115" s="8"/>
      <c r="D115" s="2"/>
      <c r="E115" s="2"/>
      <c r="F115" s="2"/>
      <c r="G115" s="2"/>
      <c r="H115" s="2"/>
      <c r="I115" s="2"/>
      <c r="R115"/>
    </row>
    <row r="116" spans="1:18" s="3" customFormat="1" ht="16" customHeight="1" x14ac:dyDescent="0.2">
      <c r="A116" s="8"/>
      <c r="B116" s="8"/>
      <c r="D116" s="2"/>
      <c r="E116" s="2"/>
      <c r="F116" s="2"/>
      <c r="G116" s="2"/>
      <c r="H116" s="2"/>
      <c r="I116" s="2"/>
      <c r="R116"/>
    </row>
    <row r="117" spans="1:18" s="3" customFormat="1" ht="16" customHeight="1" x14ac:dyDescent="0.2">
      <c r="A117" s="8"/>
      <c r="B117" s="8"/>
      <c r="D117" s="2"/>
      <c r="E117" s="2"/>
      <c r="F117" s="2"/>
      <c r="G117" s="2"/>
      <c r="H117" s="2"/>
      <c r="I117" s="2"/>
      <c r="R117"/>
    </row>
    <row r="118" spans="1:18" s="3" customFormat="1" ht="16" customHeight="1" x14ac:dyDescent="0.2">
      <c r="A118" s="8"/>
      <c r="B118" s="8"/>
      <c r="D118" s="2"/>
      <c r="E118" s="2"/>
      <c r="F118" s="2"/>
      <c r="G118" s="2"/>
      <c r="H118" s="2"/>
      <c r="I118" s="2"/>
      <c r="R118"/>
    </row>
    <row r="119" spans="1:18" s="3" customFormat="1" ht="16" customHeight="1" x14ac:dyDescent="0.2">
      <c r="A119" s="8"/>
      <c r="B119" s="8"/>
      <c r="D119" s="2"/>
      <c r="E119" s="2"/>
      <c r="F119" s="2"/>
      <c r="G119" s="2"/>
      <c r="H119" s="2"/>
      <c r="I119" s="2"/>
      <c r="R119"/>
    </row>
    <row r="120" spans="1:18" s="3" customFormat="1" ht="16" customHeight="1" x14ac:dyDescent="0.2">
      <c r="A120" s="8"/>
      <c r="B120" s="8"/>
      <c r="D120" s="2"/>
      <c r="E120" s="2"/>
      <c r="F120" s="2"/>
      <c r="G120" s="2"/>
      <c r="H120" s="2"/>
      <c r="I120" s="2"/>
      <c r="N120" s="2"/>
      <c r="O120" s="2"/>
      <c r="P120" s="2"/>
      <c r="R120"/>
    </row>
    <row r="121" spans="1:18" s="3" customFormat="1" ht="16" customHeight="1" x14ac:dyDescent="0.2">
      <c r="A121" s="8"/>
      <c r="B121" s="8"/>
      <c r="D121" s="2"/>
      <c r="E121" s="2"/>
      <c r="F121" s="2"/>
      <c r="G121" s="2"/>
      <c r="H121" s="2"/>
      <c r="I121" s="2"/>
      <c r="N121" s="2"/>
      <c r="O121" s="2"/>
      <c r="P121" s="2"/>
      <c r="R121"/>
    </row>
    <row r="122" spans="1:18" s="3" customFormat="1" ht="16" customHeight="1" x14ac:dyDescent="0.2">
      <c r="A122" s="8"/>
      <c r="B122" s="8"/>
      <c r="D122" s="2"/>
      <c r="E122" s="2"/>
      <c r="F122" s="2"/>
      <c r="G122" s="2"/>
      <c r="H122" s="2"/>
      <c r="I122" s="2"/>
      <c r="N122" s="2"/>
      <c r="O122" s="2"/>
      <c r="P122" s="2"/>
      <c r="R122"/>
    </row>
    <row r="123" spans="1:18" s="3" customFormat="1" ht="16" customHeight="1" x14ac:dyDescent="0.2">
      <c r="A123" s="8"/>
      <c r="B123" s="8"/>
      <c r="D123" s="2"/>
      <c r="E123" s="2"/>
      <c r="F123" s="2"/>
      <c r="G123" s="2"/>
      <c r="H123" s="2"/>
      <c r="I123" s="2"/>
      <c r="N123" s="2"/>
      <c r="O123" s="2"/>
      <c r="P123" s="2"/>
      <c r="R123"/>
    </row>
    <row r="124" spans="1:18" s="3" customFormat="1" ht="16" customHeight="1" x14ac:dyDescent="0.2">
      <c r="A124" s="8"/>
      <c r="B124" s="8"/>
      <c r="D124" s="2"/>
      <c r="E124" s="2"/>
      <c r="F124" s="2"/>
      <c r="G124" s="2"/>
      <c r="H124" s="2"/>
      <c r="I124" s="2"/>
      <c r="N124" s="2"/>
      <c r="O124" s="2"/>
      <c r="P124" s="2"/>
      <c r="R124"/>
    </row>
    <row r="125" spans="1:18" s="3" customFormat="1" ht="16" customHeight="1" x14ac:dyDescent="0.2">
      <c r="A125" s="8"/>
      <c r="B125" s="8"/>
      <c r="D125" s="2"/>
      <c r="E125" s="2"/>
      <c r="F125" s="2"/>
      <c r="G125" s="2"/>
      <c r="H125" s="2"/>
      <c r="I125" s="2"/>
      <c r="R125"/>
    </row>
    <row r="126" spans="1:18" s="3" customFormat="1" ht="16" customHeight="1" x14ac:dyDescent="0.2">
      <c r="A126" s="8"/>
      <c r="B126" s="8"/>
      <c r="D126" s="2"/>
      <c r="E126" s="2"/>
      <c r="F126" s="2"/>
      <c r="G126" s="2"/>
      <c r="H126" s="2"/>
      <c r="I126" s="2"/>
      <c r="R126"/>
    </row>
    <row r="127" spans="1:18" s="3" customFormat="1" ht="16" customHeight="1" x14ac:dyDescent="0.2">
      <c r="A127" s="8"/>
      <c r="B127" s="8"/>
      <c r="R127"/>
    </row>
    <row r="128" spans="1:18" s="3" customFormat="1" ht="16" customHeight="1" x14ac:dyDescent="0.2">
      <c r="A128" s="8"/>
      <c r="B128" s="8"/>
      <c r="D128" s="2"/>
      <c r="E128" s="2"/>
      <c r="F128" s="2"/>
      <c r="G128" s="2"/>
      <c r="H128" s="2"/>
      <c r="I128" s="2"/>
      <c r="R128"/>
    </row>
    <row r="129" spans="1:18" s="3" customFormat="1" ht="16" customHeight="1" x14ac:dyDescent="0.2">
      <c r="A129" s="8"/>
      <c r="B129" s="8"/>
      <c r="D129" s="2"/>
      <c r="E129" s="2"/>
      <c r="F129" s="2"/>
      <c r="G129" s="2"/>
      <c r="H129" s="2"/>
      <c r="I129" s="2"/>
      <c r="R129"/>
    </row>
    <row r="130" spans="1:18" s="3" customFormat="1" ht="16" customHeight="1" x14ac:dyDescent="0.2">
      <c r="A130" s="8"/>
      <c r="B130" s="8"/>
      <c r="D130" s="2"/>
      <c r="E130" s="2"/>
      <c r="F130" s="2"/>
      <c r="G130" s="2"/>
      <c r="H130" s="2"/>
      <c r="I130" s="2"/>
      <c r="R130"/>
    </row>
    <row r="131" spans="1:18" s="3" customFormat="1" ht="16" customHeight="1" x14ac:dyDescent="0.2">
      <c r="A131" s="8"/>
      <c r="B131" s="8"/>
      <c r="D131" s="2"/>
      <c r="E131" s="2"/>
      <c r="F131" s="2"/>
      <c r="G131" s="2"/>
      <c r="H131" s="2"/>
      <c r="I131" s="2"/>
      <c r="N131" s="2"/>
      <c r="O131" s="2"/>
      <c r="P131" s="2"/>
      <c r="R131"/>
    </row>
    <row r="132" spans="1:18" s="3" customFormat="1" ht="16" customHeight="1" x14ac:dyDescent="0.2">
      <c r="A132" s="8"/>
      <c r="B132" s="8"/>
      <c r="D132" s="2"/>
      <c r="E132" s="2"/>
      <c r="F132" s="2"/>
      <c r="G132" s="2"/>
      <c r="H132" s="2"/>
      <c r="I132" s="2"/>
      <c r="N132" s="2"/>
      <c r="O132" s="2"/>
      <c r="P132" s="2"/>
      <c r="R132"/>
    </row>
    <row r="133" spans="1:18" s="3" customFormat="1" ht="16" customHeight="1" x14ac:dyDescent="0.2">
      <c r="A133" s="8"/>
      <c r="B133" s="8"/>
      <c r="N133" s="2"/>
      <c r="O133" s="2"/>
      <c r="P133" s="2"/>
      <c r="R133"/>
    </row>
    <row r="134" spans="1:18" s="3" customFormat="1" ht="16" customHeight="1" x14ac:dyDescent="0.2">
      <c r="D134" s="2"/>
      <c r="E134" s="2"/>
      <c r="F134" s="2"/>
      <c r="G134" s="2"/>
      <c r="H134" s="2"/>
      <c r="I134" s="2"/>
      <c r="N134" s="2"/>
      <c r="O134" s="2"/>
      <c r="P134" s="2"/>
      <c r="R134"/>
    </row>
    <row r="135" spans="1:18" s="3" customFormat="1" ht="16" customHeight="1" x14ac:dyDescent="0.2">
      <c r="D135" s="2"/>
      <c r="E135" s="2"/>
      <c r="F135" s="2"/>
      <c r="G135" s="2"/>
      <c r="H135" s="2"/>
      <c r="I135" s="2"/>
      <c r="N135" s="2"/>
      <c r="O135" s="2"/>
      <c r="P135" s="2"/>
      <c r="R135"/>
    </row>
    <row r="136" spans="1:18" s="3" customFormat="1" ht="16" customHeight="1" x14ac:dyDescent="0.2">
      <c r="D136" s="2"/>
      <c r="E136" s="2"/>
      <c r="F136" s="2"/>
      <c r="G136" s="2"/>
      <c r="H136" s="2"/>
      <c r="I136" s="2"/>
      <c r="N136" s="2"/>
      <c r="O136" s="2"/>
      <c r="P136" s="2"/>
      <c r="R136"/>
    </row>
    <row r="137" spans="1:18" s="3" customFormat="1" ht="16" customHeight="1" x14ac:dyDescent="0.2">
      <c r="D137" s="2"/>
      <c r="E137" s="2"/>
      <c r="F137" s="2"/>
      <c r="G137" s="2"/>
      <c r="H137" s="2"/>
      <c r="I137" s="2"/>
      <c r="N137" s="2"/>
      <c r="O137" s="2"/>
      <c r="P137" s="2"/>
      <c r="R137"/>
    </row>
    <row r="138" spans="1:18" s="3" customFormat="1" ht="16" customHeight="1" x14ac:dyDescent="0.2">
      <c r="D138" s="2"/>
      <c r="E138" s="2"/>
      <c r="F138" s="2"/>
      <c r="G138" s="2"/>
      <c r="H138" s="2"/>
      <c r="I138" s="2"/>
      <c r="N138" s="2"/>
      <c r="O138" s="2"/>
      <c r="P138" s="2"/>
      <c r="R138"/>
    </row>
    <row r="139" spans="1:18" s="3" customFormat="1" ht="16" customHeight="1" x14ac:dyDescent="0.2">
      <c r="D139" s="2"/>
      <c r="E139" s="2"/>
      <c r="F139" s="2"/>
      <c r="G139" s="2"/>
      <c r="H139" s="2"/>
      <c r="I139" s="2"/>
      <c r="N139" s="2"/>
      <c r="O139" s="2"/>
      <c r="P139" s="2"/>
      <c r="R139"/>
    </row>
    <row r="140" spans="1:18" s="3" customFormat="1" ht="16" customHeight="1" x14ac:dyDescent="0.2">
      <c r="D140" s="2"/>
      <c r="E140" s="2"/>
      <c r="F140" s="2"/>
      <c r="G140" s="2"/>
      <c r="H140" s="2"/>
      <c r="I140" s="2"/>
      <c r="N140" s="2"/>
      <c r="O140" s="2"/>
      <c r="P140" s="2"/>
      <c r="R140"/>
    </row>
    <row r="141" spans="1:18" s="3" customFormat="1" ht="16" customHeight="1" x14ac:dyDescent="0.2">
      <c r="D141" s="2"/>
      <c r="E141" s="2"/>
      <c r="F141" s="2"/>
      <c r="G141" s="2"/>
      <c r="H141" s="2"/>
      <c r="I141" s="2"/>
      <c r="N141" s="2"/>
      <c r="O141" s="2"/>
      <c r="P141" s="2"/>
      <c r="R141"/>
    </row>
    <row r="142" spans="1:18" s="3" customFormat="1" ht="16" customHeight="1" x14ac:dyDescent="0.2">
      <c r="D142" s="2"/>
      <c r="E142" s="2"/>
      <c r="F142" s="2"/>
      <c r="G142" s="2"/>
      <c r="H142" s="2"/>
      <c r="I142" s="2"/>
      <c r="N142" s="2"/>
      <c r="O142" s="2"/>
      <c r="P142" s="2"/>
      <c r="R142"/>
    </row>
    <row r="143" spans="1:18" s="3" customFormat="1" ht="16" customHeight="1" x14ac:dyDescent="0.2">
      <c r="D143" s="2"/>
      <c r="E143" s="2"/>
      <c r="F143" s="2"/>
      <c r="G143" s="2"/>
      <c r="H143" s="2"/>
      <c r="I143" s="2"/>
      <c r="N143" s="2"/>
      <c r="O143" s="2"/>
      <c r="P143" s="2"/>
      <c r="R143"/>
    </row>
    <row r="144" spans="1:18" s="3" customFormat="1" ht="16" customHeight="1" x14ac:dyDescent="0.2">
      <c r="D144" s="2"/>
      <c r="E144" s="2"/>
      <c r="F144" s="2"/>
      <c r="G144" s="2"/>
      <c r="H144" s="2"/>
      <c r="I144" s="2"/>
      <c r="N144" s="2"/>
      <c r="O144" s="2"/>
      <c r="P144" s="2"/>
      <c r="R144"/>
    </row>
    <row r="145" spans="1:18" s="3" customFormat="1" ht="16" customHeight="1" x14ac:dyDescent="0.2">
      <c r="D145" s="2"/>
      <c r="E145" s="2"/>
      <c r="F145" s="2"/>
      <c r="G145" s="2"/>
      <c r="H145" s="2"/>
      <c r="I145" s="2"/>
      <c r="N145" s="2"/>
      <c r="O145" s="2"/>
      <c r="P145" s="2"/>
      <c r="R145"/>
    </row>
    <row r="146" spans="1:18" s="3" customFormat="1" ht="16" customHeight="1" x14ac:dyDescent="0.2">
      <c r="D146" s="2"/>
      <c r="E146" s="2"/>
      <c r="F146" s="2"/>
      <c r="G146" s="2"/>
      <c r="H146" s="2"/>
      <c r="I146" s="2"/>
      <c r="N146" s="2"/>
      <c r="O146" s="2"/>
      <c r="P146" s="2"/>
      <c r="R146"/>
    </row>
    <row r="147" spans="1:18" s="3" customFormat="1" ht="16" customHeight="1" x14ac:dyDescent="0.2">
      <c r="A147" s="8"/>
      <c r="B147" s="8"/>
      <c r="D147" s="2"/>
      <c r="E147" s="2"/>
      <c r="F147" s="2"/>
      <c r="G147" s="2"/>
      <c r="H147" s="2"/>
      <c r="I147" s="2"/>
      <c r="N147" s="2"/>
      <c r="O147" s="2"/>
      <c r="P147" s="2"/>
      <c r="R147"/>
    </row>
    <row r="148" spans="1:18" s="3" customFormat="1" ht="16" customHeight="1" x14ac:dyDescent="0.2">
      <c r="A148" s="8"/>
      <c r="B148" s="8"/>
      <c r="D148" s="2"/>
      <c r="E148" s="2"/>
      <c r="F148" s="2"/>
      <c r="G148" s="2"/>
      <c r="H148" s="2"/>
      <c r="I148" s="2"/>
      <c r="N148" s="2"/>
      <c r="O148" s="2"/>
      <c r="P148" s="2"/>
      <c r="R148"/>
    </row>
    <row r="149" spans="1:18" s="3" customFormat="1" ht="16" customHeight="1" x14ac:dyDescent="0.2">
      <c r="A149" s="8"/>
      <c r="B149" s="8"/>
      <c r="D149" s="2"/>
      <c r="E149" s="2"/>
      <c r="F149" s="2"/>
      <c r="G149" s="2"/>
      <c r="H149" s="2"/>
      <c r="I149" s="2"/>
      <c r="N149" s="2"/>
      <c r="O149" s="2"/>
      <c r="P149" s="2"/>
      <c r="R149"/>
    </row>
    <row r="150" spans="1:18" s="3" customFormat="1" ht="16" customHeight="1" x14ac:dyDescent="0.2">
      <c r="D150" s="2"/>
      <c r="E150" s="2"/>
      <c r="F150" s="2"/>
      <c r="G150" s="2"/>
      <c r="H150" s="2"/>
      <c r="I150" s="2"/>
      <c r="N150" s="2"/>
      <c r="O150" s="2"/>
      <c r="P150" s="2"/>
      <c r="R150"/>
    </row>
    <row r="151" spans="1:18" s="3" customFormat="1" ht="16" customHeight="1" x14ac:dyDescent="0.2">
      <c r="D151" s="2"/>
      <c r="E151" s="2"/>
      <c r="F151" s="2"/>
      <c r="G151" s="2"/>
      <c r="H151" s="2"/>
      <c r="I151" s="2"/>
      <c r="N151" s="2"/>
      <c r="O151" s="2"/>
      <c r="P151" s="2"/>
      <c r="R151"/>
    </row>
    <row r="152" spans="1:18" s="3" customFormat="1" ht="16" customHeight="1" x14ac:dyDescent="0.2">
      <c r="D152" s="2"/>
      <c r="E152" s="2"/>
      <c r="F152" s="2"/>
      <c r="G152" s="2"/>
      <c r="H152" s="2"/>
      <c r="I152" s="2"/>
      <c r="N152" s="2"/>
      <c r="O152" s="2"/>
      <c r="P152" s="2"/>
      <c r="R152"/>
    </row>
    <row r="153" spans="1:18" s="3" customFormat="1" ht="16" customHeight="1" x14ac:dyDescent="0.2">
      <c r="D153" s="2"/>
      <c r="E153" s="2"/>
      <c r="F153" s="2"/>
      <c r="G153" s="2"/>
      <c r="H153" s="2"/>
      <c r="I153" s="2"/>
      <c r="N153" s="2"/>
      <c r="O153" s="2"/>
      <c r="P153" s="2"/>
      <c r="R153"/>
    </row>
    <row r="154" spans="1:18" s="3" customFormat="1" ht="16" customHeight="1" x14ac:dyDescent="0.2">
      <c r="D154" s="2"/>
      <c r="E154" s="2"/>
      <c r="F154" s="2"/>
      <c r="G154" s="2"/>
      <c r="H154" s="2"/>
      <c r="I154" s="2"/>
      <c r="N154" s="2"/>
      <c r="O154" s="2"/>
      <c r="P154" s="2"/>
      <c r="R154"/>
    </row>
    <row r="155" spans="1:18" s="3" customFormat="1" ht="16" customHeight="1" x14ac:dyDescent="0.2">
      <c r="D155" s="2"/>
      <c r="E155" s="2"/>
      <c r="F155" s="2"/>
      <c r="G155" s="2"/>
      <c r="H155" s="2"/>
      <c r="I155" s="2"/>
      <c r="N155" s="2"/>
      <c r="O155" s="2"/>
      <c r="P155" s="2"/>
      <c r="R155"/>
    </row>
    <row r="156" spans="1:18" s="3" customFormat="1" ht="16" customHeight="1" x14ac:dyDescent="0.2">
      <c r="D156" s="2"/>
      <c r="E156" s="2"/>
      <c r="F156" s="2"/>
      <c r="G156" s="2"/>
      <c r="H156" s="2"/>
      <c r="I156" s="2"/>
      <c r="N156" s="2"/>
      <c r="O156" s="2"/>
      <c r="P156" s="2"/>
      <c r="R156"/>
    </row>
    <row r="157" spans="1:18" s="3" customFormat="1" ht="16" customHeight="1" x14ac:dyDescent="0.2">
      <c r="D157" s="2"/>
      <c r="E157" s="2"/>
      <c r="F157" s="2"/>
      <c r="G157" s="2"/>
      <c r="H157" s="2"/>
      <c r="I157" s="2"/>
      <c r="N157" s="2"/>
      <c r="O157" s="2"/>
      <c r="P157" s="2"/>
      <c r="R157"/>
    </row>
    <row r="158" spans="1:18" s="3" customFormat="1" ht="16" customHeight="1" x14ac:dyDescent="0.2">
      <c r="D158" s="2"/>
      <c r="E158" s="2"/>
      <c r="F158" s="2"/>
      <c r="G158" s="2"/>
      <c r="H158" s="2"/>
      <c r="I158" s="2"/>
      <c r="N158" s="2"/>
      <c r="O158" s="2"/>
      <c r="P158" s="2"/>
      <c r="R158"/>
    </row>
    <row r="159" spans="1:18" s="3" customFormat="1" ht="16" customHeight="1" x14ac:dyDescent="0.2">
      <c r="D159" s="2"/>
      <c r="E159" s="2"/>
      <c r="F159" s="2"/>
      <c r="G159" s="2"/>
      <c r="H159" s="2"/>
      <c r="I159" s="2"/>
      <c r="N159" s="2"/>
      <c r="O159" s="2"/>
      <c r="P159" s="2"/>
      <c r="R159"/>
    </row>
    <row r="160" spans="1:18" s="3" customFormat="1" ht="16" customHeight="1" x14ac:dyDescent="0.2">
      <c r="D160" s="2"/>
      <c r="E160" s="2"/>
      <c r="F160" s="2"/>
      <c r="G160" s="2"/>
      <c r="H160" s="2"/>
      <c r="I160" s="2"/>
      <c r="N160" s="2"/>
      <c r="O160" s="2"/>
      <c r="P160" s="2"/>
      <c r="R160"/>
    </row>
    <row r="161" spans="4:18" s="3" customFormat="1" ht="16" customHeight="1" x14ac:dyDescent="0.2">
      <c r="D161" s="2"/>
      <c r="E161" s="2"/>
      <c r="F161" s="2"/>
      <c r="G161" s="2"/>
      <c r="H161" s="2"/>
      <c r="I161" s="2"/>
      <c r="N161" s="2"/>
      <c r="O161" s="2"/>
      <c r="P161" s="2"/>
      <c r="R161"/>
    </row>
    <row r="162" spans="4:18" s="3" customFormat="1" ht="16" customHeight="1" x14ac:dyDescent="0.2">
      <c r="D162" s="2"/>
      <c r="E162" s="2"/>
      <c r="F162" s="2"/>
      <c r="G162" s="2"/>
      <c r="H162" s="2"/>
      <c r="I162" s="2"/>
      <c r="N162" s="2"/>
      <c r="O162" s="2"/>
      <c r="P162" s="2"/>
      <c r="R162"/>
    </row>
    <row r="163" spans="4:18" s="3" customFormat="1" ht="16" customHeight="1" x14ac:dyDescent="0.2">
      <c r="D163" s="2"/>
      <c r="E163" s="2"/>
      <c r="F163" s="2"/>
      <c r="G163" s="2"/>
      <c r="H163" s="2"/>
      <c r="I163" s="2"/>
      <c r="N163" s="2"/>
      <c r="O163" s="2"/>
      <c r="P163" s="2"/>
      <c r="R163"/>
    </row>
    <row r="164" spans="4:18" s="3" customFormat="1" ht="16" customHeight="1" x14ac:dyDescent="0.2">
      <c r="D164" s="2"/>
      <c r="E164" s="2"/>
      <c r="F164" s="2"/>
      <c r="G164" s="2"/>
      <c r="H164" s="2"/>
      <c r="I164" s="2"/>
      <c r="N164" s="2"/>
      <c r="O164" s="2"/>
      <c r="P164" s="2"/>
      <c r="R164"/>
    </row>
    <row r="165" spans="4:18" s="3" customFormat="1" ht="16" customHeight="1" x14ac:dyDescent="0.2">
      <c r="D165" s="2"/>
      <c r="E165" s="2"/>
      <c r="F165" s="2"/>
      <c r="G165" s="2"/>
      <c r="H165" s="2"/>
      <c r="I165" s="2"/>
      <c r="N165" s="2"/>
      <c r="O165" s="2"/>
      <c r="P165" s="2"/>
      <c r="R165"/>
    </row>
    <row r="166" spans="4:18" s="3" customFormat="1" ht="16" customHeight="1" x14ac:dyDescent="0.2">
      <c r="D166" s="2"/>
      <c r="E166" s="2"/>
      <c r="F166" s="2"/>
      <c r="G166" s="2"/>
      <c r="H166" s="2"/>
      <c r="I166" s="2"/>
      <c r="N166" s="2"/>
      <c r="O166" s="2"/>
      <c r="P166" s="2"/>
      <c r="R166"/>
    </row>
    <row r="167" spans="4:18" s="3" customFormat="1" ht="16" customHeight="1" x14ac:dyDescent="0.2">
      <c r="D167" s="2"/>
      <c r="E167" s="2"/>
      <c r="F167" s="2"/>
      <c r="G167" s="2"/>
      <c r="H167" s="2"/>
      <c r="I167" s="2"/>
      <c r="N167" s="2"/>
      <c r="O167" s="2"/>
      <c r="P167" s="2"/>
      <c r="R167"/>
    </row>
    <row r="168" spans="4:18" s="3" customFormat="1" ht="16" customHeight="1" x14ac:dyDescent="0.2">
      <c r="D168" s="2"/>
      <c r="E168" s="2"/>
      <c r="F168" s="2"/>
      <c r="G168" s="2"/>
      <c r="H168" s="2"/>
      <c r="I168" s="2"/>
      <c r="N168" s="2"/>
      <c r="O168" s="2"/>
      <c r="P168" s="2"/>
      <c r="R168"/>
    </row>
    <row r="169" spans="4:18" s="3" customFormat="1" ht="16" customHeight="1" x14ac:dyDescent="0.2">
      <c r="D169" s="2"/>
      <c r="E169" s="2"/>
      <c r="F169" s="2"/>
      <c r="G169" s="2"/>
      <c r="H169" s="2"/>
      <c r="I169" s="2"/>
      <c r="N169" s="2"/>
      <c r="O169" s="2"/>
      <c r="P169" s="2"/>
      <c r="R169"/>
    </row>
    <row r="170" spans="4:18" s="3" customFormat="1" ht="16" customHeight="1" x14ac:dyDescent="0.2">
      <c r="D170" s="2"/>
      <c r="E170" s="2"/>
      <c r="F170" s="2"/>
      <c r="G170" s="2"/>
      <c r="H170" s="2"/>
      <c r="I170" s="2"/>
      <c r="N170" s="2"/>
      <c r="O170" s="2"/>
      <c r="P170" s="2"/>
      <c r="R170"/>
    </row>
    <row r="171" spans="4:18" s="3" customFormat="1" ht="16" customHeight="1" x14ac:dyDescent="0.2">
      <c r="D171" s="2"/>
      <c r="E171" s="2"/>
      <c r="F171" s="2"/>
      <c r="G171" s="2"/>
      <c r="H171" s="2"/>
      <c r="I171" s="2"/>
      <c r="N171" s="2"/>
      <c r="O171" s="2"/>
      <c r="P171" s="2"/>
      <c r="R171"/>
    </row>
    <row r="172" spans="4:18" s="3" customFormat="1" ht="16" customHeight="1" x14ac:dyDescent="0.2">
      <c r="D172" s="2"/>
      <c r="E172" s="2"/>
      <c r="F172" s="2"/>
      <c r="G172" s="2"/>
      <c r="H172" s="2"/>
      <c r="I172" s="2"/>
      <c r="N172" s="2"/>
      <c r="O172" s="2"/>
      <c r="P172" s="2"/>
      <c r="R172"/>
    </row>
    <row r="173" spans="4:18" s="3" customFormat="1" ht="16" customHeight="1" x14ac:dyDescent="0.2">
      <c r="D173" s="2"/>
      <c r="E173" s="2"/>
      <c r="F173" s="2"/>
      <c r="G173" s="2"/>
      <c r="H173" s="2"/>
      <c r="I173" s="2"/>
      <c r="N173" s="2"/>
      <c r="O173" s="2"/>
      <c r="P173" s="2"/>
      <c r="R173"/>
    </row>
    <row r="174" spans="4:18" s="3" customFormat="1" ht="16" customHeight="1" x14ac:dyDescent="0.2">
      <c r="D174" s="2"/>
      <c r="E174" s="2"/>
      <c r="F174" s="2"/>
      <c r="G174" s="2"/>
      <c r="H174" s="2"/>
      <c r="I174" s="2"/>
      <c r="N174" s="2"/>
      <c r="O174" s="2"/>
      <c r="P174" s="2"/>
      <c r="R174"/>
    </row>
    <row r="175" spans="4:18" s="3" customFormat="1" ht="16" customHeight="1" x14ac:dyDescent="0.2">
      <c r="D175" s="2"/>
      <c r="E175" s="2"/>
      <c r="F175" s="2"/>
      <c r="G175" s="2"/>
      <c r="H175" s="2"/>
      <c r="I175" s="2"/>
      <c r="N175" s="2"/>
      <c r="O175" s="2"/>
      <c r="P175" s="2"/>
      <c r="R175"/>
    </row>
    <row r="176" spans="4:18" s="3" customFormat="1" ht="16" customHeight="1" x14ac:dyDescent="0.2">
      <c r="D176" s="2"/>
      <c r="E176" s="2"/>
      <c r="F176" s="2"/>
      <c r="G176" s="2"/>
      <c r="H176" s="2"/>
      <c r="I176" s="2"/>
      <c r="N176" s="2"/>
      <c r="O176" s="2"/>
      <c r="P176" s="2"/>
      <c r="R176"/>
    </row>
    <row r="177" spans="1:18" s="3" customFormat="1" ht="16" customHeight="1" x14ac:dyDescent="0.2">
      <c r="D177" s="2"/>
      <c r="E177" s="2"/>
      <c r="F177" s="2"/>
      <c r="G177" s="2"/>
      <c r="H177" s="2"/>
      <c r="I177" s="2"/>
      <c r="N177" s="2"/>
      <c r="O177" s="2"/>
      <c r="P177" s="2"/>
      <c r="R177"/>
    </row>
    <row r="178" spans="1:18" s="3" customFormat="1" ht="16" customHeight="1" x14ac:dyDescent="0.2">
      <c r="D178" s="2"/>
      <c r="E178" s="2"/>
      <c r="F178" s="2"/>
      <c r="G178" s="2"/>
      <c r="H178" s="2"/>
      <c r="I178" s="2"/>
      <c r="N178" s="2"/>
      <c r="O178" s="2"/>
      <c r="P178" s="2"/>
      <c r="R178"/>
    </row>
    <row r="179" spans="1:18" s="3" customFormat="1" ht="16" customHeight="1" x14ac:dyDescent="0.2">
      <c r="D179" s="2"/>
      <c r="E179" s="2"/>
      <c r="F179" s="2"/>
      <c r="G179" s="2"/>
      <c r="H179" s="2"/>
      <c r="I179" s="2"/>
      <c r="N179" s="2"/>
      <c r="O179" s="2"/>
      <c r="P179" s="2"/>
      <c r="R179"/>
    </row>
    <row r="180" spans="1:18" s="3" customFormat="1" ht="16" customHeight="1" x14ac:dyDescent="0.2">
      <c r="D180" s="2"/>
      <c r="E180" s="2"/>
      <c r="F180" s="2"/>
      <c r="G180" s="2"/>
      <c r="H180" s="2"/>
      <c r="I180" s="2"/>
      <c r="N180" s="2"/>
      <c r="O180" s="2"/>
      <c r="P180" s="2"/>
      <c r="R180"/>
    </row>
    <row r="181" spans="1:18" s="3" customFormat="1" ht="16" customHeight="1" x14ac:dyDescent="0.2">
      <c r="D181" s="2"/>
      <c r="E181" s="2"/>
      <c r="F181" s="2"/>
      <c r="G181" s="2"/>
      <c r="H181" s="2"/>
      <c r="I181" s="2"/>
      <c r="N181" s="2"/>
      <c r="O181" s="2"/>
      <c r="P181" s="2"/>
      <c r="R181"/>
    </row>
    <row r="182" spans="1:18" s="3" customFormat="1" ht="16" customHeight="1" x14ac:dyDescent="0.2">
      <c r="D182" s="2"/>
      <c r="E182" s="2"/>
      <c r="F182" s="2"/>
      <c r="G182" s="2"/>
      <c r="H182" s="2"/>
      <c r="I182" s="2"/>
      <c r="N182" s="2"/>
      <c r="O182" s="2"/>
      <c r="P182" s="2"/>
      <c r="R182"/>
    </row>
    <row r="183" spans="1:18" s="3" customFormat="1" ht="16" customHeight="1" x14ac:dyDescent="0.2">
      <c r="A183" s="8"/>
      <c r="B183" s="8"/>
      <c r="R183"/>
    </row>
    <row r="184" spans="1:18" s="3" customFormat="1" ht="16" customHeight="1" x14ac:dyDescent="0.2">
      <c r="A184" s="8"/>
      <c r="B184" s="8"/>
      <c r="D184" s="2"/>
      <c r="E184" s="2"/>
      <c r="F184" s="2"/>
      <c r="G184" s="2"/>
      <c r="H184" s="2"/>
      <c r="I184" s="2"/>
      <c r="N184" s="2"/>
      <c r="O184" s="2"/>
      <c r="P184" s="2"/>
      <c r="R184"/>
    </row>
    <row r="185" spans="1:18" s="3" customFormat="1" ht="16" customHeight="1" x14ac:dyDescent="0.2">
      <c r="A185" s="8"/>
      <c r="B185" s="8"/>
      <c r="N185" s="2"/>
      <c r="O185" s="2"/>
      <c r="P185" s="2"/>
      <c r="R185"/>
    </row>
    <row r="186" spans="1:18" s="3" customFormat="1" ht="16" customHeight="1" x14ac:dyDescent="0.2">
      <c r="A186" s="8"/>
      <c r="B186" s="8"/>
      <c r="N186" s="2"/>
      <c r="O186" s="2"/>
      <c r="P186" s="2"/>
      <c r="R186"/>
    </row>
    <row r="187" spans="1:18" s="3" customFormat="1" ht="16" customHeight="1" x14ac:dyDescent="0.2">
      <c r="A187" s="8"/>
      <c r="B187" s="8"/>
      <c r="D187" s="2"/>
      <c r="E187" s="2"/>
      <c r="F187" s="2"/>
      <c r="G187" s="2"/>
      <c r="H187" s="2"/>
      <c r="I187" s="2"/>
      <c r="N187" s="2"/>
      <c r="O187" s="2"/>
      <c r="P187" s="2"/>
      <c r="R187"/>
    </row>
    <row r="188" spans="1:18" s="3" customFormat="1" ht="16" customHeight="1" x14ac:dyDescent="0.2">
      <c r="A188" s="8"/>
      <c r="B188" s="8"/>
      <c r="D188" s="2"/>
      <c r="E188" s="2"/>
      <c r="F188" s="2"/>
      <c r="G188" s="2"/>
      <c r="H188" s="2"/>
      <c r="I188" s="2"/>
      <c r="N188" s="2"/>
      <c r="O188" s="2"/>
      <c r="P188" s="2"/>
      <c r="R188"/>
    </row>
    <row r="189" spans="1:18" s="3" customFormat="1" ht="16" customHeight="1" x14ac:dyDescent="0.2">
      <c r="A189" s="8"/>
      <c r="B189" s="8"/>
      <c r="D189" s="2"/>
      <c r="E189" s="2"/>
      <c r="F189" s="2"/>
      <c r="G189" s="2"/>
      <c r="H189" s="2"/>
      <c r="I189" s="2"/>
      <c r="N189" s="2"/>
      <c r="O189" s="2"/>
      <c r="P189" s="2"/>
      <c r="R189"/>
    </row>
    <row r="190" spans="1:18" s="3" customFormat="1" ht="16" customHeight="1" x14ac:dyDescent="0.2">
      <c r="A190" s="8"/>
      <c r="B190" s="8"/>
      <c r="D190" s="2"/>
      <c r="E190" s="2"/>
      <c r="F190" s="2"/>
      <c r="G190" s="2"/>
      <c r="H190" s="2"/>
      <c r="I190" s="2"/>
      <c r="R190"/>
    </row>
    <row r="191" spans="1:18" s="3" customFormat="1" ht="16" customHeight="1" x14ac:dyDescent="0.2">
      <c r="A191" s="8"/>
      <c r="B191" s="8"/>
      <c r="D191" s="2"/>
      <c r="E191" s="2"/>
      <c r="F191" s="2"/>
      <c r="G191" s="2"/>
      <c r="H191" s="2"/>
      <c r="I191" s="2"/>
      <c r="R191"/>
    </row>
    <row r="192" spans="1:18" s="3" customFormat="1" ht="16" customHeight="1" x14ac:dyDescent="0.2">
      <c r="A192" s="8"/>
      <c r="B192" s="8"/>
      <c r="D192" s="2"/>
      <c r="E192" s="2"/>
      <c r="F192" s="2"/>
      <c r="G192" s="2"/>
      <c r="H192" s="2"/>
      <c r="I192" s="2"/>
      <c r="R192"/>
    </row>
    <row r="193" spans="1:18" s="3" customFormat="1" ht="16" customHeight="1" x14ac:dyDescent="0.2">
      <c r="A193" s="8"/>
      <c r="B193" s="8"/>
      <c r="D193" s="2"/>
      <c r="E193" s="2"/>
      <c r="F193" s="2"/>
      <c r="G193" s="2"/>
      <c r="H193" s="2"/>
      <c r="I193" s="2"/>
      <c r="N193" s="2"/>
      <c r="O193" s="2"/>
      <c r="P193" s="2"/>
      <c r="R193"/>
    </row>
    <row r="194" spans="1:18" s="3" customFormat="1" ht="16" customHeight="1" x14ac:dyDescent="0.2">
      <c r="A194" s="8"/>
      <c r="B194" s="8"/>
      <c r="D194" s="2"/>
      <c r="E194" s="2"/>
      <c r="F194" s="2"/>
      <c r="G194" s="2"/>
      <c r="H194" s="2"/>
      <c r="I194" s="2"/>
      <c r="N194" s="2"/>
      <c r="O194" s="2"/>
      <c r="P194" s="2"/>
      <c r="R194"/>
    </row>
    <row r="195" spans="1:18" s="3" customFormat="1" ht="16" customHeight="1" x14ac:dyDescent="0.2">
      <c r="A195" s="8"/>
      <c r="B195" s="8"/>
      <c r="D195" s="2"/>
      <c r="E195" s="2"/>
      <c r="F195" s="2"/>
      <c r="G195" s="2"/>
      <c r="H195" s="2"/>
      <c r="I195" s="2"/>
      <c r="N195" s="2"/>
      <c r="O195" s="2"/>
      <c r="P195" s="2"/>
      <c r="R195"/>
    </row>
    <row r="196" spans="1:18" ht="16" customHeight="1" x14ac:dyDescent="0.2">
      <c r="A196" s="8"/>
      <c r="B196" s="8"/>
      <c r="R196"/>
    </row>
    <row r="197" spans="1:18" ht="16" customHeight="1" x14ac:dyDescent="0.2">
      <c r="A197" s="8"/>
      <c r="B197" s="8"/>
      <c r="R197"/>
    </row>
    <row r="198" spans="1:18" ht="16" customHeight="1" x14ac:dyDescent="0.2">
      <c r="A198" s="8"/>
      <c r="B198" s="8"/>
      <c r="R198"/>
    </row>
    <row r="199" spans="1:18" ht="16" customHeight="1" x14ac:dyDescent="0.2">
      <c r="A199" s="8"/>
      <c r="B199" s="8"/>
      <c r="R199"/>
    </row>
    <row r="200" spans="1:18" ht="16" customHeight="1" x14ac:dyDescent="0.2">
      <c r="A200" s="8"/>
      <c r="B200" s="8"/>
      <c r="R200"/>
    </row>
    <row r="201" spans="1:18" ht="16" customHeight="1" x14ac:dyDescent="0.2">
      <c r="A201" s="8"/>
      <c r="B201" s="8"/>
      <c r="J201" s="9"/>
      <c r="K201" s="9"/>
      <c r="L201" s="9"/>
      <c r="R201"/>
    </row>
    <row r="202" spans="1:18" ht="16" customHeight="1" x14ac:dyDescent="0.2">
      <c r="A202" s="8"/>
      <c r="B202" s="8"/>
      <c r="D202" s="3"/>
      <c r="E202" s="3"/>
      <c r="F202" s="3"/>
      <c r="G202" s="3"/>
      <c r="H202" s="3"/>
      <c r="I202" s="3"/>
      <c r="R202"/>
    </row>
    <row r="203" spans="1:18" ht="16" customHeight="1" x14ac:dyDescent="0.2">
      <c r="A203" s="8"/>
      <c r="B203" s="8"/>
      <c r="D203" s="3"/>
      <c r="E203" s="3"/>
      <c r="F203" s="3"/>
      <c r="G203" s="3"/>
      <c r="H203" s="3"/>
      <c r="I203" s="3"/>
      <c r="R203"/>
    </row>
    <row r="204" spans="1:18" ht="16" customHeight="1" x14ac:dyDescent="0.2">
      <c r="A204" s="8"/>
      <c r="B204" s="8"/>
      <c r="R204"/>
    </row>
    <row r="205" spans="1:18" ht="16" customHeight="1" x14ac:dyDescent="0.2">
      <c r="A205" s="8"/>
      <c r="B205" s="8"/>
      <c r="R205"/>
    </row>
    <row r="206" spans="1:18" ht="16" customHeight="1" x14ac:dyDescent="0.2">
      <c r="A206" s="8"/>
      <c r="B206" s="8"/>
      <c r="R206"/>
    </row>
    <row r="207" spans="1:18" ht="16" customHeight="1" x14ac:dyDescent="0.2">
      <c r="A207" s="8"/>
      <c r="B207" s="8"/>
      <c r="D207" s="3"/>
      <c r="E207" s="3"/>
      <c r="F207" s="3"/>
      <c r="G207" s="3"/>
      <c r="H207" s="3"/>
      <c r="I207" s="3"/>
      <c r="R207"/>
    </row>
    <row r="208" spans="1:18" ht="16" customHeight="1" x14ac:dyDescent="0.2">
      <c r="A208" s="8"/>
      <c r="B208" s="8"/>
      <c r="R208"/>
    </row>
    <row r="209" spans="1:18" ht="16" customHeight="1" x14ac:dyDescent="0.2">
      <c r="A209" s="8"/>
      <c r="B209" s="8"/>
      <c r="D209" s="3"/>
      <c r="E209" s="3"/>
      <c r="F209" s="3"/>
      <c r="G209" s="3"/>
      <c r="H209" s="3"/>
      <c r="I209" s="3"/>
      <c r="R209"/>
    </row>
    <row r="210" spans="1:18" ht="16" customHeight="1" x14ac:dyDescent="0.2">
      <c r="A210" s="8"/>
      <c r="B210" s="8"/>
      <c r="D210" s="3"/>
      <c r="E210" s="3"/>
      <c r="F210" s="3"/>
      <c r="G210" s="3"/>
      <c r="H210" s="3"/>
      <c r="I210" s="3"/>
      <c r="R210"/>
    </row>
    <row r="211" spans="1:18" ht="16" customHeight="1" x14ac:dyDescent="0.2">
      <c r="A211" s="8"/>
      <c r="B211" s="8"/>
      <c r="D211" s="4"/>
      <c r="E211" s="4"/>
      <c r="F211" s="4"/>
      <c r="G211" s="4"/>
      <c r="H211" s="4"/>
      <c r="I211" s="4"/>
      <c r="R211"/>
    </row>
    <row r="212" spans="1:18" ht="16" customHeight="1" x14ac:dyDescent="0.2">
      <c r="A212" s="8"/>
      <c r="B212" s="8"/>
      <c r="R212"/>
    </row>
    <row r="213" spans="1:18" ht="16" customHeight="1" x14ac:dyDescent="0.2">
      <c r="A213" s="8"/>
      <c r="B213" s="8"/>
      <c r="R213"/>
    </row>
    <row r="214" spans="1:18" ht="16" customHeight="1" x14ac:dyDescent="0.2">
      <c r="A214" s="8"/>
      <c r="B214" s="8"/>
      <c r="D214" s="3"/>
      <c r="E214" s="3"/>
      <c r="F214" s="3"/>
      <c r="G214" s="3"/>
      <c r="H214" s="3"/>
      <c r="I214" s="3"/>
      <c r="N214" s="3"/>
      <c r="O214" s="3"/>
      <c r="P214" s="3"/>
      <c r="R214"/>
    </row>
    <row r="215" spans="1:18" ht="16" customHeight="1" x14ac:dyDescent="0.2">
      <c r="A215" s="8"/>
      <c r="B215" s="8"/>
      <c r="N215" s="3"/>
      <c r="O215" s="3"/>
      <c r="P215" s="3"/>
      <c r="R215"/>
    </row>
    <row r="216" spans="1:18" ht="16" customHeight="1" x14ac:dyDescent="0.2">
      <c r="A216" s="8"/>
      <c r="B216" s="8"/>
      <c r="N216" s="3"/>
      <c r="O216" s="3"/>
      <c r="P216" s="3"/>
      <c r="R216"/>
    </row>
    <row r="217" spans="1:18" ht="16" customHeight="1" x14ac:dyDescent="0.2">
      <c r="A217" s="8"/>
      <c r="B217" s="8"/>
      <c r="D217" s="3"/>
      <c r="E217" s="3"/>
      <c r="F217" s="3"/>
      <c r="G217" s="3"/>
      <c r="H217" s="3"/>
      <c r="I217" s="3"/>
      <c r="N217" s="3"/>
      <c r="O217" s="3"/>
      <c r="P217" s="3"/>
      <c r="R217"/>
    </row>
    <row r="218" spans="1:18" ht="16" customHeight="1" x14ac:dyDescent="0.2">
      <c r="A218" s="8"/>
      <c r="B218" s="8"/>
      <c r="N218" s="3"/>
      <c r="O218" s="3"/>
      <c r="P218" s="3"/>
      <c r="R218"/>
    </row>
    <row r="219" spans="1:18" ht="16" customHeight="1" x14ac:dyDescent="0.2">
      <c r="A219" s="8"/>
      <c r="B219" s="8"/>
      <c r="N219" s="3"/>
      <c r="O219" s="3"/>
      <c r="P219" s="3"/>
      <c r="R219"/>
    </row>
    <row r="220" spans="1:18" ht="16" customHeight="1" x14ac:dyDescent="0.2">
      <c r="A220" s="8"/>
      <c r="B220" s="8"/>
      <c r="N220" s="3"/>
      <c r="O220" s="3"/>
      <c r="P220" s="3"/>
      <c r="R220"/>
    </row>
    <row r="221" spans="1:18" ht="16" customHeight="1" x14ac:dyDescent="0.2">
      <c r="A221" s="8"/>
      <c r="B221" s="8"/>
      <c r="N221" s="3"/>
      <c r="O221" s="3"/>
      <c r="P221" s="3"/>
      <c r="R221"/>
    </row>
    <row r="222" spans="1:18" ht="16" customHeight="1" x14ac:dyDescent="0.2">
      <c r="A222" s="8"/>
      <c r="B222" s="8"/>
      <c r="D222" s="3"/>
      <c r="E222" s="3"/>
      <c r="F222" s="3"/>
      <c r="G222" s="3"/>
      <c r="H222" s="3"/>
      <c r="I222" s="3"/>
      <c r="N222" s="3"/>
      <c r="O222" s="3"/>
      <c r="P222" s="3"/>
      <c r="R222"/>
    </row>
    <row r="223" spans="1:18" ht="16" customHeight="1" x14ac:dyDescent="0.2">
      <c r="A223" s="8"/>
      <c r="B223" s="8"/>
      <c r="N223" s="3"/>
      <c r="O223" s="3"/>
      <c r="P223" s="3"/>
      <c r="R223"/>
    </row>
    <row r="224" spans="1:18" ht="16" customHeight="1" x14ac:dyDescent="0.2">
      <c r="A224" s="8"/>
      <c r="B224" s="8"/>
      <c r="N224" s="3"/>
      <c r="O224" s="3"/>
      <c r="P224" s="3"/>
      <c r="R224"/>
    </row>
    <row r="225" spans="1:18" ht="16" customHeight="1" x14ac:dyDescent="0.2">
      <c r="A225" s="8"/>
      <c r="B225" s="8"/>
      <c r="N225" s="3"/>
      <c r="O225" s="3"/>
      <c r="P225" s="3"/>
      <c r="R225"/>
    </row>
    <row r="226" spans="1:18" ht="16" customHeight="1" x14ac:dyDescent="0.2">
      <c r="A226" s="8"/>
      <c r="B226" s="8"/>
      <c r="N226" s="3"/>
      <c r="O226" s="3"/>
      <c r="P226" s="3"/>
      <c r="R226"/>
    </row>
    <row r="227" spans="1:18" ht="16" customHeight="1" x14ac:dyDescent="0.2">
      <c r="A227" s="8"/>
      <c r="B227" s="8"/>
      <c r="N227" s="3"/>
      <c r="O227" s="3"/>
      <c r="P227" s="3"/>
      <c r="R227"/>
    </row>
    <row r="228" spans="1:18" ht="16" customHeight="1" x14ac:dyDescent="0.2">
      <c r="A228" s="8"/>
      <c r="B228" s="8"/>
      <c r="N228" s="3"/>
      <c r="O228" s="3"/>
      <c r="P228" s="3"/>
      <c r="R228"/>
    </row>
    <row r="229" spans="1:18" ht="16" customHeight="1" x14ac:dyDescent="0.2">
      <c r="A229" s="8"/>
      <c r="B229" s="8"/>
      <c r="N229" s="3"/>
      <c r="O229" s="3"/>
      <c r="P229" s="3"/>
      <c r="R229"/>
    </row>
    <row r="230" spans="1:18" ht="16" customHeight="1" x14ac:dyDescent="0.2">
      <c r="A230" s="8"/>
      <c r="B230" s="8"/>
      <c r="N230" s="3"/>
      <c r="O230" s="3"/>
      <c r="P230" s="3"/>
      <c r="R230"/>
    </row>
    <row r="231" spans="1:18" s="3" customFormat="1" ht="16" customHeight="1" x14ac:dyDescent="0.2">
      <c r="A231" s="8"/>
      <c r="B231" s="8"/>
      <c r="R231"/>
    </row>
    <row r="232" spans="1:18" s="3" customFormat="1" ht="16" customHeight="1" x14ac:dyDescent="0.2">
      <c r="A232" s="8"/>
      <c r="B232" s="8"/>
      <c r="D232" s="2"/>
      <c r="E232" s="2"/>
      <c r="F232" s="2"/>
      <c r="G232" s="2"/>
      <c r="H232" s="2"/>
      <c r="I232" s="2"/>
      <c r="R232"/>
    </row>
    <row r="233" spans="1:18" s="3" customFormat="1" ht="16" customHeight="1" x14ac:dyDescent="0.2">
      <c r="A233" s="8"/>
      <c r="B233" s="8"/>
      <c r="D233" s="2"/>
      <c r="E233" s="2"/>
      <c r="F233" s="2"/>
      <c r="G233" s="2"/>
      <c r="H233" s="2"/>
      <c r="I233" s="2"/>
      <c r="R233"/>
    </row>
    <row r="234" spans="1:18" s="3" customFormat="1" ht="16" customHeight="1" x14ac:dyDescent="0.2">
      <c r="A234" s="8"/>
      <c r="B234" s="8"/>
      <c r="D234" s="2"/>
      <c r="E234" s="2"/>
      <c r="F234" s="2"/>
      <c r="G234" s="2"/>
      <c r="H234" s="2"/>
      <c r="I234" s="2"/>
      <c r="R234"/>
    </row>
    <row r="235" spans="1:18" s="3" customFormat="1" ht="16" customHeight="1" x14ac:dyDescent="0.2">
      <c r="A235" s="8"/>
      <c r="B235" s="8"/>
      <c r="R235"/>
    </row>
    <row r="236" spans="1:18" s="3" customFormat="1" ht="16" customHeight="1" x14ac:dyDescent="0.2">
      <c r="A236" s="8"/>
      <c r="B236" s="8"/>
      <c r="D236" s="2"/>
      <c r="E236" s="2"/>
      <c r="F236" s="2"/>
      <c r="G236" s="2"/>
      <c r="H236" s="2"/>
      <c r="I236" s="2"/>
      <c r="R236"/>
    </row>
    <row r="237" spans="1:18" s="3" customFormat="1" ht="16" customHeight="1" x14ac:dyDescent="0.2">
      <c r="A237" s="8"/>
      <c r="B237" s="8"/>
      <c r="R237"/>
    </row>
    <row r="238" spans="1:18" s="3" customFormat="1" ht="16" customHeight="1" x14ac:dyDescent="0.2">
      <c r="A238" s="8"/>
      <c r="B238" s="8"/>
      <c r="D238" s="2"/>
      <c r="E238" s="2"/>
      <c r="F238" s="2"/>
      <c r="G238" s="2"/>
      <c r="H238" s="2"/>
      <c r="I238" s="2"/>
      <c r="R238"/>
    </row>
    <row r="239" spans="1:18" s="3" customFormat="1" ht="16" customHeight="1" x14ac:dyDescent="0.2">
      <c r="A239" s="8"/>
      <c r="B239" s="8"/>
      <c r="D239" s="2"/>
      <c r="E239" s="2"/>
      <c r="F239" s="2"/>
      <c r="G239" s="2"/>
      <c r="H239" s="2"/>
      <c r="I239" s="2"/>
      <c r="R239"/>
    </row>
    <row r="240" spans="1:18" s="3" customFormat="1" ht="16" customHeight="1" x14ac:dyDescent="0.2">
      <c r="A240" s="8"/>
      <c r="B240" s="8"/>
      <c r="R240"/>
    </row>
    <row r="241" spans="1:18" ht="16" customHeight="1" x14ac:dyDescent="0.2">
      <c r="A241" s="8"/>
      <c r="B241" s="8"/>
      <c r="R241"/>
    </row>
    <row r="242" spans="1:18" ht="16" customHeight="1" x14ac:dyDescent="0.2">
      <c r="A242" s="8"/>
      <c r="B242" s="8"/>
      <c r="D242" s="3"/>
      <c r="E242" s="3"/>
      <c r="F242" s="3"/>
      <c r="G242" s="3"/>
      <c r="H242" s="3"/>
      <c r="I242" s="3"/>
      <c r="R242"/>
    </row>
    <row r="243" spans="1:18" ht="16" customHeight="1" x14ac:dyDescent="0.2">
      <c r="A243" s="8"/>
      <c r="B243" s="8"/>
      <c r="R243"/>
    </row>
    <row r="244" spans="1:18" ht="16" customHeight="1" x14ac:dyDescent="0.2">
      <c r="A244" s="8"/>
      <c r="B244" s="8"/>
      <c r="R244"/>
    </row>
    <row r="245" spans="1:18" ht="16" customHeight="1" x14ac:dyDescent="0.2">
      <c r="A245" s="8"/>
      <c r="B245" s="8"/>
      <c r="R245"/>
    </row>
    <row r="246" spans="1:18" ht="16" customHeight="1" x14ac:dyDescent="0.2">
      <c r="A246" s="8"/>
      <c r="B246" s="8"/>
      <c r="R246"/>
    </row>
    <row r="247" spans="1:18" ht="16" customHeight="1" x14ac:dyDescent="0.2">
      <c r="A247" s="8"/>
      <c r="B247" s="8"/>
      <c r="R247"/>
    </row>
    <row r="248" spans="1:18" ht="16" customHeight="1" x14ac:dyDescent="0.2">
      <c r="A248" s="8"/>
      <c r="B248" s="8"/>
      <c r="R248"/>
    </row>
    <row r="249" spans="1:18" ht="16" customHeight="1" x14ac:dyDescent="0.2">
      <c r="A249" s="8"/>
      <c r="B249" s="8"/>
      <c r="R249"/>
    </row>
    <row r="250" spans="1:18" ht="16" customHeight="1" x14ac:dyDescent="0.2">
      <c r="A250" s="8"/>
      <c r="B250" s="8"/>
      <c r="D250" s="3"/>
      <c r="E250" s="3"/>
      <c r="F250" s="3"/>
      <c r="G250" s="3"/>
      <c r="H250" s="3"/>
      <c r="I250" s="3"/>
      <c r="R250"/>
    </row>
    <row r="251" spans="1:18" ht="16" customHeight="1" x14ac:dyDescent="0.2">
      <c r="A251" s="8"/>
      <c r="B251" s="8"/>
      <c r="D251" s="3"/>
      <c r="E251" s="3"/>
      <c r="F251" s="3"/>
      <c r="G251" s="3"/>
      <c r="H251" s="3"/>
      <c r="I251" s="3"/>
      <c r="R251"/>
    </row>
    <row r="252" spans="1:18" ht="16" customHeight="1" x14ac:dyDescent="0.2">
      <c r="A252" s="8"/>
      <c r="B252" s="8"/>
      <c r="D252" s="3"/>
      <c r="E252" s="3"/>
      <c r="F252" s="3"/>
      <c r="G252" s="3"/>
      <c r="H252" s="3"/>
      <c r="I252" s="3"/>
      <c r="R252"/>
    </row>
    <row r="253" spans="1:18" ht="16" customHeight="1" x14ac:dyDescent="0.2">
      <c r="A253" s="8"/>
      <c r="B253" s="8"/>
      <c r="R253"/>
    </row>
    <row r="254" spans="1:18" ht="16" customHeight="1" x14ac:dyDescent="0.2">
      <c r="A254" s="8"/>
      <c r="B254" s="8"/>
      <c r="D254" s="3"/>
      <c r="E254" s="3"/>
      <c r="F254" s="3"/>
      <c r="G254" s="3"/>
      <c r="H254" s="3"/>
      <c r="I254" s="3"/>
      <c r="R254"/>
    </row>
    <row r="255" spans="1:18" ht="16" customHeight="1" x14ac:dyDescent="0.2">
      <c r="A255" s="8"/>
      <c r="B255" s="8"/>
      <c r="R255"/>
    </row>
    <row r="256" spans="1:18" ht="16" customHeight="1" x14ac:dyDescent="0.2">
      <c r="A256" s="8"/>
      <c r="B256" s="8"/>
      <c r="R256"/>
    </row>
    <row r="257" spans="1:18" ht="16" customHeight="1" x14ac:dyDescent="0.2">
      <c r="A257" s="8"/>
      <c r="B257" s="8"/>
      <c r="D257" s="3"/>
      <c r="E257" s="3"/>
      <c r="F257" s="3"/>
      <c r="G257" s="3"/>
      <c r="H257" s="3"/>
      <c r="I257" s="3"/>
      <c r="R257"/>
    </row>
    <row r="258" spans="1:18" ht="16" customHeight="1" x14ac:dyDescent="0.2">
      <c r="A258" s="8"/>
      <c r="B258" s="8"/>
      <c r="R258"/>
    </row>
    <row r="259" spans="1:18" ht="16" customHeight="1" x14ac:dyDescent="0.2">
      <c r="A259" s="8"/>
      <c r="B259" s="8"/>
      <c r="R259"/>
    </row>
    <row r="260" spans="1:18" ht="16" customHeight="1" x14ac:dyDescent="0.2">
      <c r="A260" s="8"/>
      <c r="B260" s="8"/>
      <c r="R260"/>
    </row>
    <row r="261" spans="1:18" ht="16" customHeight="1" x14ac:dyDescent="0.2">
      <c r="A261" s="8"/>
      <c r="B261" s="8"/>
      <c r="R261"/>
    </row>
    <row r="262" spans="1:18" ht="16" customHeight="1" x14ac:dyDescent="0.2">
      <c r="A262" s="8"/>
      <c r="B262" s="8"/>
      <c r="R262"/>
    </row>
    <row r="263" spans="1:18" ht="16" customHeight="1" x14ac:dyDescent="0.2">
      <c r="A263" s="8"/>
      <c r="B263" s="8"/>
      <c r="D263" s="3"/>
      <c r="E263" s="3"/>
      <c r="F263" s="3"/>
      <c r="G263" s="3"/>
      <c r="H263" s="3"/>
      <c r="I263" s="3"/>
      <c r="R263"/>
    </row>
    <row r="264" spans="1:18" ht="16" customHeight="1" x14ac:dyDescent="0.2">
      <c r="A264" s="8"/>
      <c r="B264" s="8"/>
      <c r="D264" s="3"/>
      <c r="E264" s="3"/>
      <c r="F264" s="3"/>
      <c r="G264" s="3"/>
      <c r="H264" s="3"/>
      <c r="I264" s="3"/>
      <c r="R264"/>
    </row>
    <row r="265" spans="1:18" ht="16" customHeight="1" x14ac:dyDescent="0.2">
      <c r="A265" s="8"/>
      <c r="B265" s="8"/>
      <c r="D265" s="3"/>
      <c r="E265" s="3"/>
      <c r="F265" s="3"/>
      <c r="G265" s="3"/>
      <c r="H265" s="3"/>
      <c r="I265" s="3"/>
      <c r="R265"/>
    </row>
    <row r="266" spans="1:18" ht="16" customHeight="1" x14ac:dyDescent="0.2">
      <c r="A266" s="8"/>
      <c r="B266" s="8"/>
      <c r="D266" s="3"/>
      <c r="E266" s="3"/>
      <c r="F266" s="3"/>
      <c r="G266" s="3"/>
      <c r="H266" s="3"/>
      <c r="I266" s="3"/>
      <c r="R266"/>
    </row>
    <row r="267" spans="1:18" ht="16" customHeight="1" x14ac:dyDescent="0.2">
      <c r="A267" s="8"/>
      <c r="B267" s="8"/>
      <c r="R267"/>
    </row>
    <row r="268" spans="1:18" ht="16" customHeight="1" x14ac:dyDescent="0.2">
      <c r="A268" s="8"/>
      <c r="B268" s="8"/>
      <c r="R268"/>
    </row>
    <row r="269" spans="1:18" ht="16" customHeight="1" x14ac:dyDescent="0.2">
      <c r="A269" s="8"/>
      <c r="B269" s="8"/>
      <c r="D269" s="3"/>
      <c r="E269" s="3"/>
      <c r="F269" s="3"/>
      <c r="G269" s="3"/>
      <c r="H269" s="3"/>
      <c r="I269" s="3"/>
      <c r="R269"/>
    </row>
    <row r="270" spans="1:18" ht="16" customHeight="1" x14ac:dyDescent="0.2">
      <c r="A270" s="8"/>
      <c r="B270" s="8"/>
      <c r="D270" s="3"/>
      <c r="E270" s="3"/>
      <c r="F270" s="3"/>
      <c r="G270" s="3"/>
      <c r="H270" s="3"/>
      <c r="I270" s="3"/>
      <c r="R270"/>
    </row>
    <row r="271" spans="1:18" ht="16" customHeight="1" x14ac:dyDescent="0.2">
      <c r="A271" s="8"/>
      <c r="B271" s="8"/>
      <c r="R271"/>
    </row>
    <row r="272" spans="1:18" ht="16" customHeight="1" x14ac:dyDescent="0.2">
      <c r="A272" s="8"/>
      <c r="B272" s="8"/>
      <c r="R272"/>
    </row>
    <row r="273" spans="1:18" ht="16" customHeight="1" x14ac:dyDescent="0.2">
      <c r="A273" s="8"/>
      <c r="B273" s="8"/>
      <c r="R273"/>
    </row>
    <row r="274" spans="1:18" ht="16" customHeight="1" x14ac:dyDescent="0.2">
      <c r="A274" s="8"/>
      <c r="B274" s="8"/>
      <c r="R274"/>
    </row>
    <row r="275" spans="1:18" ht="16" customHeight="1" x14ac:dyDescent="0.2">
      <c r="A275" s="8"/>
      <c r="B275" s="8"/>
      <c r="D275" s="3"/>
      <c r="E275" s="3"/>
      <c r="F275" s="3"/>
      <c r="G275" s="3"/>
      <c r="H275" s="3"/>
      <c r="I275" s="3"/>
      <c r="R275"/>
    </row>
    <row r="276" spans="1:18" ht="16" customHeight="1" x14ac:dyDescent="0.2">
      <c r="A276" s="8"/>
      <c r="B276" s="8"/>
      <c r="D276" s="3"/>
      <c r="E276" s="3"/>
      <c r="F276" s="3"/>
      <c r="G276" s="3"/>
      <c r="H276" s="3"/>
      <c r="I276" s="3"/>
      <c r="R276"/>
    </row>
    <row r="277" spans="1:18" ht="16" customHeight="1" x14ac:dyDescent="0.2">
      <c r="A277" s="8"/>
      <c r="B277" s="8"/>
      <c r="R277"/>
    </row>
    <row r="278" spans="1:18" ht="16" customHeight="1" x14ac:dyDescent="0.2">
      <c r="A278" s="8"/>
      <c r="B278" s="8"/>
      <c r="R278"/>
    </row>
    <row r="279" spans="1:18" ht="16" customHeight="1" x14ac:dyDescent="0.2">
      <c r="A279" s="8"/>
      <c r="B279" s="8"/>
      <c r="R279"/>
    </row>
    <row r="280" spans="1:18" ht="16" customHeight="1" x14ac:dyDescent="0.2">
      <c r="A280" s="8"/>
      <c r="B280" s="8"/>
      <c r="N280" s="3"/>
      <c r="O280" s="3"/>
      <c r="P280" s="3"/>
      <c r="R280"/>
    </row>
    <row r="281" spans="1:18" ht="16" customHeight="1" x14ac:dyDescent="0.2">
      <c r="A281" s="8"/>
      <c r="B281" s="8"/>
      <c r="D281" s="3"/>
      <c r="E281" s="3"/>
      <c r="F281" s="3"/>
      <c r="G281" s="3"/>
      <c r="H281" s="3"/>
      <c r="I281" s="3"/>
      <c r="R281"/>
    </row>
    <row r="282" spans="1:18" ht="16" customHeight="1" x14ac:dyDescent="0.2">
      <c r="A282" s="8"/>
      <c r="B282" s="8"/>
      <c r="D282" s="3"/>
      <c r="E282" s="3"/>
      <c r="F282" s="3"/>
      <c r="G282" s="3"/>
      <c r="H282" s="3"/>
      <c r="I282" s="3"/>
      <c r="R282"/>
    </row>
    <row r="283" spans="1:18" ht="16" customHeight="1" x14ac:dyDescent="0.2">
      <c r="A283" s="8"/>
      <c r="B283" s="8"/>
      <c r="D283" s="3"/>
      <c r="E283" s="3"/>
      <c r="F283" s="3"/>
      <c r="G283" s="3"/>
      <c r="H283" s="3"/>
      <c r="I283" s="3"/>
      <c r="R283"/>
    </row>
    <row r="284" spans="1:18" ht="16" customHeight="1" x14ac:dyDescent="0.2">
      <c r="A284" s="8"/>
      <c r="B284" s="8"/>
      <c r="D284" s="3"/>
      <c r="E284" s="3"/>
      <c r="F284" s="3"/>
      <c r="G284" s="3"/>
      <c r="H284" s="3"/>
      <c r="I284" s="3"/>
      <c r="R284"/>
    </row>
    <row r="285" spans="1:18" ht="16" customHeight="1" x14ac:dyDescent="0.2">
      <c r="A285" s="8"/>
      <c r="B285" s="8"/>
      <c r="R285"/>
    </row>
    <row r="286" spans="1:18" ht="16" customHeight="1" x14ac:dyDescent="0.2">
      <c r="A286" s="8"/>
      <c r="B286" s="8"/>
      <c r="R286"/>
    </row>
    <row r="287" spans="1:18" ht="16" customHeight="1" x14ac:dyDescent="0.2">
      <c r="A287" s="8"/>
      <c r="B287" s="8"/>
      <c r="R287"/>
    </row>
    <row r="288" spans="1:18" ht="16" customHeight="1" x14ac:dyDescent="0.2">
      <c r="A288" s="8"/>
      <c r="B288" s="8"/>
      <c r="R288"/>
    </row>
    <row r="289" spans="1:18" ht="16" customHeight="1" x14ac:dyDescent="0.2">
      <c r="A289" s="8"/>
      <c r="B289" s="8"/>
      <c r="R289"/>
    </row>
    <row r="290" spans="1:18" ht="16" customHeight="1" x14ac:dyDescent="0.2">
      <c r="A290" s="8"/>
      <c r="B290" s="8"/>
      <c r="R290"/>
    </row>
    <row r="291" spans="1:18" ht="16" customHeight="1" x14ac:dyDescent="0.2">
      <c r="A291" s="8"/>
      <c r="B291" s="8"/>
      <c r="R291"/>
    </row>
    <row r="292" spans="1:18" ht="16" customHeight="1" x14ac:dyDescent="0.2">
      <c r="A292" s="8"/>
      <c r="B292" s="8"/>
      <c r="R292"/>
    </row>
    <row r="293" spans="1:18" ht="16" customHeight="1" x14ac:dyDescent="0.2">
      <c r="A293" s="8"/>
      <c r="B293" s="8"/>
      <c r="R293"/>
    </row>
    <row r="294" spans="1:18" ht="16" customHeight="1" x14ac:dyDescent="0.2">
      <c r="A294" s="8"/>
      <c r="B294" s="8"/>
      <c r="R294"/>
    </row>
    <row r="295" spans="1:18" ht="16" customHeight="1" x14ac:dyDescent="0.2">
      <c r="A295" s="8"/>
      <c r="B295" s="8"/>
      <c r="R295"/>
    </row>
    <row r="296" spans="1:18" ht="16" customHeight="1" x14ac:dyDescent="0.2">
      <c r="A296" s="8"/>
      <c r="B296" s="8"/>
      <c r="R296"/>
    </row>
    <row r="297" spans="1:18" ht="16" customHeight="1" x14ac:dyDescent="0.2">
      <c r="A297" s="8"/>
      <c r="B297" s="8"/>
      <c r="D297" s="3"/>
      <c r="E297" s="3"/>
      <c r="F297" s="3"/>
      <c r="G297" s="3"/>
      <c r="H297" s="3"/>
      <c r="I297" s="3"/>
      <c r="R297"/>
    </row>
    <row r="298" spans="1:18" ht="16" customHeight="1" x14ac:dyDescent="0.2">
      <c r="A298" s="8"/>
      <c r="B298" s="8"/>
      <c r="D298" s="3"/>
      <c r="E298" s="3"/>
      <c r="F298" s="3"/>
      <c r="G298" s="3"/>
      <c r="H298" s="3"/>
      <c r="I298" s="3"/>
      <c r="R298"/>
    </row>
    <row r="299" spans="1:18" ht="16" customHeight="1" x14ac:dyDescent="0.2">
      <c r="A299" s="8"/>
      <c r="B299" s="8"/>
      <c r="N299" s="3"/>
      <c r="O299" s="3"/>
      <c r="P299" s="3"/>
      <c r="R299"/>
    </row>
    <row r="300" spans="1:18" ht="16" customHeight="1" x14ac:dyDescent="0.2">
      <c r="A300" s="8"/>
      <c r="B300" s="8"/>
      <c r="D300" s="3"/>
      <c r="E300" s="3"/>
      <c r="F300" s="3"/>
      <c r="G300" s="3"/>
      <c r="H300" s="3"/>
      <c r="I300" s="3"/>
      <c r="R300"/>
    </row>
    <row r="301" spans="1:18" ht="16" customHeight="1" x14ac:dyDescent="0.2">
      <c r="A301" s="8"/>
      <c r="B301" s="8"/>
      <c r="R301"/>
    </row>
    <row r="302" spans="1:18" ht="16" customHeight="1" x14ac:dyDescent="0.2">
      <c r="A302" s="8"/>
      <c r="B302" s="8"/>
      <c r="R302"/>
    </row>
    <row r="303" spans="1:18" ht="16" customHeight="1" x14ac:dyDescent="0.2">
      <c r="A303" s="8"/>
      <c r="B303" s="8"/>
      <c r="R303"/>
    </row>
    <row r="304" spans="1:18" ht="16" customHeight="1" x14ac:dyDescent="0.2">
      <c r="A304" s="8"/>
      <c r="B304" s="8"/>
      <c r="R304"/>
    </row>
    <row r="305" spans="1:18" ht="16" customHeight="1" x14ac:dyDescent="0.2">
      <c r="A305" s="8"/>
      <c r="B305" s="8"/>
      <c r="D305" s="3"/>
      <c r="E305" s="3"/>
      <c r="F305" s="3"/>
      <c r="G305" s="3"/>
      <c r="H305" s="3"/>
      <c r="I305" s="3"/>
      <c r="R305"/>
    </row>
    <row r="306" spans="1:18" ht="16" customHeight="1" x14ac:dyDescent="0.2">
      <c r="A306" s="8"/>
      <c r="B306" s="8"/>
      <c r="R306"/>
    </row>
    <row r="307" spans="1:18" ht="16" customHeight="1" x14ac:dyDescent="0.2">
      <c r="A307" s="8"/>
      <c r="B307" s="8"/>
      <c r="R307"/>
    </row>
    <row r="308" spans="1:18" ht="16" customHeight="1" x14ac:dyDescent="0.2">
      <c r="A308" s="8"/>
      <c r="B308" s="8"/>
      <c r="R308"/>
    </row>
    <row r="309" spans="1:18" ht="16" customHeight="1" x14ac:dyDescent="0.2">
      <c r="A309" s="8"/>
      <c r="B309" s="8"/>
      <c r="R309"/>
    </row>
    <row r="310" spans="1:18" x14ac:dyDescent="0.2">
      <c r="A310" s="8"/>
      <c r="B310" s="8"/>
      <c r="D310" s="3"/>
      <c r="E310" s="3"/>
      <c r="F310" s="3"/>
      <c r="G310" s="3"/>
      <c r="H310" s="3"/>
      <c r="I310" s="3"/>
      <c r="R310"/>
    </row>
    <row r="311" spans="1:18" x14ac:dyDescent="0.2">
      <c r="A311" s="8"/>
      <c r="B311" s="8"/>
      <c r="R311"/>
    </row>
    <row r="312" spans="1:18" x14ac:dyDescent="0.2">
      <c r="A312" s="8"/>
      <c r="B312" s="8"/>
      <c r="R312"/>
    </row>
    <row r="313" spans="1:18" x14ac:dyDescent="0.2">
      <c r="A313" s="8"/>
      <c r="B313" s="8"/>
      <c r="R313"/>
    </row>
    <row r="314" spans="1:18" x14ac:dyDescent="0.2">
      <c r="A314" s="8"/>
      <c r="B314" s="8"/>
      <c r="R314"/>
    </row>
    <row r="315" spans="1:18" x14ac:dyDescent="0.2">
      <c r="A315" s="8"/>
      <c r="B315" s="8"/>
      <c r="R315"/>
    </row>
    <row r="316" spans="1:18" x14ac:dyDescent="0.2">
      <c r="A316" s="8"/>
      <c r="B316" s="8"/>
      <c r="R316"/>
    </row>
    <row r="317" spans="1:18" x14ac:dyDescent="0.2">
      <c r="A317" s="8"/>
      <c r="B317" s="8"/>
      <c r="D317" s="3"/>
      <c r="E317" s="3"/>
      <c r="F317" s="3"/>
      <c r="G317" s="3"/>
      <c r="H317" s="3"/>
      <c r="I317" s="3"/>
      <c r="R317"/>
    </row>
    <row r="318" spans="1:18" x14ac:dyDescent="0.2">
      <c r="A318" s="8"/>
      <c r="B318" s="8"/>
      <c r="D318" s="3"/>
      <c r="E318" s="3"/>
      <c r="F318" s="3"/>
      <c r="G318" s="3"/>
      <c r="H318" s="3"/>
      <c r="I318" s="3"/>
      <c r="R318"/>
    </row>
    <row r="319" spans="1:18" x14ac:dyDescent="0.2">
      <c r="A319" s="8"/>
      <c r="B319" s="8"/>
      <c r="R319"/>
    </row>
    <row r="320" spans="1:18" x14ac:dyDescent="0.2">
      <c r="A320" s="8"/>
      <c r="B320" s="8"/>
      <c r="D320" s="3"/>
      <c r="E320" s="3"/>
      <c r="F320" s="3"/>
      <c r="G320" s="3"/>
      <c r="H320" s="3"/>
      <c r="I320" s="3"/>
      <c r="R320"/>
    </row>
    <row r="321" spans="1:18" x14ac:dyDescent="0.2">
      <c r="A321" s="8"/>
      <c r="B321" s="8"/>
      <c r="D321" s="3"/>
      <c r="E321" s="3"/>
      <c r="F321" s="3"/>
      <c r="G321" s="3"/>
      <c r="H321" s="3"/>
      <c r="I321" s="3"/>
      <c r="R321"/>
    </row>
    <row r="322" spans="1:18" x14ac:dyDescent="0.2">
      <c r="A322" s="8"/>
      <c r="B322" s="8"/>
      <c r="R322"/>
    </row>
    <row r="323" spans="1:18" x14ac:dyDescent="0.2">
      <c r="A323" s="8"/>
      <c r="B323" s="8"/>
      <c r="D323" s="3"/>
      <c r="E323" s="3"/>
      <c r="F323" s="3"/>
      <c r="G323" s="3"/>
      <c r="H323" s="3"/>
      <c r="I323" s="3"/>
      <c r="R323"/>
    </row>
    <row r="324" spans="1:18" x14ac:dyDescent="0.2">
      <c r="A324" s="8"/>
      <c r="B324" s="8"/>
      <c r="R324"/>
    </row>
    <row r="325" spans="1:18" x14ac:dyDescent="0.2">
      <c r="A325" s="8"/>
      <c r="B325" s="8"/>
      <c r="R325"/>
    </row>
    <row r="326" spans="1:18" x14ac:dyDescent="0.2">
      <c r="A326" s="8"/>
      <c r="B326" s="8"/>
      <c r="R326"/>
    </row>
    <row r="327" spans="1:18" x14ac:dyDescent="0.2">
      <c r="A327" s="8"/>
      <c r="B327" s="8"/>
      <c r="R327"/>
    </row>
    <row r="328" spans="1:18" x14ac:dyDescent="0.2">
      <c r="A328" s="8"/>
      <c r="B328" s="8"/>
      <c r="R328"/>
    </row>
    <row r="329" spans="1:18" x14ac:dyDescent="0.2">
      <c r="A329" s="8"/>
      <c r="B329" s="8"/>
      <c r="R329"/>
    </row>
    <row r="330" spans="1:18" x14ac:dyDescent="0.2">
      <c r="A330" s="8"/>
      <c r="B330" s="8"/>
      <c r="R330"/>
    </row>
    <row r="331" spans="1:18" x14ac:dyDescent="0.2">
      <c r="A331" s="8"/>
      <c r="B331" s="8"/>
      <c r="R331"/>
    </row>
    <row r="332" spans="1:18" x14ac:dyDescent="0.2">
      <c r="A332" s="8"/>
      <c r="B332" s="8"/>
      <c r="R332"/>
    </row>
    <row r="333" spans="1:18" x14ac:dyDescent="0.2">
      <c r="A333" s="8"/>
      <c r="B333" s="8"/>
      <c r="R333"/>
    </row>
    <row r="334" spans="1:18" x14ac:dyDescent="0.2">
      <c r="A334" s="8"/>
      <c r="B334" s="8"/>
      <c r="R334"/>
    </row>
    <row r="335" spans="1:18" x14ac:dyDescent="0.2">
      <c r="A335" s="8"/>
      <c r="B335" s="8"/>
      <c r="R335"/>
    </row>
    <row r="336" spans="1:18" x14ac:dyDescent="0.2">
      <c r="A336" s="8"/>
      <c r="B336" s="8"/>
      <c r="R336"/>
    </row>
    <row r="337" spans="1:18" x14ac:dyDescent="0.2">
      <c r="A337" s="8"/>
      <c r="B337" s="8"/>
      <c r="R337"/>
    </row>
    <row r="338" spans="1:18" x14ac:dyDescent="0.2">
      <c r="A338" s="8"/>
      <c r="B338" s="8"/>
      <c r="R338"/>
    </row>
    <row r="339" spans="1:18" x14ac:dyDescent="0.2">
      <c r="A339" s="8"/>
      <c r="B339" s="8"/>
      <c r="R339"/>
    </row>
    <row r="340" spans="1:18" x14ac:dyDescent="0.2">
      <c r="A340" s="8"/>
      <c r="B340" s="8"/>
      <c r="R340"/>
    </row>
    <row r="341" spans="1:18" x14ac:dyDescent="0.2">
      <c r="A341" s="8"/>
      <c r="B341" s="8"/>
      <c r="R341"/>
    </row>
    <row r="342" spans="1:18" x14ac:dyDescent="0.2">
      <c r="A342" s="8"/>
      <c r="B342" s="8"/>
      <c r="R342"/>
    </row>
    <row r="343" spans="1:18" x14ac:dyDescent="0.2">
      <c r="A343" s="8"/>
      <c r="B343" s="8"/>
      <c r="R343"/>
    </row>
    <row r="344" spans="1:18" x14ac:dyDescent="0.2">
      <c r="A344" s="8"/>
      <c r="B344" s="8"/>
      <c r="R344"/>
    </row>
    <row r="345" spans="1:18" x14ac:dyDescent="0.2">
      <c r="A345" s="8"/>
      <c r="B345" s="8"/>
      <c r="R345"/>
    </row>
    <row r="346" spans="1:18" x14ac:dyDescent="0.2">
      <c r="A346" s="8"/>
      <c r="B346" s="8"/>
      <c r="R346"/>
    </row>
    <row r="347" spans="1:18" x14ac:dyDescent="0.2">
      <c r="A347" s="8"/>
      <c r="B347" s="8"/>
      <c r="R347"/>
    </row>
    <row r="348" spans="1:18" x14ac:dyDescent="0.2">
      <c r="A348" s="8"/>
      <c r="B348" s="8"/>
      <c r="R348"/>
    </row>
    <row r="349" spans="1:18" x14ac:dyDescent="0.2">
      <c r="A349" s="8"/>
      <c r="B349" s="8"/>
      <c r="R349"/>
    </row>
    <row r="350" spans="1:18" x14ac:dyDescent="0.2">
      <c r="A350" s="8"/>
      <c r="B350" s="8"/>
      <c r="R350"/>
    </row>
    <row r="351" spans="1:18" x14ac:dyDescent="0.2">
      <c r="A351" s="8"/>
      <c r="B351" s="8"/>
      <c r="R351"/>
    </row>
    <row r="352" spans="1:18" x14ac:dyDescent="0.2">
      <c r="A352" s="8"/>
      <c r="B352" s="8"/>
      <c r="R352"/>
    </row>
    <row r="353" spans="1:18" x14ac:dyDescent="0.2">
      <c r="A353" s="8"/>
      <c r="B353" s="8"/>
      <c r="R353"/>
    </row>
    <row r="354" spans="1:18" x14ac:dyDescent="0.2">
      <c r="A354" s="8"/>
      <c r="B354" s="8"/>
      <c r="R354"/>
    </row>
    <row r="355" spans="1:18" x14ac:dyDescent="0.2">
      <c r="A355" s="8"/>
      <c r="B355" s="8"/>
      <c r="R355"/>
    </row>
    <row r="356" spans="1:18" x14ac:dyDescent="0.2">
      <c r="A356" s="8"/>
      <c r="B356" s="8"/>
      <c r="R356"/>
    </row>
    <row r="357" spans="1:18" x14ac:dyDescent="0.2">
      <c r="A357" s="8"/>
      <c r="B357" s="8"/>
      <c r="R357"/>
    </row>
    <row r="358" spans="1:18" x14ac:dyDescent="0.2">
      <c r="A358" s="8"/>
      <c r="B358" s="8"/>
      <c r="R358"/>
    </row>
    <row r="359" spans="1:18" x14ac:dyDescent="0.2">
      <c r="A359" s="8"/>
      <c r="B359" s="8"/>
      <c r="R359"/>
    </row>
    <row r="360" spans="1:18" x14ac:dyDescent="0.2">
      <c r="A360" s="8"/>
      <c r="B360" s="8"/>
      <c r="R360"/>
    </row>
    <row r="361" spans="1:18" x14ac:dyDescent="0.2">
      <c r="A361" s="8"/>
      <c r="B361" s="8"/>
      <c r="R361"/>
    </row>
    <row r="362" spans="1:18" x14ac:dyDescent="0.2">
      <c r="A362" s="8"/>
      <c r="B362" s="8"/>
      <c r="R362"/>
    </row>
    <row r="363" spans="1:18" x14ac:dyDescent="0.2">
      <c r="A363" s="8"/>
      <c r="B363" s="8"/>
      <c r="R363"/>
    </row>
    <row r="364" spans="1:18" x14ac:dyDescent="0.2">
      <c r="A364" s="8"/>
      <c r="B364" s="8"/>
      <c r="R364"/>
    </row>
    <row r="365" spans="1:18" x14ac:dyDescent="0.2">
      <c r="A365" s="8"/>
      <c r="B365" s="8"/>
      <c r="R365"/>
    </row>
    <row r="366" spans="1:18" x14ac:dyDescent="0.2">
      <c r="A366" s="8"/>
      <c r="B366" s="8"/>
      <c r="R366"/>
    </row>
    <row r="367" spans="1:18" x14ac:dyDescent="0.2">
      <c r="A367" s="8"/>
      <c r="B367" s="8"/>
      <c r="R367"/>
    </row>
    <row r="368" spans="1:18" x14ac:dyDescent="0.2">
      <c r="A368" s="8"/>
      <c r="B368" s="8"/>
      <c r="R368"/>
    </row>
    <row r="369" spans="1:18" x14ac:dyDescent="0.2">
      <c r="A369" s="8"/>
      <c r="B369" s="8"/>
      <c r="R369"/>
    </row>
    <row r="370" spans="1:18" x14ac:dyDescent="0.2">
      <c r="A370" s="8"/>
      <c r="B370" s="8"/>
      <c r="R370"/>
    </row>
    <row r="371" spans="1:18" x14ac:dyDescent="0.2">
      <c r="A371" s="8"/>
      <c r="B371" s="8"/>
      <c r="R371"/>
    </row>
    <row r="372" spans="1:18" x14ac:dyDescent="0.2">
      <c r="A372" s="8"/>
      <c r="B372" s="8"/>
      <c r="R372"/>
    </row>
    <row r="373" spans="1:18" x14ac:dyDescent="0.2">
      <c r="A373" s="8"/>
      <c r="B373" s="8"/>
      <c r="R373"/>
    </row>
    <row r="374" spans="1:18" x14ac:dyDescent="0.2">
      <c r="A374" s="8"/>
      <c r="B374" s="8"/>
      <c r="R374"/>
    </row>
    <row r="375" spans="1:18" x14ac:dyDescent="0.2">
      <c r="A375" s="8"/>
      <c r="B375" s="8"/>
      <c r="R375"/>
    </row>
    <row r="376" spans="1:18" x14ac:dyDescent="0.2">
      <c r="A376" s="8"/>
      <c r="B376" s="8"/>
      <c r="R376"/>
    </row>
    <row r="377" spans="1:18" x14ac:dyDescent="0.2">
      <c r="A377" s="8"/>
      <c r="B377" s="8"/>
      <c r="R377"/>
    </row>
    <row r="378" spans="1:18" x14ac:dyDescent="0.2">
      <c r="A378" s="8"/>
      <c r="B378" s="8"/>
      <c r="R378"/>
    </row>
    <row r="379" spans="1:18" x14ac:dyDescent="0.2">
      <c r="A379" s="8"/>
      <c r="B379" s="8"/>
      <c r="R379"/>
    </row>
    <row r="380" spans="1:18" x14ac:dyDescent="0.2">
      <c r="A380" s="8"/>
      <c r="B380" s="8"/>
      <c r="R380"/>
    </row>
    <row r="381" spans="1:18" x14ac:dyDescent="0.2">
      <c r="A381" s="8"/>
      <c r="B381" s="8"/>
      <c r="R381"/>
    </row>
    <row r="382" spans="1:18" x14ac:dyDescent="0.2">
      <c r="A382" s="8"/>
      <c r="B382" s="8"/>
      <c r="R382"/>
    </row>
    <row r="383" spans="1:18" x14ac:dyDescent="0.2">
      <c r="A383" s="8"/>
      <c r="B383" s="8"/>
      <c r="R383"/>
    </row>
    <row r="384" spans="1:18" x14ac:dyDescent="0.2">
      <c r="A384" s="8"/>
      <c r="B384" s="8"/>
      <c r="R384"/>
    </row>
    <row r="385" spans="1:18" x14ac:dyDescent="0.2">
      <c r="A385" s="8"/>
      <c r="B385" s="8"/>
      <c r="R385"/>
    </row>
    <row r="386" spans="1:18" x14ac:dyDescent="0.2">
      <c r="A386" s="8"/>
      <c r="B386" s="8"/>
      <c r="R386"/>
    </row>
    <row r="387" spans="1:18" x14ac:dyDescent="0.2">
      <c r="A387" s="8"/>
      <c r="B387" s="8"/>
      <c r="R387"/>
    </row>
    <row r="388" spans="1:18" x14ac:dyDescent="0.2">
      <c r="A388" s="8"/>
      <c r="B388" s="8"/>
      <c r="R388"/>
    </row>
    <row r="389" spans="1:18" x14ac:dyDescent="0.2">
      <c r="A389" s="8"/>
      <c r="B389" s="8"/>
      <c r="R389"/>
    </row>
    <row r="390" spans="1:18" x14ac:dyDescent="0.2">
      <c r="A390" s="8"/>
      <c r="B390" s="8"/>
      <c r="R390"/>
    </row>
    <row r="391" spans="1:18" x14ac:dyDescent="0.2">
      <c r="A391" s="8"/>
      <c r="B391" s="8"/>
      <c r="R391"/>
    </row>
    <row r="392" spans="1:18" x14ac:dyDescent="0.2">
      <c r="A392" s="8"/>
      <c r="B392" s="8"/>
      <c r="R392"/>
    </row>
    <row r="393" spans="1:18" x14ac:dyDescent="0.2">
      <c r="A393" s="8"/>
      <c r="B393" s="8"/>
      <c r="R393"/>
    </row>
    <row r="394" spans="1:18" x14ac:dyDescent="0.2">
      <c r="A394" s="8"/>
      <c r="B394" s="8"/>
      <c r="R394"/>
    </row>
    <row r="395" spans="1:18" x14ac:dyDescent="0.2">
      <c r="A395" s="8"/>
      <c r="B395" s="8"/>
      <c r="R395"/>
    </row>
    <row r="396" spans="1:18" x14ac:dyDescent="0.2">
      <c r="A396" s="8"/>
      <c r="B396" s="8"/>
      <c r="R396"/>
    </row>
    <row r="397" spans="1:18" x14ac:dyDescent="0.2">
      <c r="A397" s="8"/>
      <c r="B397" s="8"/>
      <c r="R397"/>
    </row>
    <row r="398" spans="1:18" x14ac:dyDescent="0.2">
      <c r="A398" s="8"/>
      <c r="B398" s="8"/>
      <c r="R398"/>
    </row>
    <row r="399" spans="1:18" x14ac:dyDescent="0.2">
      <c r="A399" s="8"/>
      <c r="B399" s="8"/>
      <c r="R399"/>
    </row>
    <row r="400" spans="1:18" x14ac:dyDescent="0.2">
      <c r="A400" s="8"/>
      <c r="B400" s="8"/>
      <c r="R400"/>
    </row>
    <row r="401" spans="1:18" x14ac:dyDescent="0.2">
      <c r="A401" s="8"/>
      <c r="B401" s="8"/>
      <c r="R401"/>
    </row>
    <row r="402" spans="1:18" x14ac:dyDescent="0.2">
      <c r="A402" s="8"/>
      <c r="B402" s="8"/>
      <c r="R402"/>
    </row>
    <row r="403" spans="1:18" x14ac:dyDescent="0.2">
      <c r="A403" s="8"/>
      <c r="B403" s="8"/>
      <c r="R403"/>
    </row>
    <row r="404" spans="1:18" x14ac:dyDescent="0.2">
      <c r="A404" s="8"/>
      <c r="B404" s="8"/>
      <c r="R404"/>
    </row>
    <row r="405" spans="1:18" x14ac:dyDescent="0.2">
      <c r="A405" s="8"/>
      <c r="B405" s="8"/>
      <c r="R405"/>
    </row>
    <row r="406" spans="1:18" x14ac:dyDescent="0.2">
      <c r="A406" s="8"/>
      <c r="B406" s="8"/>
      <c r="R406"/>
    </row>
    <row r="407" spans="1:18" x14ac:dyDescent="0.2">
      <c r="A407" s="8"/>
      <c r="B407" s="8"/>
      <c r="R407"/>
    </row>
    <row r="408" spans="1:18" x14ac:dyDescent="0.2">
      <c r="A408" s="8"/>
      <c r="B408" s="8"/>
      <c r="R408"/>
    </row>
    <row r="409" spans="1:18" x14ac:dyDescent="0.2">
      <c r="A409" s="8"/>
      <c r="B409" s="8"/>
      <c r="R409"/>
    </row>
    <row r="410" spans="1:18" x14ac:dyDescent="0.2">
      <c r="A410" s="8"/>
      <c r="B410" s="8"/>
      <c r="R410"/>
    </row>
    <row r="411" spans="1:18" x14ac:dyDescent="0.2">
      <c r="A411" s="8"/>
      <c r="B411" s="8"/>
      <c r="R411"/>
    </row>
    <row r="412" spans="1:18" x14ac:dyDescent="0.2">
      <c r="A412" s="8"/>
      <c r="B412" s="8"/>
      <c r="R412"/>
    </row>
    <row r="413" spans="1:18" x14ac:dyDescent="0.2">
      <c r="A413" s="8"/>
      <c r="B413" s="8"/>
      <c r="R413"/>
    </row>
    <row r="414" spans="1:18" x14ac:dyDescent="0.2">
      <c r="A414" s="8"/>
      <c r="B414" s="8"/>
      <c r="R414"/>
    </row>
    <row r="415" spans="1:18" x14ac:dyDescent="0.2">
      <c r="A415" s="8"/>
      <c r="B415" s="8"/>
      <c r="R415"/>
    </row>
    <row r="416" spans="1:18" x14ac:dyDescent="0.2">
      <c r="A416" s="8"/>
      <c r="B416" s="8"/>
      <c r="R416"/>
    </row>
    <row r="417" spans="1:18" x14ac:dyDescent="0.2">
      <c r="A417" s="8"/>
      <c r="B417" s="8"/>
      <c r="R417"/>
    </row>
    <row r="418" spans="1:18" x14ac:dyDescent="0.2">
      <c r="A418" s="8"/>
      <c r="B418" s="8"/>
      <c r="R418"/>
    </row>
    <row r="419" spans="1:18" x14ac:dyDescent="0.2">
      <c r="A419" s="8"/>
      <c r="B419" s="8"/>
      <c r="R419"/>
    </row>
    <row r="420" spans="1:18" x14ac:dyDescent="0.2">
      <c r="A420" s="8"/>
      <c r="B420" s="8"/>
      <c r="R420"/>
    </row>
    <row r="421" spans="1:18" x14ac:dyDescent="0.2">
      <c r="A421" s="8"/>
      <c r="B421" s="8"/>
      <c r="R421"/>
    </row>
    <row r="422" spans="1:18" x14ac:dyDescent="0.2">
      <c r="A422" s="8"/>
      <c r="B422" s="8"/>
      <c r="R422"/>
    </row>
    <row r="423" spans="1:18" x14ac:dyDescent="0.2">
      <c r="A423" s="8"/>
      <c r="B423" s="8"/>
      <c r="R423"/>
    </row>
    <row r="424" spans="1:18" x14ac:dyDescent="0.2">
      <c r="A424" s="8"/>
      <c r="B424" s="8"/>
      <c r="R424"/>
    </row>
    <row r="425" spans="1:18" x14ac:dyDescent="0.2">
      <c r="A425" s="8"/>
      <c r="B425" s="8"/>
      <c r="R425"/>
    </row>
    <row r="426" spans="1:18" x14ac:dyDescent="0.2">
      <c r="A426" s="8"/>
      <c r="B426" s="8"/>
      <c r="R426"/>
    </row>
    <row r="427" spans="1:18" x14ac:dyDescent="0.2">
      <c r="A427" s="8"/>
      <c r="B427" s="8"/>
      <c r="R427"/>
    </row>
    <row r="428" spans="1:18" x14ac:dyDescent="0.2">
      <c r="A428" s="8"/>
      <c r="B428" s="8"/>
      <c r="R428"/>
    </row>
    <row r="429" spans="1:18" x14ac:dyDescent="0.2">
      <c r="A429" s="8"/>
      <c r="B429" s="8"/>
      <c r="R429"/>
    </row>
    <row r="430" spans="1:18" x14ac:dyDescent="0.2">
      <c r="A430" s="8"/>
      <c r="B430" s="8"/>
      <c r="R430"/>
    </row>
    <row r="431" spans="1:18" x14ac:dyDescent="0.2">
      <c r="A431" s="8"/>
      <c r="B431" s="8"/>
      <c r="R431"/>
    </row>
    <row r="432" spans="1:18" x14ac:dyDescent="0.2">
      <c r="A432" s="8"/>
      <c r="B432" s="8"/>
      <c r="R432"/>
    </row>
    <row r="433" spans="1:18" x14ac:dyDescent="0.2">
      <c r="A433" s="8"/>
      <c r="B433" s="8"/>
      <c r="R433"/>
    </row>
    <row r="434" spans="1:18" x14ac:dyDescent="0.2">
      <c r="A434" s="8"/>
      <c r="B434" s="8"/>
      <c r="R434"/>
    </row>
    <row r="435" spans="1:18" x14ac:dyDescent="0.2">
      <c r="A435" s="8"/>
      <c r="B435" s="8"/>
      <c r="R435"/>
    </row>
    <row r="436" spans="1:18" x14ac:dyDescent="0.2">
      <c r="A436" s="8"/>
      <c r="B436" s="8"/>
      <c r="R436"/>
    </row>
    <row r="437" spans="1:18" x14ac:dyDescent="0.2">
      <c r="A437" s="8"/>
      <c r="B437" s="8"/>
      <c r="R437"/>
    </row>
    <row r="438" spans="1:18" x14ac:dyDescent="0.2">
      <c r="A438" s="8"/>
      <c r="B438" s="8"/>
      <c r="R438"/>
    </row>
    <row r="439" spans="1:18" x14ac:dyDescent="0.2">
      <c r="A439" s="8"/>
      <c r="B439" s="8"/>
      <c r="R439"/>
    </row>
    <row r="440" spans="1:18" x14ac:dyDescent="0.2">
      <c r="A440" s="8"/>
      <c r="B440" s="8"/>
      <c r="R440"/>
    </row>
    <row r="441" spans="1:18" x14ac:dyDescent="0.2">
      <c r="A441" s="8"/>
      <c r="B441" s="8"/>
      <c r="R441"/>
    </row>
    <row r="442" spans="1:18" x14ac:dyDescent="0.2">
      <c r="A442" s="8"/>
      <c r="B442" s="8"/>
      <c r="R442"/>
    </row>
    <row r="443" spans="1:18" x14ac:dyDescent="0.2">
      <c r="A443" s="8"/>
      <c r="B443" s="8"/>
      <c r="R443"/>
    </row>
    <row r="444" spans="1:18" x14ac:dyDescent="0.2">
      <c r="A444" s="8"/>
      <c r="B444" s="8"/>
      <c r="R444"/>
    </row>
    <row r="445" spans="1:18" x14ac:dyDescent="0.2">
      <c r="A445" s="8"/>
      <c r="B445" s="8"/>
      <c r="R445"/>
    </row>
    <row r="446" spans="1:18" x14ac:dyDescent="0.2">
      <c r="A446" s="8"/>
      <c r="B446" s="8"/>
      <c r="R446"/>
    </row>
    <row r="447" spans="1:18" x14ac:dyDescent="0.2">
      <c r="A447" s="8"/>
      <c r="B447" s="8"/>
      <c r="R447"/>
    </row>
    <row r="448" spans="1:18" x14ac:dyDescent="0.2">
      <c r="A448" s="8"/>
      <c r="B448" s="8"/>
      <c r="R448"/>
    </row>
    <row r="449" spans="1:18" x14ac:dyDescent="0.2">
      <c r="A449" s="8"/>
      <c r="B449" s="8"/>
      <c r="R449"/>
    </row>
    <row r="450" spans="1:18" x14ac:dyDescent="0.2">
      <c r="A450" s="8"/>
      <c r="B450" s="8"/>
      <c r="R450"/>
    </row>
    <row r="451" spans="1:18" x14ac:dyDescent="0.2">
      <c r="A451" s="8"/>
      <c r="B451" s="8"/>
      <c r="R451"/>
    </row>
    <row r="452" spans="1:18" x14ac:dyDescent="0.2">
      <c r="A452" s="8"/>
      <c r="B452" s="8"/>
      <c r="R452"/>
    </row>
    <row r="453" spans="1:18" x14ac:dyDescent="0.2">
      <c r="A453" s="8"/>
      <c r="B453" s="8"/>
      <c r="R453"/>
    </row>
    <row r="454" spans="1:18" x14ac:dyDescent="0.2">
      <c r="A454" s="8"/>
      <c r="B454" s="8"/>
      <c r="R454"/>
    </row>
    <row r="455" spans="1:18" x14ac:dyDescent="0.2">
      <c r="A455" s="8"/>
      <c r="B455" s="8"/>
      <c r="R455"/>
    </row>
    <row r="456" spans="1:18" x14ac:dyDescent="0.2">
      <c r="A456" s="8"/>
      <c r="B456" s="8"/>
      <c r="R456"/>
    </row>
    <row r="457" spans="1:18" x14ac:dyDescent="0.2">
      <c r="A457" s="8"/>
      <c r="B457" s="8"/>
      <c r="R457"/>
    </row>
    <row r="458" spans="1:18" x14ac:dyDescent="0.2">
      <c r="A458" s="8"/>
      <c r="B458" s="8"/>
      <c r="R458"/>
    </row>
    <row r="459" spans="1:18" x14ac:dyDescent="0.2">
      <c r="A459" s="8"/>
      <c r="B459" s="8"/>
      <c r="R459"/>
    </row>
    <row r="460" spans="1:18" x14ac:dyDescent="0.2">
      <c r="A460" s="8"/>
      <c r="B460" s="8"/>
      <c r="R460"/>
    </row>
    <row r="461" spans="1:18" x14ac:dyDescent="0.2">
      <c r="A461" s="8"/>
      <c r="B461" s="8"/>
      <c r="R461"/>
    </row>
    <row r="462" spans="1:18" x14ac:dyDescent="0.2">
      <c r="A462" s="8"/>
      <c r="B462" s="8"/>
      <c r="R462"/>
    </row>
    <row r="463" spans="1:18" x14ac:dyDescent="0.2">
      <c r="A463" s="8"/>
      <c r="B463" s="8"/>
      <c r="R463"/>
    </row>
    <row r="464" spans="1:18" x14ac:dyDescent="0.2">
      <c r="A464" s="8"/>
      <c r="B464" s="8"/>
      <c r="R464"/>
    </row>
    <row r="465" spans="1:18" x14ac:dyDescent="0.2">
      <c r="A465" s="8"/>
      <c r="B465" s="8"/>
      <c r="R465"/>
    </row>
    <row r="466" spans="1:18" x14ac:dyDescent="0.2">
      <c r="A466" s="8"/>
      <c r="B466" s="8"/>
      <c r="R466"/>
    </row>
    <row r="467" spans="1:18" x14ac:dyDescent="0.2">
      <c r="A467" s="8"/>
      <c r="B467" s="8"/>
      <c r="R467"/>
    </row>
    <row r="468" spans="1:18" x14ac:dyDescent="0.2">
      <c r="A468" s="8"/>
      <c r="B468" s="8"/>
      <c r="R468"/>
    </row>
    <row r="469" spans="1:18" x14ac:dyDescent="0.2">
      <c r="A469" s="8"/>
      <c r="B469" s="8"/>
      <c r="R469"/>
    </row>
    <row r="470" spans="1:18" x14ac:dyDescent="0.2">
      <c r="A470" s="8"/>
      <c r="B470" s="8"/>
      <c r="R470"/>
    </row>
    <row r="471" spans="1:18" x14ac:dyDescent="0.2">
      <c r="A471" s="8"/>
      <c r="B471" s="8"/>
      <c r="R471"/>
    </row>
    <row r="472" spans="1:18" x14ac:dyDescent="0.2">
      <c r="A472" s="8"/>
      <c r="B472" s="8"/>
      <c r="R472"/>
    </row>
    <row r="473" spans="1:18" x14ac:dyDescent="0.2">
      <c r="A473" s="8"/>
      <c r="B473" s="8"/>
      <c r="R473"/>
    </row>
    <row r="474" spans="1:18" x14ac:dyDescent="0.2">
      <c r="A474" s="8"/>
      <c r="B474" s="8"/>
      <c r="R474"/>
    </row>
    <row r="475" spans="1:18" x14ac:dyDescent="0.2">
      <c r="A475" s="8"/>
      <c r="B475" s="8"/>
      <c r="R475"/>
    </row>
    <row r="476" spans="1:18" x14ac:dyDescent="0.2">
      <c r="A476" s="8"/>
      <c r="B476" s="8"/>
      <c r="R476"/>
    </row>
    <row r="477" spans="1:18" x14ac:dyDescent="0.2">
      <c r="A477" s="8"/>
      <c r="B477" s="8"/>
      <c r="R477"/>
    </row>
    <row r="478" spans="1:18" x14ac:dyDescent="0.2">
      <c r="A478" s="8"/>
      <c r="B478" s="8"/>
      <c r="R478"/>
    </row>
    <row r="479" spans="1:18" x14ac:dyDescent="0.2">
      <c r="A479" s="8"/>
      <c r="B479" s="8"/>
      <c r="R479"/>
    </row>
    <row r="480" spans="1:18" x14ac:dyDescent="0.2">
      <c r="A480" s="8"/>
      <c r="B480" s="8"/>
      <c r="R480"/>
    </row>
    <row r="481" spans="1:18" x14ac:dyDescent="0.2">
      <c r="A481" s="8"/>
      <c r="B481" s="8"/>
      <c r="R481"/>
    </row>
    <row r="482" spans="1:18" x14ac:dyDescent="0.2">
      <c r="A482" s="8"/>
      <c r="B482" s="8"/>
      <c r="R482"/>
    </row>
    <row r="483" spans="1:18" x14ac:dyDescent="0.2">
      <c r="A483" s="8"/>
      <c r="B483" s="8"/>
      <c r="R483"/>
    </row>
    <row r="484" spans="1:18" x14ac:dyDescent="0.2">
      <c r="A484" s="8"/>
      <c r="B484" s="8"/>
      <c r="R484"/>
    </row>
    <row r="485" spans="1:18" x14ac:dyDescent="0.2">
      <c r="A485" s="8"/>
      <c r="B485" s="8"/>
      <c r="R485"/>
    </row>
    <row r="486" spans="1:18" x14ac:dyDescent="0.2">
      <c r="A486" s="8"/>
      <c r="B486" s="8"/>
      <c r="R486"/>
    </row>
    <row r="487" spans="1:18" x14ac:dyDescent="0.2">
      <c r="A487" s="8"/>
      <c r="B487" s="8"/>
      <c r="R487"/>
    </row>
    <row r="488" spans="1:18" x14ac:dyDescent="0.2">
      <c r="A488" s="8"/>
      <c r="B488" s="8"/>
      <c r="R488"/>
    </row>
    <row r="489" spans="1:18" x14ac:dyDescent="0.2">
      <c r="A489" s="8"/>
      <c r="B489" s="8"/>
      <c r="R489"/>
    </row>
    <row r="490" spans="1:18" x14ac:dyDescent="0.2">
      <c r="A490" s="8"/>
      <c r="B490" s="8"/>
      <c r="R490"/>
    </row>
    <row r="491" spans="1:18" x14ac:dyDescent="0.2">
      <c r="A491" s="8"/>
      <c r="B491" s="8"/>
      <c r="R491"/>
    </row>
    <row r="492" spans="1:18" x14ac:dyDescent="0.2">
      <c r="A492" s="8"/>
      <c r="B492" s="8"/>
      <c r="R492"/>
    </row>
    <row r="493" spans="1:18" x14ac:dyDescent="0.2">
      <c r="A493" s="8"/>
      <c r="B493" s="8"/>
      <c r="R493"/>
    </row>
    <row r="494" spans="1:18" x14ac:dyDescent="0.2">
      <c r="A494" s="8"/>
      <c r="B494" s="8"/>
      <c r="R494"/>
    </row>
    <row r="495" spans="1:18" x14ac:dyDescent="0.2">
      <c r="A495" s="8"/>
      <c r="B495" s="8"/>
      <c r="R495"/>
    </row>
    <row r="496" spans="1:18" x14ac:dyDescent="0.2">
      <c r="A496" s="8"/>
      <c r="B496" s="8"/>
      <c r="R496"/>
    </row>
    <row r="497" spans="1:18" x14ac:dyDescent="0.2">
      <c r="A497" s="8"/>
      <c r="B497" s="8"/>
      <c r="R497"/>
    </row>
    <row r="498" spans="1:18" x14ac:dyDescent="0.2">
      <c r="A498" s="8"/>
      <c r="B498" s="8"/>
      <c r="R498"/>
    </row>
    <row r="499" spans="1:18" x14ac:dyDescent="0.2">
      <c r="A499" s="8"/>
      <c r="B499" s="8"/>
      <c r="R499"/>
    </row>
    <row r="500" spans="1:18" x14ac:dyDescent="0.2">
      <c r="A500" s="8"/>
      <c r="B500" s="8"/>
      <c r="R500"/>
    </row>
    <row r="501" spans="1:18" x14ac:dyDescent="0.2">
      <c r="A501" s="8"/>
      <c r="B501" s="8"/>
      <c r="R501"/>
    </row>
    <row r="502" spans="1:18" x14ac:dyDescent="0.2">
      <c r="A502" s="8"/>
      <c r="B502" s="8"/>
      <c r="R502"/>
    </row>
    <row r="503" spans="1:18" x14ac:dyDescent="0.2">
      <c r="A503" s="8"/>
      <c r="B503" s="8"/>
      <c r="R503"/>
    </row>
    <row r="504" spans="1:18" x14ac:dyDescent="0.2">
      <c r="A504" s="8"/>
      <c r="B504" s="8"/>
      <c r="R504"/>
    </row>
    <row r="505" spans="1:18" x14ac:dyDescent="0.2">
      <c r="A505" s="8"/>
      <c r="B505" s="8"/>
      <c r="R505"/>
    </row>
    <row r="506" spans="1:18" x14ac:dyDescent="0.2">
      <c r="A506" s="8"/>
      <c r="B506" s="8"/>
      <c r="R506"/>
    </row>
    <row r="507" spans="1:18" x14ac:dyDescent="0.2">
      <c r="A507" s="8"/>
      <c r="B507" s="8"/>
      <c r="R507"/>
    </row>
    <row r="508" spans="1:18" x14ac:dyDescent="0.2">
      <c r="A508" s="8"/>
      <c r="B508" s="8"/>
      <c r="R508"/>
    </row>
    <row r="509" spans="1:18" x14ac:dyDescent="0.2">
      <c r="A509" s="8"/>
      <c r="B509" s="8"/>
      <c r="R509"/>
    </row>
    <row r="510" spans="1:18" x14ac:dyDescent="0.2">
      <c r="A510" s="8"/>
      <c r="B510" s="8"/>
      <c r="R510"/>
    </row>
    <row r="511" spans="1:18" x14ac:dyDescent="0.2">
      <c r="A511" s="8"/>
      <c r="B511" s="8"/>
      <c r="R511"/>
    </row>
    <row r="512" spans="1:18" x14ac:dyDescent="0.2">
      <c r="A512" s="8"/>
      <c r="B512" s="8"/>
      <c r="R512"/>
    </row>
    <row r="513" spans="1:18" x14ac:dyDescent="0.2">
      <c r="A513" s="8"/>
      <c r="B513" s="8"/>
      <c r="R513"/>
    </row>
    <row r="514" spans="1:18" x14ac:dyDescent="0.2">
      <c r="A514" s="8"/>
      <c r="B514" s="8"/>
      <c r="R514"/>
    </row>
    <row r="515" spans="1:18" x14ac:dyDescent="0.2">
      <c r="A515" s="8"/>
      <c r="B515" s="8"/>
      <c r="R515"/>
    </row>
    <row r="516" spans="1:18" x14ac:dyDescent="0.2">
      <c r="A516" s="8"/>
      <c r="B516" s="8"/>
      <c r="R516"/>
    </row>
    <row r="517" spans="1:18" x14ac:dyDescent="0.2">
      <c r="A517" s="8"/>
      <c r="B517" s="8"/>
      <c r="R517"/>
    </row>
    <row r="518" spans="1:18" x14ac:dyDescent="0.2">
      <c r="A518" s="8"/>
      <c r="B518" s="8"/>
      <c r="R518"/>
    </row>
    <row r="519" spans="1:18" x14ac:dyDescent="0.2">
      <c r="A519" s="8"/>
      <c r="B519" s="8"/>
      <c r="R519"/>
    </row>
    <row r="520" spans="1:18" x14ac:dyDescent="0.2">
      <c r="A520" s="8"/>
      <c r="B520" s="8"/>
      <c r="R520"/>
    </row>
    <row r="521" spans="1:18" x14ac:dyDescent="0.2">
      <c r="A521" s="8"/>
      <c r="B521" s="8"/>
      <c r="R521"/>
    </row>
    <row r="522" spans="1:18" x14ac:dyDescent="0.2">
      <c r="A522" s="8"/>
      <c r="B522" s="8"/>
      <c r="R522"/>
    </row>
    <row r="523" spans="1:18" x14ac:dyDescent="0.2">
      <c r="A523" s="8"/>
      <c r="B523" s="8"/>
      <c r="R523"/>
    </row>
    <row r="524" spans="1:18" x14ac:dyDescent="0.2">
      <c r="A524" s="8"/>
      <c r="B524" s="8"/>
      <c r="R524"/>
    </row>
    <row r="525" spans="1:18" x14ac:dyDescent="0.2">
      <c r="A525" s="8"/>
      <c r="B525" s="8"/>
      <c r="R525"/>
    </row>
    <row r="526" spans="1:18" x14ac:dyDescent="0.2">
      <c r="A526" s="8"/>
      <c r="B526" s="8"/>
      <c r="R526"/>
    </row>
    <row r="527" spans="1:18" x14ac:dyDescent="0.2">
      <c r="A527" s="8"/>
      <c r="B527" s="8"/>
      <c r="R527"/>
    </row>
    <row r="528" spans="1:18" x14ac:dyDescent="0.2">
      <c r="A528" s="8"/>
      <c r="B528" s="8"/>
      <c r="R528"/>
    </row>
    <row r="529" spans="1:18" x14ac:dyDescent="0.2">
      <c r="A529" s="8"/>
      <c r="B529" s="8"/>
      <c r="R529"/>
    </row>
    <row r="530" spans="1:18" x14ac:dyDescent="0.2">
      <c r="A530" s="8"/>
      <c r="B530" s="8"/>
      <c r="R530"/>
    </row>
    <row r="531" spans="1:18" x14ac:dyDescent="0.2">
      <c r="A531" s="8"/>
      <c r="B531" s="8"/>
      <c r="R531"/>
    </row>
    <row r="532" spans="1:18" x14ac:dyDescent="0.2">
      <c r="A532" s="8"/>
      <c r="B532" s="8"/>
      <c r="R532"/>
    </row>
    <row r="533" spans="1:18" x14ac:dyDescent="0.2">
      <c r="A533" s="8"/>
      <c r="B533" s="8"/>
      <c r="R533"/>
    </row>
    <row r="534" spans="1:18" x14ac:dyDescent="0.2">
      <c r="A534" s="8"/>
      <c r="B534" s="8"/>
      <c r="R534"/>
    </row>
    <row r="535" spans="1:18" x14ac:dyDescent="0.2">
      <c r="A535" s="8"/>
      <c r="B535" s="8"/>
      <c r="R535"/>
    </row>
    <row r="536" spans="1:18" x14ac:dyDescent="0.2">
      <c r="A536" s="8"/>
      <c r="B536" s="8"/>
      <c r="R536"/>
    </row>
    <row r="537" spans="1:18" x14ac:dyDescent="0.2">
      <c r="A537" s="8"/>
      <c r="B537" s="8"/>
      <c r="R537"/>
    </row>
    <row r="538" spans="1:18" x14ac:dyDescent="0.2">
      <c r="A538" s="8"/>
      <c r="B538" s="8"/>
      <c r="R538"/>
    </row>
    <row r="539" spans="1:18" x14ac:dyDescent="0.2">
      <c r="A539" s="8"/>
      <c r="B539" s="8"/>
      <c r="R539"/>
    </row>
    <row r="540" spans="1:18" x14ac:dyDescent="0.2">
      <c r="A540" s="8"/>
      <c r="B540" s="8"/>
      <c r="R540"/>
    </row>
    <row r="541" spans="1:18" x14ac:dyDescent="0.2">
      <c r="A541" s="8"/>
      <c r="B541" s="8"/>
      <c r="R541"/>
    </row>
    <row r="542" spans="1:18" x14ac:dyDescent="0.2">
      <c r="A542" s="8"/>
      <c r="B542" s="8"/>
      <c r="R542"/>
    </row>
    <row r="543" spans="1:18" x14ac:dyDescent="0.2">
      <c r="A543" s="8"/>
      <c r="B543" s="8"/>
      <c r="R543"/>
    </row>
    <row r="544" spans="1:18" x14ac:dyDescent="0.2">
      <c r="A544" s="8"/>
      <c r="B544" s="8"/>
      <c r="R544"/>
    </row>
    <row r="545" spans="1:18" x14ac:dyDescent="0.2">
      <c r="A545" s="8"/>
      <c r="B545" s="8"/>
      <c r="R545"/>
    </row>
    <row r="546" spans="1:18" x14ac:dyDescent="0.2">
      <c r="A546" s="8"/>
      <c r="B546" s="8"/>
      <c r="R546"/>
    </row>
    <row r="547" spans="1:18" x14ac:dyDescent="0.2">
      <c r="A547" s="8"/>
      <c r="B547" s="8"/>
      <c r="R547"/>
    </row>
    <row r="548" spans="1:18" x14ac:dyDescent="0.2">
      <c r="A548" s="8"/>
      <c r="B548" s="8"/>
      <c r="R548"/>
    </row>
    <row r="549" spans="1:18" x14ac:dyDescent="0.2">
      <c r="A549" s="8"/>
      <c r="B549" s="8"/>
      <c r="R549"/>
    </row>
    <row r="550" spans="1:18" x14ac:dyDescent="0.2">
      <c r="A550" s="8"/>
      <c r="B550" s="8"/>
      <c r="R550"/>
    </row>
    <row r="551" spans="1:18" x14ac:dyDescent="0.2">
      <c r="A551" s="8"/>
      <c r="B551" s="8"/>
      <c r="R551"/>
    </row>
    <row r="552" spans="1:18" x14ac:dyDescent="0.2">
      <c r="A552" s="8"/>
      <c r="B552" s="8"/>
      <c r="R552"/>
    </row>
    <row r="553" spans="1:18" x14ac:dyDescent="0.2">
      <c r="A553" s="8"/>
      <c r="B553" s="8"/>
      <c r="R553"/>
    </row>
    <row r="554" spans="1:18" x14ac:dyDescent="0.2">
      <c r="A554" s="8"/>
      <c r="B554" s="8"/>
      <c r="R554"/>
    </row>
    <row r="555" spans="1:18" x14ac:dyDescent="0.2">
      <c r="A555" s="8"/>
      <c r="B555" s="8"/>
      <c r="R555"/>
    </row>
    <row r="556" spans="1:18" x14ac:dyDescent="0.2">
      <c r="A556" s="8"/>
      <c r="B556" s="8"/>
      <c r="R556"/>
    </row>
    <row r="557" spans="1:18" x14ac:dyDescent="0.2">
      <c r="A557" s="8"/>
      <c r="B557" s="8"/>
      <c r="R557"/>
    </row>
    <row r="558" spans="1:18" x14ac:dyDescent="0.2">
      <c r="A558" s="8"/>
      <c r="B558" s="8"/>
      <c r="R558"/>
    </row>
    <row r="559" spans="1:18" x14ac:dyDescent="0.2">
      <c r="A559" s="8"/>
      <c r="B559" s="8"/>
      <c r="R559"/>
    </row>
    <row r="560" spans="1:18" x14ac:dyDescent="0.2">
      <c r="A560" s="8"/>
      <c r="B560" s="8"/>
      <c r="R560"/>
    </row>
    <row r="561" spans="1:18" x14ac:dyDescent="0.2">
      <c r="A561" s="8"/>
      <c r="B561" s="8"/>
      <c r="R561"/>
    </row>
    <row r="562" spans="1:18" x14ac:dyDescent="0.2">
      <c r="A562" s="8"/>
      <c r="B562" s="8"/>
      <c r="R562"/>
    </row>
    <row r="563" spans="1:18" x14ac:dyDescent="0.2">
      <c r="A563" s="8"/>
      <c r="B563" s="8"/>
      <c r="R563"/>
    </row>
    <row r="564" spans="1:18" x14ac:dyDescent="0.2">
      <c r="A564" s="8"/>
      <c r="B564" s="8"/>
      <c r="R564"/>
    </row>
    <row r="565" spans="1:18" x14ac:dyDescent="0.2">
      <c r="A565" s="8"/>
      <c r="B565" s="8"/>
      <c r="R565"/>
    </row>
    <row r="566" spans="1:18" x14ac:dyDescent="0.2">
      <c r="A566" s="8"/>
      <c r="B566" s="8"/>
      <c r="R566"/>
    </row>
    <row r="567" spans="1:18" x14ac:dyDescent="0.2">
      <c r="A567" s="8"/>
      <c r="B567" s="8"/>
      <c r="R567"/>
    </row>
    <row r="568" spans="1:18" x14ac:dyDescent="0.2">
      <c r="A568" s="8"/>
      <c r="B568" s="8"/>
      <c r="R568"/>
    </row>
    <row r="569" spans="1:18" x14ac:dyDescent="0.2">
      <c r="A569" s="8"/>
      <c r="B569" s="8"/>
      <c r="R569"/>
    </row>
    <row r="570" spans="1:18" x14ac:dyDescent="0.2">
      <c r="A570" s="8"/>
      <c r="B570" s="8"/>
      <c r="R570"/>
    </row>
    <row r="571" spans="1:18" x14ac:dyDescent="0.2">
      <c r="A571" s="8"/>
      <c r="B571" s="8"/>
      <c r="R571"/>
    </row>
    <row r="572" spans="1:18" x14ac:dyDescent="0.2">
      <c r="A572" s="8"/>
      <c r="B572" s="8"/>
      <c r="R572"/>
    </row>
    <row r="573" spans="1:18" x14ac:dyDescent="0.2">
      <c r="A573" s="8"/>
      <c r="B573" s="8"/>
      <c r="R573"/>
    </row>
    <row r="574" spans="1:18" x14ac:dyDescent="0.2">
      <c r="A574" s="8"/>
      <c r="B574" s="8"/>
      <c r="R574"/>
    </row>
    <row r="575" spans="1:18" x14ac:dyDescent="0.2">
      <c r="A575" s="8"/>
      <c r="B575" s="8"/>
      <c r="R575"/>
    </row>
    <row r="576" spans="1:18" x14ac:dyDescent="0.2">
      <c r="A576" s="8"/>
      <c r="B576" s="8"/>
      <c r="R576"/>
    </row>
    <row r="577" spans="1:18" x14ac:dyDescent="0.2">
      <c r="A577" s="8"/>
      <c r="B577" s="8"/>
      <c r="R577"/>
    </row>
    <row r="578" spans="1:18" x14ac:dyDescent="0.2">
      <c r="A578" s="8"/>
      <c r="B578" s="8"/>
      <c r="R578"/>
    </row>
    <row r="579" spans="1:18" x14ac:dyDescent="0.2">
      <c r="A579" s="8"/>
      <c r="B579" s="8"/>
      <c r="R579"/>
    </row>
    <row r="580" spans="1:18" x14ac:dyDescent="0.2">
      <c r="A580" s="8"/>
      <c r="B580" s="8"/>
      <c r="R580"/>
    </row>
    <row r="581" spans="1:18" x14ac:dyDescent="0.2">
      <c r="A581" s="8"/>
      <c r="B581" s="8"/>
      <c r="R581"/>
    </row>
    <row r="582" spans="1:18" x14ac:dyDescent="0.2">
      <c r="A582" s="8"/>
      <c r="B582" s="8"/>
      <c r="R582"/>
    </row>
    <row r="583" spans="1:18" x14ac:dyDescent="0.2">
      <c r="A583" s="8"/>
      <c r="B583" s="8"/>
      <c r="R583"/>
    </row>
    <row r="584" spans="1:18" x14ac:dyDescent="0.2">
      <c r="A584" s="8"/>
      <c r="B584" s="8"/>
      <c r="R584"/>
    </row>
    <row r="585" spans="1:18" x14ac:dyDescent="0.2">
      <c r="A585" s="8"/>
      <c r="B585" s="8"/>
      <c r="R585"/>
    </row>
    <row r="586" spans="1:18" x14ac:dyDescent="0.2">
      <c r="A586" s="8"/>
      <c r="B586" s="8"/>
      <c r="R586"/>
    </row>
    <row r="587" spans="1:18" x14ac:dyDescent="0.2">
      <c r="A587" s="8"/>
      <c r="B587" s="8"/>
      <c r="R587"/>
    </row>
    <row r="588" spans="1:18" x14ac:dyDescent="0.2">
      <c r="A588" s="8"/>
      <c r="B588" s="8"/>
      <c r="R588"/>
    </row>
    <row r="589" spans="1:18" x14ac:dyDescent="0.2">
      <c r="A589" s="8"/>
      <c r="B589" s="8"/>
      <c r="R589"/>
    </row>
    <row r="590" spans="1:18" x14ac:dyDescent="0.2">
      <c r="A590" s="8"/>
      <c r="B590" s="8"/>
      <c r="R590"/>
    </row>
    <row r="591" spans="1:18" x14ac:dyDescent="0.2">
      <c r="A591" s="8"/>
      <c r="B591" s="8"/>
      <c r="R591"/>
    </row>
    <row r="592" spans="1:18" x14ac:dyDescent="0.2">
      <c r="A592" s="8"/>
      <c r="B592" s="8"/>
      <c r="R592"/>
    </row>
    <row r="593" spans="1:18" x14ac:dyDescent="0.2">
      <c r="A593" s="8"/>
      <c r="B593" s="8"/>
      <c r="R593"/>
    </row>
    <row r="594" spans="1:18" x14ac:dyDescent="0.2">
      <c r="A594" s="8"/>
      <c r="B594" s="8"/>
      <c r="R594"/>
    </row>
    <row r="595" spans="1:18" x14ac:dyDescent="0.2">
      <c r="A595" s="8"/>
      <c r="B595" s="8"/>
      <c r="R595"/>
    </row>
    <row r="596" spans="1:18" x14ac:dyDescent="0.2">
      <c r="A596" s="8"/>
      <c r="B596" s="8"/>
      <c r="R596"/>
    </row>
    <row r="597" spans="1:18" x14ac:dyDescent="0.2">
      <c r="A597" s="8"/>
      <c r="B597" s="8"/>
      <c r="R597"/>
    </row>
    <row r="598" spans="1:18" x14ac:dyDescent="0.2">
      <c r="A598" s="8"/>
      <c r="B598" s="8"/>
      <c r="R598"/>
    </row>
    <row r="599" spans="1:18" x14ac:dyDescent="0.2">
      <c r="A599" s="8"/>
      <c r="B599" s="8"/>
      <c r="R599"/>
    </row>
    <row r="600" spans="1:18" x14ac:dyDescent="0.2">
      <c r="A600" s="8"/>
      <c r="B600" s="8"/>
      <c r="R600"/>
    </row>
    <row r="601" spans="1:18" x14ac:dyDescent="0.2">
      <c r="A601" s="8"/>
      <c r="B601" s="8"/>
      <c r="R601"/>
    </row>
    <row r="602" spans="1:18" x14ac:dyDescent="0.2">
      <c r="A602" s="8"/>
      <c r="B602" s="8"/>
      <c r="R602"/>
    </row>
    <row r="603" spans="1:18" x14ac:dyDescent="0.2">
      <c r="A603" s="8"/>
      <c r="B603" s="8"/>
      <c r="R603"/>
    </row>
    <row r="604" spans="1:18" x14ac:dyDescent="0.2">
      <c r="A604" s="8"/>
      <c r="B604" s="8"/>
      <c r="R604"/>
    </row>
    <row r="605" spans="1:18" x14ac:dyDescent="0.2">
      <c r="A605" s="8"/>
      <c r="B605" s="8"/>
      <c r="R605"/>
    </row>
    <row r="606" spans="1:18" x14ac:dyDescent="0.2">
      <c r="A606" s="8"/>
      <c r="B606" s="8"/>
      <c r="R606"/>
    </row>
    <row r="607" spans="1:18" x14ac:dyDescent="0.2">
      <c r="A607" s="8"/>
      <c r="B607" s="8"/>
      <c r="R607"/>
    </row>
    <row r="608" spans="1:18" x14ac:dyDescent="0.2">
      <c r="A608" s="8"/>
      <c r="B608" s="8"/>
      <c r="R608"/>
    </row>
    <row r="609" spans="1:18" x14ac:dyDescent="0.2">
      <c r="A609" s="8"/>
      <c r="B609" s="8"/>
      <c r="R609"/>
    </row>
    <row r="610" spans="1:18" x14ac:dyDescent="0.2">
      <c r="A610" s="8"/>
      <c r="B610" s="8"/>
      <c r="R610"/>
    </row>
    <row r="611" spans="1:18" x14ac:dyDescent="0.2">
      <c r="A611" s="8"/>
      <c r="B611" s="8"/>
      <c r="R611"/>
    </row>
    <row r="612" spans="1:18" x14ac:dyDescent="0.2">
      <c r="A612" s="8"/>
      <c r="B612" s="8"/>
      <c r="R612"/>
    </row>
    <row r="613" spans="1:18" x14ac:dyDescent="0.2">
      <c r="A613" s="8"/>
      <c r="B613" s="8"/>
      <c r="R613"/>
    </row>
    <row r="614" spans="1:18" x14ac:dyDescent="0.2">
      <c r="A614" s="8"/>
      <c r="B614" s="8"/>
      <c r="R614"/>
    </row>
    <row r="615" spans="1:18" x14ac:dyDescent="0.2">
      <c r="A615" s="8"/>
      <c r="B615" s="8"/>
      <c r="R615"/>
    </row>
    <row r="616" spans="1:18" x14ac:dyDescent="0.2">
      <c r="A616" s="8"/>
      <c r="B616" s="8"/>
      <c r="R616"/>
    </row>
    <row r="617" spans="1:18" x14ac:dyDescent="0.2">
      <c r="A617" s="8"/>
      <c r="B617" s="8"/>
      <c r="R617"/>
    </row>
    <row r="618" spans="1:18" x14ac:dyDescent="0.2">
      <c r="A618" s="8"/>
      <c r="B618" s="8"/>
      <c r="R618"/>
    </row>
    <row r="619" spans="1:18" x14ac:dyDescent="0.2">
      <c r="A619" s="8"/>
      <c r="B619" s="8"/>
      <c r="R619"/>
    </row>
    <row r="620" spans="1:18" x14ac:dyDescent="0.2">
      <c r="A620" s="8"/>
      <c r="B620" s="8"/>
      <c r="R620"/>
    </row>
    <row r="621" spans="1:18" x14ac:dyDescent="0.2">
      <c r="A621" s="8"/>
      <c r="B621" s="8"/>
      <c r="R621"/>
    </row>
    <row r="622" spans="1:18" x14ac:dyDescent="0.2">
      <c r="A622" s="8"/>
      <c r="B622" s="8"/>
      <c r="R622"/>
    </row>
    <row r="623" spans="1:18" x14ac:dyDescent="0.2">
      <c r="A623" s="8"/>
      <c r="B623" s="8"/>
      <c r="R623"/>
    </row>
    <row r="624" spans="1:18" x14ac:dyDescent="0.2">
      <c r="A624" s="8"/>
      <c r="B624" s="8"/>
      <c r="R624"/>
    </row>
    <row r="625" spans="1:18" x14ac:dyDescent="0.2">
      <c r="A625" s="8"/>
      <c r="B625" s="8"/>
      <c r="R625"/>
    </row>
    <row r="626" spans="1:18" x14ac:dyDescent="0.2">
      <c r="A626" s="8"/>
      <c r="B626" s="8"/>
      <c r="R626"/>
    </row>
    <row r="627" spans="1:18" x14ac:dyDescent="0.2">
      <c r="A627" s="8"/>
      <c r="B627" s="8"/>
      <c r="R627"/>
    </row>
    <row r="628" spans="1:18" x14ac:dyDescent="0.2">
      <c r="A628" s="8"/>
      <c r="B628" s="8"/>
      <c r="R628"/>
    </row>
    <row r="629" spans="1:18" x14ac:dyDescent="0.2">
      <c r="R629"/>
    </row>
    <row r="630" spans="1:18" x14ac:dyDescent="0.2">
      <c r="A630" s="8"/>
      <c r="B630" s="8"/>
      <c r="R630"/>
    </row>
    <row r="631" spans="1:18" x14ac:dyDescent="0.2">
      <c r="A631" s="8"/>
      <c r="B631" s="8"/>
      <c r="R631"/>
    </row>
    <row r="632" spans="1:18" x14ac:dyDescent="0.2">
      <c r="A632" s="8"/>
      <c r="B632" s="8"/>
      <c r="D632" s="3"/>
      <c r="E632" s="3"/>
      <c r="F632" s="3"/>
      <c r="G632" s="3"/>
      <c r="H632" s="3"/>
      <c r="I632" s="3"/>
      <c r="R632"/>
    </row>
    <row r="633" spans="1:18" x14ac:dyDescent="0.2">
      <c r="A633" s="8"/>
      <c r="B633" s="8"/>
      <c r="D633" s="3"/>
      <c r="E633" s="3"/>
      <c r="F633" s="3"/>
      <c r="G633" s="3"/>
      <c r="H633" s="3"/>
      <c r="I633" s="3"/>
      <c r="R633"/>
    </row>
    <row r="634" spans="1:18" x14ac:dyDescent="0.2">
      <c r="A634" s="8"/>
      <c r="B634" s="8"/>
      <c r="D634" s="3"/>
      <c r="E634" s="3"/>
      <c r="F634" s="3"/>
      <c r="G634" s="3"/>
      <c r="H634" s="3"/>
      <c r="I634" s="3"/>
      <c r="R634"/>
    </row>
    <row r="635" spans="1:18" x14ac:dyDescent="0.2">
      <c r="A635" s="8"/>
      <c r="B635" s="8"/>
      <c r="R635"/>
    </row>
    <row r="636" spans="1:18" x14ac:dyDescent="0.2">
      <c r="A636" s="8"/>
      <c r="B636" s="8"/>
      <c r="R636"/>
    </row>
    <row r="637" spans="1:18" x14ac:dyDescent="0.2">
      <c r="A637" s="8"/>
      <c r="B637" s="8"/>
      <c r="R637"/>
    </row>
    <row r="638" spans="1:18" x14ac:dyDescent="0.2">
      <c r="A638" s="8"/>
      <c r="B638" s="8"/>
      <c r="R638"/>
    </row>
    <row r="639" spans="1:18" x14ac:dyDescent="0.2">
      <c r="A639" s="8"/>
      <c r="B639" s="8"/>
      <c r="R639"/>
    </row>
    <row r="640" spans="1:18" x14ac:dyDescent="0.2">
      <c r="R640"/>
    </row>
    <row r="641" spans="1:18" x14ac:dyDescent="0.2">
      <c r="R641"/>
    </row>
    <row r="642" spans="1:18" x14ac:dyDescent="0.2">
      <c r="R642"/>
    </row>
    <row r="643" spans="1:18" x14ac:dyDescent="0.2">
      <c r="R643"/>
    </row>
    <row r="644" spans="1:18" x14ac:dyDescent="0.2">
      <c r="R644"/>
    </row>
    <row r="645" spans="1:18" x14ac:dyDescent="0.2">
      <c r="R645"/>
    </row>
    <row r="646" spans="1:18" x14ac:dyDescent="0.2">
      <c r="R646"/>
    </row>
    <row r="647" spans="1:18" x14ac:dyDescent="0.2">
      <c r="R647"/>
    </row>
    <row r="648" spans="1:18" x14ac:dyDescent="0.2">
      <c r="R648"/>
    </row>
    <row r="649" spans="1:18" x14ac:dyDescent="0.2">
      <c r="R649"/>
    </row>
    <row r="650" spans="1:18" x14ac:dyDescent="0.2">
      <c r="R650"/>
    </row>
    <row r="651" spans="1:18" x14ac:dyDescent="0.2">
      <c r="R651"/>
    </row>
    <row r="652" spans="1:18" x14ac:dyDescent="0.2">
      <c r="R652"/>
    </row>
    <row r="653" spans="1:18" x14ac:dyDescent="0.2">
      <c r="R653"/>
    </row>
    <row r="654" spans="1:18" x14ac:dyDescent="0.2">
      <c r="A654" s="8"/>
      <c r="B654" s="8"/>
      <c r="R654"/>
    </row>
    <row r="655" spans="1:18" x14ac:dyDescent="0.2">
      <c r="A655" s="8"/>
      <c r="B655" s="8"/>
      <c r="R655"/>
    </row>
    <row r="656" spans="1:18" x14ac:dyDescent="0.2">
      <c r="A656" s="8"/>
      <c r="B656" s="8"/>
      <c r="R656"/>
    </row>
    <row r="657" spans="1:18" x14ac:dyDescent="0.2">
      <c r="A657" s="8"/>
      <c r="B657" s="8"/>
      <c r="D657" s="3"/>
      <c r="E657" s="3"/>
      <c r="F657" s="3"/>
      <c r="G657" s="3"/>
      <c r="H657" s="3"/>
      <c r="I657" s="3"/>
      <c r="M657" s="9"/>
      <c r="N657" s="4"/>
      <c r="O657" s="4"/>
      <c r="P657" s="4"/>
      <c r="R657"/>
    </row>
    <row r="658" spans="1:18" x14ac:dyDescent="0.2">
      <c r="A658" s="8"/>
      <c r="B658" s="8"/>
      <c r="M658" s="9"/>
      <c r="N658" s="4"/>
      <c r="O658" s="4"/>
      <c r="P658" s="4"/>
      <c r="R658"/>
    </row>
    <row r="659" spans="1:18" x14ac:dyDescent="0.2">
      <c r="A659" s="8"/>
      <c r="B659" s="8"/>
      <c r="D659" s="3"/>
      <c r="E659" s="3"/>
      <c r="F659" s="3"/>
      <c r="G659" s="3"/>
      <c r="H659" s="3"/>
      <c r="I659" s="3"/>
      <c r="R659"/>
    </row>
    <row r="660" spans="1:18" x14ac:dyDescent="0.2">
      <c r="A660" s="8"/>
      <c r="B660" s="8"/>
      <c r="D660" s="3"/>
      <c r="E660" s="3"/>
      <c r="F660" s="3"/>
      <c r="G660" s="3"/>
      <c r="H660" s="3"/>
      <c r="I660" s="3"/>
      <c r="R660"/>
    </row>
    <row r="661" spans="1:18" x14ac:dyDescent="0.2">
      <c r="A661" s="8"/>
      <c r="B661" s="8"/>
      <c r="R661"/>
    </row>
    <row r="662" spans="1:18" x14ac:dyDescent="0.2">
      <c r="A662" s="8"/>
      <c r="B662" s="8"/>
      <c r="R662"/>
    </row>
    <row r="663" spans="1:18" x14ac:dyDescent="0.2">
      <c r="A663" s="8"/>
      <c r="B663" s="8"/>
      <c r="R663"/>
    </row>
    <row r="664" spans="1:18" x14ac:dyDescent="0.2">
      <c r="A664" s="8"/>
      <c r="B664" s="8"/>
      <c r="R664"/>
    </row>
    <row r="665" spans="1:18" x14ac:dyDescent="0.2">
      <c r="A665" s="8"/>
      <c r="B665" s="8"/>
      <c r="R665"/>
    </row>
    <row r="666" spans="1:18" x14ac:dyDescent="0.2">
      <c r="A666" s="8"/>
      <c r="B666" s="8"/>
      <c r="R666"/>
    </row>
    <row r="667" spans="1:18" x14ac:dyDescent="0.2">
      <c r="A667" s="8"/>
      <c r="B667" s="8"/>
      <c r="D667" s="3"/>
      <c r="E667" s="3"/>
      <c r="F667" s="3"/>
      <c r="G667" s="3"/>
      <c r="H667" s="3"/>
      <c r="I667" s="3"/>
      <c r="R667"/>
    </row>
    <row r="668" spans="1:18" x14ac:dyDescent="0.2">
      <c r="A668" s="8"/>
      <c r="B668" s="8"/>
      <c r="D668" s="3"/>
      <c r="E668" s="3"/>
      <c r="F668" s="3"/>
      <c r="G668" s="3"/>
      <c r="H668" s="3"/>
      <c r="I668" s="3"/>
      <c r="R668"/>
    </row>
    <row r="669" spans="1:18" x14ac:dyDescent="0.2">
      <c r="A669" s="8"/>
      <c r="B669" s="8"/>
      <c r="D669" s="3"/>
      <c r="E669" s="3"/>
      <c r="F669" s="3"/>
      <c r="G669" s="3"/>
      <c r="H669" s="3"/>
      <c r="I669" s="3"/>
      <c r="R669"/>
    </row>
    <row r="670" spans="1:18" x14ac:dyDescent="0.2">
      <c r="A670" s="8"/>
      <c r="B670" s="8"/>
      <c r="R670"/>
    </row>
    <row r="671" spans="1:18" x14ac:dyDescent="0.2">
      <c r="A671" s="8"/>
      <c r="B671" s="8"/>
      <c r="R671"/>
    </row>
    <row r="672" spans="1:18" x14ac:dyDescent="0.2">
      <c r="A672" s="8"/>
      <c r="B672" s="8"/>
      <c r="R672"/>
    </row>
    <row r="673" spans="1:18" x14ac:dyDescent="0.2">
      <c r="A673" s="8"/>
      <c r="B673" s="8"/>
      <c r="D673" s="3"/>
      <c r="E673" s="3"/>
      <c r="F673" s="3"/>
      <c r="G673" s="3"/>
      <c r="H673" s="3"/>
      <c r="I673" s="3"/>
      <c r="R673"/>
    </row>
    <row r="674" spans="1:18" x14ac:dyDescent="0.2">
      <c r="A674" s="8"/>
      <c r="B674" s="8"/>
      <c r="R674"/>
    </row>
    <row r="675" spans="1:18" x14ac:dyDescent="0.2">
      <c r="A675" s="8"/>
      <c r="B675" s="8"/>
      <c r="R675"/>
    </row>
    <row r="676" spans="1:18" x14ac:dyDescent="0.2">
      <c r="A676" s="8"/>
      <c r="B676" s="8"/>
      <c r="R676"/>
    </row>
    <row r="677" spans="1:18" x14ac:dyDescent="0.2">
      <c r="A677" s="8"/>
      <c r="B677" s="8"/>
      <c r="R677"/>
    </row>
    <row r="678" spans="1:18" x14ac:dyDescent="0.2">
      <c r="A678" s="8"/>
      <c r="B678" s="8"/>
      <c r="R678"/>
    </row>
    <row r="679" spans="1:18" x14ac:dyDescent="0.2">
      <c r="A679" s="8"/>
      <c r="B679" s="8"/>
      <c r="D679" s="3"/>
      <c r="E679" s="3"/>
      <c r="F679" s="3"/>
      <c r="G679" s="3"/>
      <c r="H679" s="3"/>
      <c r="I679" s="3"/>
      <c r="R679"/>
    </row>
    <row r="680" spans="1:18" x14ac:dyDescent="0.2">
      <c r="A680" s="8"/>
      <c r="B680" s="8"/>
      <c r="R680"/>
    </row>
    <row r="681" spans="1:18" x14ac:dyDescent="0.2">
      <c r="A681" s="8"/>
      <c r="B681" s="8"/>
      <c r="R681"/>
    </row>
    <row r="682" spans="1:18" x14ac:dyDescent="0.2">
      <c r="A682" s="8"/>
      <c r="B682" s="8"/>
      <c r="R682"/>
    </row>
    <row r="683" spans="1:18" x14ac:dyDescent="0.2">
      <c r="A683" s="8"/>
      <c r="B683" s="8"/>
      <c r="D683" s="3"/>
      <c r="E683" s="3"/>
      <c r="F683" s="3"/>
      <c r="G683" s="3"/>
      <c r="H683" s="3"/>
      <c r="I683" s="3"/>
      <c r="R683"/>
    </row>
    <row r="684" spans="1:18" x14ac:dyDescent="0.2">
      <c r="A684" s="8"/>
      <c r="B684" s="8"/>
      <c r="D684" s="3"/>
      <c r="E684" s="3"/>
      <c r="F684" s="3"/>
      <c r="G684" s="3"/>
      <c r="H684" s="3"/>
      <c r="I684" s="3"/>
      <c r="R684"/>
    </row>
    <row r="685" spans="1:18" x14ac:dyDescent="0.2">
      <c r="A685" s="8"/>
      <c r="B685" s="8"/>
      <c r="R685"/>
    </row>
    <row r="686" spans="1:18" x14ac:dyDescent="0.2">
      <c r="A686" s="8"/>
      <c r="B686" s="8"/>
      <c r="R686"/>
    </row>
    <row r="687" spans="1:18" x14ac:dyDescent="0.2">
      <c r="A687" s="8"/>
      <c r="B687" s="8"/>
      <c r="N687" s="3"/>
      <c r="O687" s="3"/>
      <c r="P687" s="3"/>
      <c r="R687"/>
    </row>
    <row r="688" spans="1:18" x14ac:dyDescent="0.2">
      <c r="A688" s="8"/>
      <c r="B688" s="8"/>
      <c r="N688" s="3"/>
      <c r="O688" s="3"/>
      <c r="P688" s="3"/>
      <c r="R688"/>
    </row>
    <row r="689" spans="1:18" x14ac:dyDescent="0.2">
      <c r="A689" s="8"/>
      <c r="B689" s="8"/>
      <c r="N689" s="3"/>
      <c r="O689" s="3"/>
      <c r="P689" s="3"/>
      <c r="R689"/>
    </row>
    <row r="690" spans="1:18" x14ac:dyDescent="0.2">
      <c r="A690" s="8"/>
      <c r="B690" s="8"/>
      <c r="D690" s="3"/>
      <c r="E690" s="3"/>
      <c r="F690" s="3"/>
      <c r="G690" s="3"/>
      <c r="H690" s="3"/>
      <c r="I690" s="3"/>
      <c r="N690" s="3"/>
      <c r="O690" s="3"/>
      <c r="P690" s="3"/>
      <c r="R690"/>
    </row>
    <row r="691" spans="1:18" x14ac:dyDescent="0.2">
      <c r="A691" s="8"/>
      <c r="B691" s="8"/>
      <c r="N691" s="3"/>
      <c r="O691" s="3"/>
      <c r="P691" s="3"/>
      <c r="R691"/>
    </row>
    <row r="692" spans="1:18" x14ac:dyDescent="0.2">
      <c r="A692" s="8"/>
      <c r="B692" s="8"/>
      <c r="N692" s="3"/>
      <c r="O692" s="3"/>
      <c r="P692" s="3"/>
      <c r="R692"/>
    </row>
    <row r="693" spans="1:18" x14ac:dyDescent="0.2">
      <c r="A693" s="8"/>
      <c r="B693" s="8"/>
      <c r="D693" s="3"/>
      <c r="E693" s="3"/>
      <c r="F693" s="3"/>
      <c r="G693" s="3"/>
      <c r="H693" s="3"/>
      <c r="I693" s="3"/>
      <c r="N693" s="3"/>
      <c r="O693" s="3"/>
      <c r="P693" s="3"/>
      <c r="R693"/>
    </row>
    <row r="694" spans="1:18" x14ac:dyDescent="0.2">
      <c r="A694" s="8"/>
      <c r="B694" s="8"/>
      <c r="N694" s="3"/>
      <c r="O694" s="3"/>
      <c r="P694" s="3"/>
      <c r="R694"/>
    </row>
    <row r="695" spans="1:18" x14ac:dyDescent="0.2">
      <c r="A695" s="8"/>
      <c r="B695" s="8"/>
      <c r="D695" s="3"/>
      <c r="E695" s="3"/>
      <c r="F695" s="3"/>
      <c r="G695" s="3"/>
      <c r="H695" s="3"/>
      <c r="I695" s="3"/>
      <c r="N695" s="3"/>
      <c r="O695" s="3"/>
      <c r="P695" s="3"/>
      <c r="R695"/>
    </row>
    <row r="696" spans="1:18" x14ac:dyDescent="0.2">
      <c r="A696" s="8"/>
      <c r="B696" s="8"/>
      <c r="N696" s="3"/>
      <c r="O696" s="3"/>
      <c r="P696" s="3"/>
      <c r="R696"/>
    </row>
    <row r="697" spans="1:18" x14ac:dyDescent="0.2">
      <c r="A697" s="8"/>
      <c r="B697" s="8"/>
      <c r="D697" s="3"/>
      <c r="E697" s="3"/>
      <c r="F697" s="3"/>
      <c r="G697" s="3"/>
      <c r="H697" s="3"/>
      <c r="I697" s="3"/>
      <c r="N697" s="3"/>
      <c r="O697" s="3"/>
      <c r="P697" s="3"/>
      <c r="R697"/>
    </row>
    <row r="698" spans="1:18" x14ac:dyDescent="0.2">
      <c r="A698" s="8"/>
      <c r="B698" s="8"/>
      <c r="D698" s="3"/>
      <c r="E698" s="3"/>
      <c r="F698" s="3"/>
      <c r="G698" s="3"/>
      <c r="H698" s="3"/>
      <c r="I698" s="3"/>
      <c r="N698" s="3"/>
      <c r="O698" s="3"/>
      <c r="P698" s="3"/>
      <c r="R698"/>
    </row>
    <row r="699" spans="1:18" x14ac:dyDescent="0.2">
      <c r="A699" s="8"/>
      <c r="B699" s="8"/>
      <c r="N699" s="3"/>
      <c r="O699" s="3"/>
      <c r="P699" s="3"/>
      <c r="R699"/>
    </row>
    <row r="700" spans="1:18" x14ac:dyDescent="0.2">
      <c r="A700" s="8"/>
      <c r="B700" s="8"/>
      <c r="N700" s="3"/>
      <c r="O700" s="3"/>
      <c r="P700" s="3"/>
      <c r="R700"/>
    </row>
    <row r="701" spans="1:18" x14ac:dyDescent="0.2">
      <c r="A701" s="8"/>
      <c r="B701" s="8"/>
      <c r="D701" s="3"/>
      <c r="E701" s="3"/>
      <c r="F701" s="3"/>
      <c r="G701" s="3"/>
      <c r="H701" s="3"/>
      <c r="I701" s="3"/>
      <c r="N701" s="3"/>
      <c r="O701" s="3"/>
      <c r="P701" s="3"/>
      <c r="R701"/>
    </row>
    <row r="702" spans="1:18" x14ac:dyDescent="0.2">
      <c r="A702" s="8"/>
      <c r="B702" s="8"/>
      <c r="N702" s="3"/>
      <c r="O702" s="3"/>
      <c r="P702" s="3"/>
      <c r="R702"/>
    </row>
    <row r="703" spans="1:18" x14ac:dyDescent="0.2">
      <c r="A703" s="8"/>
      <c r="B703" s="8"/>
      <c r="N703" s="3"/>
      <c r="O703" s="3"/>
      <c r="P703" s="3"/>
      <c r="R703"/>
    </row>
    <row r="704" spans="1:18" x14ac:dyDescent="0.2">
      <c r="A704" s="8"/>
      <c r="B704" s="8"/>
      <c r="N704" s="3"/>
      <c r="O704" s="3"/>
      <c r="P704" s="3"/>
      <c r="R704"/>
    </row>
    <row r="705" spans="1:18" x14ac:dyDescent="0.2">
      <c r="A705" s="8"/>
      <c r="B705" s="8"/>
      <c r="N705" s="3"/>
      <c r="O705" s="3"/>
      <c r="P705" s="3"/>
      <c r="R705"/>
    </row>
    <row r="706" spans="1:18" x14ac:dyDescent="0.2">
      <c r="A706" s="8"/>
      <c r="B706" s="8"/>
      <c r="N706" s="3"/>
      <c r="O706" s="3"/>
      <c r="P706" s="3"/>
      <c r="R706"/>
    </row>
    <row r="707" spans="1:18" x14ac:dyDescent="0.2">
      <c r="A707" s="8"/>
      <c r="B707" s="8"/>
      <c r="N707" s="3"/>
      <c r="O707" s="3"/>
      <c r="P707" s="3"/>
      <c r="R707"/>
    </row>
    <row r="708" spans="1:18" x14ac:dyDescent="0.2">
      <c r="A708" s="8"/>
      <c r="B708" s="8"/>
      <c r="N708" s="3"/>
      <c r="O708" s="3"/>
      <c r="P708" s="3"/>
      <c r="R708"/>
    </row>
    <row r="709" spans="1:18" x14ac:dyDescent="0.2">
      <c r="A709" s="8"/>
      <c r="B709" s="8"/>
      <c r="N709" s="3"/>
      <c r="O709" s="3"/>
      <c r="P709" s="3"/>
      <c r="R709"/>
    </row>
    <row r="710" spans="1:18" x14ac:dyDescent="0.2">
      <c r="A710" s="8"/>
      <c r="B710" s="8"/>
      <c r="N710" s="3"/>
      <c r="O710" s="3"/>
      <c r="P710" s="3"/>
      <c r="R710"/>
    </row>
    <row r="711" spans="1:18" x14ac:dyDescent="0.2">
      <c r="A711" s="8"/>
      <c r="B711" s="8"/>
      <c r="N711" s="3"/>
      <c r="O711" s="3"/>
      <c r="P711" s="3"/>
      <c r="R711"/>
    </row>
    <row r="712" spans="1:18" x14ac:dyDescent="0.2">
      <c r="A712" s="8"/>
      <c r="B712" s="8"/>
      <c r="N712" s="3"/>
      <c r="O712" s="3"/>
      <c r="P712" s="3"/>
      <c r="R712"/>
    </row>
    <row r="713" spans="1:18" x14ac:dyDescent="0.2">
      <c r="A713" s="8"/>
      <c r="B713" s="8"/>
      <c r="N713" s="3"/>
      <c r="O713" s="3"/>
      <c r="P713" s="3"/>
      <c r="R713"/>
    </row>
    <row r="714" spans="1:18" x14ac:dyDescent="0.2">
      <c r="A714" s="8"/>
      <c r="B714" s="8"/>
      <c r="N714" s="3"/>
      <c r="O714" s="3"/>
      <c r="P714" s="3"/>
      <c r="R714"/>
    </row>
    <row r="715" spans="1:18" x14ac:dyDescent="0.2">
      <c r="A715" s="8"/>
      <c r="B715" s="8"/>
      <c r="N715" s="3"/>
      <c r="O715" s="3"/>
      <c r="P715" s="3"/>
      <c r="R715"/>
    </row>
    <row r="716" spans="1:18" x14ac:dyDescent="0.2">
      <c r="A716" s="8"/>
      <c r="B716" s="8"/>
      <c r="D716" s="3"/>
      <c r="E716" s="3"/>
      <c r="F716" s="3"/>
      <c r="G716" s="3"/>
      <c r="H716" s="3"/>
      <c r="I716" s="3"/>
      <c r="N716" s="3"/>
      <c r="O716" s="3"/>
      <c r="P716" s="3"/>
      <c r="R716"/>
    </row>
    <row r="717" spans="1:18" x14ac:dyDescent="0.2">
      <c r="A717" s="8"/>
      <c r="B717" s="8"/>
      <c r="D717" s="3"/>
      <c r="E717" s="3"/>
      <c r="F717" s="3"/>
      <c r="G717" s="3"/>
      <c r="H717" s="3"/>
      <c r="I717" s="3"/>
      <c r="N717" s="3"/>
      <c r="O717" s="3"/>
      <c r="P717" s="3"/>
      <c r="R717"/>
    </row>
    <row r="718" spans="1:18" x14ac:dyDescent="0.2">
      <c r="A718" s="8"/>
      <c r="B718" s="8"/>
      <c r="N718" s="3"/>
      <c r="O718" s="3"/>
      <c r="P718" s="3"/>
      <c r="R718"/>
    </row>
    <row r="719" spans="1:18" x14ac:dyDescent="0.2">
      <c r="A719" s="8"/>
      <c r="B719" s="8"/>
      <c r="N719" s="3"/>
      <c r="O719" s="3"/>
      <c r="P719" s="3"/>
      <c r="R719"/>
    </row>
    <row r="720" spans="1:18" x14ac:dyDescent="0.2">
      <c r="A720" s="8"/>
      <c r="B720" s="8"/>
      <c r="D720" s="3"/>
      <c r="E720" s="3"/>
      <c r="F720" s="3"/>
      <c r="G720" s="3"/>
      <c r="H720" s="3"/>
      <c r="I720" s="3"/>
      <c r="N720" s="3"/>
      <c r="O720" s="3"/>
      <c r="P720" s="3"/>
      <c r="R720"/>
    </row>
    <row r="721" spans="1:18" x14ac:dyDescent="0.2">
      <c r="A721" s="8"/>
      <c r="B721" s="8"/>
      <c r="N721" s="3"/>
      <c r="O721" s="3"/>
      <c r="P721" s="3"/>
      <c r="R721"/>
    </row>
    <row r="722" spans="1:18" x14ac:dyDescent="0.2">
      <c r="A722" s="8"/>
      <c r="B722" s="8"/>
      <c r="N722" s="3"/>
      <c r="O722" s="3"/>
      <c r="P722" s="3"/>
      <c r="R722"/>
    </row>
    <row r="723" spans="1:18" x14ac:dyDescent="0.2">
      <c r="A723" s="8"/>
      <c r="B723" s="8"/>
      <c r="D723" s="3"/>
      <c r="E723" s="3"/>
      <c r="F723" s="3"/>
      <c r="G723" s="3"/>
      <c r="H723" s="3"/>
      <c r="I723" s="3"/>
      <c r="N723" s="3"/>
      <c r="O723" s="3"/>
      <c r="P723" s="3"/>
      <c r="R723"/>
    </row>
    <row r="724" spans="1:18" x14ac:dyDescent="0.2">
      <c r="A724" s="8"/>
      <c r="B724" s="8"/>
      <c r="N724" s="3"/>
      <c r="O724" s="3"/>
      <c r="P724" s="3"/>
      <c r="R724"/>
    </row>
    <row r="725" spans="1:18" x14ac:dyDescent="0.2">
      <c r="A725" s="8"/>
      <c r="B725" s="8"/>
      <c r="R725"/>
    </row>
    <row r="726" spans="1:18" x14ac:dyDescent="0.2">
      <c r="A726" s="8"/>
      <c r="B726" s="8"/>
      <c r="N726" s="3"/>
      <c r="O726" s="3"/>
      <c r="P726" s="3"/>
      <c r="R726"/>
    </row>
    <row r="727" spans="1:18" x14ac:dyDescent="0.2">
      <c r="A727" s="8"/>
      <c r="B727" s="8"/>
      <c r="N727" s="3"/>
      <c r="O727" s="3"/>
      <c r="P727" s="3"/>
      <c r="R727"/>
    </row>
    <row r="728" spans="1:18" x14ac:dyDescent="0.2">
      <c r="A728" s="8"/>
      <c r="B728" s="8"/>
      <c r="D728" s="3"/>
      <c r="E728" s="3"/>
      <c r="F728" s="3"/>
      <c r="G728" s="3"/>
      <c r="H728" s="3"/>
      <c r="I728" s="3"/>
      <c r="N728" s="3"/>
      <c r="O728" s="3"/>
      <c r="P728" s="3"/>
      <c r="R728"/>
    </row>
    <row r="729" spans="1:18" x14ac:dyDescent="0.2">
      <c r="A729" s="8"/>
      <c r="B729" s="8"/>
      <c r="N729" s="3"/>
      <c r="O729" s="3"/>
      <c r="P729" s="3"/>
      <c r="R729"/>
    </row>
    <row r="730" spans="1:18" x14ac:dyDescent="0.2">
      <c r="A730" s="8"/>
      <c r="B730" s="8"/>
      <c r="N730" s="3"/>
      <c r="O730" s="3"/>
      <c r="P730" s="3"/>
      <c r="R730"/>
    </row>
    <row r="731" spans="1:18" x14ac:dyDescent="0.2">
      <c r="A731" s="8"/>
      <c r="B731" s="8"/>
      <c r="D731" s="3"/>
      <c r="E731" s="3"/>
      <c r="F731" s="3"/>
      <c r="G731" s="3"/>
      <c r="H731" s="3"/>
      <c r="I731" s="3"/>
      <c r="N731" s="3"/>
      <c r="O731" s="3"/>
      <c r="P731" s="3"/>
      <c r="R731"/>
    </row>
    <row r="732" spans="1:18" x14ac:dyDescent="0.2">
      <c r="A732" s="8"/>
      <c r="B732" s="8"/>
      <c r="N732" s="3"/>
      <c r="O732" s="3"/>
      <c r="P732" s="3"/>
      <c r="R732"/>
    </row>
    <row r="733" spans="1:18" x14ac:dyDescent="0.2">
      <c r="A733" s="8"/>
      <c r="B733" s="8"/>
      <c r="D733" s="3"/>
      <c r="E733" s="3"/>
      <c r="F733" s="3"/>
      <c r="G733" s="3"/>
      <c r="H733" s="3"/>
      <c r="I733" s="3"/>
      <c r="N733" s="3"/>
      <c r="O733" s="3"/>
      <c r="P733" s="3"/>
      <c r="R733"/>
    </row>
    <row r="734" spans="1:18" x14ac:dyDescent="0.2">
      <c r="A734" s="8"/>
      <c r="B734" s="8"/>
      <c r="N734" s="3"/>
      <c r="O734" s="3"/>
      <c r="P734" s="3"/>
      <c r="R734"/>
    </row>
    <row r="735" spans="1:18" x14ac:dyDescent="0.2">
      <c r="A735" s="8"/>
      <c r="B735" s="8"/>
      <c r="N735" s="3"/>
      <c r="O735" s="3"/>
      <c r="P735" s="3"/>
      <c r="R735"/>
    </row>
    <row r="736" spans="1:18" x14ac:dyDescent="0.2">
      <c r="A736" s="8"/>
      <c r="B736" s="8"/>
      <c r="N736" s="3"/>
      <c r="O736" s="3"/>
      <c r="P736" s="3"/>
      <c r="R736"/>
    </row>
    <row r="737" spans="1:18" x14ac:dyDescent="0.2">
      <c r="A737" s="8"/>
      <c r="B737" s="8"/>
      <c r="N737" s="3"/>
      <c r="O737" s="3"/>
      <c r="P737" s="3"/>
      <c r="R737"/>
    </row>
    <row r="738" spans="1:18" x14ac:dyDescent="0.2">
      <c r="A738" s="8"/>
      <c r="B738" s="8"/>
      <c r="N738" s="3"/>
      <c r="O738" s="3"/>
      <c r="P738" s="3"/>
      <c r="R738"/>
    </row>
    <row r="739" spans="1:18" x14ac:dyDescent="0.2">
      <c r="A739" s="8"/>
      <c r="B739" s="8"/>
      <c r="N739" s="3"/>
      <c r="O739" s="3"/>
      <c r="P739" s="3"/>
      <c r="R739"/>
    </row>
    <row r="740" spans="1:18" x14ac:dyDescent="0.2">
      <c r="A740" s="8"/>
      <c r="B740" s="8"/>
      <c r="N740" s="3"/>
      <c r="O740" s="3"/>
      <c r="P740" s="3"/>
      <c r="R740"/>
    </row>
    <row r="741" spans="1:18" x14ac:dyDescent="0.2">
      <c r="A741" s="8"/>
      <c r="B741" s="8"/>
      <c r="N741" s="3"/>
      <c r="O741" s="3"/>
      <c r="P741" s="3"/>
      <c r="R741"/>
    </row>
    <row r="742" spans="1:18" x14ac:dyDescent="0.2">
      <c r="A742" s="8"/>
      <c r="B742" s="8"/>
      <c r="N742" s="3"/>
      <c r="O742" s="3"/>
      <c r="P742" s="3"/>
      <c r="R742"/>
    </row>
    <row r="743" spans="1:18" x14ac:dyDescent="0.2">
      <c r="A743" s="8"/>
      <c r="B743" s="8"/>
      <c r="D743" s="3"/>
      <c r="E743" s="3"/>
      <c r="F743" s="3"/>
      <c r="G743" s="3"/>
      <c r="H743" s="3"/>
      <c r="I743" s="3"/>
      <c r="N743" s="3"/>
      <c r="O743" s="3"/>
      <c r="P743" s="3"/>
      <c r="R743"/>
    </row>
    <row r="744" spans="1:18" x14ac:dyDescent="0.2">
      <c r="A744" s="8"/>
      <c r="B744" s="8"/>
      <c r="D744" s="3"/>
      <c r="E744" s="3"/>
      <c r="F744" s="3"/>
      <c r="G744" s="3"/>
      <c r="H744" s="3"/>
      <c r="I744" s="3"/>
      <c r="N744" s="3"/>
      <c r="O744" s="3"/>
      <c r="P744" s="3"/>
      <c r="R744"/>
    </row>
    <row r="745" spans="1:18" x14ac:dyDescent="0.2">
      <c r="A745" s="8"/>
      <c r="B745" s="8"/>
      <c r="D745" s="3"/>
      <c r="E745" s="3"/>
      <c r="F745" s="3"/>
      <c r="G745" s="3"/>
      <c r="H745" s="3"/>
      <c r="I745" s="3"/>
      <c r="N745" s="3"/>
      <c r="O745" s="3"/>
      <c r="P745" s="3"/>
      <c r="R745"/>
    </row>
    <row r="746" spans="1:18" x14ac:dyDescent="0.2">
      <c r="A746" s="8"/>
      <c r="B746" s="8"/>
      <c r="D746" s="3"/>
      <c r="E746" s="3"/>
      <c r="F746" s="3"/>
      <c r="G746" s="3"/>
      <c r="H746" s="3"/>
      <c r="I746" s="3"/>
      <c r="N746" s="3"/>
      <c r="O746" s="3"/>
      <c r="P746" s="3"/>
      <c r="R746"/>
    </row>
    <row r="747" spans="1:18" x14ac:dyDescent="0.2">
      <c r="A747" s="8"/>
      <c r="B747" s="8"/>
      <c r="N747" s="3"/>
      <c r="O747" s="3"/>
      <c r="P747" s="3"/>
      <c r="R747"/>
    </row>
    <row r="748" spans="1:18" x14ac:dyDescent="0.2">
      <c r="A748" s="8"/>
      <c r="B748" s="8"/>
      <c r="N748" s="3"/>
      <c r="O748" s="3"/>
      <c r="P748" s="3"/>
      <c r="R748"/>
    </row>
    <row r="749" spans="1:18" x14ac:dyDescent="0.2">
      <c r="A749" s="8"/>
      <c r="B749" s="8"/>
      <c r="N749" s="3"/>
      <c r="O749" s="3"/>
      <c r="P749" s="3"/>
      <c r="R749"/>
    </row>
    <row r="750" spans="1:18" x14ac:dyDescent="0.2">
      <c r="A750" s="8"/>
      <c r="B750" s="8"/>
      <c r="N750" s="3"/>
      <c r="O750" s="3"/>
      <c r="P750" s="3"/>
      <c r="R750"/>
    </row>
    <row r="751" spans="1:18" x14ac:dyDescent="0.2">
      <c r="A751" s="8"/>
      <c r="B751" s="8"/>
      <c r="N751" s="3"/>
      <c r="O751" s="3"/>
      <c r="P751" s="3"/>
      <c r="R751"/>
    </row>
    <row r="752" spans="1:18" x14ac:dyDescent="0.2">
      <c r="A752" s="8"/>
      <c r="B752" s="8"/>
      <c r="N752" s="3"/>
      <c r="O752" s="3"/>
      <c r="P752" s="3"/>
      <c r="R752"/>
    </row>
    <row r="753" spans="1:18" x14ac:dyDescent="0.2">
      <c r="A753" s="8"/>
      <c r="B753" s="8"/>
      <c r="N753" s="3"/>
      <c r="O753" s="3"/>
      <c r="P753" s="3"/>
      <c r="R753"/>
    </row>
    <row r="754" spans="1:18" x14ac:dyDescent="0.2">
      <c r="A754" s="8"/>
      <c r="B754" s="8"/>
      <c r="N754" s="3"/>
      <c r="O754" s="3"/>
      <c r="P754" s="3"/>
      <c r="R754"/>
    </row>
    <row r="755" spans="1:18" x14ac:dyDescent="0.2">
      <c r="A755" s="8"/>
      <c r="B755" s="8"/>
      <c r="D755" s="3"/>
      <c r="E755" s="3"/>
      <c r="F755" s="3"/>
      <c r="G755" s="3"/>
      <c r="H755" s="3"/>
      <c r="I755" s="3"/>
      <c r="R755"/>
    </row>
    <row r="756" spans="1:18" x14ac:dyDescent="0.2">
      <c r="A756" s="8"/>
      <c r="B756" s="8"/>
      <c r="R756"/>
    </row>
    <row r="757" spans="1:18" x14ac:dyDescent="0.2">
      <c r="A757" s="8"/>
      <c r="B757" s="8"/>
      <c r="R757"/>
    </row>
    <row r="758" spans="1:18" x14ac:dyDescent="0.2">
      <c r="A758" s="8"/>
      <c r="B758" s="8"/>
      <c r="D758" s="3"/>
      <c r="E758" s="3"/>
      <c r="F758" s="3"/>
      <c r="G758" s="3"/>
      <c r="H758" s="3"/>
      <c r="I758" s="3"/>
      <c r="R758"/>
    </row>
    <row r="759" spans="1:18" x14ac:dyDescent="0.2">
      <c r="A759" s="8"/>
      <c r="B759" s="8"/>
      <c r="R759"/>
    </row>
    <row r="760" spans="1:18" x14ac:dyDescent="0.2">
      <c r="A760" s="8"/>
      <c r="B760" s="8"/>
      <c r="R760"/>
    </row>
    <row r="761" spans="1:18" x14ac:dyDescent="0.2">
      <c r="A761" s="8"/>
      <c r="B761" s="8"/>
      <c r="R761"/>
    </row>
    <row r="762" spans="1:18" x14ac:dyDescent="0.2">
      <c r="A762" s="8"/>
      <c r="B762" s="8"/>
      <c r="R762"/>
    </row>
    <row r="763" spans="1:18" x14ac:dyDescent="0.2">
      <c r="A763" s="8"/>
      <c r="B763" s="8"/>
      <c r="D763" s="3"/>
      <c r="E763" s="3"/>
      <c r="F763" s="3"/>
      <c r="G763" s="3"/>
      <c r="H763" s="3"/>
      <c r="I763" s="3"/>
      <c r="R763"/>
    </row>
    <row r="764" spans="1:18" x14ac:dyDescent="0.2">
      <c r="A764" s="8"/>
      <c r="B764" s="8"/>
      <c r="R764"/>
    </row>
    <row r="765" spans="1:18" x14ac:dyDescent="0.2">
      <c r="A765" s="8"/>
      <c r="B765" s="8"/>
      <c r="R765"/>
    </row>
    <row r="766" spans="1:18" x14ac:dyDescent="0.2">
      <c r="A766" s="8"/>
      <c r="B766" s="8"/>
      <c r="R766"/>
    </row>
    <row r="767" spans="1:18" x14ac:dyDescent="0.2">
      <c r="A767" s="8"/>
      <c r="B767" s="8"/>
      <c r="R767"/>
    </row>
    <row r="768" spans="1:18" x14ac:dyDescent="0.2">
      <c r="A768" s="8"/>
      <c r="B768" s="8"/>
      <c r="R768"/>
    </row>
    <row r="769" spans="1:18" x14ac:dyDescent="0.2">
      <c r="A769" s="8"/>
      <c r="B769" s="8"/>
      <c r="R769"/>
    </row>
    <row r="770" spans="1:18" x14ac:dyDescent="0.2">
      <c r="A770" s="8"/>
      <c r="B770" s="8"/>
      <c r="R770"/>
    </row>
    <row r="771" spans="1:18" x14ac:dyDescent="0.2">
      <c r="A771" s="8"/>
      <c r="B771" s="8"/>
      <c r="R771"/>
    </row>
    <row r="772" spans="1:18" x14ac:dyDescent="0.2">
      <c r="A772" s="8"/>
      <c r="B772" s="8"/>
      <c r="R772"/>
    </row>
    <row r="773" spans="1:18" x14ac:dyDescent="0.2">
      <c r="A773" s="8"/>
      <c r="B773" s="8"/>
      <c r="R773"/>
    </row>
    <row r="774" spans="1:18" x14ac:dyDescent="0.2">
      <c r="A774" s="8"/>
      <c r="B774" s="8"/>
      <c r="R774"/>
    </row>
    <row r="775" spans="1:18" x14ac:dyDescent="0.2">
      <c r="A775" s="8"/>
      <c r="B775" s="8"/>
      <c r="D775" s="3"/>
      <c r="E775" s="3"/>
      <c r="F775" s="3"/>
      <c r="G775" s="3"/>
      <c r="H775" s="3"/>
      <c r="I775" s="3"/>
      <c r="R775"/>
    </row>
    <row r="776" spans="1:18" x14ac:dyDescent="0.2">
      <c r="A776" s="8"/>
      <c r="B776" s="8"/>
      <c r="R776"/>
    </row>
    <row r="777" spans="1:18" x14ac:dyDescent="0.2">
      <c r="A777" s="8"/>
      <c r="B777" s="8"/>
      <c r="D777" s="3"/>
      <c r="E777" s="3"/>
      <c r="F777" s="3"/>
      <c r="G777" s="3"/>
      <c r="H777" s="3"/>
      <c r="I777" s="3"/>
      <c r="R777"/>
    </row>
    <row r="778" spans="1:18" x14ac:dyDescent="0.2">
      <c r="A778" s="8"/>
      <c r="B778" s="8"/>
      <c r="D778" s="3"/>
      <c r="E778" s="3"/>
      <c r="F778" s="3"/>
      <c r="G778" s="3"/>
      <c r="H778" s="3"/>
      <c r="I778" s="3"/>
      <c r="R778"/>
    </row>
    <row r="779" spans="1:18" x14ac:dyDescent="0.2">
      <c r="A779" s="8"/>
      <c r="B779" s="8"/>
      <c r="R779"/>
    </row>
    <row r="780" spans="1:18" x14ac:dyDescent="0.2">
      <c r="A780" s="8"/>
      <c r="B780" s="8"/>
      <c r="R780"/>
    </row>
    <row r="781" spans="1:18" x14ac:dyDescent="0.2">
      <c r="A781" s="8"/>
      <c r="B781" s="8"/>
      <c r="D781" s="3"/>
      <c r="E781" s="3"/>
      <c r="F781" s="3"/>
      <c r="G781" s="3"/>
      <c r="H781" s="3"/>
      <c r="I781" s="3"/>
      <c r="R781"/>
    </row>
    <row r="782" spans="1:18" x14ac:dyDescent="0.2">
      <c r="A782" s="8"/>
      <c r="B782" s="8"/>
      <c r="D782" s="3"/>
      <c r="E782" s="3"/>
      <c r="F782" s="3"/>
      <c r="G782" s="3"/>
      <c r="H782" s="3"/>
      <c r="I782" s="3"/>
      <c r="R782"/>
    </row>
    <row r="783" spans="1:18" x14ac:dyDescent="0.2">
      <c r="A783" s="8"/>
      <c r="B783" s="8"/>
      <c r="D783" s="3"/>
      <c r="E783" s="3"/>
      <c r="F783" s="3"/>
      <c r="G783" s="3"/>
      <c r="H783" s="3"/>
      <c r="I783" s="3"/>
      <c r="R783"/>
    </row>
    <row r="784" spans="1:18" x14ac:dyDescent="0.2">
      <c r="A784" s="8"/>
      <c r="B784" s="8"/>
      <c r="R784"/>
    </row>
    <row r="785" spans="1:18" x14ac:dyDescent="0.2">
      <c r="A785" s="8"/>
      <c r="B785" s="8"/>
      <c r="R785"/>
    </row>
    <row r="786" spans="1:18" x14ac:dyDescent="0.2">
      <c r="A786" s="8"/>
      <c r="B786" s="8"/>
      <c r="R786"/>
    </row>
    <row r="787" spans="1:18" x14ac:dyDescent="0.2">
      <c r="A787" s="8"/>
      <c r="B787" s="8"/>
      <c r="R787"/>
    </row>
    <row r="788" spans="1:18" x14ac:dyDescent="0.2">
      <c r="A788" s="8"/>
      <c r="B788" s="8"/>
      <c r="R788"/>
    </row>
    <row r="789" spans="1:18" x14ac:dyDescent="0.2">
      <c r="A789" s="8"/>
      <c r="B789" s="8"/>
      <c r="R789"/>
    </row>
    <row r="790" spans="1:18" x14ac:dyDescent="0.2">
      <c r="A790" s="8"/>
      <c r="B790" s="8"/>
      <c r="R790"/>
    </row>
    <row r="791" spans="1:18" x14ac:dyDescent="0.2">
      <c r="A791" s="8"/>
      <c r="B791" s="8"/>
      <c r="R791"/>
    </row>
    <row r="792" spans="1:18" x14ac:dyDescent="0.2">
      <c r="A792" s="8"/>
      <c r="B792" s="8"/>
      <c r="R792"/>
    </row>
    <row r="793" spans="1:18" x14ac:dyDescent="0.2">
      <c r="A793" s="8"/>
      <c r="B793" s="8"/>
      <c r="D793" s="3"/>
      <c r="E793" s="3"/>
      <c r="F793" s="3"/>
      <c r="G793" s="3"/>
      <c r="H793" s="3"/>
      <c r="I793" s="3"/>
      <c r="R793"/>
    </row>
    <row r="794" spans="1:18" x14ac:dyDescent="0.2">
      <c r="A794" s="8"/>
      <c r="B794" s="8"/>
      <c r="R794"/>
    </row>
    <row r="795" spans="1:18" x14ac:dyDescent="0.2">
      <c r="A795" s="8"/>
      <c r="B795" s="8"/>
      <c r="R795"/>
    </row>
    <row r="796" spans="1:18" x14ac:dyDescent="0.2">
      <c r="A796" s="8"/>
      <c r="B796" s="8"/>
      <c r="D796" s="3"/>
      <c r="E796" s="3"/>
      <c r="F796" s="3"/>
      <c r="G796" s="3"/>
      <c r="H796" s="3"/>
      <c r="I796" s="3"/>
      <c r="R796"/>
    </row>
    <row r="797" spans="1:18" x14ac:dyDescent="0.2">
      <c r="A797" s="8"/>
      <c r="B797" s="8"/>
      <c r="R797"/>
    </row>
    <row r="798" spans="1:18" x14ac:dyDescent="0.2">
      <c r="A798" s="8"/>
      <c r="B798" s="8"/>
      <c r="R798"/>
    </row>
    <row r="799" spans="1:18" x14ac:dyDescent="0.2">
      <c r="A799" s="8"/>
      <c r="B799" s="8"/>
      <c r="R799"/>
    </row>
    <row r="800" spans="1:18" x14ac:dyDescent="0.2">
      <c r="A800" s="8"/>
      <c r="B800" s="8"/>
      <c r="R800"/>
    </row>
    <row r="801" spans="1:18" x14ac:dyDescent="0.2">
      <c r="A801" s="8"/>
      <c r="B801" s="8"/>
      <c r="R801"/>
    </row>
    <row r="802" spans="1:18" x14ac:dyDescent="0.2">
      <c r="A802" s="8"/>
      <c r="B802" s="8"/>
      <c r="D802" s="3"/>
      <c r="E802" s="3"/>
      <c r="F802" s="3"/>
      <c r="G802" s="3"/>
      <c r="H802" s="3"/>
      <c r="I802" s="3"/>
      <c r="R802"/>
    </row>
    <row r="803" spans="1:18" x14ac:dyDescent="0.2">
      <c r="A803" s="8"/>
      <c r="B803" s="8"/>
      <c r="R803"/>
    </row>
    <row r="804" spans="1:18" x14ac:dyDescent="0.2">
      <c r="A804" s="8"/>
      <c r="B804" s="8"/>
      <c r="R804"/>
    </row>
    <row r="805" spans="1:18" x14ac:dyDescent="0.2">
      <c r="A805" s="8"/>
      <c r="B805" s="8"/>
      <c r="D805" s="3"/>
      <c r="E805" s="3"/>
      <c r="F805" s="3"/>
      <c r="G805" s="3"/>
      <c r="H805" s="3"/>
      <c r="I805" s="3"/>
      <c r="R805"/>
    </row>
    <row r="806" spans="1:18" x14ac:dyDescent="0.2">
      <c r="A806" s="8"/>
      <c r="B806" s="8"/>
      <c r="D806" s="3"/>
      <c r="E806" s="3"/>
      <c r="F806" s="3"/>
      <c r="G806" s="3"/>
      <c r="H806" s="3"/>
      <c r="I806" s="3"/>
      <c r="R806"/>
    </row>
    <row r="807" spans="1:18" x14ac:dyDescent="0.2">
      <c r="A807" s="8"/>
      <c r="B807" s="8"/>
      <c r="D807" s="3"/>
      <c r="E807" s="3"/>
      <c r="F807" s="3"/>
      <c r="G807" s="3"/>
      <c r="H807" s="3"/>
      <c r="I807" s="3"/>
      <c r="R807"/>
    </row>
    <row r="808" spans="1:18" x14ac:dyDescent="0.2">
      <c r="A808" s="8"/>
      <c r="B808" s="8"/>
      <c r="R808"/>
    </row>
    <row r="809" spans="1:18" x14ac:dyDescent="0.2">
      <c r="A809" s="8"/>
      <c r="B809" s="8"/>
      <c r="R809"/>
    </row>
    <row r="810" spans="1:18" x14ac:dyDescent="0.2">
      <c r="A810" s="8"/>
      <c r="B810" s="8"/>
      <c r="R810"/>
    </row>
    <row r="811" spans="1:18" x14ac:dyDescent="0.2">
      <c r="A811" s="8"/>
      <c r="B811" s="8"/>
      <c r="R811"/>
    </row>
    <row r="812" spans="1:18" x14ac:dyDescent="0.2">
      <c r="A812" s="8"/>
      <c r="B812" s="8"/>
      <c r="D812" s="3"/>
      <c r="E812" s="3"/>
      <c r="F812" s="3"/>
      <c r="G812" s="3"/>
      <c r="H812" s="3"/>
      <c r="I812" s="3"/>
      <c r="R812"/>
    </row>
    <row r="813" spans="1:18" x14ac:dyDescent="0.2">
      <c r="A813" s="8"/>
      <c r="B813" s="8"/>
      <c r="R813"/>
    </row>
    <row r="814" spans="1:18" x14ac:dyDescent="0.2">
      <c r="A814" s="8"/>
      <c r="B814" s="8"/>
      <c r="R814"/>
    </row>
    <row r="815" spans="1:18" x14ac:dyDescent="0.2">
      <c r="A815" s="8"/>
      <c r="B815" s="8"/>
      <c r="R815"/>
    </row>
    <row r="816" spans="1:18" x14ac:dyDescent="0.2">
      <c r="A816" s="8"/>
      <c r="B816" s="8"/>
      <c r="R816"/>
    </row>
    <row r="817" spans="1:18" x14ac:dyDescent="0.2">
      <c r="A817" s="8"/>
      <c r="B817" s="8"/>
      <c r="R817"/>
    </row>
    <row r="818" spans="1:18" x14ac:dyDescent="0.2">
      <c r="A818" s="8"/>
      <c r="B818" s="8"/>
      <c r="R818"/>
    </row>
    <row r="819" spans="1:18" x14ac:dyDescent="0.2">
      <c r="A819" s="8"/>
      <c r="B819" s="8"/>
      <c r="R819"/>
    </row>
    <row r="820" spans="1:18" x14ac:dyDescent="0.2">
      <c r="A820" s="8"/>
      <c r="B820" s="8"/>
      <c r="R820"/>
    </row>
    <row r="821" spans="1:18" x14ac:dyDescent="0.2">
      <c r="A821" s="8"/>
      <c r="B821" s="8"/>
      <c r="R821"/>
    </row>
    <row r="822" spans="1:18" x14ac:dyDescent="0.2">
      <c r="A822" s="8"/>
      <c r="B822" s="8"/>
      <c r="R822"/>
    </row>
    <row r="823" spans="1:18" x14ac:dyDescent="0.2">
      <c r="A823" s="8"/>
      <c r="B823" s="8"/>
      <c r="R823"/>
    </row>
    <row r="824" spans="1:18" x14ac:dyDescent="0.2">
      <c r="A824" s="8"/>
      <c r="B824" s="8"/>
      <c r="R824"/>
    </row>
    <row r="825" spans="1:18" x14ac:dyDescent="0.2">
      <c r="A825" s="8"/>
      <c r="B825" s="8"/>
      <c r="R825"/>
    </row>
    <row r="826" spans="1:18" x14ac:dyDescent="0.2">
      <c r="A826" s="8"/>
      <c r="B826" s="8"/>
      <c r="R826"/>
    </row>
    <row r="827" spans="1:18" x14ac:dyDescent="0.2">
      <c r="A827" s="8"/>
      <c r="B827" s="8"/>
      <c r="R827"/>
    </row>
    <row r="828" spans="1:18" x14ac:dyDescent="0.2">
      <c r="A828" s="8"/>
      <c r="B828" s="8"/>
      <c r="R828"/>
    </row>
    <row r="829" spans="1:18" x14ac:dyDescent="0.2">
      <c r="A829" s="8"/>
      <c r="B829" s="8"/>
      <c r="R829"/>
    </row>
    <row r="830" spans="1:18" x14ac:dyDescent="0.2">
      <c r="A830" s="8"/>
      <c r="B830" s="8"/>
      <c r="R830"/>
    </row>
    <row r="831" spans="1:18" x14ac:dyDescent="0.2">
      <c r="A831" s="8"/>
      <c r="B831" s="8"/>
      <c r="R831"/>
    </row>
    <row r="832" spans="1:18" x14ac:dyDescent="0.2">
      <c r="A832" s="8"/>
      <c r="B832" s="8"/>
      <c r="R832"/>
    </row>
    <row r="833" spans="1:18" x14ac:dyDescent="0.2">
      <c r="A833" s="8"/>
      <c r="B833" s="8"/>
      <c r="R833"/>
    </row>
    <row r="834" spans="1:18" x14ac:dyDescent="0.2">
      <c r="A834" s="8"/>
      <c r="B834" s="8"/>
      <c r="R834"/>
    </row>
    <row r="835" spans="1:18" x14ac:dyDescent="0.2">
      <c r="A835" s="8"/>
      <c r="B835" s="8"/>
      <c r="R835"/>
    </row>
    <row r="836" spans="1:18" x14ac:dyDescent="0.2">
      <c r="A836" s="8"/>
      <c r="B836" s="8"/>
      <c r="R836"/>
    </row>
    <row r="837" spans="1:18" x14ac:dyDescent="0.2">
      <c r="A837" s="8"/>
      <c r="B837" s="8"/>
      <c r="R837"/>
    </row>
    <row r="838" spans="1:18" x14ac:dyDescent="0.2">
      <c r="A838" s="8"/>
      <c r="B838" s="8"/>
      <c r="R838"/>
    </row>
    <row r="839" spans="1:18" x14ac:dyDescent="0.2">
      <c r="A839" s="8"/>
      <c r="B839" s="8"/>
      <c r="R839"/>
    </row>
    <row r="840" spans="1:18" x14ac:dyDescent="0.2">
      <c r="A840" s="8"/>
      <c r="B840" s="8"/>
      <c r="R840"/>
    </row>
    <row r="841" spans="1:18" x14ac:dyDescent="0.2">
      <c r="A841" s="8"/>
      <c r="B841" s="8"/>
      <c r="R841"/>
    </row>
    <row r="842" spans="1:18" x14ac:dyDescent="0.2">
      <c r="A842" s="8"/>
      <c r="B842" s="8"/>
      <c r="R842"/>
    </row>
    <row r="843" spans="1:18" x14ac:dyDescent="0.2">
      <c r="A843" s="8"/>
      <c r="B843" s="8"/>
      <c r="R843"/>
    </row>
    <row r="844" spans="1:18" x14ac:dyDescent="0.2">
      <c r="A844" s="8"/>
      <c r="B844" s="8"/>
      <c r="R844"/>
    </row>
    <row r="845" spans="1:18" x14ac:dyDescent="0.2">
      <c r="A845" s="8"/>
      <c r="B845" s="8"/>
      <c r="R845"/>
    </row>
    <row r="846" spans="1:18" x14ac:dyDescent="0.2">
      <c r="A846" s="8"/>
      <c r="B846" s="8"/>
      <c r="R846"/>
    </row>
    <row r="847" spans="1:18" x14ac:dyDescent="0.2">
      <c r="A847" s="8"/>
      <c r="B847" s="8"/>
      <c r="R847"/>
    </row>
    <row r="848" spans="1:18" x14ac:dyDescent="0.2">
      <c r="A848" s="8"/>
      <c r="B848" s="8"/>
      <c r="R848"/>
    </row>
    <row r="849" spans="1:18" x14ac:dyDescent="0.2">
      <c r="A849" s="8"/>
      <c r="B849" s="8"/>
      <c r="R849"/>
    </row>
    <row r="850" spans="1:18" x14ac:dyDescent="0.2">
      <c r="A850" s="8"/>
      <c r="B850" s="8"/>
      <c r="R850"/>
    </row>
    <row r="851" spans="1:18" x14ac:dyDescent="0.2">
      <c r="A851" s="8"/>
      <c r="B851" s="8"/>
      <c r="R851"/>
    </row>
    <row r="852" spans="1:18" x14ac:dyDescent="0.2">
      <c r="A852" s="8"/>
      <c r="B852" s="8"/>
      <c r="R852"/>
    </row>
    <row r="853" spans="1:18" x14ac:dyDescent="0.2">
      <c r="A853" s="8"/>
      <c r="B853" s="8"/>
      <c r="R853"/>
    </row>
    <row r="854" spans="1:18" x14ac:dyDescent="0.2">
      <c r="A854" s="8"/>
      <c r="B854" s="8"/>
      <c r="R854"/>
    </row>
    <row r="855" spans="1:18" x14ac:dyDescent="0.2">
      <c r="A855" s="8"/>
      <c r="B855" s="8"/>
      <c r="R855"/>
    </row>
    <row r="856" spans="1:18" x14ac:dyDescent="0.2">
      <c r="A856" s="8"/>
      <c r="B856" s="8"/>
      <c r="R856"/>
    </row>
    <row r="857" spans="1:18" x14ac:dyDescent="0.2">
      <c r="A857" s="8"/>
      <c r="B857" s="8"/>
      <c r="R857"/>
    </row>
    <row r="858" spans="1:18" x14ac:dyDescent="0.2">
      <c r="A858" s="8"/>
      <c r="B858" s="8"/>
      <c r="R858"/>
    </row>
    <row r="859" spans="1:18" x14ac:dyDescent="0.2">
      <c r="A859" s="8"/>
      <c r="B859" s="8"/>
      <c r="R859"/>
    </row>
    <row r="860" spans="1:18" x14ac:dyDescent="0.2">
      <c r="A860" s="8"/>
      <c r="B860" s="8"/>
      <c r="R860"/>
    </row>
    <row r="861" spans="1:18" x14ac:dyDescent="0.2">
      <c r="A861" s="8"/>
      <c r="B861" s="8"/>
      <c r="R861"/>
    </row>
    <row r="862" spans="1:18" x14ac:dyDescent="0.2">
      <c r="A862" s="8"/>
      <c r="B862" s="8"/>
      <c r="R862"/>
    </row>
    <row r="863" spans="1:18" x14ac:dyDescent="0.2">
      <c r="A863" s="8"/>
      <c r="B863" s="8"/>
      <c r="R863"/>
    </row>
    <row r="864" spans="1:18" x14ac:dyDescent="0.2">
      <c r="A864" s="8"/>
      <c r="B864" s="8"/>
      <c r="R864"/>
    </row>
    <row r="865" spans="1:18" x14ac:dyDescent="0.2">
      <c r="A865" s="8"/>
      <c r="B865" s="8"/>
      <c r="R865"/>
    </row>
    <row r="866" spans="1:18" x14ac:dyDescent="0.2">
      <c r="A866" s="8"/>
      <c r="B866" s="8"/>
      <c r="R866"/>
    </row>
    <row r="867" spans="1:18" x14ac:dyDescent="0.2">
      <c r="A867" s="8"/>
      <c r="B867" s="8"/>
      <c r="R867"/>
    </row>
    <row r="868" spans="1:18" x14ac:dyDescent="0.2">
      <c r="A868" s="8"/>
      <c r="B868" s="8"/>
      <c r="R868"/>
    </row>
    <row r="869" spans="1:18" x14ac:dyDescent="0.2">
      <c r="A869" s="8"/>
      <c r="B869" s="8"/>
      <c r="R869"/>
    </row>
    <row r="870" spans="1:18" x14ac:dyDescent="0.2">
      <c r="A870" s="8"/>
      <c r="B870" s="8"/>
      <c r="R870"/>
    </row>
    <row r="871" spans="1:18" x14ac:dyDescent="0.2">
      <c r="A871" s="8"/>
      <c r="B871" s="8"/>
      <c r="R871"/>
    </row>
    <row r="872" spans="1:18" x14ac:dyDescent="0.2">
      <c r="A872" s="8"/>
      <c r="B872" s="8"/>
      <c r="R872"/>
    </row>
    <row r="873" spans="1:18" x14ac:dyDescent="0.2">
      <c r="A873" s="8"/>
      <c r="B873" s="8"/>
      <c r="R873"/>
    </row>
    <row r="874" spans="1:18" x14ac:dyDescent="0.2">
      <c r="A874" s="8"/>
      <c r="B874" s="8"/>
      <c r="R874"/>
    </row>
    <row r="875" spans="1:18" x14ac:dyDescent="0.2">
      <c r="A875" s="8"/>
      <c r="B875" s="8"/>
      <c r="R875"/>
    </row>
    <row r="876" spans="1:18" x14ac:dyDescent="0.2">
      <c r="A876" s="8"/>
      <c r="B876" s="8"/>
      <c r="R876"/>
    </row>
    <row r="877" spans="1:18" x14ac:dyDescent="0.2">
      <c r="A877" s="8"/>
      <c r="B877" s="8"/>
      <c r="R877"/>
    </row>
    <row r="878" spans="1:18" x14ac:dyDescent="0.2">
      <c r="A878" s="8"/>
      <c r="B878" s="8"/>
      <c r="R878"/>
    </row>
    <row r="879" spans="1:18" x14ac:dyDescent="0.2">
      <c r="A879" s="8"/>
      <c r="B879" s="8"/>
      <c r="R879"/>
    </row>
    <row r="880" spans="1:18" x14ac:dyDescent="0.2">
      <c r="A880" s="8"/>
      <c r="B880" s="8"/>
      <c r="R880"/>
    </row>
    <row r="881" spans="1:18" x14ac:dyDescent="0.2">
      <c r="A881" s="8"/>
      <c r="B881" s="8"/>
      <c r="R881"/>
    </row>
    <row r="882" spans="1:18" x14ac:dyDescent="0.2">
      <c r="A882" s="8"/>
      <c r="B882" s="8"/>
      <c r="R882"/>
    </row>
    <row r="883" spans="1:18" x14ac:dyDescent="0.2">
      <c r="A883" s="8"/>
      <c r="B883" s="8"/>
      <c r="R883"/>
    </row>
    <row r="884" spans="1:18" x14ac:dyDescent="0.2">
      <c r="A884" s="8"/>
      <c r="B884" s="8"/>
      <c r="R884"/>
    </row>
    <row r="885" spans="1:18" x14ac:dyDescent="0.2">
      <c r="A885" s="8"/>
      <c r="B885" s="8"/>
      <c r="R885"/>
    </row>
    <row r="886" spans="1:18" x14ac:dyDescent="0.2">
      <c r="A886" s="8"/>
      <c r="B886" s="8"/>
      <c r="R886"/>
    </row>
    <row r="887" spans="1:18" x14ac:dyDescent="0.2">
      <c r="A887" s="8"/>
      <c r="B887" s="8"/>
      <c r="R887"/>
    </row>
    <row r="888" spans="1:18" x14ac:dyDescent="0.2">
      <c r="A888" s="8"/>
      <c r="B888" s="8"/>
      <c r="R888"/>
    </row>
    <row r="889" spans="1:18" x14ac:dyDescent="0.2">
      <c r="A889" s="8"/>
      <c r="B889" s="8"/>
      <c r="R889"/>
    </row>
    <row r="890" spans="1:18" x14ac:dyDescent="0.2">
      <c r="A890" s="8"/>
      <c r="B890" s="8"/>
      <c r="R890"/>
    </row>
    <row r="891" spans="1:18" x14ac:dyDescent="0.2">
      <c r="A891" s="8"/>
      <c r="B891" s="8"/>
      <c r="R891"/>
    </row>
    <row r="892" spans="1:18" x14ac:dyDescent="0.2">
      <c r="A892" s="8"/>
      <c r="B892" s="8"/>
      <c r="R892"/>
    </row>
    <row r="893" spans="1:18" x14ac:dyDescent="0.2">
      <c r="A893" s="8"/>
      <c r="B893" s="8"/>
      <c r="R893"/>
    </row>
    <row r="894" spans="1:18" x14ac:dyDescent="0.2">
      <c r="A894" s="8"/>
      <c r="B894" s="8"/>
      <c r="R894"/>
    </row>
    <row r="895" spans="1:18" x14ac:dyDescent="0.2">
      <c r="A895" s="8"/>
      <c r="B895" s="8"/>
      <c r="R895"/>
    </row>
    <row r="896" spans="1:18" x14ac:dyDescent="0.2">
      <c r="A896" s="8"/>
      <c r="B896" s="8"/>
      <c r="R896"/>
    </row>
    <row r="897" spans="1:18" x14ac:dyDescent="0.2">
      <c r="A897" s="8"/>
      <c r="B897" s="8"/>
      <c r="R897"/>
    </row>
    <row r="898" spans="1:18" x14ac:dyDescent="0.2">
      <c r="A898" s="8"/>
      <c r="B898" s="8"/>
      <c r="R898"/>
    </row>
    <row r="899" spans="1:18" x14ac:dyDescent="0.2">
      <c r="A899" s="8"/>
      <c r="B899" s="8"/>
      <c r="R899"/>
    </row>
    <row r="900" spans="1:18" x14ac:dyDescent="0.2">
      <c r="A900" s="8"/>
      <c r="B900" s="8"/>
      <c r="R900"/>
    </row>
    <row r="901" spans="1:18" x14ac:dyDescent="0.2">
      <c r="A901" s="8"/>
      <c r="B901" s="8"/>
      <c r="R901"/>
    </row>
    <row r="902" spans="1:18" x14ac:dyDescent="0.2">
      <c r="A902" s="8"/>
      <c r="B902" s="8"/>
      <c r="R902"/>
    </row>
    <row r="903" spans="1:18" x14ac:dyDescent="0.2">
      <c r="A903" s="8"/>
      <c r="B903" s="8"/>
      <c r="R903"/>
    </row>
    <row r="904" spans="1:18" x14ac:dyDescent="0.2">
      <c r="A904" s="8"/>
      <c r="B904" s="8"/>
      <c r="R904"/>
    </row>
    <row r="905" spans="1:18" x14ac:dyDescent="0.2">
      <c r="A905" s="8"/>
      <c r="B905" s="8"/>
      <c r="R905"/>
    </row>
    <row r="906" spans="1:18" x14ac:dyDescent="0.2">
      <c r="A906" s="8"/>
      <c r="B906" s="8"/>
      <c r="R906"/>
    </row>
    <row r="907" spans="1:18" x14ac:dyDescent="0.2">
      <c r="A907" s="8"/>
      <c r="B907" s="8"/>
      <c r="R907"/>
    </row>
    <row r="908" spans="1:18" x14ac:dyDescent="0.2">
      <c r="A908" s="8"/>
      <c r="B908" s="8"/>
      <c r="R908"/>
    </row>
    <row r="909" spans="1:18" x14ac:dyDescent="0.2">
      <c r="A909" s="8"/>
      <c r="B909" s="8"/>
      <c r="R909"/>
    </row>
    <row r="910" spans="1:18" x14ac:dyDescent="0.2">
      <c r="A910" s="8"/>
      <c r="B910" s="8"/>
      <c r="R910"/>
    </row>
    <row r="911" spans="1:18" x14ac:dyDescent="0.2">
      <c r="A911" s="8"/>
      <c r="B911" s="8"/>
      <c r="R911"/>
    </row>
    <row r="912" spans="1:18" x14ac:dyDescent="0.2">
      <c r="A912" s="8"/>
      <c r="B912" s="8"/>
      <c r="R912"/>
    </row>
    <row r="913" spans="1:18" x14ac:dyDescent="0.2">
      <c r="A913" s="8"/>
      <c r="B913" s="8"/>
      <c r="D913" s="3"/>
      <c r="E913" s="3"/>
      <c r="F913" s="3"/>
      <c r="G913" s="3"/>
      <c r="H913" s="3"/>
      <c r="I913" s="3"/>
      <c r="R913"/>
    </row>
    <row r="914" spans="1:18" x14ac:dyDescent="0.2">
      <c r="A914" s="8"/>
      <c r="B914" s="8"/>
      <c r="D914" s="3"/>
      <c r="E914" s="3"/>
      <c r="F914" s="3"/>
      <c r="G914" s="3"/>
      <c r="H914" s="3"/>
      <c r="I914" s="3"/>
      <c r="R914"/>
    </row>
    <row r="915" spans="1:18" x14ac:dyDescent="0.2">
      <c r="A915" s="8"/>
      <c r="B915" s="8"/>
      <c r="D915" s="3"/>
      <c r="E915" s="3"/>
      <c r="F915" s="3"/>
      <c r="G915" s="3"/>
      <c r="H915" s="3"/>
      <c r="I915" s="3"/>
      <c r="R915"/>
    </row>
    <row r="916" spans="1:18" x14ac:dyDescent="0.2">
      <c r="A916" s="8"/>
      <c r="B916" s="8"/>
      <c r="R916"/>
    </row>
    <row r="917" spans="1:18" x14ac:dyDescent="0.2">
      <c r="A917" s="8"/>
      <c r="B917" s="8"/>
      <c r="R917"/>
    </row>
    <row r="918" spans="1:18" x14ac:dyDescent="0.2">
      <c r="A918" s="8"/>
      <c r="B918" s="8"/>
      <c r="R918"/>
    </row>
    <row r="919" spans="1:18" x14ac:dyDescent="0.2">
      <c r="A919" s="8"/>
      <c r="B919" s="8"/>
      <c r="R919"/>
    </row>
    <row r="920" spans="1:18" x14ac:dyDescent="0.2">
      <c r="A920" s="8"/>
      <c r="B920" s="8"/>
      <c r="R920"/>
    </row>
    <row r="921" spans="1:18" x14ac:dyDescent="0.2">
      <c r="A921" s="8"/>
      <c r="B921" s="8"/>
      <c r="R921"/>
    </row>
    <row r="922" spans="1:18" x14ac:dyDescent="0.2">
      <c r="A922" s="8"/>
      <c r="B922" s="8"/>
      <c r="R922"/>
    </row>
    <row r="923" spans="1:18" x14ac:dyDescent="0.2">
      <c r="A923" s="8"/>
      <c r="B923" s="8"/>
      <c r="R923"/>
    </row>
    <row r="924" spans="1:18" x14ac:dyDescent="0.2">
      <c r="A924" s="8"/>
      <c r="B924" s="8"/>
      <c r="R924"/>
    </row>
    <row r="925" spans="1:18" x14ac:dyDescent="0.2">
      <c r="A925" s="8"/>
      <c r="B925" s="8"/>
      <c r="D925" s="3"/>
      <c r="E925" s="3"/>
      <c r="F925" s="3"/>
      <c r="G925" s="3"/>
      <c r="H925" s="3"/>
      <c r="I925" s="3"/>
      <c r="R925"/>
    </row>
    <row r="926" spans="1:18" x14ac:dyDescent="0.2">
      <c r="A926" s="8"/>
      <c r="B926" s="8"/>
      <c r="D926" s="3"/>
      <c r="E926" s="3"/>
      <c r="F926" s="3"/>
      <c r="G926" s="3"/>
      <c r="H926" s="3"/>
      <c r="I926" s="3"/>
      <c r="R926"/>
    </row>
    <row r="927" spans="1:18" x14ac:dyDescent="0.2">
      <c r="A927" s="8"/>
      <c r="B927" s="8"/>
      <c r="D927" s="3"/>
      <c r="E927" s="3"/>
      <c r="F927" s="3"/>
      <c r="G927" s="3"/>
      <c r="H927" s="3"/>
      <c r="I927" s="3"/>
      <c r="R927"/>
    </row>
    <row r="928" spans="1:18" x14ac:dyDescent="0.2">
      <c r="A928" s="8"/>
      <c r="B928" s="8"/>
      <c r="R928"/>
    </row>
    <row r="929" spans="1:18" x14ac:dyDescent="0.2">
      <c r="A929" s="8"/>
      <c r="B929" s="8"/>
      <c r="D929" s="3"/>
      <c r="E929" s="3"/>
      <c r="F929" s="3"/>
      <c r="G929" s="3"/>
      <c r="H929" s="3"/>
      <c r="I929" s="3"/>
      <c r="R929"/>
    </row>
    <row r="930" spans="1:18" x14ac:dyDescent="0.2">
      <c r="A930" s="8"/>
      <c r="B930" s="8"/>
      <c r="D930" s="3"/>
      <c r="E930" s="3"/>
      <c r="F930" s="3"/>
      <c r="G930" s="3"/>
      <c r="H930" s="3"/>
      <c r="I930" s="3"/>
      <c r="R930"/>
    </row>
    <row r="931" spans="1:18" x14ac:dyDescent="0.2">
      <c r="A931" s="8"/>
      <c r="B931" s="8"/>
      <c r="D931" s="3"/>
      <c r="E931" s="3"/>
      <c r="F931" s="3"/>
      <c r="G931" s="3"/>
      <c r="H931" s="3"/>
      <c r="I931" s="3"/>
      <c r="R931"/>
    </row>
    <row r="932" spans="1:18" x14ac:dyDescent="0.2">
      <c r="A932" s="8"/>
      <c r="B932" s="8"/>
      <c r="D932" s="3"/>
      <c r="E932" s="3"/>
      <c r="F932" s="3"/>
      <c r="G932" s="3"/>
      <c r="H932" s="3"/>
      <c r="I932" s="3"/>
      <c r="R932"/>
    </row>
    <row r="933" spans="1:18" x14ac:dyDescent="0.2">
      <c r="A933" s="8"/>
      <c r="B933" s="8"/>
      <c r="D933" s="3"/>
      <c r="E933" s="3"/>
      <c r="F933" s="3"/>
      <c r="G933" s="3"/>
      <c r="H933" s="3"/>
      <c r="I933" s="3"/>
      <c r="N933" s="3"/>
      <c r="O933" s="3"/>
      <c r="P933" s="3"/>
      <c r="R933"/>
    </row>
    <row r="934" spans="1:18" x14ac:dyDescent="0.2">
      <c r="A934" s="8"/>
      <c r="B934" s="8"/>
      <c r="D934" s="3"/>
      <c r="E934" s="3"/>
      <c r="F934" s="3"/>
      <c r="G934" s="3"/>
      <c r="H934" s="3"/>
      <c r="I934" s="3"/>
      <c r="N934" s="3"/>
      <c r="O934" s="3"/>
      <c r="P934" s="3"/>
      <c r="R934"/>
    </row>
    <row r="935" spans="1:18" x14ac:dyDescent="0.2">
      <c r="A935" s="8"/>
      <c r="B935" s="8"/>
      <c r="R935"/>
    </row>
    <row r="936" spans="1:18" x14ac:dyDescent="0.2">
      <c r="A936" s="8"/>
      <c r="B936" s="8"/>
      <c r="D936" s="3"/>
      <c r="E936" s="3"/>
      <c r="F936" s="3"/>
      <c r="G936" s="3"/>
      <c r="H936" s="3"/>
      <c r="I936" s="3"/>
      <c r="R936"/>
    </row>
    <row r="937" spans="1:18" x14ac:dyDescent="0.2">
      <c r="A937" s="8"/>
      <c r="B937" s="8"/>
      <c r="D937" s="3"/>
      <c r="E937" s="3"/>
      <c r="F937" s="3"/>
      <c r="G937" s="3"/>
      <c r="H937" s="3"/>
      <c r="I937" s="3"/>
      <c r="R937"/>
    </row>
    <row r="938" spans="1:18" x14ac:dyDescent="0.2">
      <c r="A938" s="8"/>
      <c r="B938" s="8"/>
      <c r="D938" s="3"/>
      <c r="E938" s="3"/>
      <c r="F938" s="3"/>
      <c r="G938" s="3"/>
      <c r="H938" s="3"/>
      <c r="I938" s="3"/>
      <c r="R938"/>
    </row>
    <row r="939" spans="1:18" x14ac:dyDescent="0.2">
      <c r="R939"/>
    </row>
    <row r="940" spans="1:18" x14ac:dyDescent="0.2">
      <c r="R940"/>
    </row>
    <row r="941" spans="1:18" x14ac:dyDescent="0.2">
      <c r="A941" s="8"/>
      <c r="B941" s="8"/>
      <c r="D941" s="3"/>
      <c r="E941" s="3"/>
      <c r="F941" s="3"/>
      <c r="G941" s="3"/>
      <c r="H941" s="3"/>
      <c r="I941" s="3"/>
      <c r="R941"/>
    </row>
    <row r="942" spans="1:18" x14ac:dyDescent="0.2">
      <c r="R942"/>
    </row>
    <row r="943" spans="1:18" x14ac:dyDescent="0.2">
      <c r="R943"/>
    </row>
    <row r="944" spans="1:18" x14ac:dyDescent="0.2">
      <c r="R944"/>
    </row>
    <row r="945" spans="1:18" x14ac:dyDescent="0.2">
      <c r="A945" s="8"/>
      <c r="B945" s="8"/>
      <c r="D945" s="3"/>
      <c r="E945" s="3"/>
      <c r="F945" s="3"/>
      <c r="G945" s="3"/>
      <c r="H945" s="3"/>
      <c r="I945" s="3"/>
      <c r="R945"/>
    </row>
    <row r="946" spans="1:18" x14ac:dyDescent="0.2">
      <c r="A946" s="8"/>
      <c r="B946" s="8"/>
      <c r="R946"/>
    </row>
    <row r="947" spans="1:18" x14ac:dyDescent="0.2">
      <c r="A947" s="8"/>
      <c r="B947" s="8"/>
      <c r="D947" s="3"/>
      <c r="E947" s="3"/>
      <c r="F947" s="3"/>
      <c r="G947" s="3"/>
      <c r="H947" s="3"/>
      <c r="I947" s="3"/>
      <c r="R947"/>
    </row>
    <row r="948" spans="1:18" x14ac:dyDescent="0.2">
      <c r="A948" s="8"/>
      <c r="B948" s="8"/>
      <c r="D948" s="3"/>
      <c r="E948" s="3"/>
      <c r="F948" s="3"/>
      <c r="G948" s="3"/>
      <c r="H948" s="3"/>
      <c r="I948" s="3"/>
      <c r="R948"/>
    </row>
    <row r="949" spans="1:18" x14ac:dyDescent="0.2">
      <c r="A949" s="8"/>
      <c r="B949" s="8"/>
      <c r="R949"/>
    </row>
    <row r="950" spans="1:18" x14ac:dyDescent="0.2">
      <c r="A950" s="8"/>
      <c r="B950" s="8"/>
      <c r="R950"/>
    </row>
    <row r="951" spans="1:18" x14ac:dyDescent="0.2">
      <c r="A951" s="8"/>
      <c r="B951" s="8"/>
      <c r="R951"/>
    </row>
    <row r="952" spans="1:18" x14ac:dyDescent="0.2">
      <c r="A952" s="8"/>
      <c r="B952" s="8"/>
      <c r="D952" s="3"/>
      <c r="E952" s="3"/>
      <c r="F952" s="3"/>
      <c r="G952" s="3"/>
      <c r="H952" s="3"/>
      <c r="I952" s="3"/>
      <c r="R952"/>
    </row>
    <row r="953" spans="1:18" x14ac:dyDescent="0.2">
      <c r="A953" s="8"/>
      <c r="B953" s="8"/>
      <c r="R953"/>
    </row>
    <row r="954" spans="1:18" x14ac:dyDescent="0.2">
      <c r="A954" s="8"/>
      <c r="B954" s="8"/>
      <c r="D954" s="3"/>
      <c r="E954" s="3"/>
      <c r="F954" s="3"/>
      <c r="G954" s="3"/>
      <c r="H954" s="3"/>
      <c r="I954" s="3"/>
      <c r="R954"/>
    </row>
    <row r="955" spans="1:18" x14ac:dyDescent="0.2">
      <c r="A955" s="8"/>
      <c r="B955" s="8"/>
      <c r="D955" s="3"/>
      <c r="E955" s="3"/>
      <c r="F955" s="3"/>
      <c r="G955" s="3"/>
      <c r="H955" s="3"/>
      <c r="I955" s="3"/>
      <c r="R955"/>
    </row>
    <row r="956" spans="1:18" x14ac:dyDescent="0.2">
      <c r="A956" s="8"/>
      <c r="B956" s="8"/>
      <c r="D956" s="3"/>
      <c r="E956" s="3"/>
      <c r="F956" s="3"/>
      <c r="G956" s="3"/>
      <c r="H956" s="3"/>
      <c r="I956" s="3"/>
      <c r="R956"/>
    </row>
    <row r="957" spans="1:18" x14ac:dyDescent="0.2">
      <c r="A957" s="8"/>
      <c r="B957" s="8"/>
      <c r="D957" s="3"/>
      <c r="E957" s="3"/>
      <c r="F957" s="3"/>
      <c r="G957" s="3"/>
      <c r="H957" s="3"/>
      <c r="I957" s="3"/>
      <c r="R957"/>
    </row>
    <row r="958" spans="1:18" x14ac:dyDescent="0.2">
      <c r="A958" s="8"/>
      <c r="B958" s="8"/>
      <c r="D958" s="3"/>
      <c r="E958" s="3"/>
      <c r="F958" s="3"/>
      <c r="G958" s="3"/>
      <c r="H958" s="3"/>
      <c r="I958" s="3"/>
      <c r="R958"/>
    </row>
    <row r="959" spans="1:18" x14ac:dyDescent="0.2">
      <c r="A959" s="8"/>
      <c r="B959" s="8"/>
      <c r="R959"/>
    </row>
    <row r="960" spans="1:18" x14ac:dyDescent="0.2">
      <c r="A960" s="8"/>
      <c r="B960" s="8"/>
      <c r="R960"/>
    </row>
    <row r="961" spans="1:18" x14ac:dyDescent="0.2">
      <c r="R961"/>
    </row>
    <row r="962" spans="1:18" x14ac:dyDescent="0.2">
      <c r="R962"/>
    </row>
    <row r="963" spans="1:18" x14ac:dyDescent="0.2">
      <c r="R963"/>
    </row>
    <row r="964" spans="1:18" x14ac:dyDescent="0.2">
      <c r="A964" s="8"/>
      <c r="B964" s="8"/>
      <c r="R964"/>
    </row>
    <row r="965" spans="1:18" x14ac:dyDescent="0.2">
      <c r="A965" s="8"/>
      <c r="B965" s="8"/>
      <c r="R965"/>
    </row>
    <row r="966" spans="1:18" x14ac:dyDescent="0.2">
      <c r="A966" s="8"/>
      <c r="B966" s="8"/>
      <c r="R966"/>
    </row>
    <row r="967" spans="1:18" x14ac:dyDescent="0.2">
      <c r="A967" s="8"/>
      <c r="B967" s="8"/>
      <c r="R967"/>
    </row>
    <row r="968" spans="1:18" x14ac:dyDescent="0.2">
      <c r="A968" s="8"/>
      <c r="B968" s="8"/>
      <c r="R968"/>
    </row>
    <row r="969" spans="1:18" x14ac:dyDescent="0.2">
      <c r="A969" s="8"/>
      <c r="B969" s="8"/>
      <c r="R969"/>
    </row>
    <row r="970" spans="1:18" x14ac:dyDescent="0.2">
      <c r="A970" s="8"/>
      <c r="B970" s="8"/>
      <c r="R970"/>
    </row>
    <row r="971" spans="1:18" x14ac:dyDescent="0.2">
      <c r="A971" s="8"/>
      <c r="B971" s="8"/>
      <c r="N971" s="3"/>
      <c r="O971" s="3"/>
      <c r="P971" s="3"/>
      <c r="R971"/>
    </row>
    <row r="972" spans="1:18" x14ac:dyDescent="0.2">
      <c r="A972" s="8"/>
      <c r="B972" s="8"/>
      <c r="N972" s="3"/>
      <c r="O972" s="3"/>
      <c r="P972" s="3"/>
      <c r="R972"/>
    </row>
    <row r="973" spans="1:18" x14ac:dyDescent="0.2">
      <c r="A973" s="8"/>
      <c r="B973" s="8"/>
      <c r="R973"/>
    </row>
    <row r="974" spans="1:18" x14ac:dyDescent="0.2">
      <c r="A974" s="8"/>
      <c r="B974" s="8"/>
      <c r="R974"/>
    </row>
    <row r="975" spans="1:18" x14ac:dyDescent="0.2">
      <c r="A975" s="8"/>
      <c r="B975" s="8"/>
      <c r="R975"/>
    </row>
    <row r="976" spans="1:18" x14ac:dyDescent="0.2">
      <c r="A976" s="8"/>
      <c r="B976" s="8"/>
      <c r="R976"/>
    </row>
    <row r="977" spans="1:18" x14ac:dyDescent="0.2">
      <c r="A977" s="8"/>
      <c r="B977" s="8"/>
      <c r="R977"/>
    </row>
    <row r="978" spans="1:18" x14ac:dyDescent="0.2">
      <c r="A978" s="8"/>
      <c r="B978" s="8"/>
      <c r="R978"/>
    </row>
    <row r="979" spans="1:18" x14ac:dyDescent="0.2">
      <c r="A979" s="8"/>
      <c r="B979" s="8"/>
      <c r="R979"/>
    </row>
    <row r="980" spans="1:18" x14ac:dyDescent="0.2">
      <c r="A980" s="8"/>
      <c r="B980" s="8"/>
      <c r="R980"/>
    </row>
    <row r="981" spans="1:18" x14ac:dyDescent="0.2">
      <c r="A981" s="8"/>
      <c r="B981" s="8"/>
      <c r="R981"/>
    </row>
    <row r="982" spans="1:18" x14ac:dyDescent="0.2">
      <c r="A982" s="8"/>
      <c r="B982" s="8"/>
      <c r="R982"/>
    </row>
    <row r="983" spans="1:18" x14ac:dyDescent="0.2">
      <c r="A983" s="8"/>
      <c r="B983" s="8"/>
      <c r="R983"/>
    </row>
    <row r="984" spans="1:18" x14ac:dyDescent="0.2">
      <c r="A984" s="8"/>
      <c r="B984" s="8"/>
      <c r="R984"/>
    </row>
    <row r="985" spans="1:18" x14ac:dyDescent="0.2">
      <c r="R985"/>
    </row>
    <row r="986" spans="1:18" x14ac:dyDescent="0.2">
      <c r="R986"/>
    </row>
    <row r="987" spans="1:18" x14ac:dyDescent="0.2">
      <c r="A987" s="8"/>
      <c r="B987" s="8"/>
      <c r="N987" s="3"/>
      <c r="O987" s="3"/>
      <c r="P987" s="3"/>
      <c r="R987"/>
    </row>
    <row r="988" spans="1:18" x14ac:dyDescent="0.2">
      <c r="R988"/>
    </row>
    <row r="989" spans="1:18" x14ac:dyDescent="0.2">
      <c r="A989" s="8"/>
      <c r="B989" s="8"/>
      <c r="R989"/>
    </row>
    <row r="990" spans="1:18" x14ac:dyDescent="0.2">
      <c r="A990" s="8"/>
      <c r="B990" s="8"/>
      <c r="R990"/>
    </row>
    <row r="991" spans="1:18" x14ac:dyDescent="0.2">
      <c r="A991" s="8"/>
      <c r="B991" s="8"/>
      <c r="R991"/>
    </row>
    <row r="992" spans="1:18" x14ac:dyDescent="0.2">
      <c r="A992" s="8"/>
      <c r="B992" s="8"/>
      <c r="R992"/>
    </row>
    <row r="993" spans="1:18" x14ac:dyDescent="0.2">
      <c r="R993"/>
    </row>
    <row r="994" spans="1:18" x14ac:dyDescent="0.2">
      <c r="N994" s="3"/>
      <c r="O994" s="3"/>
      <c r="P994" s="3"/>
      <c r="R994"/>
    </row>
    <row r="995" spans="1:18" x14ac:dyDescent="0.2">
      <c r="R995"/>
    </row>
    <row r="996" spans="1:18" x14ac:dyDescent="0.2">
      <c r="R996"/>
    </row>
    <row r="997" spans="1:18" x14ac:dyDescent="0.2">
      <c r="R997"/>
    </row>
    <row r="998" spans="1:18" x14ac:dyDescent="0.2">
      <c r="R998"/>
    </row>
    <row r="999" spans="1:18" x14ac:dyDescent="0.2">
      <c r="R999"/>
    </row>
    <row r="1000" spans="1:18" x14ac:dyDescent="0.2">
      <c r="R1000"/>
    </row>
    <row r="1001" spans="1:18" x14ac:dyDescent="0.2">
      <c r="R1001"/>
    </row>
    <row r="1002" spans="1:18" x14ac:dyDescent="0.2">
      <c r="R1002"/>
    </row>
    <row r="1003" spans="1:18" x14ac:dyDescent="0.2">
      <c r="R1003"/>
    </row>
    <row r="1004" spans="1:18" x14ac:dyDescent="0.2">
      <c r="R1004"/>
    </row>
    <row r="1005" spans="1:18" x14ac:dyDescent="0.2">
      <c r="A1005" s="8"/>
      <c r="B1005" s="8"/>
      <c r="R1005"/>
    </row>
    <row r="1006" spans="1:18" x14ac:dyDescent="0.2">
      <c r="A1006" s="8"/>
      <c r="B1006" s="8"/>
      <c r="R1006"/>
    </row>
    <row r="1007" spans="1:18" x14ac:dyDescent="0.2">
      <c r="A1007" s="8"/>
      <c r="B1007" s="8"/>
      <c r="R1007"/>
    </row>
    <row r="1008" spans="1:18" x14ac:dyDescent="0.2">
      <c r="A1008" s="8"/>
      <c r="B1008" s="8"/>
      <c r="R1008"/>
    </row>
    <row r="1009" spans="1:18" x14ac:dyDescent="0.2">
      <c r="A1009" s="8"/>
      <c r="B1009" s="8"/>
      <c r="R1009"/>
    </row>
    <row r="1010" spans="1:18" x14ac:dyDescent="0.2">
      <c r="R1010"/>
    </row>
    <row r="1011" spans="1:18" x14ac:dyDescent="0.2">
      <c r="R1011"/>
    </row>
    <row r="1012" spans="1:18" x14ac:dyDescent="0.2">
      <c r="A1012" s="8"/>
      <c r="B1012" s="8"/>
      <c r="R1012"/>
    </row>
    <row r="1013" spans="1:18" x14ac:dyDescent="0.2">
      <c r="A1013" s="8"/>
      <c r="B1013" s="8"/>
      <c r="R1013"/>
    </row>
    <row r="1014" spans="1:18" x14ac:dyDescent="0.2">
      <c r="A1014" s="8"/>
      <c r="B1014" s="8"/>
      <c r="N1014" s="3"/>
      <c r="O1014" s="3"/>
      <c r="P1014" s="3"/>
      <c r="R1014"/>
    </row>
    <row r="1015" spans="1:18" x14ac:dyDescent="0.2">
      <c r="A1015" s="8"/>
      <c r="B1015" s="8"/>
      <c r="N1015" s="3"/>
      <c r="O1015" s="3"/>
      <c r="P1015" s="3"/>
      <c r="R1015"/>
    </row>
    <row r="1016" spans="1:18" x14ac:dyDescent="0.2">
      <c r="A1016" s="8"/>
      <c r="B1016" s="8"/>
      <c r="N1016" s="3"/>
      <c r="O1016" s="3"/>
      <c r="P1016" s="3"/>
      <c r="R1016"/>
    </row>
    <row r="1017" spans="1:18" x14ac:dyDescent="0.2">
      <c r="A1017" s="8"/>
      <c r="B1017" s="8"/>
      <c r="N1017" s="3"/>
      <c r="O1017" s="3"/>
      <c r="P1017" s="3"/>
      <c r="R1017"/>
    </row>
    <row r="1018" spans="1:18" x14ac:dyDescent="0.2">
      <c r="A1018" s="8"/>
      <c r="B1018" s="8"/>
      <c r="N1018" s="3"/>
      <c r="O1018" s="3"/>
      <c r="P1018" s="3"/>
      <c r="R1018"/>
    </row>
    <row r="1019" spans="1:18" x14ac:dyDescent="0.2">
      <c r="A1019" s="8"/>
      <c r="B1019" s="8"/>
      <c r="N1019" s="3"/>
      <c r="O1019" s="3"/>
      <c r="P1019" s="3"/>
      <c r="R1019"/>
    </row>
    <row r="1020" spans="1:18" x14ac:dyDescent="0.2">
      <c r="A1020" s="8"/>
      <c r="B1020" s="8"/>
      <c r="N1020" s="3"/>
      <c r="O1020" s="3"/>
      <c r="P1020" s="3"/>
      <c r="R1020"/>
    </row>
    <row r="1021" spans="1:18" x14ac:dyDescent="0.2">
      <c r="A1021" s="8"/>
      <c r="B1021" s="8"/>
      <c r="R1021"/>
    </row>
    <row r="1022" spans="1:18" x14ac:dyDescent="0.2">
      <c r="A1022" s="8"/>
      <c r="B1022" s="8"/>
      <c r="R1022"/>
    </row>
    <row r="1023" spans="1:18" x14ac:dyDescent="0.2">
      <c r="A1023" s="8"/>
      <c r="B1023" s="8"/>
      <c r="R1023"/>
    </row>
    <row r="1024" spans="1:18" x14ac:dyDescent="0.2">
      <c r="A1024" s="8"/>
      <c r="B1024" s="8"/>
      <c r="R1024"/>
    </row>
    <row r="1025" spans="1:18" x14ac:dyDescent="0.2">
      <c r="A1025" s="8"/>
      <c r="B1025" s="8"/>
      <c r="R1025"/>
    </row>
    <row r="1026" spans="1:18" x14ac:dyDescent="0.2">
      <c r="A1026" s="8"/>
      <c r="B1026" s="8"/>
      <c r="R1026"/>
    </row>
    <row r="1027" spans="1:18" x14ac:dyDescent="0.2">
      <c r="A1027" s="8"/>
      <c r="B1027" s="8"/>
      <c r="R1027"/>
    </row>
    <row r="1028" spans="1:18" x14ac:dyDescent="0.2">
      <c r="A1028" s="8"/>
      <c r="B1028" s="8"/>
      <c r="R1028"/>
    </row>
    <row r="1029" spans="1:18" x14ac:dyDescent="0.2">
      <c r="R1029"/>
    </row>
    <row r="1030" spans="1:18" x14ac:dyDescent="0.2">
      <c r="R1030"/>
    </row>
    <row r="1031" spans="1:18" x14ac:dyDescent="0.2">
      <c r="R1031"/>
    </row>
    <row r="1032" spans="1:18" x14ac:dyDescent="0.2">
      <c r="R1032"/>
    </row>
    <row r="1033" spans="1:18" x14ac:dyDescent="0.2">
      <c r="R1033"/>
    </row>
    <row r="1034" spans="1:18" x14ac:dyDescent="0.2">
      <c r="R1034"/>
    </row>
    <row r="1035" spans="1:18" x14ac:dyDescent="0.2">
      <c r="R1035"/>
    </row>
    <row r="1036" spans="1:18" x14ac:dyDescent="0.2">
      <c r="R1036"/>
    </row>
    <row r="1037" spans="1:18" x14ac:dyDescent="0.2">
      <c r="R1037"/>
    </row>
    <row r="1038" spans="1:18" x14ac:dyDescent="0.2">
      <c r="R1038"/>
    </row>
    <row r="1039" spans="1:18" x14ac:dyDescent="0.2">
      <c r="R1039"/>
    </row>
    <row r="1040" spans="1:18" x14ac:dyDescent="0.2">
      <c r="R1040"/>
    </row>
    <row r="1041" spans="1:18" x14ac:dyDescent="0.2">
      <c r="A1041" s="8"/>
      <c r="B1041" s="8"/>
      <c r="N1041" s="3"/>
      <c r="O1041" s="3"/>
      <c r="P1041" s="3"/>
      <c r="R1041"/>
    </row>
    <row r="1042" spans="1:18" x14ac:dyDescent="0.2">
      <c r="A1042" s="8"/>
      <c r="B1042" s="8"/>
      <c r="R1042"/>
    </row>
    <row r="1043" spans="1:18" x14ac:dyDescent="0.2">
      <c r="R1043"/>
    </row>
    <row r="1044" spans="1:18" x14ac:dyDescent="0.2">
      <c r="R1044"/>
    </row>
    <row r="1045" spans="1:18" x14ac:dyDescent="0.2">
      <c r="R1045"/>
    </row>
    <row r="1046" spans="1:18" x14ac:dyDescent="0.2">
      <c r="A1046" s="8"/>
      <c r="B1046" s="8"/>
      <c r="R1046"/>
    </row>
    <row r="1047" spans="1:18" x14ac:dyDescent="0.2">
      <c r="R1047"/>
    </row>
    <row r="1048" spans="1:18" x14ac:dyDescent="0.2">
      <c r="R1048"/>
    </row>
    <row r="1049" spans="1:18" x14ac:dyDescent="0.2">
      <c r="R1049"/>
    </row>
    <row r="1050" spans="1:18" x14ac:dyDescent="0.2">
      <c r="R1050"/>
    </row>
    <row r="1051" spans="1:18" x14ac:dyDescent="0.2">
      <c r="R1051"/>
    </row>
    <row r="1052" spans="1:18" x14ac:dyDescent="0.2">
      <c r="A1052" s="8"/>
      <c r="B1052" s="8"/>
      <c r="N1052" s="3"/>
      <c r="O1052" s="3"/>
      <c r="P1052" s="3"/>
      <c r="R1052"/>
    </row>
    <row r="1053" spans="1:18" x14ac:dyDescent="0.2">
      <c r="R1053"/>
    </row>
    <row r="1054" spans="1:18" x14ac:dyDescent="0.2">
      <c r="A1054" s="8"/>
      <c r="B1054" s="8"/>
      <c r="R1054"/>
    </row>
    <row r="1055" spans="1:18" x14ac:dyDescent="0.2">
      <c r="A1055" s="8"/>
      <c r="B1055" s="8"/>
      <c r="R1055"/>
    </row>
    <row r="1056" spans="1:18" x14ac:dyDescent="0.2">
      <c r="A1056" s="8"/>
      <c r="B1056" s="8"/>
      <c r="D1056" s="3"/>
      <c r="E1056" s="3"/>
      <c r="F1056" s="3"/>
      <c r="G1056" s="3"/>
      <c r="H1056" s="3"/>
      <c r="I1056" s="3"/>
      <c r="R1056"/>
    </row>
    <row r="1057" spans="1:18" x14ac:dyDescent="0.2">
      <c r="A1057" s="8"/>
      <c r="B1057" s="8"/>
      <c r="R1057"/>
    </row>
    <row r="1058" spans="1:18" x14ac:dyDescent="0.2">
      <c r="A1058" s="8"/>
      <c r="B1058" s="8"/>
      <c r="R1058"/>
    </row>
    <row r="1059" spans="1:18" x14ac:dyDescent="0.2">
      <c r="A1059" s="8"/>
      <c r="B1059" s="8"/>
      <c r="R1059"/>
    </row>
    <row r="1060" spans="1:18" x14ac:dyDescent="0.2">
      <c r="A1060" s="8"/>
      <c r="B1060" s="8"/>
      <c r="R1060"/>
    </row>
    <row r="1061" spans="1:18" x14ac:dyDescent="0.2">
      <c r="A1061" s="8"/>
      <c r="B1061" s="8"/>
      <c r="R1061"/>
    </row>
    <row r="1062" spans="1:18" x14ac:dyDescent="0.2">
      <c r="A1062" s="8"/>
      <c r="B1062" s="8"/>
      <c r="R1062"/>
    </row>
    <row r="1063" spans="1:18" x14ac:dyDescent="0.2">
      <c r="A1063" s="8"/>
      <c r="B1063" s="8"/>
      <c r="D1063" s="11"/>
      <c r="E1063" s="11"/>
      <c r="F1063" s="11"/>
      <c r="G1063" s="11"/>
      <c r="H1063" s="11"/>
      <c r="I1063" s="11"/>
      <c r="R1063"/>
    </row>
    <row r="1064" spans="1:18" x14ac:dyDescent="0.2">
      <c r="A1064" s="8"/>
      <c r="B1064" s="8"/>
      <c r="R1064"/>
    </row>
    <row r="1065" spans="1:18" x14ac:dyDescent="0.2">
      <c r="A1065" s="8"/>
      <c r="B1065" s="8"/>
      <c r="R1065"/>
    </row>
    <row r="1066" spans="1:18" x14ac:dyDescent="0.2">
      <c r="A1066" s="8"/>
      <c r="B1066" s="8"/>
      <c r="R1066"/>
    </row>
    <row r="1067" spans="1:18" x14ac:dyDescent="0.2">
      <c r="A1067" s="8"/>
      <c r="B1067" s="8"/>
      <c r="R1067"/>
    </row>
    <row r="1068" spans="1:18" x14ac:dyDescent="0.2">
      <c r="R1068"/>
    </row>
    <row r="1069" spans="1:18" x14ac:dyDescent="0.2">
      <c r="R1069"/>
    </row>
    <row r="1070" spans="1:18" x14ac:dyDescent="0.2">
      <c r="R1070"/>
    </row>
    <row r="1071" spans="1:18" x14ac:dyDescent="0.2">
      <c r="R1071"/>
    </row>
    <row r="1072" spans="1:18" x14ac:dyDescent="0.2">
      <c r="E1072" s="11"/>
      <c r="R1072"/>
    </row>
    <row r="1073" spans="18:18" s="2" customFormat="1" x14ac:dyDescent="0.2">
      <c r="R1073"/>
    </row>
    <row r="1074" spans="18:18" s="2" customFormat="1" x14ac:dyDescent="0.2">
      <c r="R1074"/>
    </row>
    <row r="1075" spans="18:18" s="2" customFormat="1" x14ac:dyDescent="0.2">
      <c r="R1075"/>
    </row>
    <row r="1076" spans="18:18" s="2" customFormat="1" x14ac:dyDescent="0.2">
      <c r="R1076"/>
    </row>
    <row r="1077" spans="18:18" s="2" customFormat="1" x14ac:dyDescent="0.2">
      <c r="R1077"/>
    </row>
    <row r="1078" spans="18:18" s="2" customFormat="1" x14ac:dyDescent="0.2">
      <c r="R1078"/>
    </row>
    <row r="1079" spans="18:18" s="2" customFormat="1" x14ac:dyDescent="0.2">
      <c r="R1079"/>
    </row>
    <row r="1080" spans="18:18" s="2" customFormat="1" x14ac:dyDescent="0.2">
      <c r="R1080"/>
    </row>
    <row r="1081" spans="18:18" s="2" customFormat="1" x14ac:dyDescent="0.2">
      <c r="R1081"/>
    </row>
    <row r="1082" spans="18:18" s="2" customFormat="1" x14ac:dyDescent="0.2">
      <c r="R1082"/>
    </row>
    <row r="1083" spans="18:18" s="2" customFormat="1" x14ac:dyDescent="0.2">
      <c r="R1083"/>
    </row>
    <row r="1084" spans="18:18" s="2" customFormat="1" x14ac:dyDescent="0.2">
      <c r="R1084"/>
    </row>
    <row r="1085" spans="18:18" s="2" customFormat="1" x14ac:dyDescent="0.2">
      <c r="R1085"/>
    </row>
    <row r="1086" spans="18:18" s="2" customFormat="1" x14ac:dyDescent="0.2">
      <c r="R1086"/>
    </row>
    <row r="1087" spans="18:18" s="2" customFormat="1" x14ac:dyDescent="0.2">
      <c r="R1087"/>
    </row>
    <row r="1088" spans="18:18" s="2" customFormat="1" x14ac:dyDescent="0.2">
      <c r="R1088"/>
    </row>
    <row r="1089" spans="18:18" s="2" customFormat="1" x14ac:dyDescent="0.2">
      <c r="R1089"/>
    </row>
    <row r="1090" spans="18:18" s="2" customFormat="1" x14ac:dyDescent="0.2">
      <c r="R1090"/>
    </row>
    <row r="1091" spans="18:18" s="2" customFormat="1" x14ac:dyDescent="0.2">
      <c r="R1091"/>
    </row>
    <row r="1092" spans="18:18" s="2" customFormat="1" x14ac:dyDescent="0.2">
      <c r="R1092"/>
    </row>
    <row r="1093" spans="18:18" s="2" customFormat="1" x14ac:dyDescent="0.2">
      <c r="R1093"/>
    </row>
    <row r="1094" spans="18:18" s="2" customFormat="1" x14ac:dyDescent="0.2">
      <c r="R1094"/>
    </row>
    <row r="1095" spans="18:18" s="2" customFormat="1" x14ac:dyDescent="0.2">
      <c r="R1095"/>
    </row>
    <row r="1096" spans="18:18" s="2" customFormat="1" x14ac:dyDescent="0.2">
      <c r="R1096"/>
    </row>
    <row r="1097" spans="18:18" s="2" customFormat="1" x14ac:dyDescent="0.2">
      <c r="R1097"/>
    </row>
    <row r="1098" spans="18:18" s="2" customFormat="1" x14ac:dyDescent="0.2">
      <c r="R1098"/>
    </row>
    <row r="1099" spans="18:18" s="2" customFormat="1" x14ac:dyDescent="0.2">
      <c r="R1099"/>
    </row>
    <row r="1100" spans="18:18" s="2" customFormat="1" x14ac:dyDescent="0.2">
      <c r="R1100"/>
    </row>
    <row r="1101" spans="18:18" s="2" customFormat="1" x14ac:dyDescent="0.2">
      <c r="R1101"/>
    </row>
    <row r="1102" spans="18:18" s="2" customFormat="1" x14ac:dyDescent="0.2">
      <c r="R1102"/>
    </row>
    <row r="1103" spans="18:18" s="2" customFormat="1" x14ac:dyDescent="0.2">
      <c r="R1103"/>
    </row>
    <row r="1104" spans="18:18" s="2" customFormat="1" x14ac:dyDescent="0.2">
      <c r="R1104"/>
    </row>
    <row r="1105" spans="18:18" s="2" customFormat="1" x14ac:dyDescent="0.2">
      <c r="R1105"/>
    </row>
    <row r="1106" spans="18:18" s="2" customFormat="1" x14ac:dyDescent="0.2">
      <c r="R1106"/>
    </row>
    <row r="1107" spans="18:18" s="2" customFormat="1" x14ac:dyDescent="0.2">
      <c r="R1107"/>
    </row>
    <row r="1108" spans="18:18" s="2" customFormat="1" x14ac:dyDescent="0.2">
      <c r="R1108"/>
    </row>
    <row r="1109" spans="18:18" s="2" customFormat="1" x14ac:dyDescent="0.2">
      <c r="R1109"/>
    </row>
    <row r="1110" spans="18:18" s="2" customFormat="1" x14ac:dyDescent="0.2">
      <c r="R1110"/>
    </row>
    <row r="1111" spans="18:18" s="2" customFormat="1" x14ac:dyDescent="0.2">
      <c r="R1111"/>
    </row>
    <row r="1112" spans="18:18" s="2" customFormat="1" x14ac:dyDescent="0.2">
      <c r="R1112"/>
    </row>
    <row r="1113" spans="18:18" s="2" customFormat="1" x14ac:dyDescent="0.2">
      <c r="R1113"/>
    </row>
    <row r="1114" spans="18:18" s="2" customFormat="1" x14ac:dyDescent="0.2">
      <c r="R1114"/>
    </row>
    <row r="1115" spans="18:18" s="2" customFormat="1" x14ac:dyDescent="0.2">
      <c r="R1115"/>
    </row>
    <row r="1116" spans="18:18" s="2" customFormat="1" x14ac:dyDescent="0.2">
      <c r="R1116"/>
    </row>
    <row r="1117" spans="18:18" s="2" customFormat="1" x14ac:dyDescent="0.2">
      <c r="R1117"/>
    </row>
    <row r="1118" spans="18:18" s="2" customFormat="1" x14ac:dyDescent="0.2">
      <c r="R1118"/>
    </row>
    <row r="1119" spans="18:18" s="2" customFormat="1" x14ac:dyDescent="0.2">
      <c r="R1119"/>
    </row>
    <row r="1120" spans="18:18" s="2" customFormat="1" x14ac:dyDescent="0.2">
      <c r="R1120"/>
    </row>
    <row r="1121" spans="5:18" s="2" customFormat="1" x14ac:dyDescent="0.2">
      <c r="J1121" s="3"/>
      <c r="K1121" s="3"/>
      <c r="L1121" s="3"/>
      <c r="M1121" s="3"/>
      <c r="R1121"/>
    </row>
    <row r="1122" spans="5:18" s="2" customFormat="1" x14ac:dyDescent="0.2">
      <c r="J1122" s="3"/>
      <c r="K1122" s="3"/>
      <c r="L1122" s="3"/>
      <c r="M1122" s="3"/>
      <c r="R1122"/>
    </row>
    <row r="1123" spans="5:18" s="2" customFormat="1" x14ac:dyDescent="0.2">
      <c r="J1123" s="3"/>
      <c r="K1123" s="3"/>
      <c r="L1123" s="3"/>
      <c r="M1123" s="3"/>
      <c r="R1123"/>
    </row>
    <row r="1124" spans="5:18" s="2" customFormat="1" x14ac:dyDescent="0.2">
      <c r="J1124" s="3"/>
      <c r="K1124" s="3"/>
      <c r="L1124" s="3"/>
      <c r="M1124" s="3"/>
      <c r="R1124"/>
    </row>
    <row r="1125" spans="5:18" s="2" customFormat="1" x14ac:dyDescent="0.2">
      <c r="J1125" s="3"/>
      <c r="K1125" s="3"/>
      <c r="L1125" s="3"/>
      <c r="M1125" s="3"/>
      <c r="R1125"/>
    </row>
    <row r="1126" spans="5:18" s="2" customFormat="1" x14ac:dyDescent="0.2">
      <c r="J1126" s="3"/>
      <c r="K1126" s="3"/>
      <c r="L1126" s="3"/>
      <c r="M1126" s="3"/>
      <c r="R1126"/>
    </row>
    <row r="1127" spans="5:18" s="2" customFormat="1" x14ac:dyDescent="0.2">
      <c r="J1127" s="3"/>
      <c r="K1127" s="3"/>
      <c r="L1127" s="3"/>
      <c r="M1127" s="3"/>
      <c r="R1127"/>
    </row>
    <row r="1128" spans="5:18" s="2" customFormat="1" x14ac:dyDescent="0.2">
      <c r="J1128" s="3"/>
      <c r="K1128" s="3"/>
      <c r="L1128" s="3"/>
      <c r="M1128" s="3"/>
      <c r="R1128"/>
    </row>
    <row r="1129" spans="5:18" s="2" customFormat="1" x14ac:dyDescent="0.2">
      <c r="J1129" s="3"/>
      <c r="K1129" s="3"/>
      <c r="L1129" s="3"/>
      <c r="M1129" s="3"/>
      <c r="R1129"/>
    </row>
    <row r="1130" spans="5:18" s="2" customFormat="1" x14ac:dyDescent="0.2">
      <c r="J1130" s="3"/>
      <c r="K1130" s="3"/>
      <c r="L1130" s="3"/>
      <c r="M1130" s="3"/>
      <c r="R1130"/>
    </row>
    <row r="1131" spans="5:18" s="2" customFormat="1" x14ac:dyDescent="0.2">
      <c r="J1131" s="3"/>
      <c r="K1131" s="3"/>
      <c r="L1131" s="3"/>
      <c r="M1131" s="3"/>
      <c r="R1131"/>
    </row>
    <row r="1132" spans="5:18" s="2" customFormat="1" x14ac:dyDescent="0.2">
      <c r="J1132" s="3"/>
      <c r="K1132" s="3"/>
      <c r="L1132" s="3"/>
      <c r="M1132" s="3"/>
      <c r="R1132"/>
    </row>
    <row r="1133" spans="5:18" s="2" customFormat="1" x14ac:dyDescent="0.2">
      <c r="J1133" s="3"/>
      <c r="K1133" s="3"/>
      <c r="L1133" s="3"/>
      <c r="M1133" s="3"/>
      <c r="R1133"/>
    </row>
    <row r="1134" spans="5:18" s="2" customFormat="1" x14ac:dyDescent="0.2">
      <c r="E1134" s="11"/>
      <c r="F1134" s="11"/>
      <c r="G1134" s="11"/>
      <c r="H1134" s="11"/>
      <c r="I1134" s="11"/>
      <c r="J1134" s="3"/>
      <c r="K1134" s="3"/>
      <c r="L1134" s="3"/>
      <c r="M1134" s="3"/>
      <c r="R1134"/>
    </row>
    <row r="1135" spans="5:18" s="2" customFormat="1" x14ac:dyDescent="0.2">
      <c r="J1135" s="3"/>
      <c r="K1135" s="3"/>
      <c r="L1135" s="3"/>
      <c r="M1135" s="3"/>
      <c r="R1135"/>
    </row>
    <row r="1136" spans="5:18" s="2" customFormat="1" x14ac:dyDescent="0.2">
      <c r="J1136" s="3"/>
      <c r="K1136" s="3"/>
      <c r="L1136" s="3"/>
      <c r="M1136" s="3"/>
      <c r="R1136"/>
    </row>
    <row r="1137" spans="1:18" x14ac:dyDescent="0.2">
      <c r="R1137"/>
    </row>
    <row r="1138" spans="1:18" x14ac:dyDescent="0.2">
      <c r="R1138"/>
    </row>
    <row r="1139" spans="1:18" x14ac:dyDescent="0.2">
      <c r="R1139"/>
    </row>
    <row r="1140" spans="1:18" x14ac:dyDescent="0.2">
      <c r="R1140"/>
    </row>
    <row r="1141" spans="1:18" x14ac:dyDescent="0.2">
      <c r="R1141"/>
    </row>
    <row r="1142" spans="1:18" x14ac:dyDescent="0.2">
      <c r="R1142"/>
    </row>
    <row r="1143" spans="1:18" x14ac:dyDescent="0.2">
      <c r="D1143" s="11"/>
      <c r="E1143" s="11"/>
      <c r="F1143" s="11"/>
      <c r="G1143" s="11"/>
      <c r="H1143" s="11"/>
      <c r="I1143" s="11"/>
      <c r="R1143"/>
    </row>
    <row r="1144" spans="1:18" x14ac:dyDescent="0.2">
      <c r="R1144"/>
    </row>
    <row r="1145" spans="1:18" x14ac:dyDescent="0.2">
      <c r="R1145"/>
    </row>
    <row r="1146" spans="1:18" x14ac:dyDescent="0.2">
      <c r="A1146" s="8"/>
      <c r="B1146" s="8"/>
      <c r="R1146"/>
    </row>
    <row r="1147" spans="1:18" x14ac:dyDescent="0.2">
      <c r="A1147" s="8"/>
      <c r="B1147" s="8"/>
      <c r="R1147"/>
    </row>
    <row r="1148" spans="1:18" x14ac:dyDescent="0.2">
      <c r="A1148" s="8"/>
      <c r="B1148" s="8"/>
      <c r="R1148"/>
    </row>
    <row r="1149" spans="1:18" x14ac:dyDescent="0.2">
      <c r="A1149" s="8"/>
      <c r="B1149" s="8"/>
      <c r="R1149"/>
    </row>
    <row r="1150" spans="1:18" x14ac:dyDescent="0.2">
      <c r="A1150" s="8"/>
      <c r="B1150" s="8"/>
      <c r="R1150"/>
    </row>
    <row r="1151" spans="1:18" x14ac:dyDescent="0.2">
      <c r="A1151" s="8"/>
      <c r="B1151" s="8"/>
      <c r="D1151" s="11"/>
      <c r="E1151" s="11"/>
      <c r="F1151" s="11"/>
      <c r="G1151" s="11"/>
      <c r="H1151" s="11"/>
      <c r="I1151" s="11"/>
      <c r="R1151"/>
    </row>
    <row r="1152" spans="1:18" x14ac:dyDescent="0.2">
      <c r="A1152" s="8"/>
      <c r="B1152" s="8"/>
      <c r="R1152"/>
    </row>
    <row r="1153" spans="1:18" x14ac:dyDescent="0.2">
      <c r="R1153"/>
    </row>
    <row r="1154" spans="1:18" x14ac:dyDescent="0.2">
      <c r="A1154" s="8"/>
      <c r="B1154" s="8"/>
      <c r="R1154"/>
    </row>
    <row r="1155" spans="1:18" x14ac:dyDescent="0.2">
      <c r="R1155"/>
    </row>
    <row r="1156" spans="1:18" x14ac:dyDescent="0.2">
      <c r="R1156"/>
    </row>
    <row r="1157" spans="1:18" x14ac:dyDescent="0.2">
      <c r="R1157"/>
    </row>
    <row r="1158" spans="1:18" x14ac:dyDescent="0.2">
      <c r="R1158"/>
    </row>
    <row r="1159" spans="1:18" x14ac:dyDescent="0.2">
      <c r="R1159"/>
    </row>
    <row r="1160" spans="1:18" x14ac:dyDescent="0.2">
      <c r="R1160"/>
    </row>
    <row r="1161" spans="1:18" x14ac:dyDescent="0.2">
      <c r="A1161" s="8"/>
      <c r="B1161" s="8"/>
      <c r="R1161"/>
    </row>
    <row r="1162" spans="1:18" s="3" customFormat="1" x14ac:dyDescent="0.2">
      <c r="A1162" s="8"/>
      <c r="B1162" s="8"/>
      <c r="D1162" s="2"/>
      <c r="E1162" s="2"/>
      <c r="F1162" s="2"/>
      <c r="G1162" s="2"/>
      <c r="H1162" s="2"/>
      <c r="I1162" s="2"/>
      <c r="N1162" s="2"/>
      <c r="O1162" s="2"/>
      <c r="P1162" s="2"/>
      <c r="Q1162" s="2"/>
      <c r="R1162"/>
    </row>
    <row r="1163" spans="1:18" s="3" customFormat="1" x14ac:dyDescent="0.2">
      <c r="D1163" s="2"/>
      <c r="E1163" s="2"/>
      <c r="F1163" s="2"/>
      <c r="G1163" s="2"/>
      <c r="H1163" s="2"/>
      <c r="I1163" s="2"/>
      <c r="N1163" s="2"/>
      <c r="O1163" s="2"/>
      <c r="P1163" s="2"/>
      <c r="Q1163" s="2"/>
      <c r="R1163"/>
    </row>
    <row r="1164" spans="1:18" s="3" customFormat="1" x14ac:dyDescent="0.2">
      <c r="D1164" s="2"/>
      <c r="E1164" s="2"/>
      <c r="F1164" s="2"/>
      <c r="G1164" s="2"/>
      <c r="H1164" s="2"/>
      <c r="I1164" s="2"/>
      <c r="N1164" s="2"/>
      <c r="O1164" s="2"/>
      <c r="P1164" s="2"/>
      <c r="Q1164" s="2"/>
      <c r="R1164"/>
    </row>
    <row r="1165" spans="1:18" s="3" customFormat="1" x14ac:dyDescent="0.2">
      <c r="A1165" s="8"/>
      <c r="B1165" s="8"/>
      <c r="D1165" s="2"/>
      <c r="E1165" s="2"/>
      <c r="F1165" s="2"/>
      <c r="G1165" s="2"/>
      <c r="H1165" s="2"/>
      <c r="I1165" s="2"/>
      <c r="N1165" s="2"/>
      <c r="O1165" s="2"/>
      <c r="P1165" s="2"/>
      <c r="Q1165" s="2"/>
      <c r="R1165"/>
    </row>
    <row r="1166" spans="1:18" s="3" customFormat="1" x14ac:dyDescent="0.2">
      <c r="A1166" s="8"/>
      <c r="B1166" s="8"/>
      <c r="D1166" s="2"/>
      <c r="E1166" s="2"/>
      <c r="F1166" s="2"/>
      <c r="G1166" s="2"/>
      <c r="H1166" s="2"/>
      <c r="I1166" s="2"/>
      <c r="N1166" s="2"/>
      <c r="O1166" s="2"/>
      <c r="P1166" s="2"/>
      <c r="Q1166" s="2"/>
      <c r="R1166"/>
    </row>
    <row r="1167" spans="1:18" s="3" customFormat="1" x14ac:dyDescent="0.2">
      <c r="D1167" s="2"/>
      <c r="E1167" s="2"/>
      <c r="F1167" s="2"/>
      <c r="G1167" s="2"/>
      <c r="H1167" s="2"/>
      <c r="I1167" s="2"/>
      <c r="N1167" s="2"/>
      <c r="O1167" s="2"/>
      <c r="P1167" s="2"/>
      <c r="Q1167" s="2"/>
      <c r="R1167"/>
    </row>
    <row r="1168" spans="1:18" s="3" customFormat="1" x14ac:dyDescent="0.2">
      <c r="D1168" s="2"/>
      <c r="E1168" s="2"/>
      <c r="F1168" s="2"/>
      <c r="G1168" s="2"/>
      <c r="H1168" s="2"/>
      <c r="I1168" s="2"/>
      <c r="N1168" s="2"/>
      <c r="O1168" s="2"/>
      <c r="P1168" s="2"/>
      <c r="Q1168" s="2"/>
      <c r="R1168"/>
    </row>
    <row r="1169" spans="4:18" s="3" customFormat="1" x14ac:dyDescent="0.2">
      <c r="D1169" s="2"/>
      <c r="E1169" s="2"/>
      <c r="F1169" s="2"/>
      <c r="G1169" s="2"/>
      <c r="H1169" s="2"/>
      <c r="I1169" s="2"/>
      <c r="N1169" s="2"/>
      <c r="O1169" s="2"/>
      <c r="P1169" s="2"/>
      <c r="Q1169" s="2"/>
      <c r="R1169"/>
    </row>
    <row r="1170" spans="4:18" s="3" customFormat="1" x14ac:dyDescent="0.2">
      <c r="D1170" s="2"/>
      <c r="E1170" s="2"/>
      <c r="F1170" s="2"/>
      <c r="G1170" s="2"/>
      <c r="H1170" s="2"/>
      <c r="I1170" s="2"/>
      <c r="N1170" s="2"/>
      <c r="O1170" s="2"/>
      <c r="P1170" s="2"/>
      <c r="Q1170" s="2"/>
      <c r="R1170"/>
    </row>
    <row r="1171" spans="4:18" s="3" customFormat="1" x14ac:dyDescent="0.2">
      <c r="D1171" s="2"/>
      <c r="E1171" s="2"/>
      <c r="F1171" s="2"/>
      <c r="G1171" s="2"/>
      <c r="H1171" s="2"/>
      <c r="I1171" s="2"/>
      <c r="N1171" s="2"/>
      <c r="O1171" s="2"/>
      <c r="P1171" s="2"/>
      <c r="Q1171" s="2"/>
      <c r="R1171"/>
    </row>
    <row r="1172" spans="4:18" s="3" customFormat="1" x14ac:dyDescent="0.2">
      <c r="D1172" s="2"/>
      <c r="E1172" s="2"/>
      <c r="F1172" s="2"/>
      <c r="G1172" s="2"/>
      <c r="H1172" s="2"/>
      <c r="I1172" s="2"/>
      <c r="N1172" s="2"/>
      <c r="O1172" s="2"/>
      <c r="P1172" s="2"/>
      <c r="Q1172" s="2"/>
      <c r="R1172"/>
    </row>
    <row r="1173" spans="4:18" s="3" customFormat="1" x14ac:dyDescent="0.2">
      <c r="D1173" s="2"/>
      <c r="E1173" s="2"/>
      <c r="F1173" s="2"/>
      <c r="G1173" s="2"/>
      <c r="H1173" s="2"/>
      <c r="I1173" s="2"/>
      <c r="N1173" s="2"/>
      <c r="O1173" s="2"/>
      <c r="P1173" s="2"/>
      <c r="Q1173" s="2"/>
      <c r="R1173"/>
    </row>
    <row r="1174" spans="4:18" s="3" customFormat="1" x14ac:dyDescent="0.2">
      <c r="D1174" s="2"/>
      <c r="E1174" s="2"/>
      <c r="F1174" s="2"/>
      <c r="G1174" s="2"/>
      <c r="H1174" s="2"/>
      <c r="I1174" s="2"/>
      <c r="N1174" s="2"/>
      <c r="O1174" s="2"/>
      <c r="P1174" s="2"/>
      <c r="Q1174" s="2"/>
      <c r="R1174"/>
    </row>
    <row r="1175" spans="4:18" s="3" customFormat="1" x14ac:dyDescent="0.2">
      <c r="D1175" s="2"/>
      <c r="E1175" s="2"/>
      <c r="F1175" s="2"/>
      <c r="G1175" s="2"/>
      <c r="H1175" s="2"/>
      <c r="I1175" s="2"/>
      <c r="N1175" s="2"/>
      <c r="O1175" s="2"/>
      <c r="P1175" s="2"/>
      <c r="Q1175" s="2"/>
      <c r="R1175"/>
    </row>
    <row r="1176" spans="4:18" s="3" customFormat="1" x14ac:dyDescent="0.2">
      <c r="D1176" s="2"/>
      <c r="E1176" s="2"/>
      <c r="F1176" s="2"/>
      <c r="G1176" s="2"/>
      <c r="H1176" s="2"/>
      <c r="I1176" s="2"/>
      <c r="N1176" s="2"/>
      <c r="O1176" s="2"/>
      <c r="P1176" s="2"/>
      <c r="Q1176" s="2"/>
      <c r="R1176"/>
    </row>
    <row r="1177" spans="4:18" s="3" customFormat="1" x14ac:dyDescent="0.2">
      <c r="D1177" s="2"/>
      <c r="E1177" s="2"/>
      <c r="F1177" s="2"/>
      <c r="G1177" s="2"/>
      <c r="H1177" s="2"/>
      <c r="I1177" s="2"/>
      <c r="N1177" s="2"/>
      <c r="O1177" s="2"/>
      <c r="P1177" s="2"/>
      <c r="Q1177" s="2"/>
      <c r="R1177"/>
    </row>
    <row r="1178" spans="4:18" s="3" customFormat="1" x14ac:dyDescent="0.2">
      <c r="D1178" s="2"/>
      <c r="E1178" s="2"/>
      <c r="F1178" s="2"/>
      <c r="G1178" s="2"/>
      <c r="H1178" s="2"/>
      <c r="I1178" s="2"/>
      <c r="N1178" s="2"/>
      <c r="O1178" s="2"/>
      <c r="P1178" s="2"/>
      <c r="Q1178" s="2"/>
      <c r="R1178"/>
    </row>
    <row r="1179" spans="4:18" s="3" customFormat="1" x14ac:dyDescent="0.2">
      <c r="D1179" s="2"/>
      <c r="E1179" s="2"/>
      <c r="F1179" s="2"/>
      <c r="G1179" s="2"/>
      <c r="H1179" s="2"/>
      <c r="I1179" s="2"/>
      <c r="N1179" s="2"/>
      <c r="O1179" s="2"/>
      <c r="P1179" s="2"/>
      <c r="Q1179" s="2"/>
      <c r="R1179"/>
    </row>
    <row r="1180" spans="4:18" s="3" customFormat="1" x14ac:dyDescent="0.2">
      <c r="D1180" s="2"/>
      <c r="E1180" s="2"/>
      <c r="F1180" s="2"/>
      <c r="G1180" s="2"/>
      <c r="H1180" s="2"/>
      <c r="I1180" s="2"/>
      <c r="N1180" s="2"/>
      <c r="O1180" s="2"/>
      <c r="P1180" s="2"/>
      <c r="Q1180" s="2"/>
      <c r="R1180"/>
    </row>
    <row r="1181" spans="4:18" s="3" customFormat="1" x14ac:dyDescent="0.2">
      <c r="D1181" s="2"/>
      <c r="E1181" s="2"/>
      <c r="F1181" s="2"/>
      <c r="G1181" s="2"/>
      <c r="H1181" s="2"/>
      <c r="I1181" s="2"/>
      <c r="N1181" s="2"/>
      <c r="O1181" s="2"/>
      <c r="P1181" s="2"/>
      <c r="Q1181" s="2"/>
      <c r="R1181"/>
    </row>
    <row r="1182" spans="4:18" s="3" customFormat="1" x14ac:dyDescent="0.2">
      <c r="D1182" s="2"/>
      <c r="E1182" s="2"/>
      <c r="F1182" s="2"/>
      <c r="G1182" s="2"/>
      <c r="H1182" s="2"/>
      <c r="I1182" s="2"/>
      <c r="N1182" s="2"/>
      <c r="O1182" s="2"/>
      <c r="P1182" s="2"/>
      <c r="Q1182" s="2"/>
      <c r="R1182"/>
    </row>
    <row r="1183" spans="4:18" s="3" customFormat="1" x14ac:dyDescent="0.2">
      <c r="D1183" s="2"/>
      <c r="E1183" s="2"/>
      <c r="F1183" s="2"/>
      <c r="G1183" s="2"/>
      <c r="H1183" s="2"/>
      <c r="I1183" s="2"/>
      <c r="N1183" s="2"/>
      <c r="O1183" s="2"/>
      <c r="P1183" s="2"/>
      <c r="Q1183" s="2"/>
      <c r="R1183"/>
    </row>
    <row r="1184" spans="4:18" s="3" customFormat="1" x14ac:dyDescent="0.2">
      <c r="D1184" s="2"/>
      <c r="E1184" s="2"/>
      <c r="F1184" s="2"/>
      <c r="G1184" s="2"/>
      <c r="H1184" s="2"/>
      <c r="I1184" s="2"/>
      <c r="N1184" s="2"/>
      <c r="O1184" s="2"/>
      <c r="P1184" s="2"/>
      <c r="Q1184" s="2"/>
      <c r="R1184"/>
    </row>
    <row r="1185" spans="4:18" s="3" customFormat="1" x14ac:dyDescent="0.2">
      <c r="D1185" s="2"/>
      <c r="E1185" s="2"/>
      <c r="F1185" s="2"/>
      <c r="G1185" s="2"/>
      <c r="H1185" s="2"/>
      <c r="I1185" s="2"/>
      <c r="N1185" s="2"/>
      <c r="O1185" s="2"/>
      <c r="P1185" s="2"/>
      <c r="Q1185" s="2"/>
      <c r="R1185"/>
    </row>
    <row r="1186" spans="4:18" s="3" customFormat="1" x14ac:dyDescent="0.2">
      <c r="D1186" s="2"/>
      <c r="E1186" s="2"/>
      <c r="F1186" s="2"/>
      <c r="G1186" s="2"/>
      <c r="H1186" s="2"/>
      <c r="I1186" s="2"/>
      <c r="N1186" s="2"/>
      <c r="O1186" s="2"/>
      <c r="P1186" s="2"/>
      <c r="Q1186" s="2"/>
      <c r="R1186"/>
    </row>
    <row r="1187" spans="4:18" s="3" customFormat="1" x14ac:dyDescent="0.2">
      <c r="D1187" s="2"/>
      <c r="E1187" s="2"/>
      <c r="F1187" s="2"/>
      <c r="G1187" s="2"/>
      <c r="H1187" s="2"/>
      <c r="I1187" s="2"/>
      <c r="N1187" s="2"/>
      <c r="O1187" s="2"/>
      <c r="P1187" s="2"/>
      <c r="Q1187" s="2"/>
      <c r="R1187"/>
    </row>
    <row r="1188" spans="4:18" s="3" customFormat="1" x14ac:dyDescent="0.2">
      <c r="D1188" s="2"/>
      <c r="E1188" s="2"/>
      <c r="F1188" s="2"/>
      <c r="G1188" s="2"/>
      <c r="H1188" s="2"/>
      <c r="I1188" s="2"/>
      <c r="N1188" s="2"/>
      <c r="O1188" s="2"/>
      <c r="P1188" s="2"/>
      <c r="Q1188" s="2"/>
      <c r="R1188"/>
    </row>
    <row r="1189" spans="4:18" s="3" customFormat="1" x14ac:dyDescent="0.2">
      <c r="D1189" s="2"/>
      <c r="E1189" s="2"/>
      <c r="F1189" s="2"/>
      <c r="G1189" s="2"/>
      <c r="H1189" s="2"/>
      <c r="I1189" s="2"/>
      <c r="N1189" s="2"/>
      <c r="O1189" s="2"/>
      <c r="P1189" s="2"/>
      <c r="Q1189" s="2"/>
      <c r="R1189"/>
    </row>
    <row r="1190" spans="4:18" s="3" customFormat="1" x14ac:dyDescent="0.2">
      <c r="D1190" s="2"/>
      <c r="E1190" s="2"/>
      <c r="F1190" s="2"/>
      <c r="G1190" s="2"/>
      <c r="H1190" s="2"/>
      <c r="I1190" s="2"/>
      <c r="N1190" s="2"/>
      <c r="O1190" s="2"/>
      <c r="P1190" s="2"/>
      <c r="Q1190" s="2"/>
      <c r="R1190"/>
    </row>
    <row r="1191" spans="4:18" s="3" customFormat="1" x14ac:dyDescent="0.2">
      <c r="D1191" s="2"/>
      <c r="E1191" s="2"/>
      <c r="F1191" s="2"/>
      <c r="G1191" s="2"/>
      <c r="H1191" s="2"/>
      <c r="I1191" s="2"/>
      <c r="N1191" s="2"/>
      <c r="O1191" s="2"/>
      <c r="P1191" s="2"/>
      <c r="Q1191" s="2"/>
      <c r="R1191"/>
    </row>
    <row r="1192" spans="4:18" s="3" customFormat="1" x14ac:dyDescent="0.2">
      <c r="D1192" s="2"/>
      <c r="E1192" s="2"/>
      <c r="F1192" s="2"/>
      <c r="G1192" s="2"/>
      <c r="H1192" s="2"/>
      <c r="I1192" s="2"/>
      <c r="N1192" s="2"/>
      <c r="O1192" s="2"/>
      <c r="P1192" s="2"/>
      <c r="Q1192" s="2"/>
      <c r="R1192"/>
    </row>
    <row r="1193" spans="4:18" s="3" customFormat="1" x14ac:dyDescent="0.2">
      <c r="D1193" s="2"/>
      <c r="E1193" s="2"/>
      <c r="F1193" s="2"/>
      <c r="G1193" s="2"/>
      <c r="H1193" s="2"/>
      <c r="I1193" s="2"/>
      <c r="N1193" s="2"/>
      <c r="O1193" s="2"/>
      <c r="P1193" s="2"/>
      <c r="Q1193" s="2"/>
      <c r="R1193"/>
    </row>
    <row r="1194" spans="4:18" s="3" customFormat="1" x14ac:dyDescent="0.2">
      <c r="D1194" s="2"/>
      <c r="E1194" s="2"/>
      <c r="F1194" s="2"/>
      <c r="G1194" s="2"/>
      <c r="H1194" s="2"/>
      <c r="I1194" s="2"/>
      <c r="N1194" s="2"/>
      <c r="O1194" s="2"/>
      <c r="P1194" s="2"/>
      <c r="Q1194" s="2"/>
      <c r="R1194"/>
    </row>
    <row r="1195" spans="4:18" s="3" customFormat="1" x14ac:dyDescent="0.2">
      <c r="D1195" s="2"/>
      <c r="E1195" s="2"/>
      <c r="F1195" s="2"/>
      <c r="G1195" s="2"/>
      <c r="H1195" s="2"/>
      <c r="I1195" s="2"/>
      <c r="N1195" s="2"/>
      <c r="O1195" s="2"/>
      <c r="P1195" s="2"/>
      <c r="Q1195" s="2"/>
      <c r="R1195"/>
    </row>
    <row r="1196" spans="4:18" s="3" customFormat="1" x14ac:dyDescent="0.2">
      <c r="D1196" s="2"/>
      <c r="E1196" s="2"/>
      <c r="F1196" s="2"/>
      <c r="G1196" s="2"/>
      <c r="H1196" s="2"/>
      <c r="I1196" s="2"/>
      <c r="N1196" s="2"/>
      <c r="O1196" s="2"/>
      <c r="P1196" s="2"/>
      <c r="Q1196" s="2"/>
      <c r="R1196"/>
    </row>
    <row r="1197" spans="4:18" s="3" customFormat="1" x14ac:dyDescent="0.2">
      <c r="D1197" s="2"/>
      <c r="E1197" s="2"/>
      <c r="F1197" s="2"/>
      <c r="G1197" s="2"/>
      <c r="H1197" s="2"/>
      <c r="I1197" s="2"/>
      <c r="N1197" s="2"/>
      <c r="O1197" s="2"/>
      <c r="P1197" s="2"/>
      <c r="Q1197" s="2"/>
      <c r="R1197"/>
    </row>
    <row r="1198" spans="4:18" s="3" customFormat="1" x14ac:dyDescent="0.2">
      <c r="D1198" s="2"/>
      <c r="E1198" s="2"/>
      <c r="F1198" s="2"/>
      <c r="G1198" s="2"/>
      <c r="H1198" s="2"/>
      <c r="I1198" s="2"/>
      <c r="N1198" s="2"/>
      <c r="O1198" s="2"/>
      <c r="P1198" s="2"/>
      <c r="Q1198" s="2"/>
      <c r="R1198"/>
    </row>
    <row r="1199" spans="4:18" s="3" customFormat="1" x14ac:dyDescent="0.2">
      <c r="D1199" s="2"/>
      <c r="E1199" s="2"/>
      <c r="F1199" s="2"/>
      <c r="G1199" s="2"/>
      <c r="H1199" s="2"/>
      <c r="I1199" s="2"/>
      <c r="N1199" s="2"/>
      <c r="O1199" s="2"/>
      <c r="P1199" s="2"/>
      <c r="Q1199" s="2"/>
      <c r="R1199"/>
    </row>
    <row r="1200" spans="4:18" s="3" customFormat="1" x14ac:dyDescent="0.2">
      <c r="D1200" s="2"/>
      <c r="E1200" s="2"/>
      <c r="F1200" s="2"/>
      <c r="G1200" s="2"/>
      <c r="H1200" s="2"/>
      <c r="I1200" s="2"/>
      <c r="N1200" s="2"/>
      <c r="O1200" s="2"/>
      <c r="P1200" s="2"/>
      <c r="Q1200" s="2"/>
      <c r="R1200"/>
    </row>
    <row r="1201" spans="4:18" s="3" customFormat="1" x14ac:dyDescent="0.2">
      <c r="D1201" s="2"/>
      <c r="E1201" s="2"/>
      <c r="F1201" s="2"/>
      <c r="G1201" s="2"/>
      <c r="H1201" s="2"/>
      <c r="I1201" s="2"/>
      <c r="N1201" s="2"/>
      <c r="O1201" s="2"/>
      <c r="P1201" s="2"/>
      <c r="Q1201" s="2"/>
      <c r="R1201"/>
    </row>
    <row r="1202" spans="4:18" s="3" customFormat="1" x14ac:dyDescent="0.2">
      <c r="D1202" s="2"/>
      <c r="E1202" s="2"/>
      <c r="F1202" s="2"/>
      <c r="G1202" s="2"/>
      <c r="H1202" s="2"/>
      <c r="I1202" s="2"/>
      <c r="N1202" s="2"/>
      <c r="O1202" s="2"/>
      <c r="P1202" s="2"/>
      <c r="Q1202" s="2"/>
      <c r="R1202"/>
    </row>
    <row r="1203" spans="4:18" s="3" customFormat="1" x14ac:dyDescent="0.2">
      <c r="D1203" s="2"/>
      <c r="E1203" s="2"/>
      <c r="F1203" s="2"/>
      <c r="G1203" s="2"/>
      <c r="H1203" s="2"/>
      <c r="I1203" s="2"/>
      <c r="N1203" s="2"/>
      <c r="O1203" s="2"/>
      <c r="P1203" s="2"/>
      <c r="Q1203" s="2"/>
      <c r="R1203"/>
    </row>
    <row r="1204" spans="4:18" s="3" customFormat="1" x14ac:dyDescent="0.2">
      <c r="D1204" s="2"/>
      <c r="E1204" s="2"/>
      <c r="F1204" s="2"/>
      <c r="G1204" s="2"/>
      <c r="H1204" s="2"/>
      <c r="I1204" s="2"/>
      <c r="N1204" s="2"/>
      <c r="O1204" s="2"/>
      <c r="P1204" s="2"/>
      <c r="Q1204" s="2"/>
      <c r="R1204"/>
    </row>
    <row r="1205" spans="4:18" s="3" customFormat="1" x14ac:dyDescent="0.2">
      <c r="D1205" s="2"/>
      <c r="E1205" s="2"/>
      <c r="F1205" s="2"/>
      <c r="G1205" s="2"/>
      <c r="H1205" s="2"/>
      <c r="I1205" s="2"/>
      <c r="N1205" s="2"/>
      <c r="O1205" s="2"/>
      <c r="P1205" s="2"/>
      <c r="Q1205" s="2"/>
      <c r="R1205"/>
    </row>
    <row r="1206" spans="4:18" s="3" customFormat="1" x14ac:dyDescent="0.2">
      <c r="D1206" s="2"/>
      <c r="E1206" s="2"/>
      <c r="F1206" s="2"/>
      <c r="G1206" s="2"/>
      <c r="H1206" s="2"/>
      <c r="I1206" s="2"/>
      <c r="N1206" s="2"/>
      <c r="O1206" s="2"/>
      <c r="P1206" s="2"/>
      <c r="Q1206" s="2"/>
      <c r="R1206"/>
    </row>
    <row r="1207" spans="4:18" s="3" customFormat="1" x14ac:dyDescent="0.2">
      <c r="D1207" s="2"/>
      <c r="E1207" s="2"/>
      <c r="F1207" s="2"/>
      <c r="G1207" s="2"/>
      <c r="H1207" s="2"/>
      <c r="I1207" s="2"/>
      <c r="N1207" s="2"/>
      <c r="O1207" s="2"/>
      <c r="P1207" s="2"/>
      <c r="Q1207" s="2"/>
      <c r="R1207"/>
    </row>
    <row r="1208" spans="4:18" s="3" customFormat="1" x14ac:dyDescent="0.2">
      <c r="D1208" s="2"/>
      <c r="E1208" s="2"/>
      <c r="F1208" s="2"/>
      <c r="G1208" s="2"/>
      <c r="H1208" s="2"/>
      <c r="I1208" s="2"/>
      <c r="N1208" s="2"/>
      <c r="O1208" s="2"/>
      <c r="P1208" s="2"/>
      <c r="Q1208" s="2"/>
      <c r="R1208"/>
    </row>
    <row r="1209" spans="4:18" s="3" customFormat="1" x14ac:dyDescent="0.2">
      <c r="D1209" s="2"/>
      <c r="E1209" s="2"/>
      <c r="F1209" s="2"/>
      <c r="G1209" s="2"/>
      <c r="H1209" s="2"/>
      <c r="I1209" s="2"/>
      <c r="N1209" s="2"/>
      <c r="O1209" s="2"/>
      <c r="P1209" s="2"/>
      <c r="Q1209" s="2"/>
      <c r="R1209"/>
    </row>
    <row r="1210" spans="4:18" s="3" customFormat="1" x14ac:dyDescent="0.2">
      <c r="D1210" s="2"/>
      <c r="E1210" s="2"/>
      <c r="F1210" s="2"/>
      <c r="G1210" s="2"/>
      <c r="H1210" s="2"/>
      <c r="I1210" s="2"/>
      <c r="N1210" s="2"/>
      <c r="O1210" s="2"/>
      <c r="P1210" s="2"/>
      <c r="Q1210" s="2"/>
      <c r="R1210"/>
    </row>
    <row r="1211" spans="4:18" s="3" customFormat="1" x14ac:dyDescent="0.2">
      <c r="D1211" s="2"/>
      <c r="E1211" s="2"/>
      <c r="F1211" s="2"/>
      <c r="G1211" s="2"/>
      <c r="H1211" s="2"/>
      <c r="I1211" s="2"/>
      <c r="N1211" s="2"/>
      <c r="O1211" s="2"/>
      <c r="P1211" s="2"/>
      <c r="Q1211" s="2"/>
      <c r="R1211"/>
    </row>
    <row r="1212" spans="4:18" s="3" customFormat="1" x14ac:dyDescent="0.2">
      <c r="D1212" s="2"/>
      <c r="E1212" s="2"/>
      <c r="F1212" s="2"/>
      <c r="G1212" s="2"/>
      <c r="H1212" s="2"/>
      <c r="I1212" s="2"/>
      <c r="N1212" s="2"/>
      <c r="O1212" s="2"/>
      <c r="P1212" s="2"/>
      <c r="Q1212" s="2"/>
      <c r="R1212"/>
    </row>
    <row r="1213" spans="4:18" s="3" customFormat="1" x14ac:dyDescent="0.2">
      <c r="D1213" s="2"/>
      <c r="E1213" s="2"/>
      <c r="F1213" s="2"/>
      <c r="G1213" s="2"/>
      <c r="H1213" s="2"/>
      <c r="I1213" s="2"/>
      <c r="N1213" s="2"/>
      <c r="O1213" s="2"/>
      <c r="P1213" s="2"/>
      <c r="Q1213" s="2"/>
      <c r="R1213"/>
    </row>
    <row r="1214" spans="4:18" s="3" customFormat="1" x14ac:dyDescent="0.2">
      <c r="D1214" s="2"/>
      <c r="E1214" s="2"/>
      <c r="F1214" s="2"/>
      <c r="G1214" s="2"/>
      <c r="H1214" s="2"/>
      <c r="I1214" s="2"/>
      <c r="N1214" s="2"/>
      <c r="O1214" s="2"/>
      <c r="P1214" s="2"/>
      <c r="Q1214" s="2"/>
      <c r="R1214"/>
    </row>
    <row r="1215" spans="4:18" s="3" customFormat="1" x14ac:dyDescent="0.2">
      <c r="D1215" s="2"/>
      <c r="E1215" s="2"/>
      <c r="F1215" s="2"/>
      <c r="G1215" s="2"/>
      <c r="H1215" s="2"/>
      <c r="I1215" s="2"/>
      <c r="N1215" s="2"/>
      <c r="O1215" s="2"/>
      <c r="P1215" s="2"/>
      <c r="Q1215" s="2"/>
      <c r="R1215"/>
    </row>
    <row r="1216" spans="4:18" s="3" customFormat="1" x14ac:dyDescent="0.2">
      <c r="D1216" s="2"/>
      <c r="E1216" s="2"/>
      <c r="F1216" s="2"/>
      <c r="G1216" s="2"/>
      <c r="H1216" s="2"/>
      <c r="I1216" s="2"/>
      <c r="N1216" s="2"/>
      <c r="O1216" s="2"/>
      <c r="P1216" s="2"/>
      <c r="Q1216" s="2"/>
      <c r="R1216"/>
    </row>
    <row r="1217" spans="4:18" s="3" customFormat="1" x14ac:dyDescent="0.2">
      <c r="D1217" s="2"/>
      <c r="E1217" s="2"/>
      <c r="F1217" s="2"/>
      <c r="G1217" s="2"/>
      <c r="H1217" s="2"/>
      <c r="I1217" s="2"/>
      <c r="N1217" s="2"/>
      <c r="O1217" s="2"/>
      <c r="P1217" s="2"/>
      <c r="Q1217" s="2"/>
      <c r="R1217"/>
    </row>
    <row r="1218" spans="4:18" s="3" customFormat="1" x14ac:dyDescent="0.2">
      <c r="D1218" s="2"/>
      <c r="E1218" s="2"/>
      <c r="F1218" s="2"/>
      <c r="G1218" s="2"/>
      <c r="H1218" s="2"/>
      <c r="I1218" s="2"/>
      <c r="N1218" s="2"/>
      <c r="O1218" s="2"/>
      <c r="P1218" s="2"/>
      <c r="Q1218" s="2"/>
      <c r="R1218"/>
    </row>
    <row r="1219" spans="4:18" s="3" customFormat="1" x14ac:dyDescent="0.2">
      <c r="D1219" s="2"/>
      <c r="E1219" s="2"/>
      <c r="F1219" s="2"/>
      <c r="G1219" s="2"/>
      <c r="H1219" s="2"/>
      <c r="I1219" s="2"/>
      <c r="N1219" s="2"/>
      <c r="O1219" s="2"/>
      <c r="P1219" s="2"/>
      <c r="Q1219" s="2"/>
      <c r="R1219"/>
    </row>
    <row r="1220" spans="4:18" s="3" customFormat="1" x14ac:dyDescent="0.2">
      <c r="D1220" s="2"/>
      <c r="E1220" s="2"/>
      <c r="F1220" s="2"/>
      <c r="G1220" s="2"/>
      <c r="H1220" s="2"/>
      <c r="I1220" s="2"/>
      <c r="N1220" s="2"/>
      <c r="O1220" s="2"/>
      <c r="P1220" s="2"/>
      <c r="Q1220" s="2"/>
      <c r="R1220"/>
    </row>
    <row r="1221" spans="4:18" s="3" customFormat="1" x14ac:dyDescent="0.2">
      <c r="D1221" s="2"/>
      <c r="E1221" s="2"/>
      <c r="F1221" s="2"/>
      <c r="G1221" s="2"/>
      <c r="H1221" s="2"/>
      <c r="I1221" s="2"/>
      <c r="N1221" s="2"/>
      <c r="O1221" s="2"/>
      <c r="P1221" s="2"/>
      <c r="Q1221" s="2"/>
      <c r="R1221"/>
    </row>
    <row r="1222" spans="4:18" s="3" customFormat="1" x14ac:dyDescent="0.2">
      <c r="D1222" s="2"/>
      <c r="E1222" s="2"/>
      <c r="F1222" s="2"/>
      <c r="G1222" s="2"/>
      <c r="H1222" s="2"/>
      <c r="I1222" s="2"/>
      <c r="N1222" s="2"/>
      <c r="O1222" s="2"/>
      <c r="P1222" s="2"/>
      <c r="Q1222" s="2"/>
      <c r="R1222"/>
    </row>
    <row r="1223" spans="4:18" s="3" customFormat="1" x14ac:dyDescent="0.2">
      <c r="D1223" s="2"/>
      <c r="E1223" s="2"/>
      <c r="F1223" s="2"/>
      <c r="G1223" s="2"/>
      <c r="H1223" s="2"/>
      <c r="I1223" s="2"/>
      <c r="N1223" s="2"/>
      <c r="O1223" s="2"/>
      <c r="P1223" s="2"/>
      <c r="Q1223" s="2"/>
      <c r="R1223"/>
    </row>
    <row r="1224" spans="4:18" s="3" customFormat="1" x14ac:dyDescent="0.2">
      <c r="D1224" s="2"/>
      <c r="E1224" s="2"/>
      <c r="F1224" s="2"/>
      <c r="G1224" s="2"/>
      <c r="H1224" s="2"/>
      <c r="I1224" s="2"/>
      <c r="N1224" s="2"/>
      <c r="O1224" s="2"/>
      <c r="P1224" s="2"/>
      <c r="Q1224" s="2"/>
      <c r="R1224"/>
    </row>
    <row r="1225" spans="4:18" s="3" customFormat="1" x14ac:dyDescent="0.2">
      <c r="D1225" s="2"/>
      <c r="E1225" s="2"/>
      <c r="F1225" s="2"/>
      <c r="G1225" s="2"/>
      <c r="H1225" s="2"/>
      <c r="I1225" s="2"/>
      <c r="N1225" s="2"/>
      <c r="O1225" s="2"/>
      <c r="P1225" s="2"/>
      <c r="Q1225" s="2"/>
      <c r="R1225"/>
    </row>
    <row r="1226" spans="4:18" s="3" customFormat="1" x14ac:dyDescent="0.2">
      <c r="D1226" s="2"/>
      <c r="E1226" s="2"/>
      <c r="F1226" s="2"/>
      <c r="G1226" s="2"/>
      <c r="H1226" s="2"/>
      <c r="I1226" s="2"/>
      <c r="N1226" s="2"/>
      <c r="O1226" s="2"/>
      <c r="P1226" s="2"/>
      <c r="Q1226" s="2"/>
      <c r="R1226"/>
    </row>
    <row r="1227" spans="4:18" s="3" customFormat="1" x14ac:dyDescent="0.2">
      <c r="D1227" s="2"/>
      <c r="E1227" s="2"/>
      <c r="F1227" s="2"/>
      <c r="G1227" s="2"/>
      <c r="H1227" s="2"/>
      <c r="I1227" s="2"/>
      <c r="N1227" s="2"/>
      <c r="O1227" s="2"/>
      <c r="P1227" s="2"/>
      <c r="Q1227" s="2"/>
      <c r="R1227"/>
    </row>
    <row r="1228" spans="4:18" s="3" customFormat="1" x14ac:dyDescent="0.2">
      <c r="D1228" s="2"/>
      <c r="E1228" s="2"/>
      <c r="F1228" s="2"/>
      <c r="G1228" s="2"/>
      <c r="H1228" s="2"/>
      <c r="I1228" s="2"/>
      <c r="N1228" s="2"/>
      <c r="O1228" s="2"/>
      <c r="P1228" s="2"/>
      <c r="Q1228" s="2"/>
      <c r="R1228"/>
    </row>
    <row r="1229" spans="4:18" s="3" customFormat="1" x14ac:dyDescent="0.2">
      <c r="D1229" s="2"/>
      <c r="E1229" s="2"/>
      <c r="F1229" s="2"/>
      <c r="G1229" s="2"/>
      <c r="H1229" s="2"/>
      <c r="I1229" s="2"/>
      <c r="N1229" s="2"/>
      <c r="O1229" s="2"/>
      <c r="P1229" s="2"/>
      <c r="Q1229" s="2"/>
      <c r="R1229"/>
    </row>
    <row r="1230" spans="4:18" s="3" customFormat="1" x14ac:dyDescent="0.2">
      <c r="D1230" s="2"/>
      <c r="E1230" s="2"/>
      <c r="F1230" s="2"/>
      <c r="G1230" s="2"/>
      <c r="H1230" s="2"/>
      <c r="I1230" s="2"/>
      <c r="N1230" s="2"/>
      <c r="O1230" s="2"/>
      <c r="P1230" s="2"/>
      <c r="Q1230" s="2"/>
      <c r="R1230"/>
    </row>
    <row r="1231" spans="4:18" s="3" customFormat="1" x14ac:dyDescent="0.2">
      <c r="D1231" s="2"/>
      <c r="E1231" s="2"/>
      <c r="F1231" s="2"/>
      <c r="G1231" s="2"/>
      <c r="H1231" s="2"/>
      <c r="I1231" s="2"/>
      <c r="N1231" s="2"/>
      <c r="O1231" s="2"/>
      <c r="P1231" s="2"/>
      <c r="Q1231" s="2"/>
      <c r="R1231"/>
    </row>
    <row r="1232" spans="4:18" s="3" customFormat="1" x14ac:dyDescent="0.2">
      <c r="D1232" s="2"/>
      <c r="E1232" s="2"/>
      <c r="F1232" s="2"/>
      <c r="G1232" s="2"/>
      <c r="H1232" s="2"/>
      <c r="I1232" s="2"/>
      <c r="N1232" s="2"/>
      <c r="O1232" s="2"/>
      <c r="P1232" s="2"/>
      <c r="Q1232" s="2"/>
      <c r="R1232"/>
    </row>
  </sheetData>
  <sortState ref="A2:W70">
    <sortCondition ref="C2:C70"/>
    <sortCondition ref="D2:D70"/>
    <sortCondition ref="A2:A70"/>
  </sortState>
  <conditionalFormatting sqref="B76:B78 A79:B1048576 A74:B75">
    <cfRule type="containsText" dxfId="2" priority="3" operator="containsText" text="dup">
      <formula>NOT(ISERROR(SEARCH("dup",A74)))</formula>
    </cfRule>
  </conditionalFormatting>
  <conditionalFormatting sqref="R1233:R1048576">
    <cfRule type="containsText" dxfId="1" priority="1" operator="containsText" text="dup">
      <formula>NOT(ISERROR(SEARCH("dup",R1233)))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272"/>
  <sheetViews>
    <sheetView workbookViewId="0">
      <pane xSplit="2" ySplit="3" topLeftCell="C4" activePane="bottomRight" state="frozen"/>
      <selection activeCell="D211" sqref="D211"/>
      <selection pane="topRight" activeCell="D211" sqref="D211"/>
      <selection pane="bottomLeft" activeCell="D211" sqref="D211"/>
      <selection pane="bottomRight" activeCell="C8" sqref="C8"/>
    </sheetView>
  </sheetViews>
  <sheetFormatPr baseColWidth="10" defaultRowHeight="16" x14ac:dyDescent="0.2"/>
  <cols>
    <col min="1" max="1" width="13.1640625" style="40" customWidth="1"/>
    <col min="2" max="2" width="10.83203125" style="40"/>
    <col min="3" max="3" width="17.6640625" style="40" customWidth="1"/>
    <col min="4" max="4" width="10.83203125" style="40"/>
    <col min="5" max="5" width="11.5" style="40" customWidth="1"/>
    <col min="6" max="6" width="13.5" style="28" customWidth="1"/>
    <col min="7" max="15" width="7.1640625" style="28" customWidth="1"/>
    <col min="16" max="16" width="13.33203125" style="28" customWidth="1"/>
    <col min="17" max="19" width="7.1640625" style="28" customWidth="1"/>
    <col min="20" max="23" width="10.83203125" style="1"/>
    <col min="24" max="24" width="20.1640625" style="1" customWidth="1"/>
    <col min="25" max="16384" width="10.83203125" style="1"/>
  </cols>
  <sheetData>
    <row r="1" spans="1:39" x14ac:dyDescent="0.2">
      <c r="A1" s="177" t="s">
        <v>8191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39" x14ac:dyDescent="0.2"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</row>
    <row r="3" spans="1:39" s="30" customFormat="1" ht="48" x14ac:dyDescent="0.2">
      <c r="A3" s="13" t="s">
        <v>5809</v>
      </c>
      <c r="B3" s="13" t="s">
        <v>7053</v>
      </c>
      <c r="C3" s="13" t="s">
        <v>8</v>
      </c>
      <c r="D3" s="13" t="s">
        <v>9</v>
      </c>
      <c r="E3" s="13" t="s">
        <v>5810</v>
      </c>
      <c r="F3" s="13" t="s">
        <v>5811</v>
      </c>
      <c r="G3" s="23" t="s">
        <v>5812</v>
      </c>
      <c r="H3" s="23" t="s">
        <v>5813</v>
      </c>
      <c r="I3" s="24" t="s">
        <v>7114</v>
      </c>
      <c r="J3" s="24" t="s">
        <v>5813</v>
      </c>
      <c r="K3" s="27" t="s">
        <v>7115</v>
      </c>
      <c r="L3" s="13" t="s">
        <v>5813</v>
      </c>
      <c r="M3" s="22" t="s">
        <v>5814</v>
      </c>
      <c r="N3" s="22" t="s">
        <v>5815</v>
      </c>
      <c r="O3" s="22" t="s">
        <v>5816</v>
      </c>
      <c r="P3" s="22" t="s">
        <v>7113</v>
      </c>
      <c r="Q3" s="29" t="s">
        <v>5817</v>
      </c>
      <c r="R3" s="29" t="s">
        <v>5818</v>
      </c>
      <c r="S3" s="29"/>
      <c r="T3" s="47"/>
      <c r="U3" s="48"/>
      <c r="V3" s="48"/>
      <c r="W3" s="49"/>
      <c r="X3" s="49"/>
      <c r="Y3" s="50"/>
      <c r="Z3" s="47"/>
      <c r="AA3" s="51"/>
      <c r="AB3" s="51"/>
      <c r="AC3" s="51"/>
      <c r="AD3" s="51"/>
      <c r="AE3" s="51"/>
      <c r="AF3" s="52"/>
      <c r="AG3" s="13"/>
      <c r="AH3" s="13"/>
      <c r="AI3" s="13"/>
      <c r="AJ3" s="13"/>
      <c r="AK3" s="13"/>
    </row>
    <row r="4" spans="1:39" s="30" customFormat="1" ht="18" customHeight="1" x14ac:dyDescent="0.2">
      <c r="A4" s="14" t="s">
        <v>5995</v>
      </c>
      <c r="B4" s="14" t="s">
        <v>5414</v>
      </c>
      <c r="C4" s="14" t="s">
        <v>5418</v>
      </c>
      <c r="D4" s="14" t="s">
        <v>18</v>
      </c>
      <c r="E4" s="14" t="s">
        <v>13</v>
      </c>
      <c r="F4" s="14" t="s">
        <v>17</v>
      </c>
      <c r="G4" s="14" t="s">
        <v>17</v>
      </c>
      <c r="H4" s="14" t="s">
        <v>17</v>
      </c>
      <c r="I4" s="14" t="s">
        <v>17</v>
      </c>
      <c r="J4" s="14" t="s">
        <v>17</v>
      </c>
      <c r="K4" s="14">
        <v>7355</v>
      </c>
      <c r="L4" s="14">
        <v>40</v>
      </c>
      <c r="M4" s="14" t="s">
        <v>17</v>
      </c>
      <c r="N4" s="14" t="s">
        <v>17</v>
      </c>
      <c r="O4" s="14" t="s">
        <v>17</v>
      </c>
      <c r="P4" s="14">
        <v>-6215</v>
      </c>
      <c r="Q4" s="14">
        <v>-6361</v>
      </c>
      <c r="R4" s="14">
        <v>-6086</v>
      </c>
      <c r="S4" s="14"/>
    </row>
    <row r="5" spans="1:39" s="30" customFormat="1" ht="18" customHeight="1" x14ac:dyDescent="0.2">
      <c r="A5" s="14" t="s">
        <v>5998</v>
      </c>
      <c r="B5" s="14" t="s">
        <v>5414</v>
      </c>
      <c r="C5" s="14" t="s">
        <v>5418</v>
      </c>
      <c r="D5" s="14" t="s">
        <v>18</v>
      </c>
      <c r="E5" s="14" t="s">
        <v>13</v>
      </c>
      <c r="F5" s="14" t="s">
        <v>5997</v>
      </c>
      <c r="G5" s="14" t="s">
        <v>17</v>
      </c>
      <c r="H5" s="14" t="s">
        <v>17</v>
      </c>
      <c r="I5" s="14" t="s">
        <v>17</v>
      </c>
      <c r="J5" s="14" t="s">
        <v>17</v>
      </c>
      <c r="K5" s="14">
        <v>7330</v>
      </c>
      <c r="L5" s="14">
        <v>40</v>
      </c>
      <c r="M5" s="26">
        <v>10.4</v>
      </c>
      <c r="N5" s="26">
        <v>3.6</v>
      </c>
      <c r="O5" s="32">
        <v>3.14</v>
      </c>
      <c r="P5" s="14">
        <v>-6175</v>
      </c>
      <c r="Q5" s="14">
        <v>-6336</v>
      </c>
      <c r="R5" s="14">
        <v>-6071</v>
      </c>
      <c r="S5" s="14"/>
    </row>
    <row r="6" spans="1:39" s="30" customFormat="1" ht="18" customHeight="1" x14ac:dyDescent="0.2">
      <c r="A6" s="14" t="s">
        <v>5950</v>
      </c>
      <c r="B6" s="14" t="s">
        <v>1996</v>
      </c>
      <c r="C6" s="14" t="s">
        <v>1972</v>
      </c>
      <c r="D6" s="14" t="s">
        <v>826</v>
      </c>
      <c r="E6" s="14" t="s">
        <v>13</v>
      </c>
      <c r="F6" s="14" t="s">
        <v>5827</v>
      </c>
      <c r="G6" s="25">
        <v>0.413117359045024</v>
      </c>
      <c r="H6" s="25">
        <v>1.9445408021947399E-3</v>
      </c>
      <c r="I6" s="26">
        <v>-586.88264095497595</v>
      </c>
      <c r="J6" s="26">
        <v>2.07863368728913</v>
      </c>
      <c r="K6" s="31">
        <v>7100</v>
      </c>
      <c r="L6" s="31">
        <v>45</v>
      </c>
      <c r="M6" s="26">
        <v>46.456155186279801</v>
      </c>
      <c r="N6" s="26">
        <v>17.095026128893899</v>
      </c>
      <c r="O6" s="32">
        <f>(M6/12)/(N6/14)</f>
        <v>3.170445444696917</v>
      </c>
      <c r="P6" s="14">
        <v>-5974</v>
      </c>
      <c r="Q6" s="14">
        <v>-6056</v>
      </c>
      <c r="R6" s="14">
        <v>-5894</v>
      </c>
      <c r="S6" s="14"/>
    </row>
    <row r="7" spans="1:39" s="30" customFormat="1" ht="18" customHeight="1" x14ac:dyDescent="0.2">
      <c r="A7" s="14" t="s">
        <v>5996</v>
      </c>
      <c r="B7" s="14" t="s">
        <v>1980</v>
      </c>
      <c r="C7" s="14" t="s">
        <v>1972</v>
      </c>
      <c r="D7" s="14" t="s">
        <v>826</v>
      </c>
      <c r="E7" s="14" t="s">
        <v>13</v>
      </c>
      <c r="F7" s="14" t="s">
        <v>5997</v>
      </c>
      <c r="G7" s="14" t="s">
        <v>17</v>
      </c>
      <c r="H7" s="14" t="s">
        <v>17</v>
      </c>
      <c r="I7" s="14" t="s">
        <v>17</v>
      </c>
      <c r="J7" s="14" t="s">
        <v>17</v>
      </c>
      <c r="K7" s="14">
        <v>7090</v>
      </c>
      <c r="L7" s="14">
        <v>50</v>
      </c>
      <c r="M7" s="26">
        <v>7.2</v>
      </c>
      <c r="N7" s="26">
        <v>2.1</v>
      </c>
      <c r="O7" s="32">
        <v>3.23</v>
      </c>
      <c r="P7" s="14">
        <v>-5964</v>
      </c>
      <c r="Q7" s="14">
        <v>-6060</v>
      </c>
      <c r="R7" s="14">
        <v>-5851</v>
      </c>
      <c r="S7" s="137"/>
      <c r="T7" s="138"/>
      <c r="U7" s="136"/>
      <c r="V7" s="143"/>
      <c r="W7" s="143"/>
      <c r="X7" s="143"/>
      <c r="Y7" s="143"/>
      <c r="Z7" s="143"/>
      <c r="AA7" s="139"/>
      <c r="AB7" s="139"/>
      <c r="AC7" s="140"/>
      <c r="AD7" s="140"/>
      <c r="AE7" s="143"/>
      <c r="AF7" s="143"/>
      <c r="AG7" s="143"/>
      <c r="AH7" s="141"/>
      <c r="AI7" s="137"/>
      <c r="AJ7" s="152"/>
      <c r="AK7" s="138"/>
      <c r="AL7" s="139"/>
      <c r="AM7" s="139"/>
    </row>
    <row r="8" spans="1:39" s="30" customFormat="1" ht="18" customHeight="1" x14ac:dyDescent="0.2">
      <c r="A8" s="14" t="s">
        <v>5947</v>
      </c>
      <c r="B8" s="14" t="s">
        <v>1991</v>
      </c>
      <c r="C8" s="14" t="s">
        <v>1972</v>
      </c>
      <c r="D8" s="14" t="s">
        <v>826</v>
      </c>
      <c r="E8" s="14" t="s">
        <v>13</v>
      </c>
      <c r="F8" s="14" t="s">
        <v>5820</v>
      </c>
      <c r="G8" s="25">
        <v>0.41424256069208099</v>
      </c>
      <c r="H8" s="25">
        <v>1.9445408021947399E-3</v>
      </c>
      <c r="I8" s="26">
        <v>-585.75743930791896</v>
      </c>
      <c r="J8" s="26">
        <v>1.3452184242281899</v>
      </c>
      <c r="K8" s="31">
        <v>7080</v>
      </c>
      <c r="L8" s="31">
        <v>30</v>
      </c>
      <c r="M8" s="26">
        <v>22.5279974412278</v>
      </c>
      <c r="N8" s="26">
        <v>8.4193857939463896</v>
      </c>
      <c r="O8" s="32">
        <f>(M8/12)/(N8/14)</f>
        <v>3.1216842088801648</v>
      </c>
      <c r="P8" s="14">
        <v>-5959</v>
      </c>
      <c r="Q8" s="14">
        <v>-6016</v>
      </c>
      <c r="R8" s="14">
        <v>-5899</v>
      </c>
      <c r="S8" s="14"/>
    </row>
    <row r="9" spans="1:39" s="30" customFormat="1" ht="18" customHeight="1" x14ac:dyDescent="0.2">
      <c r="A9" s="14" t="s">
        <v>5929</v>
      </c>
      <c r="B9" s="14" t="s">
        <v>1986</v>
      </c>
      <c r="C9" s="14" t="s">
        <v>1972</v>
      </c>
      <c r="D9" s="14" t="s">
        <v>826</v>
      </c>
      <c r="E9" s="14" t="s">
        <v>26</v>
      </c>
      <c r="F9" s="14" t="s">
        <v>5827</v>
      </c>
      <c r="G9" s="25">
        <v>0.41458737811037499</v>
      </c>
      <c r="H9" s="25">
        <v>1.4171498732670801E-3</v>
      </c>
      <c r="I9" s="26">
        <v>-585.41262188962503</v>
      </c>
      <c r="J9" s="26">
        <v>1.41714987326708</v>
      </c>
      <c r="K9" s="31">
        <v>7075</v>
      </c>
      <c r="L9" s="31">
        <v>30</v>
      </c>
      <c r="M9" s="26">
        <v>44.159956299999997</v>
      </c>
      <c r="N9" s="26">
        <v>15.588731299999999</v>
      </c>
      <c r="O9" s="33">
        <f>(M9/12)/(N9/14)</f>
        <v>3.3049481721881158</v>
      </c>
      <c r="P9" s="14">
        <v>-5955</v>
      </c>
      <c r="Q9" s="14">
        <v>-6013</v>
      </c>
      <c r="R9" s="14">
        <v>-5898</v>
      </c>
      <c r="S9" s="14"/>
    </row>
    <row r="10" spans="1:39" s="30" customFormat="1" ht="18" customHeight="1" x14ac:dyDescent="0.2">
      <c r="A10" s="14" t="s">
        <v>5951</v>
      </c>
      <c r="B10" s="14" t="s">
        <v>1973</v>
      </c>
      <c r="C10" s="14" t="s">
        <v>1972</v>
      </c>
      <c r="D10" s="14" t="s">
        <v>826</v>
      </c>
      <c r="E10" s="14" t="s">
        <v>13</v>
      </c>
      <c r="F10" s="14" t="s">
        <v>5827</v>
      </c>
      <c r="G10" s="25">
        <v>0.42268735844378302</v>
      </c>
      <c r="H10" s="25">
        <v>1.9445408021947399E-3</v>
      </c>
      <c r="I10" s="26">
        <v>-577.31264155621705</v>
      </c>
      <c r="J10" s="26">
        <v>1.99017344034782</v>
      </c>
      <c r="K10" s="31">
        <v>6915</v>
      </c>
      <c r="L10" s="31">
        <v>40</v>
      </c>
      <c r="M10" s="26">
        <v>50.453619678352403</v>
      </c>
      <c r="N10" s="26">
        <v>18.487873128209898</v>
      </c>
      <c r="O10" s="32">
        <f>(M10/12)/(N10/14)</f>
        <v>3.1838468320942299</v>
      </c>
      <c r="P10" s="14">
        <v>-5798</v>
      </c>
      <c r="Q10" s="14">
        <v>-5887</v>
      </c>
      <c r="R10" s="14">
        <v>-5724</v>
      </c>
      <c r="S10" s="14"/>
    </row>
    <row r="11" spans="1:39" s="30" customFormat="1" ht="18" customHeight="1" x14ac:dyDescent="0.2">
      <c r="A11" s="30" t="s">
        <v>7083</v>
      </c>
      <c r="B11" s="14" t="s">
        <v>2842</v>
      </c>
      <c r="C11" s="14" t="s">
        <v>2846</v>
      </c>
      <c r="D11" s="14" t="s">
        <v>2840</v>
      </c>
      <c r="E11" s="14" t="s">
        <v>13</v>
      </c>
      <c r="F11" s="30" t="s">
        <v>5820</v>
      </c>
      <c r="G11" s="30">
        <v>0.46554256161316437</v>
      </c>
      <c r="H11" s="30">
        <v>1.2606353954668422E-3</v>
      </c>
      <c r="I11" s="30">
        <v>-534.45743838683563</v>
      </c>
      <c r="J11" s="30">
        <v>1.2606353954668421</v>
      </c>
      <c r="K11" s="30">
        <v>6140</v>
      </c>
      <c r="L11" s="30">
        <v>25</v>
      </c>
      <c r="M11" s="30">
        <v>26.107127800000001</v>
      </c>
      <c r="N11" s="30">
        <v>9.4293578452055193</v>
      </c>
      <c r="O11" s="30">
        <v>3.2301580093445708</v>
      </c>
      <c r="P11" s="14">
        <v>-5105</v>
      </c>
      <c r="Q11" s="30">
        <v>-5208</v>
      </c>
      <c r="R11" s="30">
        <v>-5003</v>
      </c>
      <c r="S11" s="14"/>
    </row>
    <row r="12" spans="1:39" s="30" customFormat="1" ht="18" customHeight="1" x14ac:dyDescent="0.2">
      <c r="A12" s="30" t="s">
        <v>7082</v>
      </c>
      <c r="B12" s="14" t="s">
        <v>2834</v>
      </c>
      <c r="C12" s="14" t="s">
        <v>2839</v>
      </c>
      <c r="D12" s="14" t="s">
        <v>2840</v>
      </c>
      <c r="E12" s="14" t="s">
        <v>13</v>
      </c>
      <c r="F12" s="30" t="s">
        <v>5827</v>
      </c>
      <c r="G12" s="30">
        <v>0.46864836969627416</v>
      </c>
      <c r="H12" s="30">
        <v>1.3408183518063303E-3</v>
      </c>
      <c r="I12" s="30">
        <v>-531.35163030372576</v>
      </c>
      <c r="J12" s="30">
        <v>1.3408183518063304</v>
      </c>
      <c r="K12" s="30">
        <v>6090</v>
      </c>
      <c r="L12" s="30">
        <v>25</v>
      </c>
      <c r="M12" s="30">
        <v>43.099230861076499</v>
      </c>
      <c r="N12" s="30">
        <v>15.474987047960822</v>
      </c>
      <c r="O12" s="30">
        <v>3.2492716051232557</v>
      </c>
      <c r="P12" s="14">
        <v>-5067</v>
      </c>
      <c r="Q12" s="30">
        <v>-5198</v>
      </c>
      <c r="R12" s="30">
        <v>-4936</v>
      </c>
      <c r="S12" s="14"/>
    </row>
    <row r="13" spans="1:39" s="30" customFormat="1" ht="18" customHeight="1" x14ac:dyDescent="0.2">
      <c r="A13" s="30" t="s">
        <v>7057</v>
      </c>
      <c r="B13" s="14" t="s">
        <v>2587</v>
      </c>
      <c r="C13" s="14" t="s">
        <v>2580</v>
      </c>
      <c r="D13" s="14" t="s">
        <v>18</v>
      </c>
      <c r="E13" s="14" t="s">
        <v>105</v>
      </c>
      <c r="F13" s="30" t="s">
        <v>5827</v>
      </c>
      <c r="G13" s="30">
        <v>0.4698507690195291</v>
      </c>
      <c r="H13" s="30">
        <v>1.4009502140628217E-3</v>
      </c>
      <c r="I13" s="30">
        <v>-530.14923098047097</v>
      </c>
      <c r="J13" s="30">
        <v>1.4009502140628216</v>
      </c>
      <c r="K13" s="30">
        <v>6070</v>
      </c>
      <c r="L13" s="30">
        <v>25</v>
      </c>
      <c r="M13" s="30">
        <v>50.200021735179604</v>
      </c>
      <c r="N13" s="30">
        <v>18.118886562296733</v>
      </c>
      <c r="O13" s="30">
        <v>3.2323560182912443</v>
      </c>
      <c r="P13" s="14">
        <v>-4955</v>
      </c>
      <c r="Q13" s="30">
        <v>-5051</v>
      </c>
      <c r="R13" s="30">
        <v>-4860</v>
      </c>
      <c r="S13" s="14"/>
    </row>
    <row r="14" spans="1:39" s="30" customFormat="1" ht="18" customHeight="1" x14ac:dyDescent="0.2">
      <c r="A14" s="30" t="s">
        <v>7054</v>
      </c>
      <c r="B14" s="14" t="s">
        <v>2582</v>
      </c>
      <c r="C14" s="14" t="s">
        <v>2580</v>
      </c>
      <c r="D14" s="14" t="s">
        <v>18</v>
      </c>
      <c r="E14" s="14" t="s">
        <v>105</v>
      </c>
      <c r="F14" s="30" t="s">
        <v>5827</v>
      </c>
      <c r="G14" s="30">
        <v>0.47616635494770171</v>
      </c>
      <c r="H14" s="30">
        <v>1.4587183428083901E-3</v>
      </c>
      <c r="I14" s="30">
        <v>-523.83364505229827</v>
      </c>
      <c r="J14" s="30">
        <v>1.4587183428083901</v>
      </c>
      <c r="K14" s="30">
        <v>5960</v>
      </c>
      <c r="L14" s="30">
        <v>25</v>
      </c>
      <c r="M14" s="30">
        <v>44.757120676140318</v>
      </c>
      <c r="N14" s="30">
        <v>16.183354914208152</v>
      </c>
      <c r="O14" s="30">
        <v>3.2265646440829676</v>
      </c>
      <c r="P14" s="14">
        <v>-4857</v>
      </c>
      <c r="Q14" s="30">
        <v>-4934</v>
      </c>
      <c r="R14" s="30">
        <v>-4780</v>
      </c>
      <c r="S14" s="14"/>
    </row>
    <row r="15" spans="1:39" s="30" customFormat="1" ht="18" customHeight="1" x14ac:dyDescent="0.2">
      <c r="A15" s="14" t="s">
        <v>5921</v>
      </c>
      <c r="B15" s="14" t="s">
        <v>5420</v>
      </c>
      <c r="C15" s="14" t="s">
        <v>5418</v>
      </c>
      <c r="D15" s="14" t="s">
        <v>18</v>
      </c>
      <c r="E15" s="14" t="s">
        <v>13</v>
      </c>
      <c r="F15" s="14" t="s">
        <v>5827</v>
      </c>
      <c r="G15" s="25">
        <v>0.48536796429427098</v>
      </c>
      <c r="H15" s="25">
        <v>1.4207629989474E-3</v>
      </c>
      <c r="I15" s="26">
        <v>-514.63203570572898</v>
      </c>
      <c r="J15" s="26">
        <v>1.4207629989474</v>
      </c>
      <c r="K15" s="31">
        <v>5805</v>
      </c>
      <c r="L15" s="31">
        <v>25</v>
      </c>
      <c r="M15" s="26">
        <v>43.6176113</v>
      </c>
      <c r="N15" s="26">
        <v>14.9066317</v>
      </c>
      <c r="O15" s="33">
        <f>(M15/12)/(N15/14)</f>
        <v>3.4137298222329684</v>
      </c>
      <c r="P15" s="14">
        <v>-4658</v>
      </c>
      <c r="Q15" s="14">
        <v>-4723</v>
      </c>
      <c r="R15" s="14">
        <v>-4558</v>
      </c>
      <c r="S15" s="14"/>
    </row>
    <row r="16" spans="1:39" s="30" customFormat="1" ht="18" customHeight="1" x14ac:dyDescent="0.2">
      <c r="A16" s="30" t="s">
        <v>7056</v>
      </c>
      <c r="B16" s="14" t="s">
        <v>2575</v>
      </c>
      <c r="C16" s="14" t="s">
        <v>2580</v>
      </c>
      <c r="D16" s="14" t="s">
        <v>18</v>
      </c>
      <c r="E16" s="14" t="s">
        <v>105</v>
      </c>
      <c r="F16" s="30" t="s">
        <v>5827</v>
      </c>
      <c r="G16" s="30">
        <v>0.48818996132846049</v>
      </c>
      <c r="H16" s="30">
        <v>1.4998451148503303E-3</v>
      </c>
      <c r="I16" s="30">
        <v>-511.81003867153953</v>
      </c>
      <c r="J16" s="30">
        <v>1.4998451148503302</v>
      </c>
      <c r="K16" s="30">
        <v>5760</v>
      </c>
      <c r="L16" s="30">
        <v>25</v>
      </c>
      <c r="M16" s="30">
        <v>39.818559319447075</v>
      </c>
      <c r="N16" s="30">
        <v>14.421895107739637</v>
      </c>
      <c r="O16" s="30">
        <v>3.2211429583729103</v>
      </c>
      <c r="P16" s="14">
        <v>-4616</v>
      </c>
      <c r="Q16" s="30">
        <v>-4689</v>
      </c>
      <c r="R16" s="30">
        <v>-4543</v>
      </c>
      <c r="S16" s="40"/>
      <c r="T16" s="40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</row>
    <row r="17" spans="1:39" s="30" customFormat="1" ht="18" customHeight="1" x14ac:dyDescent="0.2">
      <c r="A17" s="14" t="s">
        <v>5994</v>
      </c>
      <c r="B17" s="14" t="s">
        <v>5407</v>
      </c>
      <c r="C17" s="14" t="s">
        <v>5412</v>
      </c>
      <c r="D17" s="14" t="s">
        <v>18</v>
      </c>
      <c r="E17" s="14" t="s">
        <v>13</v>
      </c>
      <c r="F17" s="14" t="s">
        <v>17</v>
      </c>
      <c r="G17" s="14" t="s">
        <v>17</v>
      </c>
      <c r="H17" s="14" t="s">
        <v>17</v>
      </c>
      <c r="I17" s="14" t="s">
        <v>17</v>
      </c>
      <c r="J17" s="14" t="s">
        <v>17</v>
      </c>
      <c r="K17" s="14">
        <v>5261</v>
      </c>
      <c r="L17" s="14">
        <v>33</v>
      </c>
      <c r="M17" s="14" t="s">
        <v>17</v>
      </c>
      <c r="N17" s="14" t="s">
        <v>17</v>
      </c>
      <c r="O17" s="14" t="s">
        <v>17</v>
      </c>
      <c r="P17" s="14">
        <v>-4095</v>
      </c>
      <c r="Q17" s="14">
        <v>-4230</v>
      </c>
      <c r="R17" s="14">
        <v>-3983</v>
      </c>
      <c r="S17" s="14"/>
    </row>
    <row r="18" spans="1:39" s="30" customFormat="1" ht="18" customHeight="1" x14ac:dyDescent="0.2">
      <c r="A18" s="14" t="s">
        <v>5944</v>
      </c>
      <c r="B18" s="14" t="s">
        <v>4652</v>
      </c>
      <c r="C18" s="14" t="s">
        <v>4606</v>
      </c>
      <c r="D18" s="14" t="s">
        <v>826</v>
      </c>
      <c r="E18" s="14" t="s">
        <v>118</v>
      </c>
      <c r="F18" s="14" t="s">
        <v>5827</v>
      </c>
      <c r="G18" s="25">
        <v>0.54680766633356304</v>
      </c>
      <c r="H18" s="25">
        <v>1.9445408021947399E-3</v>
      </c>
      <c r="I18" s="26">
        <v>-453.19233366643698</v>
      </c>
      <c r="J18" s="26">
        <v>1.7941949128079999</v>
      </c>
      <c r="K18" s="31">
        <v>4850</v>
      </c>
      <c r="L18" s="31">
        <v>30</v>
      </c>
      <c r="M18" s="26">
        <v>45.756332683516199</v>
      </c>
      <c r="N18" s="26">
        <v>16.994594408249402</v>
      </c>
      <c r="O18" s="32">
        <f>(M18/12)/(N18/14)</f>
        <v>3.1411392851397721</v>
      </c>
      <c r="P18" s="14">
        <v>-3636</v>
      </c>
      <c r="Q18" s="14">
        <v>-3702</v>
      </c>
      <c r="R18" s="14">
        <v>-3536</v>
      </c>
      <c r="S18" s="14"/>
    </row>
    <row r="19" spans="1:39" s="30" customFormat="1" ht="18" customHeight="1" x14ac:dyDescent="0.2">
      <c r="A19" s="14" t="s">
        <v>5982</v>
      </c>
      <c r="B19" s="14" t="s">
        <v>4648</v>
      </c>
      <c r="C19" s="14" t="s">
        <v>4606</v>
      </c>
      <c r="D19" s="14" t="s">
        <v>826</v>
      </c>
      <c r="E19" s="14" t="s">
        <v>118</v>
      </c>
      <c r="F19" s="14" t="s">
        <v>5827</v>
      </c>
      <c r="G19" s="25">
        <v>0.54884042911453301</v>
      </c>
      <c r="H19" s="25">
        <v>1.7726711243962799E-3</v>
      </c>
      <c r="I19" s="26">
        <v>-451.15957088546702</v>
      </c>
      <c r="J19" s="26">
        <v>1.7726711243962801</v>
      </c>
      <c r="K19" s="31">
        <v>4820</v>
      </c>
      <c r="L19" s="31">
        <v>30</v>
      </c>
      <c r="M19" s="26">
        <v>45.4669817723005</v>
      </c>
      <c r="N19" s="26">
        <v>16.622243553740599</v>
      </c>
      <c r="O19" s="33">
        <f>(M19/12)/(N19/14)</f>
        <v>3.1911944916573516</v>
      </c>
      <c r="P19" s="14">
        <v>-3588</v>
      </c>
      <c r="Q19" s="14">
        <v>-3656</v>
      </c>
      <c r="R19" s="14">
        <v>-3526</v>
      </c>
      <c r="S19" s="14"/>
    </row>
    <row r="20" spans="1:39" s="30" customFormat="1" ht="18" customHeight="1" x14ac:dyDescent="0.2">
      <c r="A20" s="14" t="s">
        <v>5975</v>
      </c>
      <c r="B20" s="14" t="s">
        <v>4643</v>
      </c>
      <c r="C20" s="14" t="s">
        <v>4606</v>
      </c>
      <c r="D20" s="14" t="s">
        <v>826</v>
      </c>
      <c r="E20" s="14" t="s">
        <v>26</v>
      </c>
      <c r="F20" s="14" t="s">
        <v>5827</v>
      </c>
      <c r="G20" s="25">
        <v>0.55160486372608297</v>
      </c>
      <c r="H20" s="25">
        <v>1.8017552629286001E-3</v>
      </c>
      <c r="I20" s="26">
        <v>-448.39513627391699</v>
      </c>
      <c r="J20" s="26">
        <v>1.8017552629286</v>
      </c>
      <c r="K20" s="31">
        <v>4780</v>
      </c>
      <c r="L20" s="31">
        <v>30</v>
      </c>
      <c r="M20" s="26">
        <v>32.008008221395599</v>
      </c>
      <c r="N20" s="26">
        <v>11.634059396321501</v>
      </c>
      <c r="O20" s="33">
        <f>(M20/12)/(N20/14)</f>
        <v>3.2097718419850949</v>
      </c>
      <c r="P20" s="14">
        <v>-3569</v>
      </c>
      <c r="Q20" s="14">
        <v>-3641</v>
      </c>
      <c r="R20" s="14">
        <v>-3519</v>
      </c>
      <c r="S20" s="14"/>
    </row>
    <row r="21" spans="1:39" s="30" customFormat="1" ht="18" customHeight="1" x14ac:dyDescent="0.2">
      <c r="A21" s="14" t="s">
        <v>5887</v>
      </c>
      <c r="B21" s="14" t="s">
        <v>3784</v>
      </c>
      <c r="C21" s="14" t="s">
        <v>3788</v>
      </c>
      <c r="D21" s="14" t="s">
        <v>3789</v>
      </c>
      <c r="E21" s="14" t="s">
        <v>13</v>
      </c>
      <c r="F21" s="14" t="s">
        <v>5827</v>
      </c>
      <c r="G21" s="25">
        <v>0.55243976269717299</v>
      </c>
      <c r="H21" s="25">
        <v>1.3735012067448099E-3</v>
      </c>
      <c r="I21" s="26">
        <v>-447.56023730282698</v>
      </c>
      <c r="J21" s="26">
        <v>1.37350120674481</v>
      </c>
      <c r="K21" s="31">
        <v>4765</v>
      </c>
      <c r="L21" s="31">
        <v>20</v>
      </c>
      <c r="M21" s="26">
        <v>45.484747778511498</v>
      </c>
      <c r="N21" s="26">
        <v>16.134348065019601</v>
      </c>
      <c r="O21" s="32">
        <f>(M21/12)/(N21/14)</f>
        <v>3.2889794406989332</v>
      </c>
      <c r="P21" s="14">
        <v>-3572</v>
      </c>
      <c r="Q21" s="14">
        <v>-3636</v>
      </c>
      <c r="R21" s="14">
        <v>-3521</v>
      </c>
      <c r="S21" s="14"/>
    </row>
    <row r="22" spans="1:39" s="30" customFormat="1" ht="18" customHeight="1" x14ac:dyDescent="0.2">
      <c r="A22" s="14" t="s">
        <v>5928</v>
      </c>
      <c r="B22" s="14" t="s">
        <v>4657</v>
      </c>
      <c r="C22" s="14" t="s">
        <v>4606</v>
      </c>
      <c r="D22" s="14" t="s">
        <v>826</v>
      </c>
      <c r="E22" s="14" t="s">
        <v>118</v>
      </c>
      <c r="F22" s="14" t="s">
        <v>5827</v>
      </c>
      <c r="G22" s="25">
        <v>0.55276250010535</v>
      </c>
      <c r="H22" s="25">
        <v>1.5196691221511999E-3</v>
      </c>
      <c r="I22" s="26">
        <v>-447.23749989465</v>
      </c>
      <c r="J22" s="26">
        <v>1.5196691221512</v>
      </c>
      <c r="K22" s="31">
        <v>4760</v>
      </c>
      <c r="L22" s="31">
        <v>25</v>
      </c>
      <c r="M22" s="26">
        <v>43.256251200000001</v>
      </c>
      <c r="N22" s="26">
        <v>15.5226258</v>
      </c>
      <c r="O22" s="33">
        <f>(M22/12)/(N22/14)</f>
        <v>3.2511011377984778</v>
      </c>
      <c r="P22" s="14">
        <v>-3566</v>
      </c>
      <c r="Q22" s="14">
        <v>-3639</v>
      </c>
      <c r="R22" s="14">
        <v>-3385</v>
      </c>
      <c r="S22" s="14"/>
    </row>
    <row r="23" spans="1:39" s="30" customFormat="1" ht="18" customHeight="1" x14ac:dyDescent="0.2">
      <c r="A23" s="30" t="s">
        <v>7101</v>
      </c>
      <c r="B23" s="14" t="s">
        <v>1422</v>
      </c>
      <c r="C23" s="14" t="s">
        <v>1427</v>
      </c>
      <c r="D23" s="14" t="s">
        <v>1428</v>
      </c>
      <c r="E23" s="14" t="s">
        <v>13</v>
      </c>
      <c r="F23" s="30" t="s">
        <v>5820</v>
      </c>
      <c r="G23" s="30">
        <v>0.55590948596209255</v>
      </c>
      <c r="H23" s="30">
        <v>1.3355434726549584E-3</v>
      </c>
      <c r="I23" s="30">
        <v>-444.09051403790744</v>
      </c>
      <c r="J23" s="30">
        <v>1.3355434726549584</v>
      </c>
      <c r="K23" s="30">
        <v>4715</v>
      </c>
      <c r="L23" s="30">
        <v>20</v>
      </c>
      <c r="M23" s="30">
        <v>29.782770200000002</v>
      </c>
      <c r="N23" s="30">
        <v>10.816109051043018</v>
      </c>
      <c r="O23" s="30">
        <v>3.2124828872710616</v>
      </c>
      <c r="P23" s="14">
        <v>-3503</v>
      </c>
      <c r="Q23" s="30">
        <v>-3630</v>
      </c>
      <c r="R23" s="30">
        <v>-3377</v>
      </c>
      <c r="S23" s="14"/>
    </row>
    <row r="24" spans="1:39" s="30" customFormat="1" ht="18" customHeight="1" x14ac:dyDescent="0.2">
      <c r="A24" s="30" t="s">
        <v>7066</v>
      </c>
      <c r="B24" s="14" t="s">
        <v>1222</v>
      </c>
      <c r="C24" s="14" t="s">
        <v>7449</v>
      </c>
      <c r="D24" s="14" t="s">
        <v>1152</v>
      </c>
      <c r="E24" s="14" t="s">
        <v>143</v>
      </c>
      <c r="F24" s="30" t="s">
        <v>5827</v>
      </c>
      <c r="G24" s="30">
        <v>0.57141867913321209</v>
      </c>
      <c r="H24" s="30">
        <v>1.5439536731237321E-3</v>
      </c>
      <c r="I24" s="30">
        <v>-428.58132086678791</v>
      </c>
      <c r="J24" s="30">
        <v>1.5439536731237322</v>
      </c>
      <c r="K24" s="30">
        <v>4495</v>
      </c>
      <c r="L24" s="30">
        <v>25</v>
      </c>
      <c r="M24" s="30">
        <v>43.884083996472931</v>
      </c>
      <c r="N24" s="30">
        <v>15.853655772696101</v>
      </c>
      <c r="O24" s="30">
        <v>3.2294190519804786</v>
      </c>
      <c r="P24" s="14">
        <v>-3219</v>
      </c>
      <c r="Q24" s="30">
        <v>-3341</v>
      </c>
      <c r="R24" s="30">
        <v>-3097</v>
      </c>
      <c r="S24" s="14"/>
    </row>
    <row r="25" spans="1:39" s="30" customFormat="1" ht="18" customHeight="1" x14ac:dyDescent="0.2">
      <c r="A25" s="30" t="s">
        <v>7109</v>
      </c>
      <c r="B25" s="14" t="s">
        <v>1653</v>
      </c>
      <c r="C25" s="14" t="s">
        <v>6983</v>
      </c>
      <c r="D25" s="14" t="s">
        <v>932</v>
      </c>
      <c r="E25" s="14" t="s">
        <v>13</v>
      </c>
      <c r="F25" s="30" t="s">
        <v>5820</v>
      </c>
      <c r="G25" s="30">
        <v>0.57186175248347881</v>
      </c>
      <c r="H25" s="30">
        <v>1.4671440414308094E-3</v>
      </c>
      <c r="I25" s="30">
        <v>-428.13824751652118</v>
      </c>
      <c r="J25" s="30">
        <v>1.4671440414308095</v>
      </c>
      <c r="K25" s="30">
        <v>4490</v>
      </c>
      <c r="L25" s="30">
        <v>25</v>
      </c>
      <c r="M25" s="30">
        <v>26.116917761822023</v>
      </c>
      <c r="N25" s="30">
        <v>9.6089213999999998</v>
      </c>
      <c r="O25" s="30">
        <v>3.1709841427980003</v>
      </c>
      <c r="P25" s="14">
        <v>-3217</v>
      </c>
      <c r="Q25" s="30">
        <v>-3341</v>
      </c>
      <c r="R25" s="30">
        <v>-3094</v>
      </c>
      <c r="S25" s="14"/>
    </row>
    <row r="26" spans="1:39" s="30" customFormat="1" ht="18" customHeight="1" x14ac:dyDescent="0.2">
      <c r="A26" s="30" t="s">
        <v>7064</v>
      </c>
      <c r="B26" s="14" t="s">
        <v>2087</v>
      </c>
      <c r="C26" s="14" t="s">
        <v>6786</v>
      </c>
      <c r="D26" s="14" t="s">
        <v>826</v>
      </c>
      <c r="E26" s="14" t="s">
        <v>13</v>
      </c>
      <c r="F26" s="30" t="s">
        <v>5827</v>
      </c>
      <c r="G26" s="30">
        <v>0.57463214910443361</v>
      </c>
      <c r="H26" s="30">
        <v>1.2890156855708656E-3</v>
      </c>
      <c r="I26" s="30">
        <v>-425.36785089556639</v>
      </c>
      <c r="J26" s="30">
        <v>1.2890156855708657</v>
      </c>
      <c r="K26" s="30">
        <v>4450</v>
      </c>
      <c r="L26" s="30">
        <v>20</v>
      </c>
      <c r="M26" s="30">
        <v>42.925477097414237</v>
      </c>
      <c r="N26" s="30">
        <v>15.394159184562607</v>
      </c>
      <c r="O26" s="30">
        <v>3.2531639227517526</v>
      </c>
      <c r="P26" s="14">
        <v>-3175</v>
      </c>
      <c r="Q26" s="30">
        <v>-3328</v>
      </c>
      <c r="R26" s="30">
        <v>-3022</v>
      </c>
      <c r="S26" s="14"/>
    </row>
    <row r="27" spans="1:39" s="30" customFormat="1" ht="18" customHeight="1" x14ac:dyDescent="0.2">
      <c r="A27" s="30" t="s">
        <v>7060</v>
      </c>
      <c r="B27" s="14" t="s">
        <v>1193</v>
      </c>
      <c r="C27" s="14" t="s">
        <v>899</v>
      </c>
      <c r="D27" s="14" t="s">
        <v>865</v>
      </c>
      <c r="E27" s="14" t="s">
        <v>13</v>
      </c>
      <c r="F27" s="30" t="s">
        <v>5820</v>
      </c>
      <c r="G27" s="30">
        <v>0.57502373404591733</v>
      </c>
      <c r="H27" s="30">
        <v>1.4608601543826185E-3</v>
      </c>
      <c r="I27" s="30">
        <v>-424.97626595408269</v>
      </c>
      <c r="J27" s="30">
        <v>1.4608601543826185</v>
      </c>
      <c r="K27" s="30">
        <v>4445</v>
      </c>
      <c r="L27" s="30">
        <v>25</v>
      </c>
      <c r="M27" s="30">
        <v>12.367532247228283</v>
      </c>
      <c r="N27" s="30">
        <v>4.5025582712193497</v>
      </c>
      <c r="O27" s="30">
        <v>3.204575433036835</v>
      </c>
      <c r="P27" s="14">
        <v>-3151</v>
      </c>
      <c r="Q27" s="30">
        <v>-3331</v>
      </c>
      <c r="R27" s="30">
        <v>-2972</v>
      </c>
      <c r="S27" s="14"/>
    </row>
    <row r="28" spans="1:39" s="30" customFormat="1" ht="18" customHeight="1" x14ac:dyDescent="0.2">
      <c r="A28" s="14" t="s">
        <v>5919</v>
      </c>
      <c r="B28" s="14" t="s">
        <v>32</v>
      </c>
      <c r="C28" s="14" t="s">
        <v>29</v>
      </c>
      <c r="D28" s="14" t="s">
        <v>18</v>
      </c>
      <c r="E28" s="14" t="s">
        <v>33</v>
      </c>
      <c r="F28" s="14" t="s">
        <v>5820</v>
      </c>
      <c r="G28" s="25">
        <v>0.575781134150259</v>
      </c>
      <c r="H28" s="25">
        <v>1.21333957389107E-3</v>
      </c>
      <c r="I28" s="26">
        <v>-424.21886584974101</v>
      </c>
      <c r="J28" s="26">
        <v>1.2133395738910699</v>
      </c>
      <c r="K28" s="31">
        <v>4435</v>
      </c>
      <c r="L28" s="31">
        <v>20</v>
      </c>
      <c r="M28" s="34">
        <v>28.869577537282101</v>
      </c>
      <c r="N28" s="34">
        <v>10.634218317611801</v>
      </c>
      <c r="O28" s="33">
        <v>3.1672449057882299</v>
      </c>
      <c r="P28" s="14">
        <v>-3097</v>
      </c>
      <c r="Q28" s="14">
        <v>-3322</v>
      </c>
      <c r="R28" s="14">
        <v>-2939</v>
      </c>
      <c r="S28" s="14"/>
    </row>
    <row r="29" spans="1:39" s="30" customFormat="1" ht="18" customHeight="1" x14ac:dyDescent="0.2">
      <c r="A29" s="14" t="s">
        <v>5999</v>
      </c>
      <c r="B29" s="14" t="s">
        <v>89</v>
      </c>
      <c r="C29" s="14" t="s">
        <v>93</v>
      </c>
      <c r="D29" s="14" t="s">
        <v>18</v>
      </c>
      <c r="E29" s="14" t="s">
        <v>26</v>
      </c>
      <c r="F29" s="14" t="s">
        <v>5997</v>
      </c>
      <c r="G29" s="14" t="s">
        <v>17</v>
      </c>
      <c r="H29" s="14" t="s">
        <v>17</v>
      </c>
      <c r="I29" s="14" t="s">
        <v>17</v>
      </c>
      <c r="J29" s="14" t="s">
        <v>17</v>
      </c>
      <c r="K29" s="14">
        <v>4430</v>
      </c>
      <c r="L29" s="14">
        <v>40</v>
      </c>
      <c r="M29" s="26">
        <v>13.2</v>
      </c>
      <c r="N29" s="26">
        <v>4.4000000000000004</v>
      </c>
      <c r="O29" s="32">
        <v>3.22</v>
      </c>
      <c r="P29" s="14">
        <v>-3108</v>
      </c>
      <c r="Q29" s="14">
        <v>-3331</v>
      </c>
      <c r="R29" s="14">
        <v>-2922</v>
      </c>
      <c r="S29" s="14"/>
    </row>
    <row r="30" spans="1:39" s="30" customFormat="1" ht="18" customHeight="1" x14ac:dyDescent="0.2">
      <c r="A30" s="14" t="s">
        <v>8173</v>
      </c>
      <c r="B30" s="14" t="s">
        <v>4239</v>
      </c>
      <c r="C30" s="14" t="s">
        <v>4243</v>
      </c>
      <c r="D30" s="14" t="s">
        <v>18</v>
      </c>
      <c r="E30" s="14" t="s">
        <v>13</v>
      </c>
      <c r="F30" s="14" t="s">
        <v>5827</v>
      </c>
      <c r="G30" s="41">
        <v>0.57615272323616407</v>
      </c>
      <c r="H30" s="41">
        <v>1.6201215251201407E-3</v>
      </c>
      <c r="I30" s="42">
        <v>-423.84727676383591</v>
      </c>
      <c r="J30" s="42">
        <v>1.6201215251201406</v>
      </c>
      <c r="K30" s="14">
        <v>4430</v>
      </c>
      <c r="L30" s="14">
        <v>25</v>
      </c>
      <c r="M30" s="153">
        <v>53.208976877856983</v>
      </c>
      <c r="N30" s="153">
        <v>19.385219025626224</v>
      </c>
      <c r="O30" s="154">
        <v>3.2022924068472216</v>
      </c>
      <c r="P30" s="14">
        <v>-3126</v>
      </c>
      <c r="Q30" s="14">
        <v>-3323</v>
      </c>
      <c r="R30" s="14">
        <v>-2928</v>
      </c>
      <c r="S30" s="40"/>
      <c r="T30" s="40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</row>
    <row r="31" spans="1:39" s="30" customFormat="1" ht="18" customHeight="1" x14ac:dyDescent="0.2">
      <c r="A31" s="14" t="s">
        <v>5871</v>
      </c>
      <c r="B31" s="14" t="s">
        <v>3324</v>
      </c>
      <c r="C31" s="14" t="s">
        <v>992</v>
      </c>
      <c r="D31" s="14" t="s">
        <v>932</v>
      </c>
      <c r="E31" s="14" t="s">
        <v>13</v>
      </c>
      <c r="F31" s="14" t="s">
        <v>5820</v>
      </c>
      <c r="G31" s="25">
        <v>0.57655868100521201</v>
      </c>
      <c r="H31" s="25">
        <v>1.35698388206748E-3</v>
      </c>
      <c r="I31" s="26">
        <v>-423.44131899478799</v>
      </c>
      <c r="J31" s="26">
        <v>1.35698388206748</v>
      </c>
      <c r="K31" s="31">
        <v>4425</v>
      </c>
      <c r="L31" s="31">
        <v>20</v>
      </c>
      <c r="M31" s="26">
        <v>22.974355403031101</v>
      </c>
      <c r="N31" s="26">
        <v>8.3504942686532004</v>
      </c>
      <c r="O31" s="32">
        <f>(M31/12)/(N31/14)</f>
        <v>3.2097997764619239</v>
      </c>
      <c r="P31" s="14">
        <v>-3066</v>
      </c>
      <c r="Q31" s="14">
        <v>-3307</v>
      </c>
      <c r="R31" s="14">
        <v>-2928</v>
      </c>
      <c r="S31" s="14"/>
      <c r="AL31" s="38"/>
      <c r="AM31" s="38"/>
    </row>
    <row r="32" spans="1:39" s="30" customFormat="1" ht="18" customHeight="1" x14ac:dyDescent="0.2">
      <c r="A32" s="30" t="s">
        <v>7074</v>
      </c>
      <c r="B32" s="14" t="s">
        <v>1225</v>
      </c>
      <c r="C32" s="14" t="s">
        <v>1214</v>
      </c>
      <c r="D32" s="14" t="s">
        <v>1152</v>
      </c>
      <c r="E32" s="14" t="s">
        <v>13</v>
      </c>
      <c r="F32" s="30" t="s">
        <v>5827</v>
      </c>
      <c r="G32" s="30">
        <v>0.57628396470273191</v>
      </c>
      <c r="H32" s="30">
        <v>1.1908714850234058E-3</v>
      </c>
      <c r="I32" s="30">
        <v>-423.71603529726809</v>
      </c>
      <c r="J32" s="30">
        <v>1.1908714850234059</v>
      </c>
      <c r="K32" s="30">
        <v>4425</v>
      </c>
      <c r="L32" s="30">
        <v>20</v>
      </c>
      <c r="M32" s="30">
        <v>44.495037746165835</v>
      </c>
      <c r="N32" s="30">
        <v>16.174612539732877</v>
      </c>
      <c r="O32" s="30">
        <v>3.2094046916430261</v>
      </c>
      <c r="P32" s="14">
        <v>-3117</v>
      </c>
      <c r="Q32" s="30">
        <v>-3307</v>
      </c>
      <c r="R32" s="30">
        <v>-2928</v>
      </c>
      <c r="S32" s="14"/>
    </row>
    <row r="33" spans="1:19" s="30" customFormat="1" ht="18" customHeight="1" x14ac:dyDescent="0.2">
      <c r="A33" s="14" t="s">
        <v>5920</v>
      </c>
      <c r="B33" s="14" t="s">
        <v>10</v>
      </c>
      <c r="C33" s="14" t="s">
        <v>16</v>
      </c>
      <c r="D33" s="14" t="s">
        <v>18</v>
      </c>
      <c r="E33" s="14" t="s">
        <v>13</v>
      </c>
      <c r="F33" s="14" t="s">
        <v>5827</v>
      </c>
      <c r="G33" s="25">
        <v>0.57675664707817897</v>
      </c>
      <c r="H33" s="25">
        <v>1.3055261161903199E-3</v>
      </c>
      <c r="I33" s="26">
        <v>-423.24335292182099</v>
      </c>
      <c r="J33" s="26">
        <v>1.30552611619032</v>
      </c>
      <c r="K33" s="31">
        <v>4420</v>
      </c>
      <c r="L33" s="31">
        <v>20</v>
      </c>
      <c r="M33" s="34">
        <v>50.9009243</v>
      </c>
      <c r="N33" s="26">
        <v>18.1956974</v>
      </c>
      <c r="O33" s="32">
        <f>(M33/12)/(N33/14)</f>
        <v>3.2636513115091335</v>
      </c>
      <c r="P33" s="14">
        <v>-3053</v>
      </c>
      <c r="Q33" s="14">
        <v>-3264</v>
      </c>
      <c r="R33" s="14">
        <v>-2929</v>
      </c>
      <c r="S33" s="14"/>
    </row>
    <row r="34" spans="1:19" s="30" customFormat="1" ht="18" customHeight="1" x14ac:dyDescent="0.2">
      <c r="A34" s="30" t="s">
        <v>7107</v>
      </c>
      <c r="B34" s="14" t="s">
        <v>1681</v>
      </c>
      <c r="C34" s="14" t="s">
        <v>6983</v>
      </c>
      <c r="D34" s="14" t="s">
        <v>932</v>
      </c>
      <c r="E34" s="14" t="s">
        <v>13</v>
      </c>
      <c r="F34" s="30" t="s">
        <v>5827</v>
      </c>
      <c r="G34" s="30">
        <v>0.57699208111176981</v>
      </c>
      <c r="H34" s="30">
        <v>1.5927349173146287E-3</v>
      </c>
      <c r="I34" s="30">
        <v>-423.00791888823022</v>
      </c>
      <c r="J34" s="30">
        <v>1.5927349173146288</v>
      </c>
      <c r="K34" s="30">
        <v>4420</v>
      </c>
      <c r="L34" s="30">
        <v>25</v>
      </c>
      <c r="M34" s="30">
        <v>54.87976854337807</v>
      </c>
      <c r="N34" s="30">
        <v>19.756350699999999</v>
      </c>
      <c r="O34" s="30">
        <v>3.240800773694561</v>
      </c>
      <c r="P34" s="14">
        <v>-3116</v>
      </c>
      <c r="Q34" s="30">
        <v>-3309</v>
      </c>
      <c r="R34" s="30">
        <v>-2923</v>
      </c>
      <c r="S34" s="14"/>
    </row>
    <row r="35" spans="1:19" s="30" customFormat="1" ht="18" customHeight="1" x14ac:dyDescent="0.2">
      <c r="A35" s="30" t="s">
        <v>7081</v>
      </c>
      <c r="B35" s="14" t="s">
        <v>3321</v>
      </c>
      <c r="C35" s="14" t="s">
        <v>992</v>
      </c>
      <c r="D35" s="14" t="s">
        <v>932</v>
      </c>
      <c r="E35" s="14" t="s">
        <v>13</v>
      </c>
      <c r="F35" s="30" t="s">
        <v>5820</v>
      </c>
      <c r="G35" s="30">
        <v>0.57729712162598135</v>
      </c>
      <c r="H35" s="30">
        <v>1.5234470187862393E-3</v>
      </c>
      <c r="I35" s="30">
        <v>-422.70287837401867</v>
      </c>
      <c r="J35" s="30">
        <v>1.5234470187862392</v>
      </c>
      <c r="K35" s="30">
        <v>4415</v>
      </c>
      <c r="L35" s="30">
        <v>25</v>
      </c>
      <c r="M35" s="30">
        <v>24.410244259819301</v>
      </c>
      <c r="N35" s="30">
        <v>8.902442098617648</v>
      </c>
      <c r="O35" s="30">
        <v>3.1989669786838171</v>
      </c>
      <c r="P35" s="14">
        <v>-3094</v>
      </c>
      <c r="Q35" s="30">
        <v>-3264</v>
      </c>
      <c r="R35" s="30">
        <v>-2924</v>
      </c>
      <c r="S35" s="14"/>
    </row>
    <row r="36" spans="1:19" s="30" customFormat="1" ht="18" customHeight="1" x14ac:dyDescent="0.2">
      <c r="A36" s="30" t="s">
        <v>7108</v>
      </c>
      <c r="B36" s="14" t="s">
        <v>1649</v>
      </c>
      <c r="C36" s="14" t="s">
        <v>6983</v>
      </c>
      <c r="D36" s="14" t="s">
        <v>932</v>
      </c>
      <c r="E36" s="14" t="s">
        <v>13</v>
      </c>
      <c r="F36" s="30" t="s">
        <v>5820</v>
      </c>
      <c r="G36" s="30">
        <v>0.57815715351213037</v>
      </c>
      <c r="H36" s="30">
        <v>1.5340795660613988E-3</v>
      </c>
      <c r="I36" s="30">
        <v>-421.84284648786962</v>
      </c>
      <c r="J36" s="30">
        <v>1.5340795660613988</v>
      </c>
      <c r="K36" s="30">
        <v>4400</v>
      </c>
      <c r="L36" s="30">
        <v>25</v>
      </c>
      <c r="M36" s="30">
        <v>20.296227592824977</v>
      </c>
      <c r="N36" s="30">
        <v>7.4575396999999999</v>
      </c>
      <c r="O36" s="30">
        <v>3.1751667633266689</v>
      </c>
      <c r="P36" s="14">
        <v>-3008</v>
      </c>
      <c r="Q36" s="30">
        <v>-3092</v>
      </c>
      <c r="R36" s="30">
        <v>-2925</v>
      </c>
      <c r="S36" s="14"/>
    </row>
    <row r="37" spans="1:19" s="30" customFormat="1" ht="18" customHeight="1" x14ac:dyDescent="0.2">
      <c r="A37" s="38" t="s">
        <v>7418</v>
      </c>
      <c r="B37" s="38" t="s">
        <v>1125</v>
      </c>
      <c r="C37" s="14" t="s">
        <v>6983</v>
      </c>
      <c r="D37" s="14" t="s">
        <v>932</v>
      </c>
      <c r="E37" s="38" t="s">
        <v>13</v>
      </c>
      <c r="F37" s="38" t="s">
        <v>5827</v>
      </c>
      <c r="G37" s="25">
        <v>0.57884058543194705</v>
      </c>
      <c r="H37" s="25">
        <v>1.4002155381604932E-3</v>
      </c>
      <c r="I37" s="26">
        <v>-421.15941456805297</v>
      </c>
      <c r="J37" s="53">
        <v>1.4002155381604933</v>
      </c>
      <c r="K37" s="54">
        <v>4390</v>
      </c>
      <c r="L37" s="54">
        <v>20</v>
      </c>
      <c r="M37" s="55">
        <v>48.151575282200461</v>
      </c>
      <c r="N37" s="55">
        <v>17.15908798978819</v>
      </c>
      <c r="O37" s="56">
        <v>3.2738824967076421</v>
      </c>
      <c r="P37" s="39">
        <v>-3005</v>
      </c>
      <c r="Q37" s="38">
        <v>-3090</v>
      </c>
      <c r="R37" s="38">
        <v>-2920</v>
      </c>
      <c r="S37" s="14"/>
    </row>
    <row r="38" spans="1:19" s="30" customFormat="1" ht="18" customHeight="1" x14ac:dyDescent="0.2">
      <c r="A38" s="30" t="s">
        <v>7070</v>
      </c>
      <c r="B38" s="14" t="s">
        <v>1207</v>
      </c>
      <c r="C38" s="14" t="s">
        <v>7449</v>
      </c>
      <c r="D38" s="14" t="s">
        <v>1152</v>
      </c>
      <c r="E38" s="14" t="s">
        <v>13</v>
      </c>
      <c r="F38" s="30" t="s">
        <v>5827</v>
      </c>
      <c r="G38" s="30">
        <v>0.57926034299157181</v>
      </c>
      <c r="H38" s="30">
        <v>1.3651559619148744E-3</v>
      </c>
      <c r="I38" s="30">
        <v>-420.7396570084282</v>
      </c>
      <c r="J38" s="30">
        <v>1.3651559619148743</v>
      </c>
      <c r="K38" s="30">
        <v>4385</v>
      </c>
      <c r="L38" s="30">
        <v>20</v>
      </c>
      <c r="M38" s="30">
        <v>41.569964879518707</v>
      </c>
      <c r="N38" s="30">
        <v>14.8925694454032</v>
      </c>
      <c r="O38" s="30">
        <v>3.2565429717978027</v>
      </c>
      <c r="P38" s="14">
        <v>-3003</v>
      </c>
      <c r="Q38" s="30">
        <v>-3087</v>
      </c>
      <c r="R38" s="30">
        <v>-2919</v>
      </c>
      <c r="S38" s="14"/>
    </row>
    <row r="39" spans="1:19" s="30" customFormat="1" ht="18" customHeight="1" x14ac:dyDescent="0.2">
      <c r="A39" s="14" t="s">
        <v>8172</v>
      </c>
      <c r="B39" s="14" t="s">
        <v>3851</v>
      </c>
      <c r="C39" s="14" t="s">
        <v>6786</v>
      </c>
      <c r="D39" s="14" t="s">
        <v>826</v>
      </c>
      <c r="E39" s="14" t="s">
        <v>13</v>
      </c>
      <c r="F39" s="14" t="s">
        <v>5827</v>
      </c>
      <c r="G39" s="41">
        <v>0.57922176017992355</v>
      </c>
      <c r="H39" s="41">
        <v>1.5284118045636849E-3</v>
      </c>
      <c r="I39" s="42">
        <v>-420.77823982007646</v>
      </c>
      <c r="J39" s="42">
        <v>1.528411804563685</v>
      </c>
      <c r="K39" s="14">
        <v>4385</v>
      </c>
      <c r="L39" s="14">
        <v>25</v>
      </c>
      <c r="M39" s="153">
        <v>30.657321595230563</v>
      </c>
      <c r="N39" s="153">
        <v>11.163287088360756</v>
      </c>
      <c r="O39" s="154">
        <f>(M39/12)/(N39/14)</f>
        <v>3.2039734274797507</v>
      </c>
      <c r="P39" s="14">
        <v>-3004</v>
      </c>
      <c r="Q39" s="14">
        <v>-3090</v>
      </c>
      <c r="R39" s="14">
        <v>-2917</v>
      </c>
      <c r="S39" s="14"/>
    </row>
    <row r="40" spans="1:19" s="30" customFormat="1" ht="18" customHeight="1" x14ac:dyDescent="0.2">
      <c r="A40" s="14" t="s">
        <v>5924</v>
      </c>
      <c r="B40" s="14" t="s">
        <v>10</v>
      </c>
      <c r="C40" s="14" t="s">
        <v>16</v>
      </c>
      <c r="D40" s="14" t="s">
        <v>18</v>
      </c>
      <c r="E40" s="14" t="s">
        <v>13</v>
      </c>
      <c r="F40" s="14" t="s">
        <v>5827</v>
      </c>
      <c r="G40" s="25">
        <v>0.58014011365127705</v>
      </c>
      <c r="H40" s="25">
        <v>1.36286722762697E-3</v>
      </c>
      <c r="I40" s="26">
        <v>-419.85988634872302</v>
      </c>
      <c r="J40" s="26">
        <v>1.36286722762697</v>
      </c>
      <c r="K40" s="31">
        <v>4375</v>
      </c>
      <c r="L40" s="31">
        <v>20</v>
      </c>
      <c r="M40" s="26">
        <v>50.9009243</v>
      </c>
      <c r="N40" s="26">
        <v>18.1956974</v>
      </c>
      <c r="O40" s="33">
        <f>(M40/12)/(N40/14)</f>
        <v>3.2636513115091335</v>
      </c>
      <c r="P40" s="14">
        <v>-2979</v>
      </c>
      <c r="Q40" s="14">
        <v>-3083</v>
      </c>
      <c r="R40" s="14">
        <v>-2916</v>
      </c>
      <c r="S40" s="14"/>
    </row>
    <row r="41" spans="1:19" s="30" customFormat="1" ht="18" customHeight="1" x14ac:dyDescent="0.2">
      <c r="A41" s="14" t="s">
        <v>5923</v>
      </c>
      <c r="B41" s="14" t="s">
        <v>86</v>
      </c>
      <c r="C41" s="14" t="s">
        <v>77</v>
      </c>
      <c r="D41" s="14" t="s">
        <v>18</v>
      </c>
      <c r="E41" s="14" t="s">
        <v>13</v>
      </c>
      <c r="F41" s="14" t="s">
        <v>5827</v>
      </c>
      <c r="G41" s="25">
        <v>0.580410222865825</v>
      </c>
      <c r="H41" s="25">
        <v>1.5702686373647099E-3</v>
      </c>
      <c r="I41" s="26">
        <v>-419.58977713417499</v>
      </c>
      <c r="J41" s="26">
        <v>1.5702686373647099</v>
      </c>
      <c r="K41" s="31">
        <v>4370</v>
      </c>
      <c r="L41" s="31">
        <v>25</v>
      </c>
      <c r="M41" s="26">
        <v>60.550122299999998</v>
      </c>
      <c r="N41" s="26">
        <v>21.737456300000002</v>
      </c>
      <c r="O41" s="33">
        <f>(M41/12)/(N41/14)</f>
        <v>3.249773495806866</v>
      </c>
      <c r="P41" s="14">
        <v>-2979</v>
      </c>
      <c r="Q41" s="14">
        <v>-3084</v>
      </c>
      <c r="R41" s="14">
        <v>-2911</v>
      </c>
      <c r="S41" s="14"/>
    </row>
    <row r="42" spans="1:19" s="30" customFormat="1" ht="18" customHeight="1" x14ac:dyDescent="0.2">
      <c r="A42" s="14" t="s">
        <v>5845</v>
      </c>
      <c r="B42" s="14" t="s">
        <v>3316</v>
      </c>
      <c r="C42" s="14" t="s">
        <v>992</v>
      </c>
      <c r="D42" s="14" t="s">
        <v>932</v>
      </c>
      <c r="E42" s="14" t="s">
        <v>13</v>
      </c>
      <c r="F42" s="14" t="s">
        <v>5820</v>
      </c>
      <c r="G42" s="25">
        <v>0.58079903359403995</v>
      </c>
      <c r="H42" s="25">
        <v>1.49449333089361E-3</v>
      </c>
      <c r="I42" s="26">
        <v>-419.20096640596</v>
      </c>
      <c r="J42" s="26">
        <v>1.4944933308936099</v>
      </c>
      <c r="K42" s="31">
        <v>4365</v>
      </c>
      <c r="L42" s="31">
        <v>25</v>
      </c>
      <c r="M42" s="26">
        <v>27.141546900000002</v>
      </c>
      <c r="N42" s="26">
        <v>9.8697672500295504</v>
      </c>
      <c r="O42" s="32">
        <f>(M42/12)/(N42/14)</f>
        <v>3.2082963303825829</v>
      </c>
      <c r="P42" s="14">
        <v>-2975</v>
      </c>
      <c r="Q42" s="14">
        <v>-3082</v>
      </c>
      <c r="R42" s="14">
        <v>-2909</v>
      </c>
      <c r="S42" s="14"/>
    </row>
    <row r="43" spans="1:19" s="30" customFormat="1" ht="18" customHeight="1" x14ac:dyDescent="0.2">
      <c r="A43" s="30" t="s">
        <v>7071</v>
      </c>
      <c r="B43" s="14" t="s">
        <v>1203</v>
      </c>
      <c r="C43" s="14" t="s">
        <v>7449</v>
      </c>
      <c r="D43" s="14" t="s">
        <v>1152</v>
      </c>
      <c r="E43" s="14" t="s">
        <v>13</v>
      </c>
      <c r="F43" s="30" t="s">
        <v>5827</v>
      </c>
      <c r="G43" s="30">
        <v>0.5807502838565981</v>
      </c>
      <c r="H43" s="30">
        <v>1.3577910733544715E-3</v>
      </c>
      <c r="I43" s="30">
        <v>-419.24971614340188</v>
      </c>
      <c r="J43" s="30">
        <v>1.3577910733544716</v>
      </c>
      <c r="K43" s="30">
        <v>4365</v>
      </c>
      <c r="L43" s="30">
        <v>20</v>
      </c>
      <c r="M43" s="30">
        <v>45.712029138446873</v>
      </c>
      <c r="N43" s="30">
        <v>16.215183747836672</v>
      </c>
      <c r="O43" s="30">
        <v>3.2889359436729415</v>
      </c>
      <c r="P43" s="14">
        <v>-2995</v>
      </c>
      <c r="Q43" s="30">
        <v>-3078</v>
      </c>
      <c r="R43" s="30">
        <v>-2912</v>
      </c>
      <c r="S43" s="14"/>
    </row>
    <row r="44" spans="1:19" s="30" customFormat="1" ht="18" customHeight="1" x14ac:dyDescent="0.2">
      <c r="A44" s="30" t="s">
        <v>7072</v>
      </c>
      <c r="B44" s="14" t="s">
        <v>1197</v>
      </c>
      <c r="C44" s="14" t="s">
        <v>7449</v>
      </c>
      <c r="D44" s="14" t="s">
        <v>1152</v>
      </c>
      <c r="E44" s="14" t="s">
        <v>13</v>
      </c>
      <c r="F44" s="30" t="s">
        <v>5827</v>
      </c>
      <c r="G44" s="30">
        <v>0.58097091467228346</v>
      </c>
      <c r="H44" s="30">
        <v>1.4400711019522355E-3</v>
      </c>
      <c r="I44" s="30">
        <v>-419.02908532771653</v>
      </c>
      <c r="J44" s="30">
        <v>1.4400711019522354</v>
      </c>
      <c r="K44" s="30">
        <v>4360</v>
      </c>
      <c r="L44" s="30">
        <v>20</v>
      </c>
      <c r="M44" s="30">
        <v>40.368539145012576</v>
      </c>
      <c r="N44" s="30">
        <v>14.359973533618522</v>
      </c>
      <c r="O44" s="30">
        <v>3.2797155852868025</v>
      </c>
      <c r="P44" s="14">
        <v>-2966</v>
      </c>
      <c r="Q44" s="30">
        <v>-3022</v>
      </c>
      <c r="R44" s="30">
        <v>-2911</v>
      </c>
      <c r="S44" s="14"/>
    </row>
    <row r="45" spans="1:19" s="30" customFormat="1" ht="18" customHeight="1" x14ac:dyDescent="0.2">
      <c r="A45" s="14" t="s">
        <v>5927</v>
      </c>
      <c r="B45" s="14" t="s">
        <v>83</v>
      </c>
      <c r="C45" s="14" t="s">
        <v>29</v>
      </c>
      <c r="D45" s="14" t="s">
        <v>18</v>
      </c>
      <c r="E45" s="14" t="s">
        <v>13</v>
      </c>
      <c r="F45" s="14" t="s">
        <v>5827</v>
      </c>
      <c r="G45" s="25">
        <v>0.58279439404045696</v>
      </c>
      <c r="H45" s="25">
        <v>1.48696187701168E-3</v>
      </c>
      <c r="I45" s="26">
        <v>-417.20560595954299</v>
      </c>
      <c r="J45" s="26">
        <v>1.4869618770116799</v>
      </c>
      <c r="K45" s="31">
        <v>4335</v>
      </c>
      <c r="L45" s="31">
        <v>25</v>
      </c>
      <c r="M45" s="26">
        <v>41.922349099999998</v>
      </c>
      <c r="N45" s="26">
        <v>15.065913200000001</v>
      </c>
      <c r="O45" s="33">
        <f>(M45/12)/(N45/14)</f>
        <v>3.2463619452774575</v>
      </c>
      <c r="P45" s="14">
        <v>-2952</v>
      </c>
      <c r="Q45" s="14">
        <v>-3016</v>
      </c>
      <c r="R45" s="14">
        <v>-2899</v>
      </c>
      <c r="S45" s="14"/>
    </row>
    <row r="46" spans="1:19" s="30" customFormat="1" ht="18" customHeight="1" x14ac:dyDescent="0.2">
      <c r="A46" s="14" t="s">
        <v>5918</v>
      </c>
      <c r="B46" s="14" t="s">
        <v>23</v>
      </c>
      <c r="C46" s="14" t="s">
        <v>29</v>
      </c>
      <c r="D46" s="14" t="s">
        <v>18</v>
      </c>
      <c r="E46" s="14" t="s">
        <v>26</v>
      </c>
      <c r="F46" s="14" t="s">
        <v>5820</v>
      </c>
      <c r="G46" s="25">
        <v>0.58299518057059896</v>
      </c>
      <c r="H46" s="25">
        <v>1.24263820114913E-3</v>
      </c>
      <c r="I46" s="26">
        <v>-417.004819429402</v>
      </c>
      <c r="J46" s="26">
        <v>1.2426382011491299</v>
      </c>
      <c r="K46" s="31">
        <v>4335</v>
      </c>
      <c r="L46" s="31">
        <v>20</v>
      </c>
      <c r="M46" s="34">
        <v>29.833278792886301</v>
      </c>
      <c r="N46" s="34">
        <v>10.9066413234743</v>
      </c>
      <c r="O46" s="33">
        <v>3.1912200000675202</v>
      </c>
      <c r="P46" s="14">
        <v>-2947</v>
      </c>
      <c r="Q46" s="14">
        <v>-3013</v>
      </c>
      <c r="R46" s="14">
        <v>-2901</v>
      </c>
      <c r="S46" s="14"/>
    </row>
    <row r="47" spans="1:19" s="30" customFormat="1" ht="18" customHeight="1" x14ac:dyDescent="0.2">
      <c r="A47" s="14" t="s">
        <v>5922</v>
      </c>
      <c r="B47" s="14" t="s">
        <v>78</v>
      </c>
      <c r="C47" s="14" t="s">
        <v>77</v>
      </c>
      <c r="D47" s="14" t="s">
        <v>18</v>
      </c>
      <c r="E47" s="14" t="s">
        <v>13</v>
      </c>
      <c r="F47" s="14" t="s">
        <v>5827</v>
      </c>
      <c r="G47" s="25">
        <v>0.58313660412103996</v>
      </c>
      <c r="H47" s="25">
        <v>1.42906814363847E-3</v>
      </c>
      <c r="I47" s="26">
        <v>-416.86339587895998</v>
      </c>
      <c r="J47" s="26">
        <v>1.42906814363847</v>
      </c>
      <c r="K47" s="31">
        <v>4330</v>
      </c>
      <c r="L47" s="31">
        <v>20</v>
      </c>
      <c r="M47" s="26">
        <v>43.755166699999997</v>
      </c>
      <c r="N47" s="26">
        <v>15.539890099999999</v>
      </c>
      <c r="O47" s="33">
        <f>(M47/12)/(N47/14)</f>
        <v>3.2849456562973596</v>
      </c>
      <c r="P47" s="14">
        <v>-2940</v>
      </c>
      <c r="Q47" s="14">
        <v>-3012</v>
      </c>
      <c r="R47" s="14">
        <v>-2897</v>
      </c>
      <c r="S47" s="14"/>
    </row>
    <row r="48" spans="1:19" s="30" customFormat="1" ht="18" customHeight="1" x14ac:dyDescent="0.2">
      <c r="A48" s="14" t="s">
        <v>5925</v>
      </c>
      <c r="B48" s="14" t="s">
        <v>74</v>
      </c>
      <c r="C48" s="14" t="s">
        <v>77</v>
      </c>
      <c r="D48" s="14" t="s">
        <v>18</v>
      </c>
      <c r="E48" s="14" t="s">
        <v>13</v>
      </c>
      <c r="F48" s="14" t="s">
        <v>5827</v>
      </c>
      <c r="G48" s="25">
        <v>0.58469403663400998</v>
      </c>
      <c r="H48" s="25">
        <v>1.5495854435083299E-3</v>
      </c>
      <c r="I48" s="26">
        <v>-415.30596336599001</v>
      </c>
      <c r="J48" s="26">
        <v>1.5495854435083301</v>
      </c>
      <c r="K48" s="31">
        <v>4310</v>
      </c>
      <c r="L48" s="31">
        <v>25</v>
      </c>
      <c r="M48" s="26">
        <v>44.207374199999997</v>
      </c>
      <c r="N48" s="26">
        <v>15.836815</v>
      </c>
      <c r="O48" s="33">
        <f>(M48/12)/(N48/14)</f>
        <v>3.2566693429202775</v>
      </c>
      <c r="P48" s="14">
        <v>-2922</v>
      </c>
      <c r="Q48" s="14">
        <v>-3011</v>
      </c>
      <c r="R48" s="14">
        <v>-2887</v>
      </c>
      <c r="S48" s="14"/>
    </row>
    <row r="49" spans="1:19" s="30" customFormat="1" ht="18" customHeight="1" x14ac:dyDescent="0.2">
      <c r="A49" s="14" t="s">
        <v>5926</v>
      </c>
      <c r="B49" s="14" t="s">
        <v>70</v>
      </c>
      <c r="C49" s="14" t="s">
        <v>16</v>
      </c>
      <c r="D49" s="14" t="s">
        <v>18</v>
      </c>
      <c r="E49" s="14" t="s">
        <v>13</v>
      </c>
      <c r="F49" s="14" t="s">
        <v>5827</v>
      </c>
      <c r="G49" s="25">
        <v>0.58513686508734397</v>
      </c>
      <c r="H49" s="25">
        <v>1.4164972012581101E-3</v>
      </c>
      <c r="I49" s="26">
        <v>-414.86313491265599</v>
      </c>
      <c r="J49" s="26">
        <v>1.4164972012581101</v>
      </c>
      <c r="K49" s="31">
        <v>4305</v>
      </c>
      <c r="L49" s="31">
        <v>20</v>
      </c>
      <c r="M49" s="26">
        <v>38.114288000000002</v>
      </c>
      <c r="N49" s="26">
        <v>13.8337579</v>
      </c>
      <c r="O49" s="33">
        <f>(M49/12)/(N49/14)</f>
        <v>3.2143593703727702</v>
      </c>
      <c r="P49" s="14">
        <v>-2910</v>
      </c>
      <c r="Q49" s="14">
        <v>-3003</v>
      </c>
      <c r="R49" s="14">
        <v>-2887</v>
      </c>
      <c r="S49" s="14"/>
    </row>
    <row r="50" spans="1:19" s="30" customFormat="1" ht="18" customHeight="1" x14ac:dyDescent="0.2">
      <c r="A50" s="30" t="s">
        <v>7110</v>
      </c>
      <c r="B50" s="14" t="s">
        <v>4723</v>
      </c>
      <c r="C50" s="14" t="s">
        <v>6983</v>
      </c>
      <c r="D50" s="14" t="s">
        <v>932</v>
      </c>
      <c r="E50" s="14" t="s">
        <v>13</v>
      </c>
      <c r="F50" s="30" t="s">
        <v>5820</v>
      </c>
      <c r="G50" s="30">
        <v>0.58555949443052147</v>
      </c>
      <c r="H50" s="30">
        <v>1.7980889581401915E-3</v>
      </c>
      <c r="I50" s="30">
        <v>-414.44050556947855</v>
      </c>
      <c r="J50" s="30">
        <v>1.7980889581401915</v>
      </c>
      <c r="K50" s="30">
        <v>4300</v>
      </c>
      <c r="L50" s="30">
        <v>25</v>
      </c>
      <c r="M50" s="30">
        <v>26.891473413744738</v>
      </c>
      <c r="N50" s="30">
        <v>9.8048728999999994</v>
      </c>
      <c r="O50" s="30">
        <v>3.1997748435238629</v>
      </c>
      <c r="P50" s="14">
        <v>-2945</v>
      </c>
      <c r="Q50" s="30">
        <v>-3010</v>
      </c>
      <c r="R50" s="30">
        <v>-2881</v>
      </c>
      <c r="S50" s="14"/>
    </row>
    <row r="51" spans="1:19" s="30" customFormat="1" ht="18" customHeight="1" x14ac:dyDescent="0.2">
      <c r="A51" s="30" t="s">
        <v>7111</v>
      </c>
      <c r="B51" s="14" t="s">
        <v>3839</v>
      </c>
      <c r="C51" s="14" t="s">
        <v>6786</v>
      </c>
      <c r="D51" s="14" t="s">
        <v>826</v>
      </c>
      <c r="E51" s="14" t="s">
        <v>13</v>
      </c>
      <c r="F51" s="30" t="s">
        <v>5820</v>
      </c>
      <c r="G51" s="30">
        <v>0.58540218678025324</v>
      </c>
      <c r="H51" s="30">
        <v>1.8063176286847256E-3</v>
      </c>
      <c r="I51" s="30">
        <v>-414.59781321974674</v>
      </c>
      <c r="J51" s="30">
        <v>1.8063176286847256</v>
      </c>
      <c r="K51" s="30">
        <v>4300</v>
      </c>
      <c r="L51" s="30">
        <v>25</v>
      </c>
      <c r="M51" s="30">
        <v>13.159871192145861</v>
      </c>
      <c r="N51" s="30">
        <v>4.7390284999999999</v>
      </c>
      <c r="O51" s="30">
        <v>3.2397321639875143</v>
      </c>
      <c r="P51" s="14">
        <v>-2945</v>
      </c>
      <c r="Q51" s="30">
        <v>-3010</v>
      </c>
      <c r="R51" s="30">
        <v>-2881</v>
      </c>
      <c r="S51" s="14"/>
    </row>
    <row r="52" spans="1:19" s="30" customFormat="1" ht="18" customHeight="1" x14ac:dyDescent="0.2">
      <c r="A52" s="30" t="s">
        <v>7055</v>
      </c>
      <c r="B52" s="14" t="s">
        <v>4972</v>
      </c>
      <c r="C52" s="14" t="s">
        <v>4978</v>
      </c>
      <c r="D52" s="14" t="s">
        <v>18</v>
      </c>
      <c r="E52" s="14" t="s">
        <v>4975</v>
      </c>
      <c r="F52" s="30" t="s">
        <v>5827</v>
      </c>
      <c r="G52" s="30">
        <v>0.58746594176178357</v>
      </c>
      <c r="H52" s="30">
        <v>1.4064029789230908E-3</v>
      </c>
      <c r="I52" s="30">
        <v>-412.5340582382164</v>
      </c>
      <c r="J52" s="30">
        <v>1.4064029789230907</v>
      </c>
      <c r="K52" s="30">
        <v>4275</v>
      </c>
      <c r="L52" s="30">
        <v>20</v>
      </c>
      <c r="M52" s="30">
        <v>50.027218099999999</v>
      </c>
      <c r="N52" s="30">
        <v>17.824802017838866</v>
      </c>
      <c r="O52" s="30">
        <v>3.2743750940359497</v>
      </c>
      <c r="P52" s="14">
        <v>-2897</v>
      </c>
      <c r="Q52" s="30">
        <v>-2913</v>
      </c>
      <c r="R52" s="30">
        <v>-2882</v>
      </c>
      <c r="S52" s="14"/>
    </row>
    <row r="53" spans="1:19" s="30" customFormat="1" ht="18" customHeight="1" x14ac:dyDescent="0.2">
      <c r="A53" s="14" t="s">
        <v>5959</v>
      </c>
      <c r="B53" s="14" t="s">
        <v>38</v>
      </c>
      <c r="C53" s="14" t="s">
        <v>43</v>
      </c>
      <c r="D53" s="14" t="s">
        <v>18</v>
      </c>
      <c r="E53" s="14" t="s">
        <v>40</v>
      </c>
      <c r="F53" s="14" t="s">
        <v>5820</v>
      </c>
      <c r="G53" s="25">
        <v>0.58750784500710196</v>
      </c>
      <c r="H53" s="25">
        <v>1.9445408021947399E-3</v>
      </c>
      <c r="I53" s="26">
        <v>-412.49215499289801</v>
      </c>
      <c r="J53" s="26">
        <v>1.49966349978395</v>
      </c>
      <c r="K53" s="31">
        <v>4270</v>
      </c>
      <c r="L53" s="31">
        <v>25</v>
      </c>
      <c r="M53" s="26">
        <v>30.783868049262502</v>
      </c>
      <c r="N53" s="26">
        <v>11.4886079032495</v>
      </c>
      <c r="O53" s="32">
        <f>(M53/12)/(N53/14)</f>
        <v>3.1260978724829949</v>
      </c>
      <c r="P53" s="14">
        <v>-2895</v>
      </c>
      <c r="Q53" s="14">
        <v>-2915</v>
      </c>
      <c r="R53" s="14">
        <v>-2878</v>
      </c>
      <c r="S53" s="14"/>
    </row>
    <row r="54" spans="1:19" s="30" customFormat="1" ht="18" customHeight="1" x14ac:dyDescent="0.2">
      <c r="A54" s="30" t="s">
        <v>7063</v>
      </c>
      <c r="B54" s="14" t="s">
        <v>3831</v>
      </c>
      <c r="C54" s="14" t="s">
        <v>6786</v>
      </c>
      <c r="D54" s="14" t="s">
        <v>826</v>
      </c>
      <c r="E54" s="14" t="s">
        <v>13</v>
      </c>
      <c r="F54" s="30" t="s">
        <v>5820</v>
      </c>
      <c r="G54" s="30">
        <v>0.58784696464599162</v>
      </c>
      <c r="H54" s="30">
        <v>1.3697074568900208E-3</v>
      </c>
      <c r="I54" s="30">
        <v>-412.15303535400835</v>
      </c>
      <c r="J54" s="30">
        <v>1.3697074568900207</v>
      </c>
      <c r="K54" s="30">
        <v>4270</v>
      </c>
      <c r="L54" s="30">
        <v>20</v>
      </c>
      <c r="M54" s="30">
        <v>15.863931737728771</v>
      </c>
      <c r="N54" s="30">
        <v>5.7439912778723485</v>
      </c>
      <c r="O54" s="30">
        <v>3.2221358747499957</v>
      </c>
      <c r="P54" s="14">
        <v>-2895</v>
      </c>
      <c r="Q54" s="30">
        <v>-2911</v>
      </c>
      <c r="R54" s="30">
        <v>-2880</v>
      </c>
      <c r="S54" s="14"/>
    </row>
    <row r="55" spans="1:19" s="30" customFormat="1" ht="18" customHeight="1" x14ac:dyDescent="0.2">
      <c r="A55" s="14" t="s">
        <v>5980</v>
      </c>
      <c r="B55" s="14" t="s">
        <v>4639</v>
      </c>
      <c r="C55" s="14" t="s">
        <v>4606</v>
      </c>
      <c r="D55" s="14" t="s">
        <v>826</v>
      </c>
      <c r="E55" s="14" t="s">
        <v>13</v>
      </c>
      <c r="F55" s="14" t="s">
        <v>5827</v>
      </c>
      <c r="G55" s="25">
        <v>0.58796618439662396</v>
      </c>
      <c r="H55" s="25">
        <v>1.67628425020458E-3</v>
      </c>
      <c r="I55" s="26">
        <v>-412.03381560337601</v>
      </c>
      <c r="J55" s="26">
        <v>1.6762842502045801</v>
      </c>
      <c r="K55" s="31">
        <v>4265</v>
      </c>
      <c r="L55" s="31">
        <v>25</v>
      </c>
      <c r="M55" s="26">
        <v>33.0339012523077</v>
      </c>
      <c r="N55" s="26">
        <v>11.9802205877626</v>
      </c>
      <c r="O55" s="33">
        <f>(M55/12)/(N55/14)</f>
        <v>3.2169317066158638</v>
      </c>
      <c r="P55" s="14">
        <v>-2892</v>
      </c>
      <c r="Q55" s="14">
        <v>-2916</v>
      </c>
      <c r="R55" s="14">
        <v>-2876</v>
      </c>
      <c r="S55" s="14"/>
    </row>
    <row r="56" spans="1:19" s="30" customFormat="1" ht="18" customHeight="1" x14ac:dyDescent="0.2">
      <c r="A56" s="14" t="s">
        <v>6007</v>
      </c>
      <c r="B56" s="14" t="s">
        <v>46</v>
      </c>
      <c r="C56" s="14" t="s">
        <v>50</v>
      </c>
      <c r="D56" s="14" t="s">
        <v>18</v>
      </c>
      <c r="E56" s="14" t="s">
        <v>33</v>
      </c>
      <c r="F56" s="14" t="s">
        <v>5997</v>
      </c>
      <c r="G56" s="14" t="s">
        <v>17</v>
      </c>
      <c r="H56" s="14" t="s">
        <v>17</v>
      </c>
      <c r="I56" s="14" t="s">
        <v>17</v>
      </c>
      <c r="J56" s="14" t="s">
        <v>17</v>
      </c>
      <c r="K56" s="14">
        <v>4260</v>
      </c>
      <c r="L56" s="14">
        <v>35</v>
      </c>
      <c r="M56" s="26">
        <v>12.5</v>
      </c>
      <c r="N56" s="26">
        <v>4.5</v>
      </c>
      <c r="O56" s="32">
        <v>3.1</v>
      </c>
      <c r="P56" s="14">
        <v>-2875</v>
      </c>
      <c r="Q56" s="14">
        <v>-2926</v>
      </c>
      <c r="R56" s="14">
        <v>-2704</v>
      </c>
      <c r="S56" s="14"/>
    </row>
    <row r="57" spans="1:19" s="30" customFormat="1" ht="18" customHeight="1" x14ac:dyDescent="0.2">
      <c r="A57" s="30" t="s">
        <v>7065</v>
      </c>
      <c r="B57" s="14" t="s">
        <v>3836</v>
      </c>
      <c r="C57" s="14" t="s">
        <v>6786</v>
      </c>
      <c r="D57" s="14" t="s">
        <v>826</v>
      </c>
      <c r="E57" s="14" t="s">
        <v>13</v>
      </c>
      <c r="F57" s="30" t="s">
        <v>5820</v>
      </c>
      <c r="G57" s="30">
        <v>0.58968188893409779</v>
      </c>
      <c r="H57" s="30">
        <v>1.4720380565371907E-3</v>
      </c>
      <c r="I57" s="30">
        <v>-410.3181110659022</v>
      </c>
      <c r="J57" s="30">
        <v>1.4720380565371907</v>
      </c>
      <c r="K57" s="30">
        <v>4245</v>
      </c>
      <c r="L57" s="30">
        <v>25</v>
      </c>
      <c r="M57" s="30">
        <v>16.585282438342073</v>
      </c>
      <c r="N57" s="30">
        <v>6.0577280193643572</v>
      </c>
      <c r="O57" s="30">
        <v>3.1941837131367468</v>
      </c>
      <c r="P57" s="14">
        <v>-2836</v>
      </c>
      <c r="Q57" s="30">
        <v>-2911</v>
      </c>
      <c r="R57" s="30">
        <v>-2761</v>
      </c>
      <c r="S57" s="14"/>
    </row>
    <row r="58" spans="1:19" s="30" customFormat="1" ht="18" customHeight="1" x14ac:dyDescent="0.2">
      <c r="A58" s="14" t="s">
        <v>8171</v>
      </c>
      <c r="B58" s="14" t="s">
        <v>3836</v>
      </c>
      <c r="C58" s="14" t="s">
        <v>6786</v>
      </c>
      <c r="D58" s="14" t="s">
        <v>826</v>
      </c>
      <c r="E58" s="14" t="s">
        <v>13</v>
      </c>
      <c r="F58" s="14" t="s">
        <v>5820</v>
      </c>
      <c r="G58" s="41">
        <v>0.59191990895319679</v>
      </c>
      <c r="H58" s="41">
        <v>1.6183518260476321E-3</v>
      </c>
      <c r="I58" s="42">
        <v>-408.0800910468032</v>
      </c>
      <c r="J58" s="42">
        <v>1.6183518260476322</v>
      </c>
      <c r="K58" s="14">
        <v>4210</v>
      </c>
      <c r="L58" s="14">
        <v>25</v>
      </c>
      <c r="M58" s="153">
        <v>26.71536064315071</v>
      </c>
      <c r="N58" s="153">
        <v>9.7323229286568704</v>
      </c>
      <c r="O58" s="154">
        <f>(M58/12)/(N58/14)</f>
        <v>3.2025160877644541</v>
      </c>
      <c r="P58" s="14">
        <v>-2804</v>
      </c>
      <c r="Q58" s="14">
        <v>-2898</v>
      </c>
      <c r="R58" s="14">
        <v>-2697</v>
      </c>
      <c r="S58" s="14"/>
    </row>
    <row r="59" spans="1:19" s="30" customFormat="1" ht="18" customHeight="1" x14ac:dyDescent="0.2">
      <c r="A59" s="30" t="s">
        <v>7103</v>
      </c>
      <c r="B59" s="14" t="s">
        <v>4985</v>
      </c>
      <c r="C59" s="14" t="s">
        <v>4988</v>
      </c>
      <c r="D59" s="14" t="s">
        <v>18</v>
      </c>
      <c r="E59" s="14" t="s">
        <v>13</v>
      </c>
      <c r="F59" s="30" t="s">
        <v>5827</v>
      </c>
      <c r="G59" s="30">
        <v>0.59408597753423464</v>
      </c>
      <c r="H59" s="30">
        <v>1.3325409237913016E-3</v>
      </c>
      <c r="I59" s="30">
        <v>-405.91402246576536</v>
      </c>
      <c r="J59" s="30">
        <v>1.3325409237913015</v>
      </c>
      <c r="K59" s="30">
        <v>4185</v>
      </c>
      <c r="L59" s="30">
        <v>20</v>
      </c>
      <c r="M59" s="30">
        <v>39.735783400000003</v>
      </c>
      <c r="N59" s="30">
        <v>14.172183820463244</v>
      </c>
      <c r="O59" s="30">
        <v>3.2710847215888958</v>
      </c>
      <c r="P59" s="14">
        <v>-2782</v>
      </c>
      <c r="Q59" s="30">
        <v>-2885</v>
      </c>
      <c r="R59" s="30">
        <v>-2680</v>
      </c>
      <c r="S59" s="14"/>
    </row>
    <row r="60" spans="1:19" s="30" customFormat="1" ht="18" customHeight="1" x14ac:dyDescent="0.2">
      <c r="A60" s="14" t="s">
        <v>5981</v>
      </c>
      <c r="B60" s="14" t="s">
        <v>4634</v>
      </c>
      <c r="C60" s="14" t="s">
        <v>4606</v>
      </c>
      <c r="D60" s="14" t="s">
        <v>826</v>
      </c>
      <c r="E60" s="14" t="s">
        <v>13</v>
      </c>
      <c r="F60" s="14" t="s">
        <v>5827</v>
      </c>
      <c r="G60" s="25">
        <v>0.59515201700952203</v>
      </c>
      <c r="H60" s="25">
        <v>1.71795095023777E-3</v>
      </c>
      <c r="I60" s="26">
        <v>-404.84798299047799</v>
      </c>
      <c r="J60" s="26">
        <v>1.7179509502377699</v>
      </c>
      <c r="K60" s="31">
        <v>4170</v>
      </c>
      <c r="L60" s="31">
        <v>25</v>
      </c>
      <c r="M60" s="26">
        <v>45.520966559655101</v>
      </c>
      <c r="N60" s="26">
        <v>16.223525096599602</v>
      </c>
      <c r="O60" s="33">
        <f>(M60/12)/(N60/14)</f>
        <v>3.2735052341201007</v>
      </c>
      <c r="P60" s="14">
        <v>-2768</v>
      </c>
      <c r="Q60" s="14">
        <v>-2881</v>
      </c>
      <c r="R60" s="14">
        <v>-2666</v>
      </c>
      <c r="S60" s="14"/>
    </row>
    <row r="61" spans="1:19" s="30" customFormat="1" ht="18" customHeight="1" x14ac:dyDescent="0.2">
      <c r="A61" s="14" t="s">
        <v>5942</v>
      </c>
      <c r="B61" s="14" t="s">
        <v>4601</v>
      </c>
      <c r="C61" s="14" t="s">
        <v>4606</v>
      </c>
      <c r="D61" s="14" t="s">
        <v>826</v>
      </c>
      <c r="E61" s="14" t="s">
        <v>13</v>
      </c>
      <c r="F61" s="14" t="s">
        <v>5820</v>
      </c>
      <c r="G61" s="25">
        <v>0.59503074912626197</v>
      </c>
      <c r="H61" s="25">
        <v>1.9445408021947399E-3</v>
      </c>
      <c r="I61" s="26">
        <v>-404.96925087373802</v>
      </c>
      <c r="J61" s="26">
        <v>1.7122338436584501</v>
      </c>
      <c r="K61" s="31">
        <v>4170</v>
      </c>
      <c r="L61" s="31">
        <v>25</v>
      </c>
      <c r="M61" s="26">
        <v>11.1699798416922</v>
      </c>
      <c r="N61" s="26">
        <v>3.9013108912800898</v>
      </c>
      <c r="O61" s="32">
        <f>(M61/12)/(N61/14)</f>
        <v>3.3403241914834907</v>
      </c>
      <c r="P61" s="14">
        <v>-2768</v>
      </c>
      <c r="Q61" s="14">
        <v>-2881</v>
      </c>
      <c r="R61" s="14">
        <v>-2666</v>
      </c>
      <c r="S61" s="14"/>
    </row>
    <row r="62" spans="1:19" s="30" customFormat="1" ht="18" customHeight="1" x14ac:dyDescent="0.2">
      <c r="A62" s="14" t="s">
        <v>5970</v>
      </c>
      <c r="B62" s="14" t="s">
        <v>133</v>
      </c>
      <c r="C62" s="14" t="s">
        <v>56</v>
      </c>
      <c r="D62" s="14" t="s">
        <v>18</v>
      </c>
      <c r="E62" s="14" t="s">
        <v>13</v>
      </c>
      <c r="F62" s="14" t="s">
        <v>5827</v>
      </c>
      <c r="G62" s="25">
        <v>0.59559791528758999</v>
      </c>
      <c r="H62" s="25">
        <v>1.9445408021947399E-3</v>
      </c>
      <c r="I62" s="26">
        <v>-404.40208471240999</v>
      </c>
      <c r="J62" s="26">
        <v>1.6862838072872901</v>
      </c>
      <c r="K62" s="31">
        <v>4165</v>
      </c>
      <c r="L62" s="31">
        <v>25</v>
      </c>
      <c r="M62" s="26">
        <v>49.565100248278902</v>
      </c>
      <c r="N62" s="26">
        <v>17.8552768321771</v>
      </c>
      <c r="O62" s="32">
        <f>(M62/12)/(N62/14)</f>
        <v>3.238591640620784</v>
      </c>
      <c r="P62" s="14">
        <v>-2764</v>
      </c>
      <c r="Q62" s="14">
        <v>-2879</v>
      </c>
      <c r="R62" s="14">
        <v>-2639</v>
      </c>
      <c r="S62" s="14"/>
    </row>
    <row r="63" spans="1:19" s="30" customFormat="1" ht="18" customHeight="1" x14ac:dyDescent="0.2">
      <c r="A63" s="14" t="s">
        <v>5979</v>
      </c>
      <c r="B63" s="14" t="s">
        <v>4629</v>
      </c>
      <c r="C63" s="14" t="s">
        <v>4606</v>
      </c>
      <c r="D63" s="14" t="s">
        <v>826</v>
      </c>
      <c r="E63" s="14" t="s">
        <v>13</v>
      </c>
      <c r="F63" s="14" t="s">
        <v>5827</v>
      </c>
      <c r="G63" s="25">
        <v>0.59591543258106605</v>
      </c>
      <c r="H63" s="25">
        <v>1.6755209238590401E-3</v>
      </c>
      <c r="I63" s="26">
        <v>-404.084567418934</v>
      </c>
      <c r="J63" s="26">
        <v>1.6755209238590401</v>
      </c>
      <c r="K63" s="31">
        <v>4160</v>
      </c>
      <c r="L63" s="31">
        <v>25</v>
      </c>
      <c r="M63" s="26">
        <v>50.331373162755803</v>
      </c>
      <c r="N63" s="26">
        <v>18.309845808446799</v>
      </c>
      <c r="O63" s="33">
        <f>(M63/12)/(N63/14)</f>
        <v>3.2070141917557509</v>
      </c>
      <c r="P63" s="14">
        <v>-2760</v>
      </c>
      <c r="Q63" s="14">
        <v>-2878</v>
      </c>
      <c r="R63" s="14">
        <v>-2636</v>
      </c>
      <c r="S63" s="14"/>
    </row>
    <row r="64" spans="1:19" s="30" customFormat="1" ht="18" customHeight="1" x14ac:dyDescent="0.2">
      <c r="A64" s="14" t="s">
        <v>5971</v>
      </c>
      <c r="B64" s="14" t="s">
        <v>64</v>
      </c>
      <c r="C64" s="14" t="s">
        <v>56</v>
      </c>
      <c r="D64" s="14" t="s">
        <v>18</v>
      </c>
      <c r="E64" s="14" t="s">
        <v>13</v>
      </c>
      <c r="F64" s="14" t="s">
        <v>5827</v>
      </c>
      <c r="G64" s="25">
        <v>0.59580968329155404</v>
      </c>
      <c r="H64" s="25">
        <v>1.9445408021947399E-3</v>
      </c>
      <c r="I64" s="26">
        <v>-404.19031670844601</v>
      </c>
      <c r="J64" s="26">
        <v>1.79520863929779</v>
      </c>
      <c r="K64" s="31">
        <v>4160</v>
      </c>
      <c r="L64" s="31">
        <v>25</v>
      </c>
      <c r="M64" s="26">
        <v>49.793661316617502</v>
      </c>
      <c r="N64" s="26">
        <v>17.8762845387303</v>
      </c>
      <c r="O64" s="32">
        <f>(M64/12)/(N64/14)</f>
        <v>3.249702405638327</v>
      </c>
      <c r="P64" s="14">
        <v>-2760</v>
      </c>
      <c r="Q64" s="14">
        <v>-2878</v>
      </c>
      <c r="R64" s="14">
        <v>-2636</v>
      </c>
      <c r="S64" s="14"/>
    </row>
    <row r="65" spans="1:37" s="30" customFormat="1" ht="18" customHeight="1" x14ac:dyDescent="0.2">
      <c r="A65" s="30" t="s">
        <v>7084</v>
      </c>
      <c r="B65" s="14" t="s">
        <v>4979</v>
      </c>
      <c r="C65" s="14" t="s">
        <v>4191</v>
      </c>
      <c r="D65" s="14" t="s">
        <v>18</v>
      </c>
      <c r="E65" s="14" t="s">
        <v>143</v>
      </c>
      <c r="F65" s="30" t="s">
        <v>5827</v>
      </c>
      <c r="G65" s="30">
        <v>0.59597294661172429</v>
      </c>
      <c r="H65" s="30">
        <v>1.4284865492790852E-3</v>
      </c>
      <c r="I65" s="30">
        <v>-404.0270533882757</v>
      </c>
      <c r="J65" s="30">
        <v>1.4284865492790852</v>
      </c>
      <c r="K65" s="30">
        <v>4160</v>
      </c>
      <c r="L65" s="30">
        <v>20</v>
      </c>
      <c r="M65" s="30">
        <v>39.766878742699113</v>
      </c>
      <c r="N65" s="30">
        <v>13.744935706854648</v>
      </c>
      <c r="O65" s="30">
        <v>3.3754026105298625</v>
      </c>
      <c r="P65" s="14">
        <v>-2771</v>
      </c>
      <c r="Q65" s="30">
        <v>-2876</v>
      </c>
      <c r="R65" s="30">
        <v>-2666</v>
      </c>
      <c r="S65" s="14"/>
    </row>
    <row r="66" spans="1:37" s="30" customFormat="1" ht="18" customHeight="1" x14ac:dyDescent="0.2">
      <c r="A66" s="14" t="s">
        <v>8170</v>
      </c>
      <c r="B66" s="14" t="s">
        <v>2073</v>
      </c>
      <c r="C66" s="14" t="s">
        <v>6786</v>
      </c>
      <c r="D66" s="14" t="s">
        <v>826</v>
      </c>
      <c r="E66" s="14" t="s">
        <v>13</v>
      </c>
      <c r="F66" s="14" t="s">
        <v>5820</v>
      </c>
      <c r="G66" s="41">
        <v>0.59662643907778945</v>
      </c>
      <c r="H66" s="41">
        <v>1.7083252458500301E-3</v>
      </c>
      <c r="I66" s="42">
        <v>-403.37356092221057</v>
      </c>
      <c r="J66" s="42">
        <v>1.7083252458500302</v>
      </c>
      <c r="K66" s="14">
        <v>4150</v>
      </c>
      <c r="L66" s="14">
        <v>25</v>
      </c>
      <c r="M66" s="153">
        <v>28.718257593573476</v>
      </c>
      <c r="N66" s="153">
        <v>10.544908277122865</v>
      </c>
      <c r="O66" s="154">
        <f>(M66/12)/(N66/14)</f>
        <v>3.1773281453625559</v>
      </c>
      <c r="P66" s="14">
        <v>-2753</v>
      </c>
      <c r="Q66" s="14">
        <v>-2875</v>
      </c>
      <c r="R66" s="14">
        <v>-2631</v>
      </c>
      <c r="S66" s="40"/>
      <c r="T66" s="40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</row>
    <row r="67" spans="1:37" s="30" customFormat="1" ht="18" customHeight="1" x14ac:dyDescent="0.2">
      <c r="A67" s="14" t="s">
        <v>5940</v>
      </c>
      <c r="B67" s="14" t="s">
        <v>60</v>
      </c>
      <c r="C67" s="14" t="s">
        <v>56</v>
      </c>
      <c r="D67" s="14" t="s">
        <v>18</v>
      </c>
      <c r="E67" s="14" t="s">
        <v>13</v>
      </c>
      <c r="F67" s="14" t="s">
        <v>5827</v>
      </c>
      <c r="G67" s="25">
        <v>0.59718837365726196</v>
      </c>
      <c r="H67" s="25">
        <v>1.9445408021947399E-3</v>
      </c>
      <c r="I67" s="26">
        <v>-402.81162634273801</v>
      </c>
      <c r="J67" s="26">
        <v>1.49181714762437</v>
      </c>
      <c r="K67" s="31">
        <v>4140</v>
      </c>
      <c r="L67" s="31">
        <v>25</v>
      </c>
      <c r="M67" s="26">
        <v>52.439869623350603</v>
      </c>
      <c r="N67" s="26">
        <v>19.611160767192999</v>
      </c>
      <c r="O67" s="32">
        <f>(M67/12)/(N67/14)</f>
        <v>3.1196444014805698</v>
      </c>
      <c r="P67" s="14">
        <v>-2742</v>
      </c>
      <c r="Q67" s="14">
        <v>-2872</v>
      </c>
      <c r="R67" s="14">
        <v>-2625</v>
      </c>
      <c r="S67" s="14"/>
    </row>
    <row r="68" spans="1:37" s="30" customFormat="1" ht="18" customHeight="1" x14ac:dyDescent="0.2">
      <c r="A68" s="14" t="s">
        <v>5969</v>
      </c>
      <c r="B68" s="14" t="s">
        <v>52</v>
      </c>
      <c r="C68" s="14" t="s">
        <v>56</v>
      </c>
      <c r="D68" s="14" t="s">
        <v>18</v>
      </c>
      <c r="E68" s="14" t="s">
        <v>13</v>
      </c>
      <c r="F68" s="14" t="s">
        <v>5827</v>
      </c>
      <c r="G68" s="25">
        <v>0.59858327835111202</v>
      </c>
      <c r="H68" s="25">
        <v>1.9445408021947399E-3</v>
      </c>
      <c r="I68" s="26">
        <v>-401.41672164888797</v>
      </c>
      <c r="J68" s="26">
        <v>1.97307725103625</v>
      </c>
      <c r="K68" s="31">
        <v>4120</v>
      </c>
      <c r="L68" s="31">
        <v>30</v>
      </c>
      <c r="M68" s="26">
        <v>51.653786369454302</v>
      </c>
      <c r="N68" s="26">
        <v>18.7281341824796</v>
      </c>
      <c r="O68" s="32">
        <f>(M68/12)/(N68/14)</f>
        <v>3.2177658584238409</v>
      </c>
      <c r="P68" s="14">
        <v>-2718</v>
      </c>
      <c r="Q68" s="14">
        <v>-2866</v>
      </c>
      <c r="R68" s="14">
        <v>-2579</v>
      </c>
      <c r="S68" s="14"/>
    </row>
    <row r="69" spans="1:37" s="30" customFormat="1" ht="18" customHeight="1" x14ac:dyDescent="0.2">
      <c r="A69" s="14" t="s">
        <v>5977</v>
      </c>
      <c r="B69" s="14" t="s">
        <v>4625</v>
      </c>
      <c r="C69" s="14" t="s">
        <v>4606</v>
      </c>
      <c r="D69" s="14" t="s">
        <v>826</v>
      </c>
      <c r="E69" s="14" t="s">
        <v>13</v>
      </c>
      <c r="F69" s="14" t="s">
        <v>5820</v>
      </c>
      <c r="G69" s="25">
        <v>0.60052059819802195</v>
      </c>
      <c r="H69" s="25">
        <v>1.6967115472888599E-3</v>
      </c>
      <c r="I69" s="26">
        <v>-399.47940180197799</v>
      </c>
      <c r="J69" s="26">
        <v>1.6967115472888601</v>
      </c>
      <c r="K69" s="31">
        <v>4095</v>
      </c>
      <c r="L69" s="31">
        <v>25</v>
      </c>
      <c r="M69" s="34">
        <v>31.720591484711601</v>
      </c>
      <c r="N69" s="26">
        <v>11.714952223021401</v>
      </c>
      <c r="O69" s="33">
        <f>(M69/12)/(N69/14)</f>
        <v>3.1589848620499947</v>
      </c>
      <c r="P69" s="14">
        <v>-2678</v>
      </c>
      <c r="Q69" s="14">
        <v>-2858</v>
      </c>
      <c r="R69" s="14">
        <v>-2505</v>
      </c>
      <c r="S69" s="14"/>
    </row>
    <row r="70" spans="1:37" s="30" customFormat="1" ht="18" customHeight="1" x14ac:dyDescent="0.2">
      <c r="A70" s="30" t="s">
        <v>7085</v>
      </c>
      <c r="B70" s="14" t="s">
        <v>137</v>
      </c>
      <c r="C70" s="14" t="s">
        <v>5790</v>
      </c>
      <c r="D70" s="14" t="s">
        <v>18</v>
      </c>
      <c r="E70" s="14" t="s">
        <v>105</v>
      </c>
      <c r="F70" s="30" t="s">
        <v>5827</v>
      </c>
      <c r="G70" s="30">
        <v>0.60051049858823591</v>
      </c>
      <c r="H70" s="30">
        <v>1.7345171278442145E-3</v>
      </c>
      <c r="I70" s="30">
        <v>-399.48950141176408</v>
      </c>
      <c r="J70" s="30">
        <v>1.7345171278442144</v>
      </c>
      <c r="K70" s="30">
        <v>4095</v>
      </c>
      <c r="L70" s="30">
        <v>25</v>
      </c>
      <c r="M70" s="30">
        <v>45.386401098188472</v>
      </c>
      <c r="N70" s="30">
        <v>16.421813526458131</v>
      </c>
      <c r="O70" s="30">
        <v>3.2244186183156813</v>
      </c>
      <c r="P70" s="14">
        <v>-2681</v>
      </c>
      <c r="Q70" s="30">
        <v>-2858</v>
      </c>
      <c r="R70" s="30">
        <v>-2505</v>
      </c>
      <c r="S70" s="14"/>
    </row>
    <row r="71" spans="1:37" s="30" customFormat="1" ht="18" customHeight="1" x14ac:dyDescent="0.2">
      <c r="A71" s="14" t="s">
        <v>5964</v>
      </c>
      <c r="B71" s="14" t="s">
        <v>1487</v>
      </c>
      <c r="C71" s="14" t="s">
        <v>1491</v>
      </c>
      <c r="D71" s="14" t="s">
        <v>1152</v>
      </c>
      <c r="E71" s="14" t="s">
        <v>40</v>
      </c>
      <c r="F71" s="14" t="s">
        <v>5827</v>
      </c>
      <c r="G71" s="25">
        <v>0.60195987589228594</v>
      </c>
      <c r="H71" s="25">
        <v>1.9445408021947399E-3</v>
      </c>
      <c r="I71" s="26">
        <v>-398.04012410771401</v>
      </c>
      <c r="J71" s="26">
        <v>1.8267045980059999</v>
      </c>
      <c r="K71" s="31">
        <v>4075</v>
      </c>
      <c r="L71" s="31">
        <v>25</v>
      </c>
      <c r="M71" s="26">
        <v>38.918754506561399</v>
      </c>
      <c r="N71" s="26">
        <v>13.7878880004744</v>
      </c>
      <c r="O71" s="32">
        <f>(M71/12)/(N71/14)</f>
        <v>3.2931231809705768</v>
      </c>
      <c r="P71" s="14">
        <v>-2635</v>
      </c>
      <c r="Q71" s="14">
        <v>-2850</v>
      </c>
      <c r="R71" s="14">
        <v>-2495</v>
      </c>
      <c r="S71" s="14"/>
    </row>
    <row r="72" spans="1:37" s="30" customFormat="1" ht="18" customHeight="1" x14ac:dyDescent="0.2">
      <c r="A72" s="14" t="s">
        <v>5941</v>
      </c>
      <c r="B72" s="14" t="s">
        <v>153</v>
      </c>
      <c r="C72" s="14" t="s">
        <v>56</v>
      </c>
      <c r="D72" s="14" t="s">
        <v>18</v>
      </c>
      <c r="E72" s="14" t="s">
        <v>13</v>
      </c>
      <c r="F72" s="14" t="s">
        <v>5827</v>
      </c>
      <c r="G72" s="25">
        <v>0.60217300750167502</v>
      </c>
      <c r="H72" s="25">
        <v>1.9445408021947399E-3</v>
      </c>
      <c r="I72" s="26">
        <v>-397.82699249832501</v>
      </c>
      <c r="J72" s="26">
        <v>1.40392881334207</v>
      </c>
      <c r="K72" s="31">
        <v>4075</v>
      </c>
      <c r="L72" s="31">
        <v>20</v>
      </c>
      <c r="M72" s="26">
        <v>50.681689485970601</v>
      </c>
      <c r="N72" s="26">
        <v>18.687761035277202</v>
      </c>
      <c r="O72" s="32">
        <f>(M72/12)/(N72/14)</f>
        <v>3.1640300634203449</v>
      </c>
      <c r="P72" s="14">
        <v>-2629</v>
      </c>
      <c r="Q72" s="14">
        <v>-2837</v>
      </c>
      <c r="R72" s="14">
        <v>-2498</v>
      </c>
      <c r="S72" s="14"/>
    </row>
    <row r="73" spans="1:37" s="30" customFormat="1" ht="18" customHeight="1" x14ac:dyDescent="0.2">
      <c r="A73" s="14" t="s">
        <v>5943</v>
      </c>
      <c r="B73" s="14" t="s">
        <v>4620</v>
      </c>
      <c r="C73" s="14" t="s">
        <v>4606</v>
      </c>
      <c r="D73" s="14" t="s">
        <v>826</v>
      </c>
      <c r="E73" s="14" t="s">
        <v>13</v>
      </c>
      <c r="F73" s="14" t="s">
        <v>5827</v>
      </c>
      <c r="G73" s="25">
        <v>0.60237085171816696</v>
      </c>
      <c r="H73" s="25">
        <v>1.9445408021947399E-3</v>
      </c>
      <c r="I73" s="26">
        <v>-397.62914828183301</v>
      </c>
      <c r="J73" s="26">
        <v>1.8674034117026099</v>
      </c>
      <c r="K73" s="31">
        <v>4070</v>
      </c>
      <c r="L73" s="31">
        <v>25</v>
      </c>
      <c r="M73" s="26">
        <v>58.4498160443435</v>
      </c>
      <c r="N73" s="26">
        <v>21.7502170716077</v>
      </c>
      <c r="O73" s="32">
        <f>(M73/12)/(N73/14)</f>
        <v>3.1352078844652018</v>
      </c>
      <c r="P73" s="14">
        <v>-2622</v>
      </c>
      <c r="Q73" s="14">
        <v>-2849</v>
      </c>
      <c r="R73" s="14">
        <v>-2492</v>
      </c>
      <c r="S73" s="14"/>
    </row>
    <row r="74" spans="1:37" s="30" customFormat="1" ht="18" customHeight="1" x14ac:dyDescent="0.2">
      <c r="A74" s="14" t="s">
        <v>7086</v>
      </c>
      <c r="B74" s="14" t="s">
        <v>148</v>
      </c>
      <c r="C74" s="14" t="s">
        <v>56</v>
      </c>
      <c r="D74" s="14" t="s">
        <v>18</v>
      </c>
      <c r="E74" s="14" t="s">
        <v>13</v>
      </c>
      <c r="F74" s="30" t="s">
        <v>5827</v>
      </c>
      <c r="G74" s="30">
        <v>0.60618315573158765</v>
      </c>
      <c r="H74" s="30">
        <v>1.7232515688536906E-3</v>
      </c>
      <c r="I74" s="30">
        <v>-393.81684426841235</v>
      </c>
      <c r="J74" s="30">
        <v>1.7232515688536907</v>
      </c>
      <c r="K74" s="30">
        <v>4020</v>
      </c>
      <c r="L74" s="30">
        <v>25</v>
      </c>
      <c r="M74" s="30">
        <v>56.588415613666314</v>
      </c>
      <c r="N74" s="30">
        <v>20.20704852843113</v>
      </c>
      <c r="O74" s="30">
        <v>3.2671677965762673</v>
      </c>
      <c r="P74" s="14">
        <v>-2544</v>
      </c>
      <c r="Q74" s="30">
        <v>-2617</v>
      </c>
      <c r="R74" s="30">
        <v>-2472</v>
      </c>
      <c r="S74" s="14"/>
    </row>
    <row r="75" spans="1:37" s="30" customFormat="1" ht="18" customHeight="1" x14ac:dyDescent="0.2">
      <c r="A75" s="14" t="s">
        <v>5978</v>
      </c>
      <c r="B75" s="14" t="s">
        <v>4616</v>
      </c>
      <c r="C75" s="14" t="s">
        <v>4606</v>
      </c>
      <c r="D75" s="14" t="s">
        <v>826</v>
      </c>
      <c r="E75" s="14" t="s">
        <v>13</v>
      </c>
      <c r="F75" s="14" t="s">
        <v>5827</v>
      </c>
      <c r="G75" s="25">
        <v>0.60989468037966699</v>
      </c>
      <c r="H75" s="25">
        <v>1.9289204134814201E-3</v>
      </c>
      <c r="I75" s="26">
        <v>-390.10531962033298</v>
      </c>
      <c r="J75" s="26">
        <v>1.92892041348142</v>
      </c>
      <c r="K75" s="31">
        <v>3970</v>
      </c>
      <c r="L75" s="31">
        <v>30</v>
      </c>
      <c r="M75" s="26">
        <v>46.883853382756598</v>
      </c>
      <c r="N75" s="26">
        <v>17.031270662738301</v>
      </c>
      <c r="O75" s="33">
        <f>(M75/12)/(N75/14)</f>
        <v>3.2116117481603692</v>
      </c>
      <c r="P75" s="14">
        <v>-2502</v>
      </c>
      <c r="Q75" s="14">
        <v>-2575</v>
      </c>
      <c r="R75" s="14">
        <v>-2350</v>
      </c>
      <c r="S75" s="14"/>
    </row>
    <row r="76" spans="1:37" s="30" customFormat="1" ht="18" customHeight="1" x14ac:dyDescent="0.2">
      <c r="A76" s="30" t="s">
        <v>7098</v>
      </c>
      <c r="B76" s="14" t="s">
        <v>5183</v>
      </c>
      <c r="C76" s="14" t="s">
        <v>7622</v>
      </c>
      <c r="D76" s="14" t="s">
        <v>1428</v>
      </c>
      <c r="E76" s="14" t="s">
        <v>13</v>
      </c>
      <c r="F76" s="30" t="s">
        <v>5827</v>
      </c>
      <c r="G76" s="30">
        <v>0.61257112807618841</v>
      </c>
      <c r="H76" s="30">
        <v>1.8023577930365226E-3</v>
      </c>
      <c r="I76" s="30">
        <v>-387.42887192381158</v>
      </c>
      <c r="J76" s="30">
        <v>1.8023577930365227</v>
      </c>
      <c r="K76" s="30">
        <v>3935</v>
      </c>
      <c r="L76" s="30">
        <v>25</v>
      </c>
      <c r="M76" s="30">
        <v>36.975870743651335</v>
      </c>
      <c r="N76" s="30">
        <v>13.327850209621261</v>
      </c>
      <c r="O76" s="30">
        <v>3.2367197401762442</v>
      </c>
      <c r="P76" s="14">
        <v>-2449</v>
      </c>
      <c r="Q76" s="30">
        <v>-2559</v>
      </c>
      <c r="R76" s="30">
        <v>-2340</v>
      </c>
      <c r="S76" s="14"/>
    </row>
    <row r="77" spans="1:37" s="30" customFormat="1" ht="18" customHeight="1" x14ac:dyDescent="0.2">
      <c r="A77" s="14" t="s">
        <v>5976</v>
      </c>
      <c r="B77" s="14" t="s">
        <v>4612</v>
      </c>
      <c r="C77" s="14" t="s">
        <v>4606</v>
      </c>
      <c r="D77" s="14" t="s">
        <v>826</v>
      </c>
      <c r="E77" s="14" t="s">
        <v>13</v>
      </c>
      <c r="F77" s="14" t="s">
        <v>5827</v>
      </c>
      <c r="G77" s="25">
        <v>0.61435851280928999</v>
      </c>
      <c r="H77" s="25">
        <v>1.6682606514960301E-3</v>
      </c>
      <c r="I77" s="26">
        <v>-385.64148719071</v>
      </c>
      <c r="J77" s="26">
        <v>1.6682606514960301</v>
      </c>
      <c r="K77" s="31">
        <v>3915</v>
      </c>
      <c r="L77" s="31">
        <v>25</v>
      </c>
      <c r="M77" s="26">
        <v>41.373029882231798</v>
      </c>
      <c r="N77" s="26">
        <v>14.979476922639501</v>
      </c>
      <c r="O77" s="33">
        <f>(M77/12)/(N77/14)</f>
        <v>3.2223111068486148</v>
      </c>
      <c r="P77" s="14">
        <v>-2402</v>
      </c>
      <c r="Q77" s="14">
        <v>-2474</v>
      </c>
      <c r="R77" s="14">
        <v>-2307</v>
      </c>
      <c r="S77" s="14"/>
    </row>
    <row r="78" spans="1:37" s="30" customFormat="1" ht="18" customHeight="1" x14ac:dyDescent="0.2">
      <c r="A78" s="30" t="s">
        <v>7099</v>
      </c>
      <c r="B78" s="14" t="s">
        <v>5180</v>
      </c>
      <c r="C78" s="14" t="s">
        <v>7620</v>
      </c>
      <c r="D78" s="14" t="s">
        <v>1428</v>
      </c>
      <c r="E78" s="14" t="s">
        <v>13</v>
      </c>
      <c r="F78" s="30" t="s">
        <v>5827</v>
      </c>
      <c r="G78" s="30">
        <v>0.61644444484627015</v>
      </c>
      <c r="H78" s="30">
        <v>1.6439502790500486E-3</v>
      </c>
      <c r="I78" s="30">
        <v>-383.55555515372987</v>
      </c>
      <c r="J78" s="30">
        <v>1.6439502790500486</v>
      </c>
      <c r="K78" s="30">
        <v>3885</v>
      </c>
      <c r="L78" s="30">
        <v>25</v>
      </c>
      <c r="M78" s="30">
        <v>46.668493306817496</v>
      </c>
      <c r="N78" s="30">
        <v>17.038148399671101</v>
      </c>
      <c r="O78" s="30">
        <v>3.1955688052154438</v>
      </c>
      <c r="P78" s="14">
        <v>-2379</v>
      </c>
      <c r="Q78" s="30">
        <v>-2464</v>
      </c>
      <c r="R78" s="30">
        <v>-2295</v>
      </c>
      <c r="S78" s="14"/>
    </row>
    <row r="79" spans="1:37" s="30" customFormat="1" ht="18" customHeight="1" x14ac:dyDescent="0.2">
      <c r="A79" s="30" t="s">
        <v>7073</v>
      </c>
      <c r="B79" s="14" t="s">
        <v>1218</v>
      </c>
      <c r="C79" s="14" t="s">
        <v>1214</v>
      </c>
      <c r="D79" s="14" t="s">
        <v>1152</v>
      </c>
      <c r="E79" s="14" t="s">
        <v>13</v>
      </c>
      <c r="F79" s="30" t="s">
        <v>5827</v>
      </c>
      <c r="G79" s="30">
        <v>0.61653675471701141</v>
      </c>
      <c r="H79" s="30">
        <v>1.2490102344442575E-3</v>
      </c>
      <c r="I79" s="30">
        <v>-383.46324528298857</v>
      </c>
      <c r="J79" s="30">
        <v>1.2490102344442575</v>
      </c>
      <c r="K79" s="30">
        <v>3885</v>
      </c>
      <c r="L79" s="30">
        <v>20</v>
      </c>
      <c r="M79" s="30">
        <v>43.646296981311878</v>
      </c>
      <c r="N79" s="30">
        <v>15.74216203539744</v>
      </c>
      <c r="O79" s="30">
        <v>3.2346687638604865</v>
      </c>
      <c r="P79" s="14">
        <v>-2380</v>
      </c>
      <c r="Q79" s="30">
        <v>-2462</v>
      </c>
      <c r="R79" s="30">
        <v>-2299</v>
      </c>
      <c r="S79" s="14"/>
    </row>
    <row r="80" spans="1:37" s="30" customFormat="1" ht="18" customHeight="1" x14ac:dyDescent="0.2">
      <c r="A80" s="14" t="s">
        <v>5957</v>
      </c>
      <c r="B80" s="14" t="s">
        <v>1967</v>
      </c>
      <c r="C80" s="14" t="s">
        <v>1972</v>
      </c>
      <c r="D80" s="14" t="s">
        <v>826</v>
      </c>
      <c r="E80" s="14" t="s">
        <v>13</v>
      </c>
      <c r="F80" s="14" t="s">
        <v>5827</v>
      </c>
      <c r="G80" s="25">
        <v>0.61730853926628104</v>
      </c>
      <c r="H80" s="25">
        <v>1.9445408021947399E-3</v>
      </c>
      <c r="I80" s="26">
        <v>-382.691460733719</v>
      </c>
      <c r="J80" s="26">
        <v>1.9141535429504799</v>
      </c>
      <c r="K80" s="31">
        <v>3875</v>
      </c>
      <c r="L80" s="31">
        <v>25</v>
      </c>
      <c r="M80" s="26">
        <v>47.206354285158099</v>
      </c>
      <c r="N80" s="26">
        <v>17.486824256724798</v>
      </c>
      <c r="O80" s="32">
        <f>(M80/12)/(N80/14)</f>
        <v>3.1494615140408717</v>
      </c>
      <c r="P80" s="14">
        <v>-2369</v>
      </c>
      <c r="Q80" s="14">
        <v>-2465</v>
      </c>
      <c r="R80" s="14">
        <v>-2286</v>
      </c>
      <c r="S80" s="14"/>
    </row>
    <row r="81" spans="1:39" s="30" customFormat="1" ht="18" customHeight="1" x14ac:dyDescent="0.2">
      <c r="A81" s="30" t="s">
        <v>7100</v>
      </c>
      <c r="B81" s="14" t="s">
        <v>5176</v>
      </c>
      <c r="C81" s="14" t="s">
        <v>7618</v>
      </c>
      <c r="D81" s="14" t="s">
        <v>1428</v>
      </c>
      <c r="E81" s="14" t="s">
        <v>13</v>
      </c>
      <c r="F81" s="30" t="s">
        <v>5827</v>
      </c>
      <c r="G81" s="30">
        <v>0.6193543988687904</v>
      </c>
      <c r="H81" s="30">
        <v>1.5690106144051188E-3</v>
      </c>
      <c r="I81" s="30">
        <v>-380.64560113120962</v>
      </c>
      <c r="J81" s="30">
        <v>1.5690106144051188</v>
      </c>
      <c r="K81" s="30">
        <v>3850</v>
      </c>
      <c r="L81" s="30">
        <v>25</v>
      </c>
      <c r="M81" s="30">
        <v>50.758052847068335</v>
      </c>
      <c r="N81" s="30">
        <v>18.159889007623875</v>
      </c>
      <c r="O81" s="30">
        <v>3.2609080538278055</v>
      </c>
      <c r="P81" s="14">
        <v>-2332</v>
      </c>
      <c r="Q81" s="30">
        <v>-2458</v>
      </c>
      <c r="R81" s="30">
        <v>-2207</v>
      </c>
      <c r="S81" s="14"/>
    </row>
    <row r="82" spans="1:39" s="30" customFormat="1" ht="18" customHeight="1" x14ac:dyDescent="0.2">
      <c r="A82" s="14" t="s">
        <v>6003</v>
      </c>
      <c r="B82" s="14" t="s">
        <v>1959</v>
      </c>
      <c r="C82" s="14" t="s">
        <v>931</v>
      </c>
      <c r="D82" s="14" t="s">
        <v>932</v>
      </c>
      <c r="E82" s="14" t="s">
        <v>143</v>
      </c>
      <c r="F82" s="14" t="s">
        <v>5997</v>
      </c>
      <c r="G82" s="14" t="s">
        <v>17</v>
      </c>
      <c r="H82" s="14" t="s">
        <v>17</v>
      </c>
      <c r="I82" s="14" t="s">
        <v>17</v>
      </c>
      <c r="J82" s="14" t="s">
        <v>17</v>
      </c>
      <c r="K82" s="14">
        <v>3840</v>
      </c>
      <c r="L82" s="14">
        <v>35</v>
      </c>
      <c r="M82" s="26">
        <v>9.3000000000000007</v>
      </c>
      <c r="N82" s="26">
        <v>3.3</v>
      </c>
      <c r="O82" s="32">
        <v>3.14</v>
      </c>
      <c r="P82" s="14">
        <v>-2308</v>
      </c>
      <c r="Q82" s="14">
        <v>-2458</v>
      </c>
      <c r="R82" s="14">
        <v>-2202</v>
      </c>
      <c r="S82" s="14"/>
    </row>
    <row r="83" spans="1:39" s="30" customFormat="1" ht="18" customHeight="1" x14ac:dyDescent="0.2">
      <c r="A83" s="14" t="s">
        <v>6005</v>
      </c>
      <c r="B83" s="14" t="s">
        <v>2065</v>
      </c>
      <c r="C83" s="14" t="s">
        <v>931</v>
      </c>
      <c r="D83" s="14" t="s">
        <v>932</v>
      </c>
      <c r="E83" s="14" t="s">
        <v>143</v>
      </c>
      <c r="F83" s="14" t="s">
        <v>5997</v>
      </c>
      <c r="G83" s="14" t="s">
        <v>17</v>
      </c>
      <c r="H83" s="14" t="s">
        <v>17</v>
      </c>
      <c r="I83" s="14" t="s">
        <v>17</v>
      </c>
      <c r="J83" s="14" t="s">
        <v>17</v>
      </c>
      <c r="K83" s="14">
        <v>3815</v>
      </c>
      <c r="L83" s="14">
        <v>35</v>
      </c>
      <c r="M83" s="26">
        <v>6.7</v>
      </c>
      <c r="N83" s="26">
        <v>2.2000000000000002</v>
      </c>
      <c r="O83" s="32" t="s">
        <v>17</v>
      </c>
      <c r="P83" s="14">
        <v>-2264</v>
      </c>
      <c r="Q83" s="14">
        <v>-2452</v>
      </c>
      <c r="R83" s="14">
        <v>-2140</v>
      </c>
      <c r="S83" s="14"/>
    </row>
    <row r="84" spans="1:39" s="30" customFormat="1" ht="18" customHeight="1" x14ac:dyDescent="0.2">
      <c r="A84" s="30" t="s">
        <v>7061</v>
      </c>
      <c r="B84" s="14" t="s">
        <v>1963</v>
      </c>
      <c r="C84" s="14" t="s">
        <v>931</v>
      </c>
      <c r="D84" s="14" t="s">
        <v>932</v>
      </c>
      <c r="E84" s="14" t="s">
        <v>118</v>
      </c>
      <c r="F84" s="30" t="s">
        <v>5827</v>
      </c>
      <c r="G84" s="30">
        <v>0.6228954972423828</v>
      </c>
      <c r="H84" s="30">
        <v>1.331082277264465E-3</v>
      </c>
      <c r="I84" s="30">
        <v>-377.10450275761718</v>
      </c>
      <c r="J84" s="30">
        <v>1.331082277264465</v>
      </c>
      <c r="K84" s="30">
        <v>3805</v>
      </c>
      <c r="L84" s="30">
        <v>20</v>
      </c>
      <c r="M84" s="30">
        <v>38.219669057154384</v>
      </c>
      <c r="N84" s="30">
        <v>13.683270936111526</v>
      </c>
      <c r="O84" s="30">
        <v>3.2586955347304407</v>
      </c>
      <c r="P84" s="14">
        <v>-2222</v>
      </c>
      <c r="Q84" s="30">
        <v>-2297</v>
      </c>
      <c r="R84" s="30">
        <v>-2147</v>
      </c>
      <c r="S84" s="14"/>
    </row>
    <row r="85" spans="1:39" s="30" customFormat="1" ht="18" customHeight="1" x14ac:dyDescent="0.2">
      <c r="A85" s="14" t="s">
        <v>5939</v>
      </c>
      <c r="B85" s="14" t="s">
        <v>985</v>
      </c>
      <c r="C85" s="14" t="s">
        <v>931</v>
      </c>
      <c r="D85" s="14" t="s">
        <v>932</v>
      </c>
      <c r="E85" s="14" t="s">
        <v>143</v>
      </c>
      <c r="F85" s="14" t="s">
        <v>5827</v>
      </c>
      <c r="G85" s="25">
        <v>0.62442108182423695</v>
      </c>
      <c r="H85" s="25">
        <v>1.9445408021947399E-3</v>
      </c>
      <c r="I85" s="26">
        <v>-375.57891817576302</v>
      </c>
      <c r="J85" s="26">
        <v>1.3865331981626801</v>
      </c>
      <c r="K85" s="31">
        <v>3785</v>
      </c>
      <c r="L85" s="31">
        <v>20</v>
      </c>
      <c r="M85" s="26">
        <v>43.778126100000001</v>
      </c>
      <c r="N85" s="26">
        <v>15.718946600000001</v>
      </c>
      <c r="O85" s="32">
        <f>(M85/12)/(N85/14)</f>
        <v>3.2492304827856593</v>
      </c>
      <c r="P85" s="14">
        <v>-2215</v>
      </c>
      <c r="Q85" s="14">
        <v>-2288</v>
      </c>
      <c r="R85" s="14">
        <v>-2142</v>
      </c>
      <c r="S85" s="137"/>
      <c r="T85" s="138"/>
      <c r="U85" s="136"/>
      <c r="V85" s="143"/>
      <c r="W85" s="143"/>
      <c r="X85" s="143"/>
      <c r="Y85" s="143"/>
      <c r="Z85" s="143"/>
      <c r="AA85" s="139"/>
      <c r="AB85" s="144"/>
      <c r="AC85" s="140"/>
      <c r="AD85" s="140"/>
      <c r="AE85" s="143"/>
      <c r="AF85" s="143"/>
      <c r="AG85" s="143"/>
      <c r="AH85" s="141"/>
      <c r="AI85" s="137"/>
      <c r="AJ85" s="152"/>
      <c r="AK85" s="138"/>
      <c r="AL85" s="139"/>
      <c r="AM85" s="139"/>
    </row>
    <row r="86" spans="1:39" s="30" customFormat="1" ht="18" customHeight="1" x14ac:dyDescent="0.2">
      <c r="A86" s="14" t="s">
        <v>5844</v>
      </c>
      <c r="B86" s="14" t="s">
        <v>3311</v>
      </c>
      <c r="C86" s="14" t="s">
        <v>992</v>
      </c>
      <c r="D86" s="14" t="s">
        <v>932</v>
      </c>
      <c r="E86" s="14" t="s">
        <v>13</v>
      </c>
      <c r="F86" s="14" t="s">
        <v>5820</v>
      </c>
      <c r="G86" s="25">
        <v>0.62490823187123801</v>
      </c>
      <c r="H86" s="25">
        <v>3.07405274664467E-3</v>
      </c>
      <c r="I86" s="26">
        <v>-375.091768128762</v>
      </c>
      <c r="J86" s="26">
        <v>3.0740527466446701</v>
      </c>
      <c r="K86" s="31">
        <v>3775</v>
      </c>
      <c r="L86" s="31">
        <v>40</v>
      </c>
      <c r="M86" s="26">
        <v>9.5921014000000007</v>
      </c>
      <c r="N86" s="26">
        <v>3.5619241163089299</v>
      </c>
      <c r="O86" s="32">
        <f>(M86/12)/(N86/14)</f>
        <v>3.1417808468820496</v>
      </c>
      <c r="P86" s="14">
        <v>-2199</v>
      </c>
      <c r="Q86" s="14">
        <v>-2338</v>
      </c>
      <c r="R86" s="14">
        <v>-2039</v>
      </c>
      <c r="S86" s="14"/>
    </row>
    <row r="87" spans="1:39" s="30" customFormat="1" ht="18" customHeight="1" x14ac:dyDescent="0.2">
      <c r="A87" s="14" t="s">
        <v>5868</v>
      </c>
      <c r="B87" s="14" t="s">
        <v>982</v>
      </c>
      <c r="C87" s="14" t="s">
        <v>931</v>
      </c>
      <c r="D87" s="14" t="s">
        <v>932</v>
      </c>
      <c r="E87" s="14" t="s">
        <v>143</v>
      </c>
      <c r="F87" s="14" t="s">
        <v>5820</v>
      </c>
      <c r="G87" s="25">
        <v>0.62534980096840698</v>
      </c>
      <c r="H87" s="25">
        <v>1.3130094158511701E-3</v>
      </c>
      <c r="I87" s="26">
        <v>-374.65019903159299</v>
      </c>
      <c r="J87" s="26">
        <v>1.31300941585117</v>
      </c>
      <c r="K87" s="31">
        <v>3770</v>
      </c>
      <c r="L87" s="31">
        <v>20</v>
      </c>
      <c r="M87" s="26">
        <v>28.9958733448474</v>
      </c>
      <c r="N87" s="26">
        <v>10.617223149119701</v>
      </c>
      <c r="O87" s="32">
        <f>(M87/12)/(N87/14)</f>
        <v>3.1861927009725481</v>
      </c>
      <c r="P87" s="14">
        <v>-2189</v>
      </c>
      <c r="Q87" s="14">
        <v>-2285</v>
      </c>
      <c r="R87" s="14">
        <v>-2135</v>
      </c>
      <c r="S87" s="14"/>
      <c r="AL87" s="38"/>
      <c r="AM87" s="38"/>
    </row>
    <row r="88" spans="1:39" s="30" customFormat="1" ht="18" customHeight="1" x14ac:dyDescent="0.2">
      <c r="A88" s="30" t="s">
        <v>7058</v>
      </c>
      <c r="B88" s="14" t="s">
        <v>2058</v>
      </c>
      <c r="C88" s="14" t="s">
        <v>931</v>
      </c>
      <c r="D88" s="14" t="s">
        <v>932</v>
      </c>
      <c r="E88" s="14" t="s">
        <v>143</v>
      </c>
      <c r="F88" s="30" t="s">
        <v>5827</v>
      </c>
      <c r="G88" s="30">
        <v>0.6265703196060427</v>
      </c>
      <c r="H88" s="30">
        <v>1.6123871892029704E-3</v>
      </c>
      <c r="I88" s="30">
        <v>-373.42968039395731</v>
      </c>
      <c r="J88" s="30">
        <v>1.6123871892029704</v>
      </c>
      <c r="K88" s="30">
        <v>3755</v>
      </c>
      <c r="L88" s="30">
        <v>25</v>
      </c>
      <c r="M88" s="30">
        <v>43.274128415758597</v>
      </c>
      <c r="N88" s="30">
        <v>15.266945422721484</v>
      </c>
      <c r="O88" s="30">
        <v>3.3069144975510532</v>
      </c>
      <c r="P88" s="14">
        <v>-2162</v>
      </c>
      <c r="Q88" s="30">
        <v>-2280</v>
      </c>
      <c r="R88" s="30">
        <v>-2044</v>
      </c>
      <c r="S88" s="14"/>
    </row>
    <row r="89" spans="1:39" s="30" customFormat="1" ht="18" customHeight="1" x14ac:dyDescent="0.2">
      <c r="A89" s="14" t="s">
        <v>6002</v>
      </c>
      <c r="B89" s="14" t="s">
        <v>1110</v>
      </c>
      <c r="C89" s="14" t="s">
        <v>931</v>
      </c>
      <c r="D89" s="14" t="s">
        <v>932</v>
      </c>
      <c r="E89" s="14" t="s">
        <v>143</v>
      </c>
      <c r="F89" s="14" t="s">
        <v>5997</v>
      </c>
      <c r="G89" s="14" t="s">
        <v>17</v>
      </c>
      <c r="H89" s="14" t="s">
        <v>17</v>
      </c>
      <c r="I89" s="14" t="s">
        <v>17</v>
      </c>
      <c r="J89" s="14" t="s">
        <v>17</v>
      </c>
      <c r="K89" s="14">
        <v>3735</v>
      </c>
      <c r="L89" s="14">
        <v>35</v>
      </c>
      <c r="M89" s="26">
        <v>4.2</v>
      </c>
      <c r="N89" s="26">
        <v>1.4</v>
      </c>
      <c r="O89" s="32">
        <v>3.21</v>
      </c>
      <c r="P89" s="14">
        <v>-2133</v>
      </c>
      <c r="Q89" s="14">
        <v>-2277</v>
      </c>
      <c r="R89" s="14">
        <v>-2030</v>
      </c>
      <c r="S89" s="137"/>
      <c r="T89" s="138"/>
      <c r="U89" s="136"/>
      <c r="V89" s="143"/>
      <c r="W89" s="143"/>
      <c r="X89" s="143"/>
      <c r="Y89" s="143"/>
      <c r="Z89" s="143"/>
      <c r="AA89" s="139"/>
      <c r="AB89" s="139"/>
      <c r="AC89" s="140"/>
      <c r="AD89" s="140"/>
      <c r="AE89" s="143"/>
      <c r="AF89" s="143"/>
      <c r="AG89" s="143"/>
      <c r="AH89" s="141"/>
      <c r="AI89" s="137"/>
      <c r="AJ89" s="152"/>
      <c r="AK89" s="138"/>
      <c r="AL89" s="139"/>
      <c r="AM89" s="139"/>
    </row>
    <row r="90" spans="1:39" s="30" customFormat="1" ht="18" customHeight="1" x14ac:dyDescent="0.2">
      <c r="A90" s="14" t="s">
        <v>5934</v>
      </c>
      <c r="B90" s="14" t="s">
        <v>979</v>
      </c>
      <c r="C90" s="14" t="s">
        <v>931</v>
      </c>
      <c r="D90" s="14" t="s">
        <v>932</v>
      </c>
      <c r="E90" s="14" t="s">
        <v>143</v>
      </c>
      <c r="F90" s="14" t="s">
        <v>5827</v>
      </c>
      <c r="G90" s="25">
        <v>0.62802042268399105</v>
      </c>
      <c r="H90" s="25">
        <v>1.9445408021947399E-3</v>
      </c>
      <c r="I90" s="26">
        <v>-371.979577316009</v>
      </c>
      <c r="J90" s="26">
        <v>1.4429524702110199</v>
      </c>
      <c r="K90" s="31">
        <v>3735</v>
      </c>
      <c r="L90" s="31">
        <v>20</v>
      </c>
      <c r="M90" s="26">
        <v>49.336835499999999</v>
      </c>
      <c r="N90" s="26">
        <v>17.793114599999999</v>
      </c>
      <c r="O90" s="32">
        <f>(M90/12)/(N90/14)</f>
        <v>3.2349390598915533</v>
      </c>
      <c r="P90" s="14">
        <v>-2133</v>
      </c>
      <c r="Q90" s="14">
        <v>-2203</v>
      </c>
      <c r="R90" s="14">
        <v>-2041</v>
      </c>
      <c r="S90" s="14"/>
    </row>
    <row r="91" spans="1:39" s="30" customFormat="1" ht="18" customHeight="1" x14ac:dyDescent="0.2">
      <c r="A91" s="30" t="s">
        <v>7068</v>
      </c>
      <c r="B91" s="14" t="s">
        <v>509</v>
      </c>
      <c r="C91" s="14" t="s">
        <v>7443</v>
      </c>
      <c r="D91" s="14" t="s">
        <v>511</v>
      </c>
      <c r="E91" s="14" t="s">
        <v>13</v>
      </c>
      <c r="F91" s="30" t="s">
        <v>5827</v>
      </c>
      <c r="G91" s="30">
        <v>0.62797279323958188</v>
      </c>
      <c r="H91" s="30">
        <v>1.3707287209652329E-3</v>
      </c>
      <c r="I91" s="30">
        <v>-372.0272067604181</v>
      </c>
      <c r="J91" s="30">
        <v>1.370728720965233</v>
      </c>
      <c r="K91" s="30">
        <v>3735</v>
      </c>
      <c r="L91" s="30">
        <v>20</v>
      </c>
      <c r="M91" s="30">
        <v>44.705582564962285</v>
      </c>
      <c r="N91" s="30">
        <v>16.295531169382492</v>
      </c>
      <c r="O91" s="30">
        <v>3.2006635715227461</v>
      </c>
      <c r="P91" s="14">
        <v>-2122</v>
      </c>
      <c r="Q91" s="30">
        <v>-2203</v>
      </c>
      <c r="R91" s="30">
        <v>-2041</v>
      </c>
      <c r="S91" s="14"/>
    </row>
    <row r="92" spans="1:39" s="30" customFormat="1" ht="18" customHeight="1" x14ac:dyDescent="0.2">
      <c r="A92" s="14" t="s">
        <v>6000</v>
      </c>
      <c r="B92" s="14" t="s">
        <v>1954</v>
      </c>
      <c r="C92" s="14" t="s">
        <v>931</v>
      </c>
      <c r="D92" s="14" t="s">
        <v>932</v>
      </c>
      <c r="E92" s="14" t="s">
        <v>143</v>
      </c>
      <c r="F92" s="14" t="s">
        <v>5997</v>
      </c>
      <c r="G92" s="14" t="s">
        <v>17</v>
      </c>
      <c r="H92" s="14" t="s">
        <v>17</v>
      </c>
      <c r="I92" s="14" t="s">
        <v>17</v>
      </c>
      <c r="J92" s="14" t="s">
        <v>17</v>
      </c>
      <c r="K92" s="14">
        <v>3725</v>
      </c>
      <c r="L92" s="14">
        <v>35</v>
      </c>
      <c r="M92" s="26">
        <v>8.6999999999999993</v>
      </c>
      <c r="N92" s="26">
        <v>3.1</v>
      </c>
      <c r="O92" s="32">
        <v>3.33</v>
      </c>
      <c r="P92" s="14">
        <v>-2120</v>
      </c>
      <c r="Q92" s="14">
        <v>-2275</v>
      </c>
      <c r="R92" s="14">
        <v>-2024</v>
      </c>
      <c r="S92" s="14"/>
    </row>
    <row r="93" spans="1:39" s="30" customFormat="1" ht="18" customHeight="1" x14ac:dyDescent="0.2">
      <c r="A93" s="14" t="s">
        <v>6001</v>
      </c>
      <c r="B93" s="14" t="s">
        <v>971</v>
      </c>
      <c r="C93" s="14" t="s">
        <v>931</v>
      </c>
      <c r="D93" s="14" t="s">
        <v>932</v>
      </c>
      <c r="E93" s="14" t="s">
        <v>100</v>
      </c>
      <c r="F93" s="14" t="s">
        <v>5997</v>
      </c>
      <c r="G93" s="14" t="s">
        <v>17</v>
      </c>
      <c r="H93" s="14" t="s">
        <v>17</v>
      </c>
      <c r="I93" s="14" t="s">
        <v>17</v>
      </c>
      <c r="J93" s="14" t="s">
        <v>17</v>
      </c>
      <c r="K93" s="14">
        <v>3720</v>
      </c>
      <c r="L93" s="14">
        <v>30</v>
      </c>
      <c r="M93" s="26">
        <v>8.5</v>
      </c>
      <c r="N93" s="26">
        <v>3</v>
      </c>
      <c r="O93" s="32">
        <v>3.29</v>
      </c>
      <c r="P93" s="14">
        <v>-2112</v>
      </c>
      <c r="Q93" s="14">
        <v>-2201</v>
      </c>
      <c r="R93" s="14">
        <v>-2031</v>
      </c>
      <c r="S93" s="14"/>
    </row>
    <row r="94" spans="1:39" s="30" customFormat="1" ht="18" customHeight="1" x14ac:dyDescent="0.2">
      <c r="A94" s="14" t="s">
        <v>5932</v>
      </c>
      <c r="B94" s="14" t="s">
        <v>975</v>
      </c>
      <c r="C94" s="14" t="s">
        <v>931</v>
      </c>
      <c r="D94" s="14" t="s">
        <v>932</v>
      </c>
      <c r="E94" s="14" t="s">
        <v>143</v>
      </c>
      <c r="F94" s="14" t="s">
        <v>5827</v>
      </c>
      <c r="G94" s="25">
        <v>0.62947430784556102</v>
      </c>
      <c r="H94" s="25">
        <v>1.9445408021947399E-3</v>
      </c>
      <c r="I94" s="26">
        <v>-370.52569215443901</v>
      </c>
      <c r="J94" s="26">
        <v>1.3478985844014</v>
      </c>
      <c r="K94" s="31">
        <v>3720</v>
      </c>
      <c r="L94" s="31">
        <v>20</v>
      </c>
      <c r="M94" s="26">
        <v>59.603981500000003</v>
      </c>
      <c r="N94" s="26">
        <v>21.4128498</v>
      </c>
      <c r="O94" s="32">
        <f>(M94/12)/(N94/14)</f>
        <v>3.2474882636437612</v>
      </c>
      <c r="P94" s="14">
        <v>-2107</v>
      </c>
      <c r="Q94" s="14">
        <v>-2198</v>
      </c>
      <c r="R94" s="14">
        <v>-2036</v>
      </c>
      <c r="S94" s="14"/>
    </row>
    <row r="95" spans="1:39" s="30" customFormat="1" ht="18" customHeight="1" x14ac:dyDescent="0.2">
      <c r="A95" s="14" t="s">
        <v>5930</v>
      </c>
      <c r="B95" s="14" t="s">
        <v>968</v>
      </c>
      <c r="C95" s="14" t="s">
        <v>931</v>
      </c>
      <c r="D95" s="14" t="s">
        <v>932</v>
      </c>
      <c r="E95" s="14" t="s">
        <v>143</v>
      </c>
      <c r="F95" s="14" t="s">
        <v>5820</v>
      </c>
      <c r="G95" s="25">
        <v>0.62990595317763998</v>
      </c>
      <c r="H95" s="25">
        <v>1.56276448757476E-3</v>
      </c>
      <c r="I95" s="26">
        <v>-370.09404682235999</v>
      </c>
      <c r="J95" s="26">
        <v>1.5627644875747599</v>
      </c>
      <c r="K95" s="31">
        <v>3715</v>
      </c>
      <c r="L95" s="31">
        <v>20</v>
      </c>
      <c r="M95" s="26">
        <v>12.134934400000001</v>
      </c>
      <c r="N95" s="26">
        <v>4.3875143999999997</v>
      </c>
      <c r="O95" s="33">
        <f>(M95/12)/(N95/14)</f>
        <v>3.2267525929183658</v>
      </c>
      <c r="P95" s="14">
        <v>-2100</v>
      </c>
      <c r="Q95" s="14">
        <v>-2196</v>
      </c>
      <c r="R95" s="14">
        <v>-2034</v>
      </c>
      <c r="S95" s="14"/>
    </row>
    <row r="96" spans="1:39" s="30" customFormat="1" ht="18" customHeight="1" x14ac:dyDescent="0.2">
      <c r="A96" s="30" t="s">
        <v>7075</v>
      </c>
      <c r="B96" s="14" t="s">
        <v>1211</v>
      </c>
      <c r="C96" s="14" t="s">
        <v>1214</v>
      </c>
      <c r="D96" s="14" t="s">
        <v>1152</v>
      </c>
      <c r="E96" s="14" t="s">
        <v>13</v>
      </c>
      <c r="F96" s="30" t="s">
        <v>5827</v>
      </c>
      <c r="G96" s="30">
        <v>0.63023720110606241</v>
      </c>
      <c r="H96" s="30">
        <v>1.2700250178420706E-3</v>
      </c>
      <c r="I96" s="30">
        <v>-369.7627988939376</v>
      </c>
      <c r="J96" s="30">
        <v>1.2700250178420707</v>
      </c>
      <c r="K96" s="30">
        <v>3710</v>
      </c>
      <c r="L96" s="30">
        <v>20</v>
      </c>
      <c r="M96" s="30">
        <v>43.285605727121407</v>
      </c>
      <c r="N96" s="30">
        <v>15.244115490987291</v>
      </c>
      <c r="O96" s="30">
        <v>3.3127453920278365</v>
      </c>
      <c r="P96" s="14">
        <v>-2113</v>
      </c>
      <c r="Q96" s="30">
        <v>-2195</v>
      </c>
      <c r="R96" s="30">
        <v>-2032</v>
      </c>
      <c r="S96" s="14"/>
    </row>
    <row r="97" spans="1:39" s="30" customFormat="1" ht="18" customHeight="1" x14ac:dyDescent="0.2">
      <c r="A97" s="14" t="s">
        <v>5945</v>
      </c>
      <c r="B97" s="14" t="s">
        <v>4608</v>
      </c>
      <c r="C97" s="14" t="s">
        <v>4606</v>
      </c>
      <c r="D97" s="14" t="s">
        <v>826</v>
      </c>
      <c r="E97" s="14" t="s">
        <v>118</v>
      </c>
      <c r="F97" s="14" t="s">
        <v>5827</v>
      </c>
      <c r="G97" s="25">
        <v>0.63036982945318498</v>
      </c>
      <c r="H97" s="25">
        <v>1.9445408021947399E-3</v>
      </c>
      <c r="I97" s="26">
        <v>-369.63017054681501</v>
      </c>
      <c r="J97" s="26">
        <v>1.8015469348276301</v>
      </c>
      <c r="K97" s="31">
        <v>3705</v>
      </c>
      <c r="L97" s="31">
        <v>25</v>
      </c>
      <c r="M97" s="26">
        <v>55.180206355893297</v>
      </c>
      <c r="N97" s="26">
        <v>20.492685412592301</v>
      </c>
      <c r="O97" s="32">
        <f t="shared" ref="O97:O102" si="0">(M97/12)/(N97/14)</f>
        <v>3.1414578479622124</v>
      </c>
      <c r="P97" s="14">
        <v>-2094</v>
      </c>
      <c r="Q97" s="14">
        <v>-2197</v>
      </c>
      <c r="R97" s="14">
        <v>-2027</v>
      </c>
      <c r="S97" s="14"/>
    </row>
    <row r="98" spans="1:39" s="30" customFormat="1" ht="18" customHeight="1" x14ac:dyDescent="0.2">
      <c r="A98" s="14" t="s">
        <v>5869</v>
      </c>
      <c r="B98" s="14" t="s">
        <v>1141</v>
      </c>
      <c r="C98" s="14" t="s">
        <v>931</v>
      </c>
      <c r="D98" s="14" t="s">
        <v>932</v>
      </c>
      <c r="E98" s="14" t="s">
        <v>143</v>
      </c>
      <c r="F98" s="14" t="s">
        <v>5827</v>
      </c>
      <c r="G98" s="25">
        <v>0.63033012115860398</v>
      </c>
      <c r="H98" s="25">
        <v>1.3835079857842201E-3</v>
      </c>
      <c r="I98" s="26">
        <v>-369.66987884139598</v>
      </c>
      <c r="J98" s="26">
        <v>1.3835079857842201</v>
      </c>
      <c r="K98" s="31">
        <v>3705</v>
      </c>
      <c r="L98" s="31">
        <v>20</v>
      </c>
      <c r="M98" s="26">
        <v>42.657730838656398</v>
      </c>
      <c r="N98" s="26">
        <v>15.4143574080212</v>
      </c>
      <c r="O98" s="32">
        <f t="shared" si="0"/>
        <v>3.2286362206186809</v>
      </c>
      <c r="P98" s="14">
        <v>-2091</v>
      </c>
      <c r="Q98" s="14">
        <v>-2193</v>
      </c>
      <c r="R98" s="14">
        <v>-2031</v>
      </c>
      <c r="S98" s="14"/>
      <c r="AL98" s="38"/>
      <c r="AM98" s="38"/>
    </row>
    <row r="99" spans="1:39" s="30" customFormat="1" ht="18" customHeight="1" x14ac:dyDescent="0.2">
      <c r="A99" s="14" t="s">
        <v>5861</v>
      </c>
      <c r="B99" s="14" t="s">
        <v>2369</v>
      </c>
      <c r="C99" s="14" t="s">
        <v>2373</v>
      </c>
      <c r="D99" s="14" t="s">
        <v>1152</v>
      </c>
      <c r="E99" s="14" t="s">
        <v>13</v>
      </c>
      <c r="F99" s="14" t="s">
        <v>5850</v>
      </c>
      <c r="G99" s="25">
        <v>0.63049856145430805</v>
      </c>
      <c r="H99" s="25">
        <v>1.2327743980288801E-3</v>
      </c>
      <c r="I99" s="26">
        <v>-369.501438545692</v>
      </c>
      <c r="J99" s="26">
        <v>1.2327743980288799</v>
      </c>
      <c r="K99" s="31">
        <v>3705</v>
      </c>
      <c r="L99" s="31">
        <v>20</v>
      </c>
      <c r="M99" s="26">
        <v>43.2983683</v>
      </c>
      <c r="N99" s="26">
        <v>15.713487490684599</v>
      </c>
      <c r="O99" s="32">
        <f t="shared" si="0"/>
        <v>3.2147391243740926</v>
      </c>
      <c r="P99" s="14">
        <v>-2091</v>
      </c>
      <c r="Q99" s="14">
        <v>-2193</v>
      </c>
      <c r="R99" s="14">
        <v>-2031</v>
      </c>
      <c r="S99" s="14"/>
    </row>
    <row r="100" spans="1:39" s="30" customFormat="1" ht="18" customHeight="1" x14ac:dyDescent="0.2">
      <c r="A100" s="14" t="s">
        <v>5936</v>
      </c>
      <c r="B100" s="14" t="s">
        <v>965</v>
      </c>
      <c r="C100" s="14" t="s">
        <v>931</v>
      </c>
      <c r="D100" s="14" t="s">
        <v>932</v>
      </c>
      <c r="E100" s="14" t="s">
        <v>143</v>
      </c>
      <c r="F100" s="14" t="s">
        <v>5827</v>
      </c>
      <c r="G100" s="25">
        <v>0.63092577210676903</v>
      </c>
      <c r="H100" s="25">
        <v>1.9445408021947399E-3</v>
      </c>
      <c r="I100" s="26">
        <v>-369.07422789323101</v>
      </c>
      <c r="J100" s="26">
        <v>1.5619996799267799</v>
      </c>
      <c r="K100" s="31">
        <v>3700</v>
      </c>
      <c r="L100" s="31">
        <v>20</v>
      </c>
      <c r="M100" s="26">
        <v>47.432834999999997</v>
      </c>
      <c r="N100" s="26">
        <v>17.051931400000001</v>
      </c>
      <c r="O100" s="32">
        <f t="shared" si="0"/>
        <v>3.2452809128706672</v>
      </c>
      <c r="P100" s="14">
        <v>-2088</v>
      </c>
      <c r="Q100" s="14">
        <v>-2190</v>
      </c>
      <c r="R100" s="14">
        <v>-2029</v>
      </c>
      <c r="S100" s="14"/>
    </row>
    <row r="101" spans="1:39" s="30" customFormat="1" ht="18" customHeight="1" x14ac:dyDescent="0.2">
      <c r="A101" s="14" t="s">
        <v>5949</v>
      </c>
      <c r="B101" s="14" t="s">
        <v>1105</v>
      </c>
      <c r="C101" s="14" t="s">
        <v>931</v>
      </c>
      <c r="D101" s="14" t="s">
        <v>932</v>
      </c>
      <c r="E101" s="14" t="s">
        <v>143</v>
      </c>
      <c r="F101" s="14" t="s">
        <v>5820</v>
      </c>
      <c r="G101" s="25">
        <v>0.63233977627244597</v>
      </c>
      <c r="H101" s="25">
        <v>1.9445408021947399E-3</v>
      </c>
      <c r="I101" s="26">
        <v>-367.66022372755401</v>
      </c>
      <c r="J101" s="26">
        <v>1.46162975608302</v>
      </c>
      <c r="K101" s="31">
        <v>3680</v>
      </c>
      <c r="L101" s="31">
        <v>20</v>
      </c>
      <c r="M101" s="26">
        <v>19.275963101115</v>
      </c>
      <c r="N101" s="26">
        <v>7.6333222910961096</v>
      </c>
      <c r="O101" s="32">
        <f t="shared" si="0"/>
        <v>2.9461121593410722</v>
      </c>
      <c r="P101" s="14">
        <v>-2076</v>
      </c>
      <c r="Q101" s="14">
        <v>-2139</v>
      </c>
      <c r="R101" s="14">
        <v>-1981</v>
      </c>
      <c r="S101" s="14"/>
    </row>
    <row r="102" spans="1:39" s="30" customFormat="1" ht="18" customHeight="1" x14ac:dyDescent="0.2">
      <c r="A102" s="14" t="s">
        <v>5938</v>
      </c>
      <c r="B102" s="14" t="s">
        <v>962</v>
      </c>
      <c r="C102" s="14" t="s">
        <v>931</v>
      </c>
      <c r="D102" s="14" t="s">
        <v>932</v>
      </c>
      <c r="E102" s="14" t="s">
        <v>143</v>
      </c>
      <c r="F102" s="14" t="s">
        <v>5827</v>
      </c>
      <c r="G102" s="25">
        <v>0.632616502020376</v>
      </c>
      <c r="H102" s="25">
        <v>1.9445408021947399E-3</v>
      </c>
      <c r="I102" s="26">
        <v>-367.383497979624</v>
      </c>
      <c r="J102" s="26">
        <v>1.4545702074635301</v>
      </c>
      <c r="K102" s="31">
        <v>3680</v>
      </c>
      <c r="L102" s="31">
        <v>20</v>
      </c>
      <c r="M102" s="26">
        <v>47.134161800000001</v>
      </c>
      <c r="N102" s="26">
        <v>16.904957199999998</v>
      </c>
      <c r="O102" s="32">
        <f t="shared" si="0"/>
        <v>3.2528834461251015</v>
      </c>
      <c r="P102" s="14">
        <v>-2076</v>
      </c>
      <c r="Q102" s="14">
        <v>-2139</v>
      </c>
      <c r="R102" s="14">
        <v>-1981</v>
      </c>
      <c r="S102" s="14"/>
    </row>
    <row r="103" spans="1:39" s="30" customFormat="1" ht="18" customHeight="1" x14ac:dyDescent="0.2">
      <c r="A103" s="30" t="s">
        <v>7062</v>
      </c>
      <c r="B103" s="14" t="s">
        <v>2063</v>
      </c>
      <c r="C103" s="14" t="s">
        <v>931</v>
      </c>
      <c r="D103" s="14" t="s">
        <v>932</v>
      </c>
      <c r="E103" s="14" t="s">
        <v>143</v>
      </c>
      <c r="F103" s="30" t="s">
        <v>5827</v>
      </c>
      <c r="G103" s="30">
        <v>0.63272517993243271</v>
      </c>
      <c r="H103" s="30">
        <v>1.6312822755781358E-3</v>
      </c>
      <c r="I103" s="30">
        <v>-367.2748200675673</v>
      </c>
      <c r="J103" s="30">
        <v>1.6312822755781358</v>
      </c>
      <c r="K103" s="30">
        <v>3675</v>
      </c>
      <c r="L103" s="30">
        <v>25</v>
      </c>
      <c r="M103" s="30">
        <v>43.546866631929497</v>
      </c>
      <c r="N103" s="30">
        <v>15.724533638821201</v>
      </c>
      <c r="O103" s="30">
        <v>3.2309179339871146</v>
      </c>
      <c r="P103" s="14">
        <v>-2056</v>
      </c>
      <c r="Q103" s="30">
        <v>-2140</v>
      </c>
      <c r="R103" s="30">
        <v>-1972</v>
      </c>
      <c r="S103" s="14"/>
    </row>
    <row r="104" spans="1:39" s="30" customFormat="1" ht="18" customHeight="1" x14ac:dyDescent="0.2">
      <c r="A104" s="14" t="s">
        <v>5933</v>
      </c>
      <c r="B104" s="14" t="s">
        <v>959</v>
      </c>
      <c r="C104" s="14" t="s">
        <v>931</v>
      </c>
      <c r="D104" s="14" t="s">
        <v>932</v>
      </c>
      <c r="E104" s="14" t="s">
        <v>143</v>
      </c>
      <c r="F104" s="14" t="s">
        <v>5827</v>
      </c>
      <c r="G104" s="25">
        <v>0.63344592938313304</v>
      </c>
      <c r="H104" s="25">
        <v>1.9445408021947399E-3</v>
      </c>
      <c r="I104" s="26">
        <v>-366.55407061686702</v>
      </c>
      <c r="J104" s="26">
        <v>1.5595549205144099</v>
      </c>
      <c r="K104" s="31">
        <v>3670</v>
      </c>
      <c r="L104" s="31">
        <v>20</v>
      </c>
      <c r="M104" s="26">
        <v>42.086001199999998</v>
      </c>
      <c r="N104" s="26">
        <v>15.056403599999999</v>
      </c>
      <c r="O104" s="32">
        <f>(M104/12)/(N104/14)</f>
        <v>3.2610931559601215</v>
      </c>
      <c r="P104" s="14">
        <v>-2063</v>
      </c>
      <c r="Q104" s="14">
        <v>-2136</v>
      </c>
      <c r="R104" s="14">
        <v>-1977</v>
      </c>
      <c r="S104" s="14"/>
    </row>
    <row r="105" spans="1:39" s="30" customFormat="1" ht="18" customHeight="1" x14ac:dyDescent="0.2">
      <c r="A105" s="14" t="s">
        <v>5937</v>
      </c>
      <c r="B105" s="14" t="s">
        <v>955</v>
      </c>
      <c r="C105" s="14" t="s">
        <v>931</v>
      </c>
      <c r="D105" s="14" t="s">
        <v>932</v>
      </c>
      <c r="E105" s="14" t="s">
        <v>143</v>
      </c>
      <c r="F105" s="14" t="s">
        <v>5827</v>
      </c>
      <c r="G105" s="25">
        <v>0.63402156569132195</v>
      </c>
      <c r="H105" s="25">
        <v>1.9445408021947399E-3</v>
      </c>
      <c r="I105" s="26">
        <v>-365.978434308678</v>
      </c>
      <c r="J105" s="26">
        <v>1.44792982489738</v>
      </c>
      <c r="K105" s="31">
        <v>3660</v>
      </c>
      <c r="L105" s="31">
        <v>20</v>
      </c>
      <c r="M105" s="26">
        <v>39.414233000000003</v>
      </c>
      <c r="N105" s="26">
        <v>14.217538899999999</v>
      </c>
      <c r="O105" s="32">
        <f>(M105/12)/(N105/14)</f>
        <v>3.2342638312270306</v>
      </c>
      <c r="P105" s="14">
        <v>-2044</v>
      </c>
      <c r="Q105" s="14">
        <v>-2134</v>
      </c>
      <c r="R105" s="14">
        <v>-1957</v>
      </c>
      <c r="S105" s="14"/>
    </row>
    <row r="106" spans="1:39" s="30" customFormat="1" ht="18" customHeight="1" x14ac:dyDescent="0.2">
      <c r="A106" s="14" t="s">
        <v>5867</v>
      </c>
      <c r="B106" s="14" t="s">
        <v>951</v>
      </c>
      <c r="C106" s="14" t="s">
        <v>931</v>
      </c>
      <c r="D106" s="14" t="s">
        <v>932</v>
      </c>
      <c r="E106" s="14" t="s">
        <v>143</v>
      </c>
      <c r="F106" s="14" t="s">
        <v>5820</v>
      </c>
      <c r="G106" s="25">
        <v>0.63489773631940805</v>
      </c>
      <c r="H106" s="25">
        <v>1.4358644172754701E-3</v>
      </c>
      <c r="I106" s="26">
        <v>-365.10226368059199</v>
      </c>
      <c r="J106" s="26">
        <v>1.43586441727547</v>
      </c>
      <c r="K106" s="31">
        <v>3650</v>
      </c>
      <c r="L106" s="31">
        <v>20</v>
      </c>
      <c r="M106" s="26">
        <v>21.976067719993999</v>
      </c>
      <c r="N106" s="26">
        <v>8.1651880999572501</v>
      </c>
      <c r="O106" s="32">
        <f>(M106/12)/(N106/14)</f>
        <v>3.1400067407461889</v>
      </c>
      <c r="P106" s="14">
        <v>-2023</v>
      </c>
      <c r="Q106" s="14">
        <v>-2130</v>
      </c>
      <c r="R106" s="14">
        <v>-1948</v>
      </c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</row>
    <row r="107" spans="1:39" s="30" customFormat="1" ht="18" customHeight="1" x14ac:dyDescent="0.2">
      <c r="A107" s="14" t="s">
        <v>5963</v>
      </c>
      <c r="B107" s="14" t="s">
        <v>1322</v>
      </c>
      <c r="C107" s="14" t="s">
        <v>1326</v>
      </c>
      <c r="D107" s="14" t="s">
        <v>1152</v>
      </c>
      <c r="E107" s="14" t="s">
        <v>143</v>
      </c>
      <c r="F107" s="14" t="s">
        <v>5827</v>
      </c>
      <c r="G107" s="25">
        <v>0.63532777430473697</v>
      </c>
      <c r="H107" s="25">
        <v>1.9445408021947399E-3</v>
      </c>
      <c r="I107" s="26">
        <v>-364.67222569526302</v>
      </c>
      <c r="J107" s="26">
        <v>1.85336074391831</v>
      </c>
      <c r="K107" s="31">
        <v>3645</v>
      </c>
      <c r="L107" s="31">
        <v>25</v>
      </c>
      <c r="M107" s="26">
        <v>49.9666239419915</v>
      </c>
      <c r="N107" s="26">
        <v>17.820153375694598</v>
      </c>
      <c r="O107" s="32">
        <f>(M107/12)/(N107/14)</f>
        <v>3.27126222597497</v>
      </c>
      <c r="P107" s="14">
        <v>-2017</v>
      </c>
      <c r="Q107" s="14">
        <v>-2132</v>
      </c>
      <c r="R107" s="14">
        <v>-1940</v>
      </c>
      <c r="S107" s="14"/>
    </row>
    <row r="108" spans="1:39" s="30" customFormat="1" ht="18" customHeight="1" x14ac:dyDescent="0.2">
      <c r="A108" s="14" t="s">
        <v>5931</v>
      </c>
      <c r="B108" s="14" t="s">
        <v>947</v>
      </c>
      <c r="C108" s="14" t="s">
        <v>931</v>
      </c>
      <c r="D108" s="14" t="s">
        <v>932</v>
      </c>
      <c r="E108" s="14" t="s">
        <v>143</v>
      </c>
      <c r="F108" s="14" t="s">
        <v>5827</v>
      </c>
      <c r="G108" s="25">
        <v>0.63534687414480095</v>
      </c>
      <c r="H108" s="25">
        <v>1.9445408021947399E-3</v>
      </c>
      <c r="I108" s="26">
        <v>-364.65312585519899</v>
      </c>
      <c r="J108" s="26">
        <v>1.44416592018983</v>
      </c>
      <c r="K108" s="31">
        <v>3645</v>
      </c>
      <c r="L108" s="31">
        <v>20</v>
      </c>
      <c r="M108" s="26">
        <v>46.184829999999998</v>
      </c>
      <c r="N108" s="26">
        <v>16.710212299999998</v>
      </c>
      <c r="O108" s="32">
        <f>(M108/12)/(N108/14)</f>
        <v>3.2245132915915535</v>
      </c>
      <c r="P108" s="14">
        <v>-2014</v>
      </c>
      <c r="Q108" s="14">
        <v>-2125</v>
      </c>
      <c r="R108" s="14">
        <v>-1945</v>
      </c>
      <c r="S108" s="14"/>
    </row>
    <row r="109" spans="1:39" s="30" customFormat="1" ht="18" customHeight="1" x14ac:dyDescent="0.2">
      <c r="A109" s="30" t="s">
        <v>7102</v>
      </c>
      <c r="B109" s="14" t="s">
        <v>5172</v>
      </c>
      <c r="C109" s="14" t="s">
        <v>4191</v>
      </c>
      <c r="D109" s="14" t="s">
        <v>18</v>
      </c>
      <c r="E109" s="14" t="s">
        <v>143</v>
      </c>
      <c r="F109" s="30" t="s">
        <v>5827</v>
      </c>
      <c r="G109" s="30">
        <v>0.63567499901696478</v>
      </c>
      <c r="H109" s="30">
        <v>1.3940678019793459E-3</v>
      </c>
      <c r="I109" s="30">
        <v>-364.32500098303524</v>
      </c>
      <c r="J109" s="30">
        <v>1.394067801979346</v>
      </c>
      <c r="K109" s="30">
        <v>3640</v>
      </c>
      <c r="L109" s="30">
        <v>20</v>
      </c>
      <c r="M109" s="30">
        <v>38.084038399999997</v>
      </c>
      <c r="N109" s="30">
        <v>13.711178607983623</v>
      </c>
      <c r="O109" s="30">
        <v>3.2405221610534798</v>
      </c>
      <c r="P109" s="14">
        <v>-2031</v>
      </c>
      <c r="Q109" s="30">
        <v>-2121</v>
      </c>
      <c r="R109" s="30">
        <v>-1942</v>
      </c>
      <c r="S109" s="14"/>
    </row>
    <row r="110" spans="1:39" s="30" customFormat="1" ht="18" customHeight="1" x14ac:dyDescent="0.2">
      <c r="A110" s="14" t="s">
        <v>5966</v>
      </c>
      <c r="B110" s="14" t="s">
        <v>944</v>
      </c>
      <c r="C110" s="14" t="s">
        <v>931</v>
      </c>
      <c r="D110" s="14" t="s">
        <v>932</v>
      </c>
      <c r="E110" s="14" t="s">
        <v>143</v>
      </c>
      <c r="F110" s="14" t="s">
        <v>5827</v>
      </c>
      <c r="G110" s="25">
        <v>0.63634118270127105</v>
      </c>
      <c r="H110" s="25">
        <v>1.9445408021947399E-3</v>
      </c>
      <c r="I110" s="26">
        <v>-363.65881729872899</v>
      </c>
      <c r="J110" s="26">
        <v>1.9888810652396101</v>
      </c>
      <c r="K110" s="31">
        <v>3630</v>
      </c>
      <c r="L110" s="31">
        <v>30</v>
      </c>
      <c r="M110" s="26">
        <v>19.202739367022801</v>
      </c>
      <c r="N110" s="26">
        <v>7.0212518663774999</v>
      </c>
      <c r="O110" s="32">
        <f>(M110/12)/(N110/14)</f>
        <v>3.1907694460406577</v>
      </c>
      <c r="P110" s="14">
        <v>-1997</v>
      </c>
      <c r="Q110" s="14">
        <v>-2127</v>
      </c>
      <c r="R110" s="14">
        <v>-1905</v>
      </c>
      <c r="S110" s="14"/>
    </row>
    <row r="111" spans="1:39" s="30" customFormat="1" ht="18" customHeight="1" x14ac:dyDescent="0.2">
      <c r="A111" s="30" t="s">
        <v>7069</v>
      </c>
      <c r="B111" s="14" t="s">
        <v>514</v>
      </c>
      <c r="C111" s="14" t="s">
        <v>7443</v>
      </c>
      <c r="D111" s="14" t="s">
        <v>511</v>
      </c>
      <c r="E111" s="14" t="s">
        <v>13</v>
      </c>
      <c r="F111" s="30" t="s">
        <v>5827</v>
      </c>
      <c r="G111" s="30">
        <v>0.63654210125798394</v>
      </c>
      <c r="H111" s="30">
        <v>1.4821710633309019E-3</v>
      </c>
      <c r="I111" s="30">
        <v>-363.45789874201608</v>
      </c>
      <c r="J111" s="30">
        <v>1.482171063330902</v>
      </c>
      <c r="K111" s="30">
        <v>3630</v>
      </c>
      <c r="L111" s="30">
        <v>20</v>
      </c>
      <c r="M111" s="30">
        <v>44.375526766736911</v>
      </c>
      <c r="N111" s="30">
        <v>16.133863285418368</v>
      </c>
      <c r="O111" s="30">
        <v>3.2088686372666202</v>
      </c>
      <c r="P111" s="14">
        <v>-2021</v>
      </c>
      <c r="Q111" s="30">
        <v>-2114</v>
      </c>
      <c r="R111" s="30">
        <v>-1928</v>
      </c>
      <c r="S111" s="14"/>
    </row>
    <row r="112" spans="1:39" s="30" customFormat="1" ht="18" customHeight="1" x14ac:dyDescent="0.2">
      <c r="A112" s="14" t="s">
        <v>5832</v>
      </c>
      <c r="B112" s="14" t="s">
        <v>938</v>
      </c>
      <c r="C112" s="14" t="s">
        <v>892</v>
      </c>
      <c r="D112" s="14" t="s">
        <v>865</v>
      </c>
      <c r="E112" s="14" t="s">
        <v>13</v>
      </c>
      <c r="F112" s="14" t="s">
        <v>5827</v>
      </c>
      <c r="G112" s="25">
        <v>0.63753059248128296</v>
      </c>
      <c r="H112" s="25">
        <v>1.52249519472482E-3</v>
      </c>
      <c r="I112" s="26">
        <v>-362.46940751871699</v>
      </c>
      <c r="J112" s="26">
        <v>1.52249519472482</v>
      </c>
      <c r="K112" s="31">
        <v>3615</v>
      </c>
      <c r="L112" s="31">
        <v>20</v>
      </c>
      <c r="M112" s="26">
        <v>46.225626099999999</v>
      </c>
      <c r="N112" s="26">
        <v>16.555615199999998</v>
      </c>
      <c r="O112" s="32">
        <f>(M112/12)/(N112/14)</f>
        <v>3.2574988283532149</v>
      </c>
      <c r="P112" s="14">
        <v>-1976</v>
      </c>
      <c r="Q112" s="14">
        <v>-2031</v>
      </c>
      <c r="R112" s="14">
        <v>-1915</v>
      </c>
      <c r="S112" s="14"/>
    </row>
    <row r="113" spans="1:19" s="30" customFormat="1" ht="18" customHeight="1" x14ac:dyDescent="0.2">
      <c r="A113" s="14" t="s">
        <v>6004</v>
      </c>
      <c r="B113" s="14" t="s">
        <v>941</v>
      </c>
      <c r="C113" s="14" t="s">
        <v>931</v>
      </c>
      <c r="D113" s="14" t="s">
        <v>932</v>
      </c>
      <c r="E113" s="14" t="s">
        <v>143</v>
      </c>
      <c r="F113" s="14" t="s">
        <v>5997</v>
      </c>
      <c r="G113" s="14" t="s">
        <v>17</v>
      </c>
      <c r="H113" s="14" t="s">
        <v>17</v>
      </c>
      <c r="I113" s="14" t="s">
        <v>17</v>
      </c>
      <c r="J113" s="14" t="s">
        <v>17</v>
      </c>
      <c r="K113" s="14">
        <v>3605</v>
      </c>
      <c r="L113" s="14">
        <v>35</v>
      </c>
      <c r="M113" s="26">
        <v>6.8</v>
      </c>
      <c r="N113" s="26">
        <v>2.2000000000000002</v>
      </c>
      <c r="O113" s="32">
        <v>3.16</v>
      </c>
      <c r="P113" s="14">
        <v>-1967</v>
      </c>
      <c r="Q113" s="14">
        <v>-2118</v>
      </c>
      <c r="R113" s="14">
        <v>-1883</v>
      </c>
      <c r="S113" s="14"/>
    </row>
    <row r="114" spans="1:19" s="30" customFormat="1" ht="18" customHeight="1" x14ac:dyDescent="0.2">
      <c r="A114" s="14" t="s">
        <v>5983</v>
      </c>
      <c r="B114" s="14" t="s">
        <v>5071</v>
      </c>
      <c r="C114" s="14" t="s">
        <v>3774</v>
      </c>
      <c r="D114" s="14" t="s">
        <v>18</v>
      </c>
      <c r="E114" s="14" t="s">
        <v>5072</v>
      </c>
      <c r="F114" s="14" t="s">
        <v>17</v>
      </c>
      <c r="G114" s="14" t="s">
        <v>17</v>
      </c>
      <c r="H114" s="14" t="s">
        <v>17</v>
      </c>
      <c r="I114" s="14" t="s">
        <v>17</v>
      </c>
      <c r="J114" s="14" t="s">
        <v>17</v>
      </c>
      <c r="K114" s="14">
        <v>3584</v>
      </c>
      <c r="L114" s="14">
        <v>55</v>
      </c>
      <c r="M114" s="14" t="s">
        <v>17</v>
      </c>
      <c r="N114" s="14" t="s">
        <v>17</v>
      </c>
      <c r="O114" s="14" t="s">
        <v>17</v>
      </c>
      <c r="P114" s="14">
        <v>-1937</v>
      </c>
      <c r="Q114" s="14">
        <v>-2130</v>
      </c>
      <c r="R114" s="14">
        <v>-1765</v>
      </c>
      <c r="S114" s="14"/>
    </row>
    <row r="115" spans="1:19" s="30" customFormat="1" ht="18" customHeight="1" x14ac:dyDescent="0.2">
      <c r="A115" s="14" t="s">
        <v>5935</v>
      </c>
      <c r="B115" s="14" t="s">
        <v>934</v>
      </c>
      <c r="C115" s="14" t="s">
        <v>931</v>
      </c>
      <c r="D115" s="14" t="s">
        <v>932</v>
      </c>
      <c r="E115" s="14" t="s">
        <v>100</v>
      </c>
      <c r="F115" s="14" t="s">
        <v>5827</v>
      </c>
      <c r="G115" s="25">
        <v>0.64046627144267299</v>
      </c>
      <c r="H115" s="25">
        <v>1.9445408021947399E-3</v>
      </c>
      <c r="I115" s="26">
        <v>-359.53372855732698</v>
      </c>
      <c r="J115" s="26">
        <v>1.43534234715528</v>
      </c>
      <c r="K115" s="31">
        <v>3580</v>
      </c>
      <c r="L115" s="31">
        <v>20</v>
      </c>
      <c r="M115" s="26">
        <v>52.3359861</v>
      </c>
      <c r="N115" s="26">
        <v>18.809723099999999</v>
      </c>
      <c r="O115" s="32">
        <f t="shared" ref="O115:O121" si="1">(M115/12)/(N115/14)</f>
        <v>3.2461217065975845</v>
      </c>
      <c r="P115" s="14">
        <v>-1932</v>
      </c>
      <c r="Q115" s="14">
        <v>-2011</v>
      </c>
      <c r="R115" s="14">
        <v>-1886</v>
      </c>
      <c r="S115" s="14"/>
    </row>
    <row r="116" spans="1:19" s="30" customFormat="1" ht="18" customHeight="1" x14ac:dyDescent="0.2">
      <c r="A116" s="14" t="s">
        <v>5821</v>
      </c>
      <c r="B116" s="14" t="s">
        <v>1137</v>
      </c>
      <c r="C116" s="14" t="s">
        <v>892</v>
      </c>
      <c r="D116" s="14" t="s">
        <v>865</v>
      </c>
      <c r="E116" s="14" t="s">
        <v>13</v>
      </c>
      <c r="F116" s="14" t="s">
        <v>5820</v>
      </c>
      <c r="G116" s="25">
        <v>0.64061127127843498</v>
      </c>
      <c r="H116" s="25">
        <v>1.3675708142477001E-3</v>
      </c>
      <c r="I116" s="26">
        <v>-359.38872872156497</v>
      </c>
      <c r="J116" s="26">
        <v>1.3675708142477001</v>
      </c>
      <c r="K116" s="31">
        <v>3575</v>
      </c>
      <c r="L116" s="31">
        <v>20</v>
      </c>
      <c r="M116" s="26">
        <v>30.036961400016001</v>
      </c>
      <c r="N116" s="26">
        <v>10.8905906632643</v>
      </c>
      <c r="O116" s="32">
        <f t="shared" si="1"/>
        <v>3.2177429780331419</v>
      </c>
      <c r="P116" s="14">
        <v>-1926</v>
      </c>
      <c r="Q116" s="14">
        <v>-2010</v>
      </c>
      <c r="R116" s="14">
        <v>-1883</v>
      </c>
      <c r="S116" s="14"/>
    </row>
    <row r="117" spans="1:19" s="30" customFormat="1" ht="18" customHeight="1" x14ac:dyDescent="0.2">
      <c r="A117" s="14" t="s">
        <v>5828</v>
      </c>
      <c r="B117" s="14" t="s">
        <v>924</v>
      </c>
      <c r="C117" s="14" t="s">
        <v>892</v>
      </c>
      <c r="D117" s="14" t="s">
        <v>865</v>
      </c>
      <c r="E117" s="14" t="s">
        <v>13</v>
      </c>
      <c r="F117" s="14" t="s">
        <v>5827</v>
      </c>
      <c r="G117" s="25">
        <v>0.641926472554746</v>
      </c>
      <c r="H117" s="25">
        <v>1.47274900976808E-3</v>
      </c>
      <c r="I117" s="26">
        <v>-358.073527445254</v>
      </c>
      <c r="J117" s="26">
        <v>1.47274900976808</v>
      </c>
      <c r="K117" s="31">
        <v>3560</v>
      </c>
      <c r="L117" s="31">
        <v>20</v>
      </c>
      <c r="M117" s="26">
        <v>42.251297189517302</v>
      </c>
      <c r="N117" s="26">
        <v>15.315262887036599</v>
      </c>
      <c r="O117" s="32">
        <f t="shared" si="1"/>
        <v>3.218565715653527</v>
      </c>
      <c r="P117" s="14">
        <v>-1908</v>
      </c>
      <c r="Q117" s="14">
        <v>-1971</v>
      </c>
      <c r="R117" s="14">
        <v>-1782</v>
      </c>
      <c r="S117" s="14"/>
    </row>
    <row r="118" spans="1:19" s="30" customFormat="1" ht="18" customHeight="1" x14ac:dyDescent="0.2">
      <c r="A118" s="14" t="s">
        <v>5826</v>
      </c>
      <c r="B118" s="14" t="s">
        <v>1131</v>
      </c>
      <c r="C118" s="14" t="s">
        <v>892</v>
      </c>
      <c r="D118" s="14" t="s">
        <v>865</v>
      </c>
      <c r="E118" s="14" t="s">
        <v>13</v>
      </c>
      <c r="F118" s="14" t="s">
        <v>5827</v>
      </c>
      <c r="G118" s="25">
        <v>0.64216334648634799</v>
      </c>
      <c r="H118" s="25">
        <v>1.33238386653747E-3</v>
      </c>
      <c r="I118" s="26">
        <v>-357.83665351365198</v>
      </c>
      <c r="J118" s="26">
        <v>1.3323838665374701</v>
      </c>
      <c r="K118" s="31">
        <v>3560</v>
      </c>
      <c r="L118" s="31">
        <v>20</v>
      </c>
      <c r="M118" s="26">
        <v>43.817693527372299</v>
      </c>
      <c r="N118" s="26">
        <v>15.771684850736699</v>
      </c>
      <c r="O118" s="32">
        <f t="shared" si="1"/>
        <v>3.2412924131065903</v>
      </c>
      <c r="P118" s="14">
        <v>-1908</v>
      </c>
      <c r="Q118" s="14">
        <v>-1971</v>
      </c>
      <c r="R118" s="14">
        <v>-1782</v>
      </c>
      <c r="S118" s="14"/>
    </row>
    <row r="119" spans="1:19" s="30" customFormat="1" ht="18" customHeight="1" x14ac:dyDescent="0.2">
      <c r="A119" s="14" t="s">
        <v>5972</v>
      </c>
      <c r="B119" s="14" t="s">
        <v>5169</v>
      </c>
      <c r="C119" s="14" t="s">
        <v>3913</v>
      </c>
      <c r="D119" s="14" t="s">
        <v>18</v>
      </c>
      <c r="E119" s="14" t="s">
        <v>105</v>
      </c>
      <c r="F119" s="14" t="s">
        <v>5827</v>
      </c>
      <c r="G119" s="25">
        <v>0.64269366447461196</v>
      </c>
      <c r="H119" s="25">
        <v>1.9445408021947399E-3</v>
      </c>
      <c r="I119" s="26">
        <v>-357.30633552538802</v>
      </c>
      <c r="J119" s="26">
        <v>1.7612488338267001</v>
      </c>
      <c r="K119" s="31">
        <v>3550</v>
      </c>
      <c r="L119" s="31">
        <v>25</v>
      </c>
      <c r="M119" s="26">
        <v>47.564699223332802</v>
      </c>
      <c r="N119" s="26">
        <v>17.363809944236898</v>
      </c>
      <c r="O119" s="32">
        <f t="shared" si="1"/>
        <v>3.1958509838623459</v>
      </c>
      <c r="P119" s="14">
        <v>-1887</v>
      </c>
      <c r="Q119" s="14">
        <v>-1962</v>
      </c>
      <c r="R119" s="14">
        <v>-1775</v>
      </c>
      <c r="S119" s="14"/>
    </row>
    <row r="120" spans="1:19" s="30" customFormat="1" ht="18" customHeight="1" x14ac:dyDescent="0.2">
      <c r="A120" s="14" t="s">
        <v>5967</v>
      </c>
      <c r="B120" s="14" t="s">
        <v>927</v>
      </c>
      <c r="C120" s="14" t="s">
        <v>931</v>
      </c>
      <c r="D120" s="14" t="s">
        <v>932</v>
      </c>
      <c r="E120" s="14" t="s">
        <v>143</v>
      </c>
      <c r="F120" s="14" t="s">
        <v>5827</v>
      </c>
      <c r="G120" s="25">
        <v>0.64272210166988497</v>
      </c>
      <c r="H120" s="25">
        <v>1.9445408021947399E-3</v>
      </c>
      <c r="I120" s="26">
        <v>-357.27789833011502</v>
      </c>
      <c r="J120" s="26">
        <v>2.0197694841376999</v>
      </c>
      <c r="K120" s="31">
        <v>3550</v>
      </c>
      <c r="L120" s="31">
        <v>30</v>
      </c>
      <c r="M120" s="26">
        <v>53.201048523070298</v>
      </c>
      <c r="N120" s="26">
        <v>19.440643436936998</v>
      </c>
      <c r="O120" s="32">
        <f t="shared" si="1"/>
        <v>3.1926870190753949</v>
      </c>
      <c r="P120" s="14">
        <v>-1885</v>
      </c>
      <c r="Q120" s="14">
        <v>-2009</v>
      </c>
      <c r="R120" s="14">
        <v>-1772</v>
      </c>
      <c r="S120" s="14"/>
    </row>
    <row r="121" spans="1:19" s="30" customFormat="1" ht="18" customHeight="1" x14ac:dyDescent="0.2">
      <c r="A121" s="14" t="s">
        <v>5830</v>
      </c>
      <c r="B121" s="14" t="s">
        <v>921</v>
      </c>
      <c r="C121" s="14" t="s">
        <v>892</v>
      </c>
      <c r="D121" s="14" t="s">
        <v>865</v>
      </c>
      <c r="E121" s="14" t="s">
        <v>13</v>
      </c>
      <c r="F121" s="14" t="s">
        <v>5827</v>
      </c>
      <c r="G121" s="25">
        <v>0.64300154680617605</v>
      </c>
      <c r="H121" s="25">
        <v>1.4001415568325099E-3</v>
      </c>
      <c r="I121" s="26">
        <v>-356.99845319382399</v>
      </c>
      <c r="J121" s="26">
        <v>1.40014155683251</v>
      </c>
      <c r="K121" s="31">
        <v>3545</v>
      </c>
      <c r="L121" s="31">
        <v>20</v>
      </c>
      <c r="M121" s="26">
        <v>48.131128458803502</v>
      </c>
      <c r="N121" s="26">
        <v>17.1342488688658</v>
      </c>
      <c r="O121" s="32">
        <f t="shared" si="1"/>
        <v>3.277236348771118</v>
      </c>
      <c r="P121" s="14">
        <v>-1881</v>
      </c>
      <c r="Q121" s="14">
        <v>-1948</v>
      </c>
      <c r="R121" s="14">
        <v>-1777</v>
      </c>
      <c r="S121" s="14"/>
    </row>
    <row r="122" spans="1:19" s="30" customFormat="1" ht="18" customHeight="1" x14ac:dyDescent="0.2">
      <c r="A122" s="14" t="s">
        <v>5984</v>
      </c>
      <c r="B122" s="14" t="s">
        <v>5067</v>
      </c>
      <c r="C122" s="14" t="s">
        <v>3774</v>
      </c>
      <c r="D122" s="14" t="s">
        <v>18</v>
      </c>
      <c r="E122" s="14" t="s">
        <v>118</v>
      </c>
      <c r="F122" s="14" t="s">
        <v>17</v>
      </c>
      <c r="G122" s="14" t="s">
        <v>17</v>
      </c>
      <c r="H122" s="14" t="s">
        <v>17</v>
      </c>
      <c r="I122" s="14" t="s">
        <v>17</v>
      </c>
      <c r="J122" s="14" t="s">
        <v>17</v>
      </c>
      <c r="K122" s="14">
        <v>3540</v>
      </c>
      <c r="L122" s="14">
        <v>52</v>
      </c>
      <c r="M122" s="14" t="s">
        <v>17</v>
      </c>
      <c r="N122" s="14" t="s">
        <v>17</v>
      </c>
      <c r="O122" s="14" t="s">
        <v>17</v>
      </c>
      <c r="P122" s="14">
        <v>-1870</v>
      </c>
      <c r="Q122" s="14">
        <v>-2023</v>
      </c>
      <c r="R122" s="14">
        <v>-1744</v>
      </c>
      <c r="S122" s="14"/>
    </row>
    <row r="123" spans="1:19" s="30" customFormat="1" ht="18" customHeight="1" x14ac:dyDescent="0.2">
      <c r="A123" s="14" t="s">
        <v>5973</v>
      </c>
      <c r="B123" s="14" t="s">
        <v>4227</v>
      </c>
      <c r="C123" s="14" t="s">
        <v>3913</v>
      </c>
      <c r="D123" s="14" t="s">
        <v>18</v>
      </c>
      <c r="E123" s="14" t="s">
        <v>105</v>
      </c>
      <c r="F123" s="14" t="s">
        <v>5827</v>
      </c>
      <c r="G123" s="25">
        <v>0.64344293523673102</v>
      </c>
      <c r="H123" s="25">
        <v>1.9445408021947399E-3</v>
      </c>
      <c r="I123" s="26">
        <v>-356.55706476326901</v>
      </c>
      <c r="J123" s="26">
        <v>1.6694388852893201</v>
      </c>
      <c r="K123" s="31">
        <v>3540</v>
      </c>
      <c r="L123" s="31">
        <v>25</v>
      </c>
      <c r="M123" s="26">
        <v>46.062926867570603</v>
      </c>
      <c r="N123" s="26">
        <v>16.725360410581299</v>
      </c>
      <c r="O123" s="32">
        <f>(M123/12)/(N123/14)</f>
        <v>3.2130895852923067</v>
      </c>
      <c r="P123" s="14">
        <v>-1868</v>
      </c>
      <c r="Q123" s="14">
        <v>-1949</v>
      </c>
      <c r="R123" s="14">
        <v>-1772</v>
      </c>
      <c r="S123" s="14"/>
    </row>
    <row r="124" spans="1:19" s="30" customFormat="1" ht="18" customHeight="1" x14ac:dyDescent="0.2">
      <c r="A124" s="14" t="s">
        <v>5833</v>
      </c>
      <c r="B124" s="35" t="s">
        <v>5166</v>
      </c>
      <c r="C124" s="14" t="s">
        <v>4135</v>
      </c>
      <c r="D124" s="14" t="s">
        <v>1152</v>
      </c>
      <c r="E124" s="14" t="s">
        <v>26</v>
      </c>
      <c r="F124" s="14" t="s">
        <v>5827</v>
      </c>
      <c r="G124" s="25">
        <v>0.64453410232278097</v>
      </c>
      <c r="H124" s="25">
        <v>1.6043577395134399E-3</v>
      </c>
      <c r="I124" s="26">
        <v>-355.465897677219</v>
      </c>
      <c r="J124" s="26">
        <v>1.6043577395134401</v>
      </c>
      <c r="K124" s="31">
        <v>3530</v>
      </c>
      <c r="L124" s="31">
        <v>20</v>
      </c>
      <c r="M124" s="26">
        <v>42.703199400000003</v>
      </c>
      <c r="N124" s="26">
        <v>15.501223899999999</v>
      </c>
      <c r="O124" s="32">
        <f>(M124/12)/(N124/14)</f>
        <v>3.2139655308120543</v>
      </c>
      <c r="P124" s="14">
        <v>-1850</v>
      </c>
      <c r="Q124" s="14">
        <v>-1931</v>
      </c>
      <c r="R124" s="14">
        <v>-1772</v>
      </c>
      <c r="S124" s="14"/>
    </row>
    <row r="125" spans="1:19" s="30" customFormat="1" ht="18" customHeight="1" x14ac:dyDescent="0.2">
      <c r="A125" s="14" t="s">
        <v>5952</v>
      </c>
      <c r="B125" s="14" t="s">
        <v>913</v>
      </c>
      <c r="C125" s="14" t="s">
        <v>892</v>
      </c>
      <c r="D125" s="14" t="s">
        <v>865</v>
      </c>
      <c r="E125" s="14" t="s">
        <v>13</v>
      </c>
      <c r="F125" s="14" t="s">
        <v>5827</v>
      </c>
      <c r="G125" s="25">
        <v>0.64494572790245397</v>
      </c>
      <c r="H125" s="25">
        <v>1.9445408021947399E-3</v>
      </c>
      <c r="I125" s="26">
        <v>-355.054272097546</v>
      </c>
      <c r="J125" s="26">
        <v>1.90674693167006</v>
      </c>
      <c r="K125" s="31">
        <v>3525</v>
      </c>
      <c r="L125" s="31">
        <v>25</v>
      </c>
      <c r="M125" s="26">
        <v>44.354454434149602</v>
      </c>
      <c r="N125" s="26">
        <v>16.4574687772133</v>
      </c>
      <c r="O125" s="32">
        <f>(M125/12)/(N125/14)</f>
        <v>3.1442783946311108</v>
      </c>
      <c r="P125" s="14">
        <v>-1843</v>
      </c>
      <c r="Q125" s="14">
        <v>-1931</v>
      </c>
      <c r="R125" s="14">
        <v>-1767</v>
      </c>
      <c r="S125" s="14"/>
    </row>
    <row r="126" spans="1:19" s="30" customFormat="1" ht="18" customHeight="1" x14ac:dyDescent="0.2">
      <c r="A126" s="14" t="s">
        <v>5829</v>
      </c>
      <c r="B126" s="14" t="s">
        <v>917</v>
      </c>
      <c r="C126" s="14" t="s">
        <v>892</v>
      </c>
      <c r="D126" s="14" t="s">
        <v>865</v>
      </c>
      <c r="E126" s="14" t="s">
        <v>13</v>
      </c>
      <c r="F126" s="14" t="s">
        <v>5827</v>
      </c>
      <c r="G126" s="25">
        <v>0.64496536882254196</v>
      </c>
      <c r="H126" s="25">
        <v>1.6498381449445701E-3</v>
      </c>
      <c r="I126" s="26">
        <v>-355.03463117745798</v>
      </c>
      <c r="J126" s="26">
        <v>1.64983814494457</v>
      </c>
      <c r="K126" s="31">
        <v>3525</v>
      </c>
      <c r="L126" s="31">
        <v>25</v>
      </c>
      <c r="M126" s="26">
        <v>44.887415233089698</v>
      </c>
      <c r="N126" s="26">
        <v>16.250593147010701</v>
      </c>
      <c r="O126" s="32">
        <f>(M126/12)/(N126/14)</f>
        <v>3.2225685937441941</v>
      </c>
      <c r="P126" s="14">
        <v>-1843</v>
      </c>
      <c r="Q126" s="14">
        <v>-1931</v>
      </c>
      <c r="R126" s="14">
        <v>-1767</v>
      </c>
      <c r="S126" s="14"/>
    </row>
    <row r="127" spans="1:19" s="30" customFormat="1" ht="18" customHeight="1" x14ac:dyDescent="0.2">
      <c r="A127" s="14" t="s">
        <v>5992</v>
      </c>
      <c r="B127" s="14" t="s">
        <v>4198</v>
      </c>
      <c r="C127" s="14" t="s">
        <v>3913</v>
      </c>
      <c r="D127" s="14" t="s">
        <v>18</v>
      </c>
      <c r="E127" s="14" t="s">
        <v>105</v>
      </c>
      <c r="F127" s="14" t="s">
        <v>17</v>
      </c>
      <c r="G127" s="14" t="s">
        <v>17</v>
      </c>
      <c r="H127" s="14" t="s">
        <v>17</v>
      </c>
      <c r="I127" s="14" t="s">
        <v>17</v>
      </c>
      <c r="J127" s="14" t="s">
        <v>17</v>
      </c>
      <c r="K127" s="14">
        <v>3520</v>
      </c>
      <c r="L127" s="14">
        <v>30</v>
      </c>
      <c r="M127" s="14" t="s">
        <v>17</v>
      </c>
      <c r="N127" s="14" t="s">
        <v>17</v>
      </c>
      <c r="O127" s="14" t="s">
        <v>17</v>
      </c>
      <c r="P127" s="14">
        <v>-1839</v>
      </c>
      <c r="Q127" s="14">
        <v>-1929</v>
      </c>
      <c r="R127" s="14">
        <v>-1753</v>
      </c>
      <c r="S127" s="14"/>
    </row>
    <row r="128" spans="1:19" s="30" customFormat="1" ht="18" customHeight="1" x14ac:dyDescent="0.2">
      <c r="A128" s="14" t="s">
        <v>5968</v>
      </c>
      <c r="B128" s="14" t="s">
        <v>5163</v>
      </c>
      <c r="C128" s="14" t="s">
        <v>3913</v>
      </c>
      <c r="D128" s="14" t="s">
        <v>18</v>
      </c>
      <c r="E128" s="14" t="s">
        <v>105</v>
      </c>
      <c r="F128" s="14" t="s">
        <v>5827</v>
      </c>
      <c r="G128" s="25">
        <v>0.64526060354733505</v>
      </c>
      <c r="H128" s="25">
        <v>1.9445408021947399E-3</v>
      </c>
      <c r="I128" s="26">
        <v>-354.73939645266501</v>
      </c>
      <c r="J128" s="26">
        <v>1.9648382315160899</v>
      </c>
      <c r="K128" s="31">
        <v>3520</v>
      </c>
      <c r="L128" s="31">
        <v>25</v>
      </c>
      <c r="M128" s="26">
        <v>49.418887841874202</v>
      </c>
      <c r="N128" s="26">
        <v>18.3064142580055</v>
      </c>
      <c r="O128" s="32">
        <f>(M128/12)/(N128/14)</f>
        <v>3.1494627148864072</v>
      </c>
      <c r="P128" s="14">
        <v>-1837</v>
      </c>
      <c r="Q128" s="14">
        <v>-1922</v>
      </c>
      <c r="R128" s="14">
        <v>-1763</v>
      </c>
      <c r="S128" s="14"/>
    </row>
    <row r="129" spans="1:39" s="30" customFormat="1" ht="18" customHeight="1" x14ac:dyDescent="0.2">
      <c r="A129" s="14" t="s">
        <v>5993</v>
      </c>
      <c r="B129" s="14" t="s">
        <v>4261</v>
      </c>
      <c r="C129" s="14" t="s">
        <v>3913</v>
      </c>
      <c r="D129" s="14" t="s">
        <v>18</v>
      </c>
      <c r="E129" s="14" t="s">
        <v>105</v>
      </c>
      <c r="F129" s="14" t="s">
        <v>17</v>
      </c>
      <c r="G129" s="14" t="s">
        <v>17</v>
      </c>
      <c r="H129" s="14" t="s">
        <v>17</v>
      </c>
      <c r="I129" s="14" t="s">
        <v>17</v>
      </c>
      <c r="J129" s="14" t="s">
        <v>17</v>
      </c>
      <c r="K129" s="14">
        <v>3500</v>
      </c>
      <c r="L129" s="14">
        <v>30</v>
      </c>
      <c r="M129" s="14" t="s">
        <v>17</v>
      </c>
      <c r="N129" s="14" t="s">
        <v>17</v>
      </c>
      <c r="O129" s="14" t="s">
        <v>17</v>
      </c>
      <c r="P129" s="14">
        <v>-1822</v>
      </c>
      <c r="Q129" s="14">
        <v>-1906</v>
      </c>
      <c r="R129" s="14">
        <v>-1743</v>
      </c>
      <c r="S129" s="14"/>
    </row>
    <row r="130" spans="1:39" s="30" customFormat="1" ht="18" customHeight="1" x14ac:dyDescent="0.2">
      <c r="A130" s="14" t="s">
        <v>5946</v>
      </c>
      <c r="B130" s="14" t="s">
        <v>909</v>
      </c>
      <c r="C130" s="14" t="s">
        <v>892</v>
      </c>
      <c r="D130" s="14" t="s">
        <v>865</v>
      </c>
      <c r="E130" s="14" t="s">
        <v>13</v>
      </c>
      <c r="F130" s="14" t="s">
        <v>5820</v>
      </c>
      <c r="G130" s="25">
        <v>0.64670647554550598</v>
      </c>
      <c r="H130" s="25">
        <v>1.9445408021947399E-3</v>
      </c>
      <c r="I130" s="26">
        <v>-353.29352445449399</v>
      </c>
      <c r="J130" s="26">
        <v>1.45878905239248</v>
      </c>
      <c r="K130" s="31">
        <v>3500</v>
      </c>
      <c r="L130" s="31">
        <v>20</v>
      </c>
      <c r="M130" s="26">
        <v>31.520944639214498</v>
      </c>
      <c r="N130" s="26">
        <v>11.9647161366417</v>
      </c>
      <c r="O130" s="32">
        <f t="shared" ref="O130:O143" si="2">(M130/12)/(N130/14)</f>
        <v>3.0735735802202573</v>
      </c>
      <c r="P130" s="14">
        <v>-1822</v>
      </c>
      <c r="Q130" s="14">
        <v>-1886</v>
      </c>
      <c r="R130" s="14">
        <v>-1756</v>
      </c>
      <c r="S130" s="14"/>
    </row>
    <row r="131" spans="1:39" s="30" customFormat="1" ht="18" customHeight="1" x14ac:dyDescent="0.2">
      <c r="A131" s="14" t="s">
        <v>5974</v>
      </c>
      <c r="B131" s="14" t="s">
        <v>5393</v>
      </c>
      <c r="C131" s="14" t="s">
        <v>3913</v>
      </c>
      <c r="D131" s="14" t="s">
        <v>18</v>
      </c>
      <c r="E131" s="14" t="s">
        <v>105</v>
      </c>
      <c r="F131" s="14" t="s">
        <v>5827</v>
      </c>
      <c r="G131" s="25">
        <v>0.64722646968924202</v>
      </c>
      <c r="H131" s="25">
        <v>1.9445408021947399E-3</v>
      </c>
      <c r="I131" s="26">
        <v>-352.77353031075802</v>
      </c>
      <c r="J131" s="26">
        <v>1.6783419260394801</v>
      </c>
      <c r="K131" s="31">
        <v>3495</v>
      </c>
      <c r="L131" s="31">
        <v>25</v>
      </c>
      <c r="M131" s="26">
        <v>48.209107313797503</v>
      </c>
      <c r="N131" s="26">
        <v>17.813265084226401</v>
      </c>
      <c r="O131" s="32">
        <f t="shared" si="2"/>
        <v>3.1574199489439829</v>
      </c>
      <c r="P131" s="14">
        <v>-1819</v>
      </c>
      <c r="Q131" s="14">
        <v>-1891</v>
      </c>
      <c r="R131" s="14">
        <v>-1746</v>
      </c>
      <c r="S131" s="14"/>
    </row>
    <row r="132" spans="1:39" s="30" customFormat="1" ht="18" customHeight="1" x14ac:dyDescent="0.2">
      <c r="A132" s="14" t="s">
        <v>5819</v>
      </c>
      <c r="B132" s="14" t="s">
        <v>905</v>
      </c>
      <c r="C132" s="14" t="s">
        <v>892</v>
      </c>
      <c r="D132" s="14" t="s">
        <v>865</v>
      </c>
      <c r="E132" s="14" t="s">
        <v>13</v>
      </c>
      <c r="F132" s="14" t="s">
        <v>5820</v>
      </c>
      <c r="G132" s="25">
        <v>0.64730049300115799</v>
      </c>
      <c r="H132" s="25">
        <v>1.3542116187759399E-3</v>
      </c>
      <c r="I132" s="26">
        <v>-352.69950699884203</v>
      </c>
      <c r="J132" s="26">
        <v>1.3542116187759401</v>
      </c>
      <c r="K132" s="31">
        <v>3495</v>
      </c>
      <c r="L132" s="31">
        <v>20</v>
      </c>
      <c r="M132" s="26">
        <v>26.3213819755758</v>
      </c>
      <c r="N132" s="26">
        <v>9.6257289797507806</v>
      </c>
      <c r="O132" s="32">
        <f t="shared" si="2"/>
        <v>3.1902289204386229</v>
      </c>
      <c r="P132" s="14">
        <v>-1820</v>
      </c>
      <c r="Q132" s="14">
        <v>-1885</v>
      </c>
      <c r="R132" s="14">
        <v>-1752</v>
      </c>
      <c r="S132" s="14"/>
    </row>
    <row r="133" spans="1:39" s="30" customFormat="1" ht="18" customHeight="1" x14ac:dyDescent="0.2">
      <c r="A133" s="14" t="s">
        <v>5851</v>
      </c>
      <c r="B133" s="14" t="s">
        <v>5160</v>
      </c>
      <c r="C133" s="14" t="s">
        <v>4218</v>
      </c>
      <c r="D133" s="14" t="s">
        <v>1152</v>
      </c>
      <c r="E133" s="14" t="s">
        <v>13</v>
      </c>
      <c r="F133" s="14" t="s">
        <v>5850</v>
      </c>
      <c r="G133" s="25">
        <v>0.64803354129296697</v>
      </c>
      <c r="H133" s="25">
        <v>1.36914703289325E-3</v>
      </c>
      <c r="I133" s="26">
        <v>-351.96645870703298</v>
      </c>
      <c r="J133" s="26">
        <v>1.36914703289325</v>
      </c>
      <c r="K133" s="31">
        <v>3485</v>
      </c>
      <c r="L133" s="31">
        <v>20</v>
      </c>
      <c r="M133" s="26">
        <v>44.569294300000003</v>
      </c>
      <c r="N133" s="26">
        <v>16.264138486106699</v>
      </c>
      <c r="O133" s="32">
        <f t="shared" si="2"/>
        <v>3.1970651295846046</v>
      </c>
      <c r="P133" s="14">
        <v>-1814</v>
      </c>
      <c r="Q133" s="14">
        <v>-1882</v>
      </c>
      <c r="R133" s="14">
        <v>-1748</v>
      </c>
      <c r="S133" s="14"/>
    </row>
    <row r="134" spans="1:39" s="30" customFormat="1" ht="18" customHeight="1" x14ac:dyDescent="0.2">
      <c r="A134" s="14" t="s">
        <v>5870</v>
      </c>
      <c r="B134" s="14" t="s">
        <v>1046</v>
      </c>
      <c r="C134" s="14" t="s">
        <v>864</v>
      </c>
      <c r="D134" s="14" t="s">
        <v>865</v>
      </c>
      <c r="E134" s="14" t="s">
        <v>13</v>
      </c>
      <c r="F134" s="14" t="s">
        <v>5820</v>
      </c>
      <c r="G134" s="25">
        <v>0.64843026412584204</v>
      </c>
      <c r="H134" s="25">
        <v>1.63518106713343E-3</v>
      </c>
      <c r="I134" s="26">
        <v>-351.56973587415803</v>
      </c>
      <c r="J134" s="26">
        <v>1.6351810671334299</v>
      </c>
      <c r="K134" s="31">
        <v>3480</v>
      </c>
      <c r="L134" s="31">
        <v>25</v>
      </c>
      <c r="M134" s="26">
        <v>17.320163835278901</v>
      </c>
      <c r="N134" s="26">
        <v>6.2625522674435103</v>
      </c>
      <c r="O134" s="32">
        <f t="shared" si="2"/>
        <v>3.2266170316649823</v>
      </c>
      <c r="P134" s="14">
        <v>-1809</v>
      </c>
      <c r="Q134" s="14">
        <v>-1885</v>
      </c>
      <c r="R134" s="14">
        <v>-1701</v>
      </c>
      <c r="S134" s="14"/>
      <c r="AL134" s="38"/>
      <c r="AM134" s="38"/>
    </row>
    <row r="135" spans="1:39" s="30" customFormat="1" ht="18" customHeight="1" x14ac:dyDescent="0.2">
      <c r="A135" s="14" t="s">
        <v>5961</v>
      </c>
      <c r="B135" s="14" t="s">
        <v>4265</v>
      </c>
      <c r="C135" s="14" t="s">
        <v>3913</v>
      </c>
      <c r="D135" s="14" t="s">
        <v>18</v>
      </c>
      <c r="E135" s="14" t="s">
        <v>105</v>
      </c>
      <c r="F135" s="14" t="s">
        <v>5820</v>
      </c>
      <c r="G135" s="25">
        <v>0.64875446848142704</v>
      </c>
      <c r="H135" s="25">
        <v>1.9445408021947399E-3</v>
      </c>
      <c r="I135" s="26">
        <v>-351.24553151857299</v>
      </c>
      <c r="J135" s="26">
        <v>2.0491526617960201</v>
      </c>
      <c r="K135" s="31">
        <v>3475</v>
      </c>
      <c r="L135" s="31">
        <v>30</v>
      </c>
      <c r="M135" s="26">
        <v>30.2147961369302</v>
      </c>
      <c r="N135" s="26">
        <v>11.494355791037499</v>
      </c>
      <c r="O135" s="32">
        <f t="shared" si="2"/>
        <v>3.0667743485521131</v>
      </c>
      <c r="P135" s="14">
        <v>-1803</v>
      </c>
      <c r="Q135" s="14">
        <v>-1886</v>
      </c>
      <c r="R135" s="14">
        <v>-1695</v>
      </c>
      <c r="S135" s="14"/>
    </row>
    <row r="136" spans="1:39" s="30" customFormat="1" ht="18" customHeight="1" x14ac:dyDescent="0.2">
      <c r="A136" s="14" t="s">
        <v>5822</v>
      </c>
      <c r="B136" s="14" t="s">
        <v>901</v>
      </c>
      <c r="C136" s="14" t="s">
        <v>892</v>
      </c>
      <c r="D136" s="14" t="s">
        <v>865</v>
      </c>
      <c r="E136" s="14" t="s">
        <v>13</v>
      </c>
      <c r="F136" s="14" t="s">
        <v>5820</v>
      </c>
      <c r="G136" s="25">
        <v>0.64899655076603902</v>
      </c>
      <c r="H136" s="25">
        <v>1.49571855168074E-3</v>
      </c>
      <c r="I136" s="26">
        <v>-351.00344923396102</v>
      </c>
      <c r="J136" s="26">
        <v>1.4957185516807401</v>
      </c>
      <c r="K136" s="31">
        <v>3475</v>
      </c>
      <c r="L136" s="31">
        <v>20</v>
      </c>
      <c r="M136" s="26">
        <v>28.649856506280798</v>
      </c>
      <c r="N136" s="26">
        <v>10.4924051253288</v>
      </c>
      <c r="O136" s="32">
        <f t="shared" si="2"/>
        <v>3.1856216178665231</v>
      </c>
      <c r="P136" s="14">
        <v>-1807</v>
      </c>
      <c r="Q136" s="14">
        <v>-1881</v>
      </c>
      <c r="R136" s="14">
        <v>-1701</v>
      </c>
      <c r="S136" s="14"/>
    </row>
    <row r="137" spans="1:39" s="30" customFormat="1" ht="18" customHeight="1" x14ac:dyDescent="0.2">
      <c r="A137" s="14" t="s">
        <v>5955</v>
      </c>
      <c r="B137" s="14" t="s">
        <v>5157</v>
      </c>
      <c r="C137" s="14" t="s">
        <v>5127</v>
      </c>
      <c r="D137" s="14" t="s">
        <v>1152</v>
      </c>
      <c r="E137" s="14" t="s">
        <v>13</v>
      </c>
      <c r="F137" s="14" t="s">
        <v>5827</v>
      </c>
      <c r="G137" s="25">
        <v>0.64949045309355802</v>
      </c>
      <c r="H137" s="25">
        <v>1.9445408021947399E-3</v>
      </c>
      <c r="I137" s="26">
        <v>-350.50954690644198</v>
      </c>
      <c r="J137" s="26">
        <v>1.90619424361846</v>
      </c>
      <c r="K137" s="31">
        <v>3465</v>
      </c>
      <c r="L137" s="31">
        <v>25</v>
      </c>
      <c r="M137" s="26">
        <v>48.811556848341397</v>
      </c>
      <c r="N137" s="26">
        <v>18.305138232766701</v>
      </c>
      <c r="O137" s="32">
        <f t="shared" si="2"/>
        <v>3.110974394125503</v>
      </c>
      <c r="P137" s="14">
        <v>-1794</v>
      </c>
      <c r="Q137" s="14">
        <v>-1881</v>
      </c>
      <c r="R137" s="14">
        <v>-1695</v>
      </c>
      <c r="S137" s="137"/>
      <c r="T137" s="138"/>
      <c r="U137" s="136"/>
      <c r="V137" s="143"/>
      <c r="W137" s="143"/>
      <c r="X137" s="143"/>
      <c r="Y137" s="143"/>
      <c r="Z137" s="143"/>
      <c r="AA137" s="139"/>
      <c r="AB137" s="144"/>
      <c r="AC137" s="140"/>
      <c r="AD137" s="140"/>
      <c r="AE137" s="143"/>
      <c r="AF137" s="143"/>
      <c r="AG137" s="143"/>
      <c r="AH137" s="141"/>
      <c r="AI137" s="137"/>
      <c r="AJ137" s="152"/>
      <c r="AK137" s="138"/>
      <c r="AL137" s="139"/>
      <c r="AM137" s="139"/>
    </row>
    <row r="138" spans="1:39" s="30" customFormat="1" ht="18" customHeight="1" x14ac:dyDescent="0.2">
      <c r="A138" s="14" t="s">
        <v>5885</v>
      </c>
      <c r="B138" s="14" t="s">
        <v>895</v>
      </c>
      <c r="C138" s="14" t="s">
        <v>899</v>
      </c>
      <c r="D138" s="14" t="s">
        <v>865</v>
      </c>
      <c r="E138" s="14" t="s">
        <v>13</v>
      </c>
      <c r="F138" s="14" t="s">
        <v>5827</v>
      </c>
      <c r="G138" s="25">
        <v>0.64961930175078497</v>
      </c>
      <c r="H138" s="25">
        <v>1.24241799336367E-3</v>
      </c>
      <c r="I138" s="26">
        <v>-350.38069824921502</v>
      </c>
      <c r="J138" s="26">
        <v>1.2424179933636701</v>
      </c>
      <c r="K138" s="31">
        <v>3465</v>
      </c>
      <c r="L138" s="31">
        <v>20</v>
      </c>
      <c r="M138" s="26">
        <v>48.220153233903702</v>
      </c>
      <c r="N138" s="26">
        <v>17.459038880261399</v>
      </c>
      <c r="O138" s="32">
        <f t="shared" si="2"/>
        <v>3.2222189219795148</v>
      </c>
      <c r="P138" s="14">
        <v>-1795</v>
      </c>
      <c r="Q138" s="14">
        <v>-1880</v>
      </c>
      <c r="R138" s="14">
        <v>-1697</v>
      </c>
      <c r="S138" s="14"/>
    </row>
    <row r="139" spans="1:39" s="30" customFormat="1" ht="18" customHeight="1" x14ac:dyDescent="0.2">
      <c r="A139" s="14" t="s">
        <v>5960</v>
      </c>
      <c r="B139" s="14" t="s">
        <v>5153</v>
      </c>
      <c r="C139" s="14" t="s">
        <v>3913</v>
      </c>
      <c r="D139" s="14" t="s">
        <v>18</v>
      </c>
      <c r="E139" s="14" t="s">
        <v>105</v>
      </c>
      <c r="F139" s="14" t="s">
        <v>5820</v>
      </c>
      <c r="G139" s="25">
        <v>0.65000784121548405</v>
      </c>
      <c r="H139" s="25">
        <v>1.9445408021947399E-3</v>
      </c>
      <c r="I139" s="26">
        <v>-349.99215878451599</v>
      </c>
      <c r="J139" s="26">
        <v>1.5532210302160601</v>
      </c>
      <c r="K139" s="31">
        <v>3460</v>
      </c>
      <c r="L139" s="31">
        <v>20</v>
      </c>
      <c r="M139" s="26">
        <v>25.101448241337</v>
      </c>
      <c r="N139" s="26">
        <v>9.5685681232877702</v>
      </c>
      <c r="O139" s="32">
        <f t="shared" si="2"/>
        <v>3.0605439153381013</v>
      </c>
      <c r="P139" s="14">
        <v>-1787</v>
      </c>
      <c r="Q139" s="14">
        <v>-1879</v>
      </c>
      <c r="R139" s="14">
        <v>-1694</v>
      </c>
      <c r="S139" s="14"/>
    </row>
    <row r="140" spans="1:39" s="30" customFormat="1" ht="18" customHeight="1" x14ac:dyDescent="0.2">
      <c r="A140" s="14" t="s">
        <v>5857</v>
      </c>
      <c r="B140" s="14" t="s">
        <v>5150</v>
      </c>
      <c r="C140" s="14" t="s">
        <v>4218</v>
      </c>
      <c r="D140" s="14" t="s">
        <v>1152</v>
      </c>
      <c r="E140" s="14" t="s">
        <v>13</v>
      </c>
      <c r="F140" s="14" t="s">
        <v>5850</v>
      </c>
      <c r="G140" s="25">
        <v>0.65035587977184095</v>
      </c>
      <c r="H140" s="25">
        <v>1.30058780530345E-3</v>
      </c>
      <c r="I140" s="26">
        <v>-349.64412022815901</v>
      </c>
      <c r="J140" s="26">
        <v>1.3005878053034501</v>
      </c>
      <c r="K140" s="31">
        <v>3455</v>
      </c>
      <c r="L140" s="31">
        <v>20</v>
      </c>
      <c r="M140" s="26">
        <v>43.837870799999997</v>
      </c>
      <c r="N140" s="26">
        <v>16.020938997125501</v>
      </c>
      <c r="O140" s="32">
        <f t="shared" si="2"/>
        <v>3.1923336459352574</v>
      </c>
      <c r="P140" s="14">
        <v>-1778</v>
      </c>
      <c r="Q140" s="14">
        <v>-1877</v>
      </c>
      <c r="R140" s="14">
        <v>-1693</v>
      </c>
      <c r="S140" s="14"/>
    </row>
    <row r="141" spans="1:39" s="30" customFormat="1" ht="18" customHeight="1" x14ac:dyDescent="0.2">
      <c r="A141" s="14" t="s">
        <v>5855</v>
      </c>
      <c r="B141" s="14" t="s">
        <v>4224</v>
      </c>
      <c r="C141" s="14" t="s">
        <v>4218</v>
      </c>
      <c r="D141" s="14" t="s">
        <v>1152</v>
      </c>
      <c r="E141" s="14" t="s">
        <v>13</v>
      </c>
      <c r="F141" s="14" t="s">
        <v>5850</v>
      </c>
      <c r="G141" s="25">
        <v>0.65084204754464303</v>
      </c>
      <c r="H141" s="25">
        <v>1.2466277619709999E-3</v>
      </c>
      <c r="I141" s="26">
        <v>-349.15795245535702</v>
      </c>
      <c r="J141" s="26">
        <v>1.246627761971</v>
      </c>
      <c r="K141" s="31">
        <v>3450</v>
      </c>
      <c r="L141" s="31">
        <v>20</v>
      </c>
      <c r="M141" s="26">
        <v>74.784718400000003</v>
      </c>
      <c r="N141" s="26">
        <v>27.331408615458301</v>
      </c>
      <c r="O141" s="32">
        <f t="shared" si="2"/>
        <v>3.192255450894927</v>
      </c>
      <c r="P141" s="14">
        <v>-1768</v>
      </c>
      <c r="Q141" s="14">
        <v>-1876</v>
      </c>
      <c r="R141" s="14">
        <v>-1691</v>
      </c>
      <c r="S141" s="14"/>
    </row>
    <row r="142" spans="1:39" s="30" customFormat="1" ht="18" customHeight="1" x14ac:dyDescent="0.2">
      <c r="A142" s="14" t="s">
        <v>5853</v>
      </c>
      <c r="B142" s="14" t="s">
        <v>5146</v>
      </c>
      <c r="C142" s="14" t="s">
        <v>4218</v>
      </c>
      <c r="D142" s="14" t="s">
        <v>1152</v>
      </c>
      <c r="E142" s="14" t="s">
        <v>13</v>
      </c>
      <c r="F142" s="14" t="s">
        <v>5850</v>
      </c>
      <c r="G142" s="25">
        <v>0.65115921285881295</v>
      </c>
      <c r="H142" s="25">
        <v>1.31954527961837E-3</v>
      </c>
      <c r="I142" s="26">
        <v>-348.84078714118698</v>
      </c>
      <c r="J142" s="26">
        <v>1.31954527961837</v>
      </c>
      <c r="K142" s="31">
        <v>3445</v>
      </c>
      <c r="L142" s="31">
        <v>20</v>
      </c>
      <c r="M142" s="26">
        <v>44.803686300000003</v>
      </c>
      <c r="N142" s="26">
        <v>16.3608642457644</v>
      </c>
      <c r="O142" s="32">
        <f t="shared" si="2"/>
        <v>3.1948781289797834</v>
      </c>
      <c r="P142" s="14">
        <v>-1758</v>
      </c>
      <c r="Q142" s="14">
        <v>-1876</v>
      </c>
      <c r="R142" s="14">
        <v>-1688</v>
      </c>
      <c r="S142" s="14"/>
    </row>
    <row r="143" spans="1:39" s="30" customFormat="1" ht="18" customHeight="1" x14ac:dyDescent="0.2">
      <c r="A143" s="14" t="s">
        <v>5836</v>
      </c>
      <c r="B143" s="14" t="s">
        <v>3795</v>
      </c>
      <c r="C143" s="14" t="s">
        <v>3799</v>
      </c>
      <c r="D143" s="14" t="s">
        <v>1152</v>
      </c>
      <c r="E143" s="14" t="s">
        <v>13</v>
      </c>
      <c r="F143" s="14" t="s">
        <v>5820</v>
      </c>
      <c r="G143" s="25">
        <v>0.65129973128302199</v>
      </c>
      <c r="H143" s="25">
        <v>1.3752572766090401E-3</v>
      </c>
      <c r="I143" s="26">
        <v>-348.70026871697797</v>
      </c>
      <c r="J143" s="26">
        <v>1.3752572766090401</v>
      </c>
      <c r="K143" s="31">
        <v>3445</v>
      </c>
      <c r="L143" s="31">
        <v>20</v>
      </c>
      <c r="M143" s="26">
        <v>23.769337100000001</v>
      </c>
      <c r="N143" s="26">
        <v>8.6377144999999995</v>
      </c>
      <c r="O143" s="32">
        <f t="shared" si="2"/>
        <v>3.2104433740352656</v>
      </c>
      <c r="P143" s="14">
        <v>-1758</v>
      </c>
      <c r="Q143" s="14">
        <v>-1876</v>
      </c>
      <c r="R143" s="14">
        <v>-1688</v>
      </c>
      <c r="S143" s="14"/>
    </row>
    <row r="144" spans="1:39" s="30" customFormat="1" ht="18" customHeight="1" x14ac:dyDescent="0.2">
      <c r="A144" s="14" t="s">
        <v>5991</v>
      </c>
      <c r="B144" s="14" t="s">
        <v>3918</v>
      </c>
      <c r="C144" s="14" t="s">
        <v>3913</v>
      </c>
      <c r="D144" s="14" t="s">
        <v>18</v>
      </c>
      <c r="E144" s="14" t="s">
        <v>105</v>
      </c>
      <c r="F144" s="14" t="s">
        <v>17</v>
      </c>
      <c r="G144" s="14" t="s">
        <v>17</v>
      </c>
      <c r="H144" s="14" t="s">
        <v>17</v>
      </c>
      <c r="I144" s="14" t="s">
        <v>17</v>
      </c>
      <c r="J144" s="14" t="s">
        <v>17</v>
      </c>
      <c r="K144" s="14">
        <v>3440</v>
      </c>
      <c r="L144" s="14">
        <v>30</v>
      </c>
      <c r="M144" s="14" t="s">
        <v>17</v>
      </c>
      <c r="N144" s="14" t="s">
        <v>17</v>
      </c>
      <c r="O144" s="14" t="s">
        <v>17</v>
      </c>
      <c r="P144" s="14">
        <v>-1757</v>
      </c>
      <c r="Q144" s="14">
        <v>-1878</v>
      </c>
      <c r="R144" s="14">
        <v>-1664</v>
      </c>
      <c r="S144" s="14"/>
    </row>
    <row r="145" spans="1:39" s="30" customFormat="1" ht="18" customHeight="1" x14ac:dyDescent="0.2">
      <c r="A145" s="14" t="s">
        <v>5849</v>
      </c>
      <c r="B145" s="14" t="s">
        <v>5143</v>
      </c>
      <c r="C145" s="14" t="s">
        <v>4218</v>
      </c>
      <c r="D145" s="14" t="s">
        <v>1152</v>
      </c>
      <c r="E145" s="14" t="s">
        <v>13</v>
      </c>
      <c r="F145" s="14" t="s">
        <v>5850</v>
      </c>
      <c r="G145" s="25">
        <v>0.65215601813191904</v>
      </c>
      <c r="H145" s="25">
        <v>1.3698674782635599E-3</v>
      </c>
      <c r="I145" s="26">
        <v>-347.84398186808102</v>
      </c>
      <c r="J145" s="26">
        <v>1.36986747826356</v>
      </c>
      <c r="K145" s="31">
        <v>3435</v>
      </c>
      <c r="L145" s="31">
        <v>20</v>
      </c>
      <c r="M145" s="26">
        <v>40.3473842</v>
      </c>
      <c r="N145" s="26">
        <v>14.6606445934916</v>
      </c>
      <c r="O145" s="32">
        <f t="shared" ref="O145:O152" si="3">(M145/12)/(N145/14)</f>
        <v>3.2107693446323839</v>
      </c>
      <c r="P145" s="14">
        <v>-1739</v>
      </c>
      <c r="Q145" s="14">
        <v>-1872</v>
      </c>
      <c r="R145" s="14">
        <v>-1684</v>
      </c>
      <c r="S145" s="14"/>
    </row>
    <row r="146" spans="1:39" s="30" customFormat="1" ht="18" customHeight="1" x14ac:dyDescent="0.2">
      <c r="A146" s="14" t="s">
        <v>5837</v>
      </c>
      <c r="B146" s="14" t="s">
        <v>5140</v>
      </c>
      <c r="C146" s="14" t="s">
        <v>4218</v>
      </c>
      <c r="D146" s="14" t="s">
        <v>1152</v>
      </c>
      <c r="E146" s="14" t="s">
        <v>13</v>
      </c>
      <c r="F146" s="14" t="s">
        <v>5820</v>
      </c>
      <c r="G146" s="25">
        <v>0.65192362754990996</v>
      </c>
      <c r="H146" s="25">
        <v>1.3991682060121801E-3</v>
      </c>
      <c r="I146" s="26">
        <v>-348.07637245008999</v>
      </c>
      <c r="J146" s="26">
        <v>1.3991682060121799</v>
      </c>
      <c r="K146" s="31">
        <v>3435</v>
      </c>
      <c r="L146" s="31">
        <v>20</v>
      </c>
      <c r="M146" s="26">
        <v>27.359926099999999</v>
      </c>
      <c r="N146" s="26">
        <v>10.0233051</v>
      </c>
      <c r="O146" s="32">
        <f t="shared" si="3"/>
        <v>3.1845697067859717</v>
      </c>
      <c r="P146" s="14">
        <v>-1739</v>
      </c>
      <c r="Q146" s="14">
        <v>-1872</v>
      </c>
      <c r="R146" s="14">
        <v>-1684</v>
      </c>
      <c r="S146" s="14"/>
    </row>
    <row r="147" spans="1:39" s="30" customFormat="1" ht="18" customHeight="1" x14ac:dyDescent="0.2">
      <c r="A147" s="14" t="s">
        <v>5831</v>
      </c>
      <c r="B147" s="14" t="s">
        <v>1317</v>
      </c>
      <c r="C147" s="14" t="s">
        <v>5806</v>
      </c>
      <c r="D147" s="14" t="s">
        <v>1152</v>
      </c>
      <c r="E147" s="14" t="s">
        <v>143</v>
      </c>
      <c r="F147" s="14" t="s">
        <v>5827</v>
      </c>
      <c r="G147" s="25">
        <v>0.652108018572784</v>
      </c>
      <c r="H147" s="25">
        <v>1.36023903832429E-3</v>
      </c>
      <c r="I147" s="26">
        <v>-347.89198142721602</v>
      </c>
      <c r="J147" s="26">
        <v>1.3602390383242899</v>
      </c>
      <c r="K147" s="31">
        <v>3435</v>
      </c>
      <c r="L147" s="31">
        <v>20</v>
      </c>
      <c r="M147" s="26">
        <v>44.771481330541498</v>
      </c>
      <c r="N147" s="26">
        <v>16.241225669136401</v>
      </c>
      <c r="O147" s="32">
        <f t="shared" si="3"/>
        <v>3.2160993233960253</v>
      </c>
      <c r="P147" s="14">
        <v>-1739</v>
      </c>
      <c r="Q147" s="14">
        <v>-1872</v>
      </c>
      <c r="R147" s="14">
        <v>-1684</v>
      </c>
      <c r="S147" s="14"/>
    </row>
    <row r="148" spans="1:39" s="30" customFormat="1" ht="18" customHeight="1" x14ac:dyDescent="0.2">
      <c r="A148" s="14" t="s">
        <v>5913</v>
      </c>
      <c r="B148" s="14" t="s">
        <v>5134</v>
      </c>
      <c r="C148" s="14" t="s">
        <v>5139</v>
      </c>
      <c r="D148" s="14" t="s">
        <v>1152</v>
      </c>
      <c r="E148" s="14" t="s">
        <v>143</v>
      </c>
      <c r="F148" s="14" t="s">
        <v>5827</v>
      </c>
      <c r="G148" s="25">
        <v>0.65230833895891205</v>
      </c>
      <c r="H148" s="25">
        <v>1.4435727932029399E-3</v>
      </c>
      <c r="I148" s="26">
        <v>-347.69166104108803</v>
      </c>
      <c r="J148" s="26">
        <v>1.4435727932029401</v>
      </c>
      <c r="K148" s="31">
        <v>3430</v>
      </c>
      <c r="L148" s="31">
        <v>20</v>
      </c>
      <c r="M148" s="26">
        <v>42.165634790264903</v>
      </c>
      <c r="N148" s="26">
        <v>15.146581469545</v>
      </c>
      <c r="O148" s="32">
        <f t="shared" si="3"/>
        <v>3.2478114409878218</v>
      </c>
      <c r="P148" s="14">
        <v>-1732</v>
      </c>
      <c r="Q148" s="14">
        <v>-1869</v>
      </c>
      <c r="R148" s="14">
        <v>-1665</v>
      </c>
      <c r="S148" s="14"/>
    </row>
    <row r="149" spans="1:39" s="30" customFormat="1" ht="18" customHeight="1" x14ac:dyDescent="0.2">
      <c r="A149" s="14" t="s">
        <v>5901</v>
      </c>
      <c r="B149" s="14" t="s">
        <v>888</v>
      </c>
      <c r="C149" s="14" t="s">
        <v>892</v>
      </c>
      <c r="D149" s="14" t="s">
        <v>865</v>
      </c>
      <c r="E149" s="14" t="s">
        <v>13</v>
      </c>
      <c r="F149" s="14" t="s">
        <v>5820</v>
      </c>
      <c r="G149" s="25">
        <v>0.65246974015566905</v>
      </c>
      <c r="H149" s="25">
        <v>1.9000543218094901E-3</v>
      </c>
      <c r="I149" s="26">
        <v>-347.530259844331</v>
      </c>
      <c r="J149" s="26">
        <v>1.9000543218094901</v>
      </c>
      <c r="K149" s="31">
        <v>3430</v>
      </c>
      <c r="L149" s="31">
        <v>25</v>
      </c>
      <c r="M149" s="26">
        <v>15.505353810014901</v>
      </c>
      <c r="N149" s="26">
        <v>5.6204194352674302</v>
      </c>
      <c r="O149" s="32">
        <f t="shared" si="3"/>
        <v>3.2185461696163693</v>
      </c>
      <c r="P149" s="14">
        <v>-1737</v>
      </c>
      <c r="Q149" s="14">
        <v>-1873</v>
      </c>
      <c r="R149" s="14">
        <v>-1661</v>
      </c>
      <c r="S149" s="14"/>
    </row>
    <row r="150" spans="1:39" s="30" customFormat="1" ht="18" customHeight="1" x14ac:dyDescent="0.2">
      <c r="A150" s="14" t="s">
        <v>8169</v>
      </c>
      <c r="B150" s="14" t="s">
        <v>1372</v>
      </c>
      <c r="C150" s="14" t="s">
        <v>6642</v>
      </c>
      <c r="D150" s="14" t="s">
        <v>1152</v>
      </c>
      <c r="E150" s="14" t="s">
        <v>13</v>
      </c>
      <c r="F150" s="14" t="s">
        <v>5827</v>
      </c>
      <c r="G150" s="41">
        <v>0.65263107650306507</v>
      </c>
      <c r="H150" s="41">
        <v>1.561406687010687E-3</v>
      </c>
      <c r="I150" s="42">
        <v>-347.36892349693494</v>
      </c>
      <c r="J150" s="42">
        <v>1.5614066870106871</v>
      </c>
      <c r="K150" s="14">
        <v>3430</v>
      </c>
      <c r="L150" s="14">
        <v>20</v>
      </c>
      <c r="M150" s="153">
        <v>56.581542393787316</v>
      </c>
      <c r="N150" s="153">
        <v>19.858745423178924</v>
      </c>
      <c r="O150" s="154">
        <f t="shared" si="3"/>
        <v>3.3240669565344363</v>
      </c>
      <c r="P150" s="14">
        <v>-1767</v>
      </c>
      <c r="Q150" s="14">
        <v>-1869</v>
      </c>
      <c r="R150" s="14">
        <v>-1665</v>
      </c>
      <c r="S150" s="14"/>
    </row>
    <row r="151" spans="1:39" s="30" customFormat="1" ht="18" customHeight="1" x14ac:dyDescent="0.2">
      <c r="A151" s="14" t="s">
        <v>5858</v>
      </c>
      <c r="B151" s="14" t="s">
        <v>5128</v>
      </c>
      <c r="C151" s="14" t="s">
        <v>5122</v>
      </c>
      <c r="D151" s="14" t="s">
        <v>1152</v>
      </c>
      <c r="E151" s="14" t="s">
        <v>13</v>
      </c>
      <c r="F151" s="14" t="s">
        <v>5850</v>
      </c>
      <c r="G151" s="25">
        <v>0.65287599280651898</v>
      </c>
      <c r="H151" s="25">
        <v>1.3323602233396199E-3</v>
      </c>
      <c r="I151" s="26">
        <v>-347.12400719348102</v>
      </c>
      <c r="J151" s="26">
        <v>1.3323602233396199</v>
      </c>
      <c r="K151" s="31">
        <v>3425</v>
      </c>
      <c r="L151" s="31">
        <v>20</v>
      </c>
      <c r="M151" s="26">
        <v>43.724844699999998</v>
      </c>
      <c r="N151" s="26">
        <v>15.914589907377801</v>
      </c>
      <c r="O151" s="32">
        <f t="shared" si="3"/>
        <v>3.2053806672717342</v>
      </c>
      <c r="P151" s="14">
        <v>-1725</v>
      </c>
      <c r="Q151" s="14">
        <v>-1862</v>
      </c>
      <c r="R151" s="14">
        <v>-1664</v>
      </c>
      <c r="S151" s="14"/>
    </row>
    <row r="152" spans="1:39" s="30" customFormat="1" ht="18" customHeight="1" x14ac:dyDescent="0.2">
      <c r="A152" s="14" t="s">
        <v>5856</v>
      </c>
      <c r="B152" s="14" t="s">
        <v>5131</v>
      </c>
      <c r="C152" s="14" t="s">
        <v>4218</v>
      </c>
      <c r="D152" s="14" t="s">
        <v>1152</v>
      </c>
      <c r="E152" s="14" t="s">
        <v>13</v>
      </c>
      <c r="F152" s="14" t="s">
        <v>5850</v>
      </c>
      <c r="G152" s="25">
        <v>0.65285945557309699</v>
      </c>
      <c r="H152" s="25">
        <v>1.31916249527332E-3</v>
      </c>
      <c r="I152" s="26">
        <v>-347.14054442690298</v>
      </c>
      <c r="J152" s="26">
        <v>1.3191624952733201</v>
      </c>
      <c r="K152" s="31">
        <v>3425</v>
      </c>
      <c r="L152" s="31">
        <v>20</v>
      </c>
      <c r="M152" s="26">
        <v>47.875834599999997</v>
      </c>
      <c r="N152" s="26">
        <v>17.4387245228402</v>
      </c>
      <c r="O152" s="32">
        <f t="shared" si="3"/>
        <v>3.2029372499984694</v>
      </c>
      <c r="P152" s="14">
        <v>-1725</v>
      </c>
      <c r="Q152" s="14">
        <v>-1862</v>
      </c>
      <c r="R152" s="14">
        <v>-1664</v>
      </c>
      <c r="S152" s="137"/>
      <c r="T152" s="138"/>
      <c r="U152" s="136"/>
      <c r="V152" s="143"/>
      <c r="W152" s="143"/>
      <c r="X152" s="143"/>
      <c r="Y152" s="143"/>
      <c r="Z152" s="143"/>
      <c r="AA152" s="139"/>
      <c r="AB152" s="139"/>
      <c r="AC152" s="140"/>
      <c r="AD152" s="140"/>
      <c r="AE152" s="143"/>
      <c r="AF152" s="143"/>
      <c r="AG152" s="143"/>
      <c r="AH152" s="141"/>
      <c r="AI152" s="137"/>
      <c r="AJ152" s="152"/>
      <c r="AK152" s="138"/>
      <c r="AL152" s="142"/>
      <c r="AM152" s="142"/>
    </row>
    <row r="153" spans="1:39" s="30" customFormat="1" ht="18" customHeight="1" x14ac:dyDescent="0.2">
      <c r="A153" s="14" t="s">
        <v>5986</v>
      </c>
      <c r="B153" s="14" t="s">
        <v>4181</v>
      </c>
      <c r="C153" s="14" t="s">
        <v>1491</v>
      </c>
      <c r="D153" s="14" t="s">
        <v>1152</v>
      </c>
      <c r="E153" s="14" t="s">
        <v>118</v>
      </c>
      <c r="F153" s="14" t="s">
        <v>17</v>
      </c>
      <c r="G153" s="14" t="s">
        <v>17</v>
      </c>
      <c r="H153" s="14" t="s">
        <v>17</v>
      </c>
      <c r="I153" s="14" t="s">
        <v>17</v>
      </c>
      <c r="J153" s="14" t="s">
        <v>17</v>
      </c>
      <c r="K153" s="14">
        <v>3420</v>
      </c>
      <c r="L153" s="14">
        <v>30</v>
      </c>
      <c r="M153" s="14" t="s">
        <v>17</v>
      </c>
      <c r="N153" s="14" t="s">
        <v>17</v>
      </c>
      <c r="O153" s="14" t="s">
        <v>17</v>
      </c>
      <c r="P153" s="14">
        <v>-1725</v>
      </c>
      <c r="Q153" s="14">
        <v>-1871</v>
      </c>
      <c r="R153" s="14">
        <v>-1636</v>
      </c>
      <c r="S153" s="14"/>
    </row>
    <row r="154" spans="1:39" s="30" customFormat="1" ht="18" customHeight="1" x14ac:dyDescent="0.2">
      <c r="A154" s="14" t="s">
        <v>5954</v>
      </c>
      <c r="B154" s="14" t="s">
        <v>5123</v>
      </c>
      <c r="C154" s="14" t="s">
        <v>5127</v>
      </c>
      <c r="D154" s="14" t="s">
        <v>1152</v>
      </c>
      <c r="E154" s="14" t="s">
        <v>13</v>
      </c>
      <c r="F154" s="14" t="s">
        <v>5827</v>
      </c>
      <c r="G154" s="25">
        <v>0.65377517145473896</v>
      </c>
      <c r="H154" s="25">
        <v>1.9445408021947399E-3</v>
      </c>
      <c r="I154" s="26">
        <v>-346.224828545261</v>
      </c>
      <c r="J154" s="26">
        <v>1.94616572971742</v>
      </c>
      <c r="K154" s="31">
        <v>3415</v>
      </c>
      <c r="L154" s="31">
        <v>25</v>
      </c>
      <c r="M154" s="26">
        <v>64.414767933663398</v>
      </c>
      <c r="N154" s="26">
        <v>23.077343322113599</v>
      </c>
      <c r="O154" s="32">
        <f t="shared" ref="O154:O166" si="4">(M154/12)/(N154/14)</f>
        <v>3.2564650766044552</v>
      </c>
      <c r="P154" s="14">
        <v>-1715</v>
      </c>
      <c r="Q154" s="14">
        <v>-1861</v>
      </c>
      <c r="R154" s="14">
        <v>-1639</v>
      </c>
      <c r="S154" s="14"/>
    </row>
    <row r="155" spans="1:39" s="30" customFormat="1" ht="18" customHeight="1" x14ac:dyDescent="0.2">
      <c r="A155" s="14" t="s">
        <v>5864</v>
      </c>
      <c r="B155" s="14" t="s">
        <v>5115</v>
      </c>
      <c r="C155" s="14" t="s">
        <v>4135</v>
      </c>
      <c r="D155" s="14" t="s">
        <v>1152</v>
      </c>
      <c r="E155" s="14" t="s">
        <v>13</v>
      </c>
      <c r="F155" s="14" t="s">
        <v>5850</v>
      </c>
      <c r="G155" s="25">
        <v>0.65381713617200998</v>
      </c>
      <c r="H155" s="25">
        <v>1.2984642706307301E-3</v>
      </c>
      <c r="I155" s="26">
        <v>-346.18286382798999</v>
      </c>
      <c r="J155" s="26">
        <v>1.2984642706307301</v>
      </c>
      <c r="K155" s="31">
        <v>3415</v>
      </c>
      <c r="L155" s="31">
        <v>20</v>
      </c>
      <c r="M155" s="26">
        <v>40.1531266</v>
      </c>
      <c r="N155" s="26">
        <v>14.3435276191663</v>
      </c>
      <c r="O155" s="32">
        <f t="shared" si="4"/>
        <v>3.2659549038738835</v>
      </c>
      <c r="P155" s="14">
        <v>-1714</v>
      </c>
      <c r="Q155" s="14">
        <v>-1767</v>
      </c>
      <c r="R155" s="14">
        <v>-1658</v>
      </c>
      <c r="S155" s="14"/>
    </row>
    <row r="156" spans="1:39" s="30" customFormat="1" ht="18" customHeight="1" x14ac:dyDescent="0.2">
      <c r="A156" s="14" t="s">
        <v>5846</v>
      </c>
      <c r="B156" s="14" t="s">
        <v>5118</v>
      </c>
      <c r="C156" s="14" t="s">
        <v>5122</v>
      </c>
      <c r="D156" s="14" t="s">
        <v>1152</v>
      </c>
      <c r="E156" s="14" t="s">
        <v>13</v>
      </c>
      <c r="F156" s="14" t="s">
        <v>5827</v>
      </c>
      <c r="G156" s="25">
        <v>0.65357354040966098</v>
      </c>
      <c r="H156" s="25">
        <v>1.43427158652653E-3</v>
      </c>
      <c r="I156" s="26">
        <v>-346.42645959033899</v>
      </c>
      <c r="J156" s="26">
        <v>1.4342715865265301</v>
      </c>
      <c r="K156" s="31">
        <v>3415</v>
      </c>
      <c r="L156" s="31">
        <v>20</v>
      </c>
      <c r="M156" s="26">
        <v>49.229606842891698</v>
      </c>
      <c r="N156" s="26">
        <v>17.932558018441298</v>
      </c>
      <c r="O156" s="32">
        <f t="shared" si="4"/>
        <v>3.2028080577039284</v>
      </c>
      <c r="P156" s="14">
        <v>-1714</v>
      </c>
      <c r="Q156" s="14">
        <v>-1767</v>
      </c>
      <c r="R156" s="14">
        <v>-1658</v>
      </c>
      <c r="S156" s="14"/>
    </row>
    <row r="157" spans="1:39" s="30" customFormat="1" ht="18" customHeight="1" x14ac:dyDescent="0.2">
      <c r="A157" s="14" t="s">
        <v>5842</v>
      </c>
      <c r="B157" s="14" t="s">
        <v>5112</v>
      </c>
      <c r="C157" s="14" t="s">
        <v>4135</v>
      </c>
      <c r="D157" s="14" t="s">
        <v>1152</v>
      </c>
      <c r="E157" s="14" t="s">
        <v>13</v>
      </c>
      <c r="F157" s="14" t="s">
        <v>5827</v>
      </c>
      <c r="G157" s="25">
        <v>0.65375016584955004</v>
      </c>
      <c r="H157" s="25">
        <v>1.5351090627283299E-3</v>
      </c>
      <c r="I157" s="26">
        <v>-346.24983415045</v>
      </c>
      <c r="J157" s="26">
        <v>1.5351090627283299</v>
      </c>
      <c r="K157" s="31">
        <v>3415</v>
      </c>
      <c r="L157" s="31">
        <v>20</v>
      </c>
      <c r="M157" s="26">
        <v>42.665689</v>
      </c>
      <c r="N157" s="26">
        <v>15.2702604</v>
      </c>
      <c r="O157" s="32">
        <f t="shared" si="4"/>
        <v>3.2597110895808079</v>
      </c>
      <c r="P157" s="14">
        <v>-1714</v>
      </c>
      <c r="Q157" s="14">
        <v>-1767</v>
      </c>
      <c r="R157" s="14">
        <v>-1658</v>
      </c>
      <c r="S157" s="14"/>
    </row>
    <row r="158" spans="1:39" s="30" customFormat="1" ht="18" customHeight="1" x14ac:dyDescent="0.2">
      <c r="A158" s="14" t="s">
        <v>5863</v>
      </c>
      <c r="B158" s="14" t="s">
        <v>4220</v>
      </c>
      <c r="C158" s="14" t="s">
        <v>4135</v>
      </c>
      <c r="D158" s="14" t="s">
        <v>1152</v>
      </c>
      <c r="E158" s="14" t="s">
        <v>13</v>
      </c>
      <c r="F158" s="14" t="s">
        <v>5850</v>
      </c>
      <c r="G158" s="25">
        <v>0.65410875616625896</v>
      </c>
      <c r="H158" s="25">
        <v>1.33756759689226E-3</v>
      </c>
      <c r="I158" s="26">
        <v>-345.89124383374099</v>
      </c>
      <c r="J158" s="26">
        <v>1.33756759689226</v>
      </c>
      <c r="K158" s="31">
        <v>3410</v>
      </c>
      <c r="L158" s="31">
        <v>20</v>
      </c>
      <c r="M158" s="26">
        <v>45.514931699999998</v>
      </c>
      <c r="N158" s="26">
        <v>16.282174149842799</v>
      </c>
      <c r="O158" s="32">
        <f t="shared" si="4"/>
        <v>3.2612815193671589</v>
      </c>
      <c r="P158" s="14">
        <v>-1709</v>
      </c>
      <c r="Q158" s="14">
        <v>-1754</v>
      </c>
      <c r="R158" s="14">
        <v>-1642</v>
      </c>
      <c r="S158" s="14"/>
    </row>
    <row r="159" spans="1:39" s="30" customFormat="1" ht="18" customHeight="1" x14ac:dyDescent="0.2">
      <c r="A159" s="14" t="s">
        <v>5852</v>
      </c>
      <c r="B159" s="14" t="s">
        <v>4214</v>
      </c>
      <c r="C159" s="14" t="s">
        <v>4218</v>
      </c>
      <c r="D159" s="14" t="s">
        <v>1152</v>
      </c>
      <c r="E159" s="14" t="s">
        <v>13</v>
      </c>
      <c r="F159" s="14" t="s">
        <v>5850</v>
      </c>
      <c r="G159" s="25">
        <v>0.65431997562728605</v>
      </c>
      <c r="H159" s="25">
        <v>1.3385748490747701E-3</v>
      </c>
      <c r="I159" s="26">
        <v>-345.680024372714</v>
      </c>
      <c r="J159" s="26">
        <v>1.33857484907477</v>
      </c>
      <c r="K159" s="31">
        <v>3405</v>
      </c>
      <c r="L159" s="31">
        <v>20</v>
      </c>
      <c r="M159" s="26">
        <v>44.772347400000001</v>
      </c>
      <c r="N159" s="26">
        <v>16.3706459779502</v>
      </c>
      <c r="O159" s="32">
        <f t="shared" si="4"/>
        <v>3.1907357455750422</v>
      </c>
      <c r="P159" s="14">
        <v>-1704</v>
      </c>
      <c r="Q159" s="14">
        <v>-1749</v>
      </c>
      <c r="R159" s="14">
        <v>-1642</v>
      </c>
      <c r="S159" s="14"/>
    </row>
    <row r="160" spans="1:39" s="30" customFormat="1" ht="18" customHeight="1" x14ac:dyDescent="0.2">
      <c r="A160" s="14" t="s">
        <v>5823</v>
      </c>
      <c r="B160" s="14" t="s">
        <v>884</v>
      </c>
      <c r="C160" s="14" t="s">
        <v>864</v>
      </c>
      <c r="D160" s="14" t="s">
        <v>865</v>
      </c>
      <c r="E160" s="14" t="s">
        <v>13</v>
      </c>
      <c r="F160" s="14" t="s">
        <v>5820</v>
      </c>
      <c r="G160" s="25">
        <v>0.65458893202628099</v>
      </c>
      <c r="H160" s="25">
        <v>1.49361701230986E-3</v>
      </c>
      <c r="I160" s="26">
        <v>-345.41106797371901</v>
      </c>
      <c r="J160" s="26">
        <v>1.49361701230986</v>
      </c>
      <c r="K160" s="31">
        <v>3405</v>
      </c>
      <c r="L160" s="31">
        <v>20</v>
      </c>
      <c r="M160" s="26">
        <v>25.078884349535102</v>
      </c>
      <c r="N160" s="26">
        <v>9.0805210222588606</v>
      </c>
      <c r="O160" s="32">
        <f t="shared" si="4"/>
        <v>3.2221387226646816</v>
      </c>
      <c r="P160" s="14">
        <v>-1704</v>
      </c>
      <c r="Q160" s="14">
        <v>-1749</v>
      </c>
      <c r="R160" s="14">
        <v>-1642</v>
      </c>
      <c r="S160" s="14"/>
    </row>
    <row r="161" spans="1:37" s="30" customFormat="1" ht="18" customHeight="1" x14ac:dyDescent="0.2">
      <c r="A161" s="14" t="s">
        <v>5899</v>
      </c>
      <c r="B161" s="14" t="s">
        <v>4130</v>
      </c>
      <c r="C161" s="14" t="s">
        <v>4135</v>
      </c>
      <c r="D161" s="14" t="s">
        <v>1152</v>
      </c>
      <c r="E161" s="14" t="s">
        <v>13</v>
      </c>
      <c r="F161" s="14" t="s">
        <v>5827</v>
      </c>
      <c r="G161" s="25">
        <v>0.655467965993209</v>
      </c>
      <c r="H161" s="25">
        <v>1.7770251830215801E-3</v>
      </c>
      <c r="I161" s="26">
        <v>-344.53203400679098</v>
      </c>
      <c r="J161" s="26">
        <v>1.77702518302158</v>
      </c>
      <c r="K161" s="31">
        <v>3395</v>
      </c>
      <c r="L161" s="31">
        <v>25</v>
      </c>
      <c r="M161" s="26">
        <v>42.568504769133</v>
      </c>
      <c r="N161" s="26">
        <v>15.114727710108101</v>
      </c>
      <c r="O161" s="32">
        <f t="shared" si="4"/>
        <v>3.2857525796363358</v>
      </c>
      <c r="P161" s="14">
        <v>-1692</v>
      </c>
      <c r="Q161" s="14">
        <v>-1746</v>
      </c>
      <c r="R161" s="14">
        <v>-1630</v>
      </c>
      <c r="S161" s="14"/>
    </row>
    <row r="162" spans="1:37" s="30" customFormat="1" ht="18" customHeight="1" x14ac:dyDescent="0.2">
      <c r="A162" s="14" t="s">
        <v>5896</v>
      </c>
      <c r="B162" s="14" t="s">
        <v>5102</v>
      </c>
      <c r="C162" s="14" t="s">
        <v>4135</v>
      </c>
      <c r="D162" s="14" t="s">
        <v>1152</v>
      </c>
      <c r="E162" s="14" t="s">
        <v>143</v>
      </c>
      <c r="F162" s="14" t="s">
        <v>5827</v>
      </c>
      <c r="G162" s="25">
        <v>0.65551640266872802</v>
      </c>
      <c r="H162" s="25">
        <v>1.61419229833324E-3</v>
      </c>
      <c r="I162" s="26">
        <v>-344.48359733127199</v>
      </c>
      <c r="J162" s="26">
        <v>1.61419229833324</v>
      </c>
      <c r="K162" s="31">
        <v>3395</v>
      </c>
      <c r="L162" s="31">
        <v>20</v>
      </c>
      <c r="M162" s="26">
        <v>43.441253016122097</v>
      </c>
      <c r="N162" s="26">
        <v>15.860686240305199</v>
      </c>
      <c r="O162" s="32">
        <f t="shared" si="4"/>
        <v>3.1954141885330687</v>
      </c>
      <c r="P162" s="14">
        <v>-1693</v>
      </c>
      <c r="Q162" s="14">
        <v>-1745</v>
      </c>
      <c r="R162" s="14">
        <v>-1636</v>
      </c>
      <c r="S162" s="14"/>
    </row>
    <row r="163" spans="1:37" s="30" customFormat="1" ht="18" customHeight="1" x14ac:dyDescent="0.2">
      <c r="A163" s="14" t="s">
        <v>5854</v>
      </c>
      <c r="B163" s="14" t="s">
        <v>5108</v>
      </c>
      <c r="C163" s="14" t="s">
        <v>4218</v>
      </c>
      <c r="D163" s="14" t="s">
        <v>1152</v>
      </c>
      <c r="E163" s="14" t="s">
        <v>13</v>
      </c>
      <c r="F163" s="14" t="s">
        <v>5850</v>
      </c>
      <c r="G163" s="25">
        <v>0.65537244280800899</v>
      </c>
      <c r="H163" s="25">
        <v>1.32388659878686E-3</v>
      </c>
      <c r="I163" s="26">
        <v>-344.627557191991</v>
      </c>
      <c r="J163" s="26">
        <v>1.32388659878686</v>
      </c>
      <c r="K163" s="31">
        <v>3395</v>
      </c>
      <c r="L163" s="31">
        <v>20</v>
      </c>
      <c r="M163" s="26">
        <v>49.630289900000001</v>
      </c>
      <c r="N163" s="26">
        <v>17.929046858602899</v>
      </c>
      <c r="O163" s="32">
        <f t="shared" si="4"/>
        <v>3.2295082577437859</v>
      </c>
      <c r="P163" s="14">
        <v>-1693</v>
      </c>
      <c r="Q163" s="14">
        <v>-1745</v>
      </c>
      <c r="R163" s="14">
        <v>-1636</v>
      </c>
      <c r="S163" s="14"/>
    </row>
    <row r="164" spans="1:37" s="30" customFormat="1" ht="18" customHeight="1" x14ac:dyDescent="0.2">
      <c r="A164" s="14" t="s">
        <v>5848</v>
      </c>
      <c r="B164" s="14" t="s">
        <v>5105</v>
      </c>
      <c r="C164" s="14" t="s">
        <v>4135</v>
      </c>
      <c r="D164" s="14" t="s">
        <v>1152</v>
      </c>
      <c r="E164" s="14" t="s">
        <v>13</v>
      </c>
      <c r="F164" s="14" t="s">
        <v>5820</v>
      </c>
      <c r="G164" s="25">
        <v>0.65520202683491502</v>
      </c>
      <c r="H164" s="25">
        <v>1.6090173911274899E-3</v>
      </c>
      <c r="I164" s="26">
        <v>-344.79797316508501</v>
      </c>
      <c r="J164" s="26">
        <v>1.6090173911274901</v>
      </c>
      <c r="K164" s="31">
        <v>3395</v>
      </c>
      <c r="L164" s="31">
        <v>20</v>
      </c>
      <c r="M164" s="26">
        <v>15.0192105</v>
      </c>
      <c r="N164" s="26">
        <v>5.5024859405940596</v>
      </c>
      <c r="O164" s="32">
        <f t="shared" si="4"/>
        <v>3.1844537976426426</v>
      </c>
      <c r="P164" s="14">
        <v>-1693</v>
      </c>
      <c r="Q164" s="14">
        <v>-1745</v>
      </c>
      <c r="R164" s="14">
        <v>-1636</v>
      </c>
      <c r="S164" s="14"/>
    </row>
    <row r="165" spans="1:37" s="30" customFormat="1" ht="18" customHeight="1" x14ac:dyDescent="0.2">
      <c r="A165" s="14" t="s">
        <v>5897</v>
      </c>
      <c r="B165" s="14" t="s">
        <v>5098</v>
      </c>
      <c r="C165" s="14" t="s">
        <v>4135</v>
      </c>
      <c r="D165" s="14" t="s">
        <v>1152</v>
      </c>
      <c r="E165" s="14" t="s">
        <v>26</v>
      </c>
      <c r="F165" s="14" t="s">
        <v>5827</v>
      </c>
      <c r="G165" s="25">
        <v>0.65583433562497995</v>
      </c>
      <c r="H165" s="25">
        <v>1.6178569948303799E-3</v>
      </c>
      <c r="I165" s="26">
        <v>-344.16566437502001</v>
      </c>
      <c r="J165" s="26">
        <v>1.61785699483038</v>
      </c>
      <c r="K165" s="31">
        <v>3390</v>
      </c>
      <c r="L165" s="31">
        <v>20</v>
      </c>
      <c r="M165" s="26">
        <v>42.1353550635679</v>
      </c>
      <c r="N165" s="26">
        <v>15.338305167265201</v>
      </c>
      <c r="O165" s="32">
        <f t="shared" si="4"/>
        <v>3.2049117359942323</v>
      </c>
      <c r="P165" s="14">
        <v>-1687</v>
      </c>
      <c r="Q165" s="14">
        <v>-1743</v>
      </c>
      <c r="R165" s="14">
        <v>-1631</v>
      </c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s="30" customFormat="1" ht="18" customHeight="1" x14ac:dyDescent="0.2">
      <c r="A166" s="14" t="s">
        <v>5840</v>
      </c>
      <c r="B166" s="14" t="s">
        <v>1312</v>
      </c>
      <c r="C166" s="14" t="s">
        <v>7148</v>
      </c>
      <c r="D166" s="14" t="s">
        <v>1152</v>
      </c>
      <c r="E166" s="14" t="s">
        <v>13</v>
      </c>
      <c r="F166" s="14" t="s">
        <v>5827</v>
      </c>
      <c r="G166" s="25">
        <v>0.65609966057087898</v>
      </c>
      <c r="H166" s="25">
        <v>1.5169592367672599E-3</v>
      </c>
      <c r="I166" s="26">
        <v>-343.900339429121</v>
      </c>
      <c r="J166" s="26">
        <v>1.51695923676726</v>
      </c>
      <c r="K166" s="31">
        <v>3385</v>
      </c>
      <c r="L166" s="31">
        <v>20</v>
      </c>
      <c r="M166" s="26">
        <v>44.2887889</v>
      </c>
      <c r="N166" s="26">
        <v>15.8575275</v>
      </c>
      <c r="O166" s="32">
        <f t="shared" si="4"/>
        <v>3.2584054302706815</v>
      </c>
      <c r="P166" s="14">
        <v>-1681</v>
      </c>
      <c r="Q166" s="14">
        <v>-1741</v>
      </c>
      <c r="R166" s="14">
        <v>-1627</v>
      </c>
      <c r="S166" s="14"/>
    </row>
    <row r="167" spans="1:37" s="30" customFormat="1" ht="18" customHeight="1" x14ac:dyDescent="0.2">
      <c r="A167" s="38" t="s">
        <v>7417</v>
      </c>
      <c r="B167" s="38" t="s">
        <v>4157</v>
      </c>
      <c r="C167" s="14" t="s">
        <v>4161</v>
      </c>
      <c r="D167" s="14" t="s">
        <v>865</v>
      </c>
      <c r="E167" s="38" t="s">
        <v>13</v>
      </c>
      <c r="F167" s="38" t="s">
        <v>5827</v>
      </c>
      <c r="G167" s="25">
        <v>0.65680985951194704</v>
      </c>
      <c r="H167" s="25">
        <v>1.5302368523210459E-3</v>
      </c>
      <c r="I167" s="26">
        <v>-343.19014048805298</v>
      </c>
      <c r="J167" s="53">
        <v>1.5302368523210459</v>
      </c>
      <c r="K167" s="54">
        <v>3375</v>
      </c>
      <c r="L167" s="54">
        <v>20</v>
      </c>
      <c r="M167" s="55">
        <v>44.761336951765799</v>
      </c>
      <c r="N167" s="55">
        <v>15.680338036980444</v>
      </c>
      <c r="O167" s="56">
        <v>3.3303848203974296</v>
      </c>
      <c r="P167" s="39">
        <v>-1681</v>
      </c>
      <c r="Q167" s="38">
        <v>-1738</v>
      </c>
      <c r="R167" s="38">
        <v>-1623</v>
      </c>
      <c r="S167" s="14"/>
    </row>
    <row r="168" spans="1:37" s="30" customFormat="1" ht="18" customHeight="1" x14ac:dyDescent="0.2">
      <c r="A168" s="14" t="s">
        <v>8168</v>
      </c>
      <c r="B168" s="14" t="s">
        <v>1396</v>
      </c>
      <c r="C168" s="14" t="s">
        <v>1398</v>
      </c>
      <c r="D168" s="14" t="s">
        <v>1152</v>
      </c>
      <c r="E168" s="14" t="s">
        <v>13</v>
      </c>
      <c r="F168" s="14" t="s">
        <v>5827</v>
      </c>
      <c r="G168" s="41">
        <v>0.65702403550608313</v>
      </c>
      <c r="H168" s="41">
        <v>1.6301196985925549E-3</v>
      </c>
      <c r="I168" s="42">
        <v>-342.97596449391688</v>
      </c>
      <c r="J168" s="42">
        <v>1.6301196985925548</v>
      </c>
      <c r="K168" s="14">
        <v>3375</v>
      </c>
      <c r="L168" s="14">
        <v>20</v>
      </c>
      <c r="M168" s="153">
        <v>59.633075610343141</v>
      </c>
      <c r="N168" s="153">
        <v>21.055889292573994</v>
      </c>
      <c r="O168" s="154">
        <f>(M168/12)/(N168/14)</f>
        <v>3.3041549838475359</v>
      </c>
      <c r="P168" s="14">
        <v>-1681</v>
      </c>
      <c r="Q168" s="14">
        <v>-1738</v>
      </c>
      <c r="R168" s="14">
        <v>-1623</v>
      </c>
      <c r="S168" s="14"/>
    </row>
    <row r="169" spans="1:37" s="30" customFormat="1" ht="18" customHeight="1" x14ac:dyDescent="0.2">
      <c r="A169" s="14" t="s">
        <v>5904</v>
      </c>
      <c r="B169" s="14" t="s">
        <v>880</v>
      </c>
      <c r="C169" s="14" t="s">
        <v>864</v>
      </c>
      <c r="D169" s="14" t="s">
        <v>865</v>
      </c>
      <c r="E169" s="14" t="s">
        <v>13</v>
      </c>
      <c r="F169" s="14" t="s">
        <v>5827</v>
      </c>
      <c r="G169" s="25">
        <v>0.65745964062708295</v>
      </c>
      <c r="H169" s="25">
        <v>1.3769084357301E-3</v>
      </c>
      <c r="I169" s="26">
        <v>-342.54035937291701</v>
      </c>
      <c r="J169" s="26">
        <v>1.3769084357301</v>
      </c>
      <c r="K169" s="31">
        <v>3370</v>
      </c>
      <c r="L169" s="31">
        <v>20</v>
      </c>
      <c r="M169" s="26">
        <v>38.936988808704001</v>
      </c>
      <c r="N169" s="26">
        <v>13.9405472462471</v>
      </c>
      <c r="O169" s="32">
        <f>(M169/12)/(N169/14)</f>
        <v>3.2585870655628066</v>
      </c>
      <c r="P169" s="14">
        <v>-1665</v>
      </c>
      <c r="Q169" s="14">
        <v>-1736</v>
      </c>
      <c r="R169" s="14">
        <v>-1621</v>
      </c>
      <c r="S169" s="14"/>
    </row>
    <row r="170" spans="1:37" s="30" customFormat="1" ht="18" customHeight="1" x14ac:dyDescent="0.2">
      <c r="A170" s="14" t="s">
        <v>5862</v>
      </c>
      <c r="B170" s="14" t="s">
        <v>1308</v>
      </c>
      <c r="C170" s="14" t="s">
        <v>1271</v>
      </c>
      <c r="D170" s="14" t="s">
        <v>1152</v>
      </c>
      <c r="E170" s="14" t="s">
        <v>13</v>
      </c>
      <c r="F170" s="14" t="s">
        <v>5850</v>
      </c>
      <c r="G170" s="25">
        <v>0.65716827879841599</v>
      </c>
      <c r="H170" s="25">
        <v>1.36968417195364E-3</v>
      </c>
      <c r="I170" s="26">
        <v>-342.831721201584</v>
      </c>
      <c r="J170" s="26">
        <v>1.3696841719536399</v>
      </c>
      <c r="K170" s="31">
        <v>3370</v>
      </c>
      <c r="L170" s="31">
        <v>20</v>
      </c>
      <c r="M170" s="26">
        <v>42.693041999999998</v>
      </c>
      <c r="N170" s="26">
        <v>15.588346145264101</v>
      </c>
      <c r="O170" s="32">
        <f>(M170/12)/(N170/14)</f>
        <v>3.195242685519422</v>
      </c>
      <c r="P170" s="14">
        <v>-1665</v>
      </c>
      <c r="Q170" s="14">
        <v>-1736</v>
      </c>
      <c r="R170" s="14">
        <v>-1621</v>
      </c>
      <c r="S170" s="14"/>
    </row>
    <row r="171" spans="1:37" s="30" customFormat="1" ht="18" customHeight="1" x14ac:dyDescent="0.2">
      <c r="A171" s="30" t="s">
        <v>7087</v>
      </c>
      <c r="B171" s="14" t="s">
        <v>1227</v>
      </c>
      <c r="C171" s="14" t="s">
        <v>1232</v>
      </c>
      <c r="D171" s="14" t="s">
        <v>18</v>
      </c>
      <c r="E171" s="14" t="s">
        <v>13</v>
      </c>
      <c r="F171" s="30" t="s">
        <v>5827</v>
      </c>
      <c r="G171" s="30">
        <v>0.65726277401272193</v>
      </c>
      <c r="H171" s="30">
        <v>1.7537763847402363E-3</v>
      </c>
      <c r="I171" s="30">
        <v>-342.73722598727807</v>
      </c>
      <c r="J171" s="30">
        <v>1.7537763847402363</v>
      </c>
      <c r="K171" s="30">
        <v>3370</v>
      </c>
      <c r="L171" s="30">
        <v>25</v>
      </c>
      <c r="M171" s="30">
        <v>51.694845628323421</v>
      </c>
      <c r="N171" s="30">
        <v>18.419248451151148</v>
      </c>
      <c r="O171" s="30">
        <v>3.2743275814423778</v>
      </c>
      <c r="P171" s="14">
        <v>-1677</v>
      </c>
      <c r="Q171" s="30">
        <v>-1740</v>
      </c>
      <c r="R171" s="30">
        <v>-1614</v>
      </c>
      <c r="S171" s="14"/>
    </row>
    <row r="172" spans="1:37" s="30" customFormat="1" ht="18" customHeight="1" x14ac:dyDescent="0.2">
      <c r="A172" s="14" t="s">
        <v>5914</v>
      </c>
      <c r="B172" s="14" t="s">
        <v>4209</v>
      </c>
      <c r="C172" s="14" t="s">
        <v>5806</v>
      </c>
      <c r="D172" s="14" t="s">
        <v>1152</v>
      </c>
      <c r="E172" s="14" t="s">
        <v>143</v>
      </c>
      <c r="F172" s="14" t="s">
        <v>5827</v>
      </c>
      <c r="G172" s="25">
        <v>0.65792044533517402</v>
      </c>
      <c r="H172" s="25">
        <v>1.36078180585485E-3</v>
      </c>
      <c r="I172" s="26">
        <v>-342.07955466482599</v>
      </c>
      <c r="J172" s="26">
        <v>1.36078180585485</v>
      </c>
      <c r="K172" s="31">
        <v>3365</v>
      </c>
      <c r="L172" s="31">
        <v>20</v>
      </c>
      <c r="M172" s="26">
        <v>47.4321018723113</v>
      </c>
      <c r="N172" s="26">
        <v>17.1246606677425</v>
      </c>
      <c r="O172" s="32">
        <f t="shared" ref="O172:O178" si="5">(M172/12)/(N172/14)</f>
        <v>3.2314481003761801</v>
      </c>
      <c r="P172" s="14">
        <v>-1661</v>
      </c>
      <c r="Q172" s="14">
        <v>-1734</v>
      </c>
      <c r="R172" s="14">
        <v>-1617</v>
      </c>
      <c r="S172" s="14"/>
    </row>
    <row r="173" spans="1:37" s="30" customFormat="1" ht="18" customHeight="1" x14ac:dyDescent="0.2">
      <c r="A173" s="14" t="s">
        <v>5859</v>
      </c>
      <c r="B173" s="14" t="s">
        <v>5094</v>
      </c>
      <c r="C173" s="14" t="s">
        <v>4112</v>
      </c>
      <c r="D173" s="14" t="s">
        <v>18</v>
      </c>
      <c r="E173" s="14" t="s">
        <v>13</v>
      </c>
      <c r="F173" s="14" t="s">
        <v>5850</v>
      </c>
      <c r="G173" s="25">
        <v>0.65916646061240503</v>
      </c>
      <c r="H173" s="25">
        <v>1.31374206256106E-3</v>
      </c>
      <c r="I173" s="26">
        <v>-340.83353938759501</v>
      </c>
      <c r="J173" s="26">
        <v>1.3137420625610601</v>
      </c>
      <c r="K173" s="31">
        <v>3350</v>
      </c>
      <c r="L173" s="31">
        <v>20</v>
      </c>
      <c r="M173" s="26">
        <v>47.967488299999999</v>
      </c>
      <c r="N173" s="26">
        <v>17.214017349089701</v>
      </c>
      <c r="O173" s="32">
        <f t="shared" si="5"/>
        <v>3.2509592937230702</v>
      </c>
      <c r="P173" s="14">
        <v>-1645</v>
      </c>
      <c r="Q173" s="14">
        <v>-1729</v>
      </c>
      <c r="R173" s="14">
        <v>-1563</v>
      </c>
      <c r="S173" s="14"/>
    </row>
    <row r="174" spans="1:37" s="30" customFormat="1" ht="18" customHeight="1" x14ac:dyDescent="0.2">
      <c r="A174" s="14" t="s">
        <v>5835</v>
      </c>
      <c r="B174" s="14" t="s">
        <v>4204</v>
      </c>
      <c r="C174" s="14" t="s">
        <v>4135</v>
      </c>
      <c r="D174" s="14" t="s">
        <v>1152</v>
      </c>
      <c r="E174" s="14" t="s">
        <v>26</v>
      </c>
      <c r="F174" s="14" t="s">
        <v>5820</v>
      </c>
      <c r="G174" s="25">
        <v>0.65884897017382904</v>
      </c>
      <c r="H174" s="25">
        <v>1.4315346148138901E-3</v>
      </c>
      <c r="I174" s="26">
        <v>-341.151029826171</v>
      </c>
      <c r="J174" s="26">
        <v>1.4315346148138901</v>
      </c>
      <c r="K174" s="31">
        <v>3350</v>
      </c>
      <c r="L174" s="31">
        <v>20</v>
      </c>
      <c r="M174" s="26">
        <v>23.967462900000001</v>
      </c>
      <c r="N174" s="26">
        <v>8.7330998999999991</v>
      </c>
      <c r="O174" s="32">
        <f t="shared" si="5"/>
        <v>3.2018458932320244</v>
      </c>
      <c r="P174" s="14">
        <v>-1645</v>
      </c>
      <c r="Q174" s="14">
        <v>-1729</v>
      </c>
      <c r="R174" s="14">
        <v>-1563</v>
      </c>
      <c r="S174" s="14"/>
    </row>
    <row r="175" spans="1:37" s="30" customFormat="1" ht="18" customHeight="1" x14ac:dyDescent="0.2">
      <c r="A175" s="14" t="s">
        <v>5891</v>
      </c>
      <c r="B175" s="14" t="s">
        <v>5397</v>
      </c>
      <c r="C175" s="14" t="s">
        <v>5127</v>
      </c>
      <c r="D175" s="14" t="s">
        <v>1152</v>
      </c>
      <c r="E175" s="14" t="s">
        <v>13</v>
      </c>
      <c r="F175" s="14" t="s">
        <v>5827</v>
      </c>
      <c r="G175" s="25">
        <v>0.65937891789437297</v>
      </c>
      <c r="H175" s="25">
        <v>1.44640461517319E-3</v>
      </c>
      <c r="I175" s="26">
        <v>-340.62108210562701</v>
      </c>
      <c r="J175" s="26">
        <v>1.44640461517319</v>
      </c>
      <c r="K175" s="31">
        <v>3345</v>
      </c>
      <c r="L175" s="31">
        <v>20</v>
      </c>
      <c r="M175" s="26">
        <v>43.615478620173498</v>
      </c>
      <c r="N175" s="26">
        <v>15.4496219931677</v>
      </c>
      <c r="O175" s="32">
        <f t="shared" si="5"/>
        <v>3.2935902949193112</v>
      </c>
      <c r="P175" s="14">
        <v>-1638</v>
      </c>
      <c r="Q175" s="14">
        <v>-1728</v>
      </c>
      <c r="R175" s="14">
        <v>-1546</v>
      </c>
      <c r="S175" s="14"/>
    </row>
    <row r="176" spans="1:37" s="30" customFormat="1" ht="18" customHeight="1" x14ac:dyDescent="0.2">
      <c r="A176" s="14" t="s">
        <v>5825</v>
      </c>
      <c r="B176" s="14" t="s">
        <v>5090</v>
      </c>
      <c r="C176" s="14" t="s">
        <v>7149</v>
      </c>
      <c r="D176" s="14" t="s">
        <v>1152</v>
      </c>
      <c r="E176" s="14" t="s">
        <v>143</v>
      </c>
      <c r="F176" s="14" t="s">
        <v>5820</v>
      </c>
      <c r="G176" s="25">
        <v>0.65944258692984203</v>
      </c>
      <c r="H176" s="25">
        <v>1.4114836386340101E-3</v>
      </c>
      <c r="I176" s="26">
        <v>-340.557413070157</v>
      </c>
      <c r="J176" s="26">
        <v>1.4114836386340099</v>
      </c>
      <c r="K176" s="31">
        <v>3345</v>
      </c>
      <c r="L176" s="31">
        <v>20</v>
      </c>
      <c r="M176" s="26">
        <v>20.559160118798999</v>
      </c>
      <c r="N176" s="26">
        <v>7.5974142988466999</v>
      </c>
      <c r="O176" s="32">
        <f t="shared" si="5"/>
        <v>3.1570855374974833</v>
      </c>
      <c r="P176" s="14">
        <v>-1638</v>
      </c>
      <c r="Q176" s="14">
        <v>-1728</v>
      </c>
      <c r="R176" s="14">
        <v>-1546</v>
      </c>
      <c r="S176" s="14"/>
    </row>
    <row r="177" spans="1:39" s="30" customFormat="1" ht="18" customHeight="1" x14ac:dyDescent="0.2">
      <c r="A177" s="14" t="s">
        <v>5953</v>
      </c>
      <c r="B177" s="14" t="s">
        <v>5087</v>
      </c>
      <c r="C177" s="14" t="s">
        <v>5080</v>
      </c>
      <c r="D177" s="14" t="s">
        <v>1152</v>
      </c>
      <c r="E177" s="14" t="s">
        <v>13</v>
      </c>
      <c r="F177" s="14" t="s">
        <v>5827</v>
      </c>
      <c r="G177" s="25">
        <v>0.66011459109223003</v>
      </c>
      <c r="H177" s="25">
        <v>1.9445408021947399E-3</v>
      </c>
      <c r="I177" s="26">
        <v>-339.88540890777</v>
      </c>
      <c r="J177" s="26">
        <v>2.1701976633995601</v>
      </c>
      <c r="K177" s="31">
        <v>3335</v>
      </c>
      <c r="L177" s="31">
        <v>30</v>
      </c>
      <c r="M177" s="26">
        <v>48.761660546419797</v>
      </c>
      <c r="N177" s="26">
        <v>18.3210574593794</v>
      </c>
      <c r="O177" s="32">
        <f t="shared" si="5"/>
        <v>3.1050939115798242</v>
      </c>
      <c r="P177" s="14">
        <v>-1617</v>
      </c>
      <c r="Q177" s="14">
        <v>-1691</v>
      </c>
      <c r="R177" s="14">
        <v>-1528</v>
      </c>
      <c r="S177" s="14"/>
    </row>
    <row r="178" spans="1:39" s="30" customFormat="1" ht="18" customHeight="1" x14ac:dyDescent="0.2">
      <c r="A178" s="14" t="s">
        <v>5824</v>
      </c>
      <c r="B178" s="14" t="s">
        <v>876</v>
      </c>
      <c r="C178" s="14" t="s">
        <v>864</v>
      </c>
      <c r="D178" s="14" t="s">
        <v>865</v>
      </c>
      <c r="E178" s="14" t="s">
        <v>13</v>
      </c>
      <c r="F178" s="14" t="s">
        <v>5820</v>
      </c>
      <c r="G178" s="25">
        <v>0.66037576662507003</v>
      </c>
      <c r="H178" s="25">
        <v>1.52420995431054E-3</v>
      </c>
      <c r="I178" s="26">
        <v>-339.62423337492999</v>
      </c>
      <c r="J178" s="26">
        <v>1.5242099543105401</v>
      </c>
      <c r="K178" s="31">
        <v>3335</v>
      </c>
      <c r="L178" s="31">
        <v>20</v>
      </c>
      <c r="M178" s="26">
        <v>23.690667277586201</v>
      </c>
      <c r="N178" s="26">
        <v>8.5656763626591594</v>
      </c>
      <c r="O178" s="32">
        <f t="shared" si="5"/>
        <v>3.2267284746291982</v>
      </c>
      <c r="P178" s="14">
        <v>-1621</v>
      </c>
      <c r="Q178" s="14">
        <v>-1686</v>
      </c>
      <c r="R178" s="14">
        <v>-1534</v>
      </c>
      <c r="S178" s="14"/>
    </row>
    <row r="179" spans="1:39" s="30" customFormat="1" ht="18" customHeight="1" x14ac:dyDescent="0.2">
      <c r="A179" s="30" t="s">
        <v>7088</v>
      </c>
      <c r="B179" s="14" t="s">
        <v>1227</v>
      </c>
      <c r="C179" s="14" t="s">
        <v>1232</v>
      </c>
      <c r="D179" s="14" t="s">
        <v>18</v>
      </c>
      <c r="E179" s="14" t="s">
        <v>13</v>
      </c>
      <c r="F179" s="30" t="s">
        <v>5827</v>
      </c>
      <c r="G179" s="30">
        <v>0.66038948543522979</v>
      </c>
      <c r="H179" s="30">
        <v>1.384761775540208E-3</v>
      </c>
      <c r="I179" s="30">
        <v>-339.6105145647702</v>
      </c>
      <c r="J179" s="30">
        <v>1.384761775540208</v>
      </c>
      <c r="K179" s="30">
        <v>3335</v>
      </c>
      <c r="L179" s="30">
        <v>20</v>
      </c>
      <c r="M179" s="30">
        <v>51.694845628323421</v>
      </c>
      <c r="N179" s="30">
        <v>18.419248451151148</v>
      </c>
      <c r="O179" s="30">
        <v>3.2743275814423778</v>
      </c>
      <c r="P179" s="14">
        <v>-1610</v>
      </c>
      <c r="Q179" s="30">
        <v>-1686</v>
      </c>
      <c r="R179" s="30">
        <v>-1534</v>
      </c>
      <c r="S179" s="14"/>
    </row>
    <row r="180" spans="1:39" s="30" customFormat="1" ht="18" customHeight="1" x14ac:dyDescent="0.2">
      <c r="A180" s="14" t="s">
        <v>5965</v>
      </c>
      <c r="B180" s="14" t="s">
        <v>1298</v>
      </c>
      <c r="C180" s="14" t="s">
        <v>1243</v>
      </c>
      <c r="D180" s="14" t="s">
        <v>18</v>
      </c>
      <c r="E180" s="14" t="s">
        <v>40</v>
      </c>
      <c r="F180" s="14" t="s">
        <v>5827</v>
      </c>
      <c r="G180" s="25">
        <v>0.66080392983328495</v>
      </c>
      <c r="H180" s="25">
        <v>1.9445408021947399E-3</v>
      </c>
      <c r="I180" s="26">
        <v>-339.196070166715</v>
      </c>
      <c r="J180" s="26">
        <v>1.83872874337766</v>
      </c>
      <c r="K180" s="31">
        <v>3330</v>
      </c>
      <c r="L180" s="31">
        <v>25</v>
      </c>
      <c r="M180" s="26">
        <v>48.184341501465298</v>
      </c>
      <c r="N180" s="26">
        <v>17.813528660045499</v>
      </c>
      <c r="O180" s="32">
        <f t="shared" ref="O180:O189" si="6">(M180/12)/(N180/14)</f>
        <v>3.1557512359204445</v>
      </c>
      <c r="P180" s="14">
        <v>-1609</v>
      </c>
      <c r="Q180" s="14">
        <v>-1685</v>
      </c>
      <c r="R180" s="14">
        <v>-1531</v>
      </c>
      <c r="S180" s="14"/>
    </row>
    <row r="181" spans="1:39" s="30" customFormat="1" ht="18" customHeight="1" x14ac:dyDescent="0.2">
      <c r="A181" s="14" t="s">
        <v>5912</v>
      </c>
      <c r="B181" s="14" t="s">
        <v>1303</v>
      </c>
      <c r="C181" s="14" t="s">
        <v>5806</v>
      </c>
      <c r="D181" s="14" t="s">
        <v>1152</v>
      </c>
      <c r="E181" s="14" t="s">
        <v>143</v>
      </c>
      <c r="F181" s="14" t="s">
        <v>5827</v>
      </c>
      <c r="G181" s="25">
        <v>0.66071419156744005</v>
      </c>
      <c r="H181" s="25">
        <v>1.3737917744473401E-3</v>
      </c>
      <c r="I181" s="26">
        <v>-339.28580843255997</v>
      </c>
      <c r="J181" s="26">
        <v>1.37379177444734</v>
      </c>
      <c r="K181" s="31">
        <v>3330</v>
      </c>
      <c r="L181" s="31">
        <v>20</v>
      </c>
      <c r="M181" s="26">
        <v>46.511534361586698</v>
      </c>
      <c r="N181" s="26">
        <v>16.879902209790199</v>
      </c>
      <c r="O181" s="32">
        <f t="shared" si="6"/>
        <v>3.2146783838423034</v>
      </c>
      <c r="P181" s="14">
        <v>-1611</v>
      </c>
      <c r="Q181" s="14">
        <v>-1683</v>
      </c>
      <c r="R181" s="14">
        <v>-1532</v>
      </c>
      <c r="S181" s="14"/>
    </row>
    <row r="182" spans="1:39" s="30" customFormat="1" ht="18" customHeight="1" x14ac:dyDescent="0.2">
      <c r="A182" s="38" t="s">
        <v>8204</v>
      </c>
      <c r="B182" s="38" t="s">
        <v>1007</v>
      </c>
      <c r="C182" s="38" t="s">
        <v>899</v>
      </c>
      <c r="D182" s="38" t="s">
        <v>865</v>
      </c>
      <c r="E182" s="38" t="s">
        <v>1007</v>
      </c>
      <c r="F182" s="38" t="s">
        <v>5820</v>
      </c>
      <c r="G182" s="25">
        <v>0.66204301093537443</v>
      </c>
      <c r="H182" s="25">
        <v>1.8055460485844436E-3</v>
      </c>
      <c r="I182" s="26">
        <v>-337.95698906462559</v>
      </c>
      <c r="J182" s="53">
        <v>1.8055460485844437</v>
      </c>
      <c r="K182" s="54">
        <v>3315</v>
      </c>
      <c r="L182" s="175">
        <v>25</v>
      </c>
      <c r="M182" s="55">
        <v>17.581044068226493</v>
      </c>
      <c r="N182" s="55">
        <v>6.3561432703985874</v>
      </c>
      <c r="O182" s="56">
        <f t="shared" si="6"/>
        <v>3.2269911496679238</v>
      </c>
      <c r="P182" s="38">
        <v>-1592</v>
      </c>
      <c r="Q182" s="38">
        <v>-1662</v>
      </c>
      <c r="R182" s="38">
        <v>-1521</v>
      </c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</row>
    <row r="183" spans="1:39" s="30" customFormat="1" ht="18" customHeight="1" x14ac:dyDescent="0.2">
      <c r="A183" s="14" t="s">
        <v>5907</v>
      </c>
      <c r="B183" s="14" t="s">
        <v>5084</v>
      </c>
      <c r="C183" s="14" t="s">
        <v>5080</v>
      </c>
      <c r="D183" s="14" t="s">
        <v>1152</v>
      </c>
      <c r="E183" s="14" t="s">
        <v>13</v>
      </c>
      <c r="F183" s="14" t="s">
        <v>5827</v>
      </c>
      <c r="G183" s="25">
        <v>0.66227240013230504</v>
      </c>
      <c r="H183" s="25">
        <v>1.49820140632805E-3</v>
      </c>
      <c r="I183" s="26">
        <v>-337.72759986769501</v>
      </c>
      <c r="J183" s="26">
        <v>1.49820140632805</v>
      </c>
      <c r="K183" s="31">
        <v>3310</v>
      </c>
      <c r="L183" s="36">
        <v>20</v>
      </c>
      <c r="M183" s="26">
        <v>41.864080524503599</v>
      </c>
      <c r="N183" s="26">
        <v>15.0066665264336</v>
      </c>
      <c r="O183" s="32">
        <f t="shared" si="6"/>
        <v>3.2546486718123213</v>
      </c>
      <c r="P183" s="14">
        <v>-1580</v>
      </c>
      <c r="Q183" s="14">
        <v>-1640</v>
      </c>
      <c r="R183" s="14">
        <v>-1527</v>
      </c>
      <c r="S183" s="137"/>
      <c r="T183" s="138"/>
      <c r="U183" s="136"/>
      <c r="V183" s="143"/>
      <c r="W183" s="143"/>
      <c r="X183" s="143"/>
      <c r="Y183" s="143"/>
      <c r="Z183" s="143"/>
      <c r="AA183" s="139"/>
      <c r="AB183" s="139"/>
      <c r="AC183" s="140"/>
      <c r="AD183" s="140"/>
      <c r="AE183" s="143"/>
      <c r="AF183" s="143"/>
      <c r="AG183" s="143"/>
      <c r="AH183" s="141"/>
      <c r="AI183" s="137"/>
      <c r="AJ183" s="152"/>
      <c r="AK183" s="138"/>
      <c r="AL183" s="139"/>
      <c r="AM183" s="139"/>
    </row>
    <row r="184" spans="1:39" s="30" customFormat="1" ht="18" customHeight="1" x14ac:dyDescent="0.2">
      <c r="A184" s="14" t="s">
        <v>5841</v>
      </c>
      <c r="B184" s="14" t="s">
        <v>1294</v>
      </c>
      <c r="C184" s="14" t="s">
        <v>1271</v>
      </c>
      <c r="D184" s="14" t="s">
        <v>1152</v>
      </c>
      <c r="E184" s="14" t="s">
        <v>13</v>
      </c>
      <c r="F184" s="14" t="s">
        <v>5827</v>
      </c>
      <c r="G184" s="25">
        <v>0.66232631220862004</v>
      </c>
      <c r="H184" s="25">
        <v>1.4487442814725101E-3</v>
      </c>
      <c r="I184" s="26">
        <v>-337.67368779138002</v>
      </c>
      <c r="J184" s="26">
        <v>1.44874428147251</v>
      </c>
      <c r="K184" s="31">
        <v>3310</v>
      </c>
      <c r="L184" s="31">
        <v>20</v>
      </c>
      <c r="M184" s="26">
        <v>43.523923000000003</v>
      </c>
      <c r="N184" s="26">
        <v>15.3164841</v>
      </c>
      <c r="O184" s="32">
        <f t="shared" si="6"/>
        <v>3.3152458380880425</v>
      </c>
      <c r="P184" s="14">
        <v>-1580</v>
      </c>
      <c r="Q184" s="14">
        <v>-1640</v>
      </c>
      <c r="R184" s="14">
        <v>-1527</v>
      </c>
      <c r="S184" s="14"/>
    </row>
    <row r="185" spans="1:39" s="30" customFormat="1" ht="18" customHeight="1" x14ac:dyDescent="0.2">
      <c r="A185" s="14" t="s">
        <v>5865</v>
      </c>
      <c r="B185" s="14" t="s">
        <v>1289</v>
      </c>
      <c r="C185" s="14" t="s">
        <v>1238</v>
      </c>
      <c r="D185" s="14" t="s">
        <v>18</v>
      </c>
      <c r="E185" s="14" t="s">
        <v>100</v>
      </c>
      <c r="F185" s="14" t="s">
        <v>5827</v>
      </c>
      <c r="G185" s="25">
        <v>0.66355098634653698</v>
      </c>
      <c r="H185" s="25">
        <v>1.3446765667421E-3</v>
      </c>
      <c r="I185" s="26">
        <v>-336.449013653463</v>
      </c>
      <c r="J185" s="26">
        <v>1.3446765667420999</v>
      </c>
      <c r="K185" s="31">
        <v>3295</v>
      </c>
      <c r="L185" s="31">
        <v>20</v>
      </c>
      <c r="M185" s="26">
        <v>45.518303886585898</v>
      </c>
      <c r="N185" s="26">
        <v>16.3664237036039</v>
      </c>
      <c r="O185" s="32">
        <f t="shared" si="6"/>
        <v>3.2447337811491375</v>
      </c>
      <c r="P185" s="14">
        <v>-1570</v>
      </c>
      <c r="Q185" s="14">
        <v>-1623</v>
      </c>
      <c r="R185" s="14">
        <v>-1518</v>
      </c>
      <c r="S185" s="14"/>
    </row>
    <row r="186" spans="1:39" s="30" customFormat="1" ht="18" customHeight="1" x14ac:dyDescent="0.2">
      <c r="A186" s="14" t="s">
        <v>5893</v>
      </c>
      <c r="B186" s="14" t="s">
        <v>5081</v>
      </c>
      <c r="C186" s="14" t="s">
        <v>5080</v>
      </c>
      <c r="D186" s="14" t="s">
        <v>1152</v>
      </c>
      <c r="E186" s="14" t="s">
        <v>13</v>
      </c>
      <c r="F186" s="14" t="s">
        <v>5827</v>
      </c>
      <c r="G186" s="25">
        <v>0.66389674265790799</v>
      </c>
      <c r="H186" s="25">
        <v>1.48804896915268E-3</v>
      </c>
      <c r="I186" s="26">
        <v>-336.10325734209198</v>
      </c>
      <c r="J186" s="26">
        <v>1.4880489691526799</v>
      </c>
      <c r="K186" s="31">
        <v>3290</v>
      </c>
      <c r="L186" s="31">
        <v>20</v>
      </c>
      <c r="M186" s="26">
        <v>47.116964983906499</v>
      </c>
      <c r="N186" s="26">
        <v>16.780492185359499</v>
      </c>
      <c r="O186" s="32">
        <f t="shared" si="6"/>
        <v>3.2758152665619562</v>
      </c>
      <c r="P186" s="14">
        <v>-1568</v>
      </c>
      <c r="Q186" s="14">
        <v>-1618</v>
      </c>
      <c r="R186" s="14">
        <v>-1513</v>
      </c>
      <c r="S186" s="14"/>
    </row>
    <row r="187" spans="1:39" s="30" customFormat="1" ht="18" customHeight="1" x14ac:dyDescent="0.2">
      <c r="A187" s="14" t="s">
        <v>5889</v>
      </c>
      <c r="B187" s="14" t="s">
        <v>4147</v>
      </c>
      <c r="C187" s="14" t="s">
        <v>7148</v>
      </c>
      <c r="D187" s="14" t="s">
        <v>1152</v>
      </c>
      <c r="E187" s="14" t="s">
        <v>13</v>
      </c>
      <c r="F187" s="14" t="s">
        <v>5827</v>
      </c>
      <c r="G187" s="25">
        <v>0.66409670710080004</v>
      </c>
      <c r="H187" s="25">
        <v>1.40025655536945E-3</v>
      </c>
      <c r="I187" s="26">
        <v>-335.90329289919998</v>
      </c>
      <c r="J187" s="26">
        <v>1.4002565553694499</v>
      </c>
      <c r="K187" s="31">
        <v>3290</v>
      </c>
      <c r="L187" s="31">
        <v>20</v>
      </c>
      <c r="M187" s="26">
        <v>47.729637730163603</v>
      </c>
      <c r="N187" s="26">
        <v>17.163709800110201</v>
      </c>
      <c r="O187" s="32">
        <f t="shared" si="6"/>
        <v>3.2443206043660799</v>
      </c>
      <c r="P187" s="14">
        <v>-1568</v>
      </c>
      <c r="Q187" s="14">
        <v>-1618</v>
      </c>
      <c r="R187" s="14">
        <v>-1513</v>
      </c>
      <c r="S187" s="14"/>
    </row>
    <row r="188" spans="1:39" s="30" customFormat="1" ht="18" customHeight="1" x14ac:dyDescent="0.2">
      <c r="A188" s="14" t="s">
        <v>5956</v>
      </c>
      <c r="B188" s="14" t="s">
        <v>4144</v>
      </c>
      <c r="C188" s="14" t="s">
        <v>4141</v>
      </c>
      <c r="D188" s="14" t="s">
        <v>3789</v>
      </c>
      <c r="E188" s="14" t="s">
        <v>13</v>
      </c>
      <c r="F188" s="14" t="s">
        <v>5827</v>
      </c>
      <c r="G188" s="25">
        <v>0.66450584752168795</v>
      </c>
      <c r="H188" s="25">
        <v>1.9445408021947399E-3</v>
      </c>
      <c r="I188" s="26">
        <v>-335.494152478312</v>
      </c>
      <c r="J188" s="26">
        <v>2.0658829709238899</v>
      </c>
      <c r="K188" s="31">
        <v>3285</v>
      </c>
      <c r="L188" s="31">
        <v>25</v>
      </c>
      <c r="M188" s="26">
        <v>45.270446182392099</v>
      </c>
      <c r="N188" s="26">
        <v>16.7374557569165</v>
      </c>
      <c r="O188" s="32">
        <f t="shared" si="6"/>
        <v>3.1555286127820774</v>
      </c>
      <c r="P188" s="14">
        <v>-1565</v>
      </c>
      <c r="Q188" s="14">
        <v>-1620</v>
      </c>
      <c r="R188" s="14">
        <v>-1506</v>
      </c>
      <c r="S188" s="14"/>
    </row>
    <row r="189" spans="1:39" s="30" customFormat="1" ht="18" customHeight="1" x14ac:dyDescent="0.2">
      <c r="A189" s="14" t="s">
        <v>5892</v>
      </c>
      <c r="B189" s="14" t="s">
        <v>5075</v>
      </c>
      <c r="C189" s="14" t="s">
        <v>5080</v>
      </c>
      <c r="D189" s="14" t="s">
        <v>1152</v>
      </c>
      <c r="E189" s="14" t="s">
        <v>13</v>
      </c>
      <c r="F189" s="14" t="s">
        <v>5827</v>
      </c>
      <c r="G189" s="25">
        <v>0.664204556114383</v>
      </c>
      <c r="H189" s="25">
        <v>1.3776683867388099E-3</v>
      </c>
      <c r="I189" s="26">
        <v>-335.79544388561698</v>
      </c>
      <c r="J189" s="26">
        <v>1.37766838673881</v>
      </c>
      <c r="K189" s="31">
        <v>3285</v>
      </c>
      <c r="L189" s="31">
        <v>20</v>
      </c>
      <c r="M189" s="26">
        <v>50.971176034605897</v>
      </c>
      <c r="N189" s="26">
        <v>18.287552056471899</v>
      </c>
      <c r="O189" s="32">
        <f t="shared" si="6"/>
        <v>3.2517404110042496</v>
      </c>
      <c r="P189" s="14">
        <v>-1565</v>
      </c>
      <c r="Q189" s="14">
        <v>-1615</v>
      </c>
      <c r="R189" s="14">
        <v>-1509</v>
      </c>
      <c r="S189" s="14"/>
    </row>
    <row r="190" spans="1:39" s="30" customFormat="1" ht="18" customHeight="1" x14ac:dyDescent="0.2">
      <c r="A190" s="30" t="s">
        <v>7067</v>
      </c>
      <c r="B190" s="14" t="s">
        <v>1187</v>
      </c>
      <c r="C190" s="14" t="s">
        <v>899</v>
      </c>
      <c r="D190" s="14" t="s">
        <v>865</v>
      </c>
      <c r="E190" s="14" t="s">
        <v>13</v>
      </c>
      <c r="F190" s="30" t="s">
        <v>5827</v>
      </c>
      <c r="G190" s="30">
        <v>0.66478823022006595</v>
      </c>
      <c r="H190" s="30">
        <v>1.3419945183565628E-3</v>
      </c>
      <c r="I190" s="30">
        <v>-335.21176977993406</v>
      </c>
      <c r="J190" s="30">
        <v>1.3419945183565627</v>
      </c>
      <c r="K190" s="30">
        <v>3280</v>
      </c>
      <c r="L190" s="30">
        <v>20</v>
      </c>
      <c r="M190" s="30">
        <v>38.874520146866118</v>
      </c>
      <c r="N190" s="30">
        <v>14.118556526370451</v>
      </c>
      <c r="O190" s="30">
        <v>3.2123402100844802</v>
      </c>
      <c r="P190" s="14">
        <v>-1561</v>
      </c>
      <c r="Q190" s="30">
        <v>-1613</v>
      </c>
      <c r="R190" s="30">
        <v>-1509</v>
      </c>
      <c r="S190" s="14"/>
    </row>
    <row r="191" spans="1:39" s="30" customFormat="1" ht="18" customHeight="1" x14ac:dyDescent="0.2">
      <c r="A191" s="14" t="s">
        <v>5917</v>
      </c>
      <c r="B191" s="14" t="s">
        <v>1244</v>
      </c>
      <c r="C191" s="14" t="s">
        <v>1243</v>
      </c>
      <c r="D191" s="14" t="s">
        <v>18</v>
      </c>
      <c r="E191" s="14" t="s">
        <v>40</v>
      </c>
      <c r="F191" s="14" t="s">
        <v>5827</v>
      </c>
      <c r="G191" s="25">
        <v>0.66529065660197495</v>
      </c>
      <c r="H191" s="25">
        <v>1.3567560501915399E-3</v>
      </c>
      <c r="I191" s="26">
        <v>-334.709343398025</v>
      </c>
      <c r="J191" s="26">
        <v>1.3567560501915401</v>
      </c>
      <c r="K191" s="31">
        <v>3275</v>
      </c>
      <c r="L191" s="31">
        <v>20</v>
      </c>
      <c r="M191" s="34">
        <v>38.243597953830303</v>
      </c>
      <c r="N191" s="26">
        <v>13.9079545741264</v>
      </c>
      <c r="O191" s="33">
        <f>(M191/12)/(N191/14)</f>
        <v>3.2080584321967356</v>
      </c>
      <c r="P191" s="14">
        <v>-1559</v>
      </c>
      <c r="Q191" s="14">
        <v>-1612</v>
      </c>
      <c r="R191" s="14">
        <v>-1506</v>
      </c>
      <c r="S191" s="14"/>
    </row>
    <row r="192" spans="1:39" s="30" customFormat="1" ht="18" customHeight="1" x14ac:dyDescent="0.2">
      <c r="A192" s="30" t="s">
        <v>7090</v>
      </c>
      <c r="B192" s="14" t="s">
        <v>1286</v>
      </c>
      <c r="C192" s="14" t="s">
        <v>1232</v>
      </c>
      <c r="D192" s="14" t="s">
        <v>18</v>
      </c>
      <c r="E192" s="14" t="s">
        <v>13</v>
      </c>
      <c r="F192" s="30" t="s">
        <v>5827</v>
      </c>
      <c r="G192" s="30">
        <v>0.66499060668241705</v>
      </c>
      <c r="H192" s="30">
        <v>1.723848363497143E-3</v>
      </c>
      <c r="I192" s="30">
        <v>-335.00939331758298</v>
      </c>
      <c r="J192" s="30">
        <v>1.7238483634971431</v>
      </c>
      <c r="K192" s="30">
        <v>3275</v>
      </c>
      <c r="L192" s="30">
        <v>25</v>
      </c>
      <c r="M192" s="30">
        <v>40.167928168724288</v>
      </c>
      <c r="N192" s="30">
        <v>14.423007541770891</v>
      </c>
      <c r="O192" s="30">
        <v>3.2491547083915462</v>
      </c>
      <c r="P192" s="14">
        <v>-1558</v>
      </c>
      <c r="Q192" s="30">
        <v>-1616</v>
      </c>
      <c r="R192" s="30">
        <v>-1501</v>
      </c>
      <c r="S192" s="14"/>
    </row>
    <row r="193" spans="1:37" s="30" customFormat="1" ht="18" customHeight="1" x14ac:dyDescent="0.2">
      <c r="A193" s="14" t="s">
        <v>5915</v>
      </c>
      <c r="B193" s="14" t="s">
        <v>1239</v>
      </c>
      <c r="C193" s="14" t="s">
        <v>1243</v>
      </c>
      <c r="D193" s="14" t="s">
        <v>18</v>
      </c>
      <c r="E193" s="14" t="s">
        <v>40</v>
      </c>
      <c r="F193" s="14" t="s">
        <v>5827</v>
      </c>
      <c r="G193" s="25">
        <v>0.66541750130465704</v>
      </c>
      <c r="H193" s="25">
        <v>1.3325427167881401E-3</v>
      </c>
      <c r="I193" s="26">
        <v>-334.58249869534302</v>
      </c>
      <c r="J193" s="26">
        <v>1.3325427167881401</v>
      </c>
      <c r="K193" s="31">
        <v>3270</v>
      </c>
      <c r="L193" s="31">
        <v>20</v>
      </c>
      <c r="M193" s="26">
        <v>43.637582244269801</v>
      </c>
      <c r="N193" s="26">
        <v>15.3265255229659</v>
      </c>
      <c r="O193" s="33">
        <f t="shared" ref="O193:O202" si="7">(M193/12)/(N193/14)</f>
        <v>3.3217256280315035</v>
      </c>
      <c r="P193" s="14">
        <v>-1554</v>
      </c>
      <c r="Q193" s="14">
        <v>-1611</v>
      </c>
      <c r="R193" s="14">
        <v>-1503</v>
      </c>
      <c r="S193" s="14"/>
    </row>
    <row r="194" spans="1:37" s="30" customFormat="1" ht="18" customHeight="1" x14ac:dyDescent="0.2">
      <c r="A194" s="14" t="s">
        <v>5898</v>
      </c>
      <c r="B194" s="14" t="s">
        <v>1278</v>
      </c>
      <c r="C194" s="14" t="s">
        <v>1271</v>
      </c>
      <c r="D194" s="14" t="s">
        <v>1152</v>
      </c>
      <c r="E194" s="14" t="s">
        <v>13</v>
      </c>
      <c r="F194" s="14" t="s">
        <v>5827</v>
      </c>
      <c r="G194" s="25">
        <v>0.66557966019301495</v>
      </c>
      <c r="H194" s="25">
        <v>1.64437390973886E-3</v>
      </c>
      <c r="I194" s="26">
        <v>-334.420339806985</v>
      </c>
      <c r="J194" s="26">
        <v>1.6443739097388601</v>
      </c>
      <c r="K194" s="31">
        <v>3270</v>
      </c>
      <c r="L194" s="31">
        <v>20</v>
      </c>
      <c r="M194" s="26">
        <v>35.849622961664799</v>
      </c>
      <c r="N194" s="26">
        <v>13.046665478931301</v>
      </c>
      <c r="O194" s="32">
        <f t="shared" si="7"/>
        <v>3.2057662695102893</v>
      </c>
      <c r="P194" s="14">
        <v>-1554</v>
      </c>
      <c r="Q194" s="14">
        <v>-1611</v>
      </c>
      <c r="R194" s="14">
        <v>-1503</v>
      </c>
      <c r="S194" s="14"/>
    </row>
    <row r="195" spans="1:37" s="30" customFormat="1" ht="18" customHeight="1" x14ac:dyDescent="0.2">
      <c r="A195" s="14" t="s">
        <v>5843</v>
      </c>
      <c r="B195" s="14" t="s">
        <v>1273</v>
      </c>
      <c r="C195" s="14" t="s">
        <v>1238</v>
      </c>
      <c r="D195" s="14" t="s">
        <v>18</v>
      </c>
      <c r="E195" s="14" t="s">
        <v>40</v>
      </c>
      <c r="F195" s="14" t="s">
        <v>5827</v>
      </c>
      <c r="G195" s="25">
        <v>0.66549051529461301</v>
      </c>
      <c r="H195" s="25">
        <v>1.42709598320561E-3</v>
      </c>
      <c r="I195" s="26">
        <v>-334.50948470538702</v>
      </c>
      <c r="J195" s="26">
        <v>1.42709598320561</v>
      </c>
      <c r="K195" s="31">
        <v>3270</v>
      </c>
      <c r="L195" s="31">
        <v>20</v>
      </c>
      <c r="M195" s="26">
        <v>43.178691000000001</v>
      </c>
      <c r="N195" s="26">
        <v>15.4159275</v>
      </c>
      <c r="O195" s="32">
        <f t="shared" si="7"/>
        <v>3.2677332907799412</v>
      </c>
      <c r="P195" s="14">
        <v>-1554</v>
      </c>
      <c r="Q195" s="14">
        <v>-1611</v>
      </c>
      <c r="R195" s="14">
        <v>-1503</v>
      </c>
      <c r="S195" s="14"/>
    </row>
    <row r="196" spans="1:37" s="30" customFormat="1" ht="18" customHeight="1" x14ac:dyDescent="0.2">
      <c r="A196" s="14" t="s">
        <v>5839</v>
      </c>
      <c r="B196" s="14" t="s">
        <v>1283</v>
      </c>
      <c r="C196" s="14" t="s">
        <v>5806</v>
      </c>
      <c r="D196" s="14" t="s">
        <v>1152</v>
      </c>
      <c r="E196" s="14" t="s">
        <v>13</v>
      </c>
      <c r="F196" s="14" t="s">
        <v>5827</v>
      </c>
      <c r="G196" s="25">
        <v>0.66558864053899602</v>
      </c>
      <c r="H196" s="25">
        <v>1.7326389066734001E-3</v>
      </c>
      <c r="I196" s="26">
        <v>-334.411359461004</v>
      </c>
      <c r="J196" s="26">
        <v>1.7326389066734</v>
      </c>
      <c r="K196" s="31">
        <v>3270</v>
      </c>
      <c r="L196" s="31">
        <v>25</v>
      </c>
      <c r="M196" s="26">
        <v>42.702906200000001</v>
      </c>
      <c r="N196" s="26">
        <v>15.3742258</v>
      </c>
      <c r="O196" s="32">
        <f t="shared" si="7"/>
        <v>3.2404920990124482</v>
      </c>
      <c r="P196" s="14">
        <v>-1554</v>
      </c>
      <c r="Q196" s="14">
        <v>-1617</v>
      </c>
      <c r="R196" s="14">
        <v>-1498</v>
      </c>
      <c r="S196" s="14"/>
    </row>
    <row r="197" spans="1:37" s="30" customFormat="1" ht="18" customHeight="1" x14ac:dyDescent="0.2">
      <c r="A197" s="14" t="s">
        <v>5916</v>
      </c>
      <c r="B197" s="14" t="s">
        <v>1234</v>
      </c>
      <c r="C197" s="14" t="s">
        <v>1238</v>
      </c>
      <c r="D197" s="14" t="s">
        <v>18</v>
      </c>
      <c r="E197" s="14" t="s">
        <v>40</v>
      </c>
      <c r="F197" s="14" t="s">
        <v>5827</v>
      </c>
      <c r="G197" s="25">
        <v>0.66689287718966594</v>
      </c>
      <c r="H197" s="25">
        <v>1.31323275463671E-3</v>
      </c>
      <c r="I197" s="26">
        <v>-333.10712281033398</v>
      </c>
      <c r="J197" s="26">
        <v>1.31323275463671</v>
      </c>
      <c r="K197" s="31">
        <v>3255</v>
      </c>
      <c r="L197" s="31">
        <v>20</v>
      </c>
      <c r="M197" s="26">
        <v>40.616242739377199</v>
      </c>
      <c r="N197" s="26">
        <v>14.569859588375801</v>
      </c>
      <c r="O197" s="33">
        <f t="shared" si="7"/>
        <v>3.2523042684006942</v>
      </c>
      <c r="P197" s="14">
        <v>-1536</v>
      </c>
      <c r="Q197" s="14">
        <v>-1611</v>
      </c>
      <c r="R197" s="14">
        <v>-1459</v>
      </c>
      <c r="S197" s="14"/>
    </row>
    <row r="198" spans="1:37" s="30" customFormat="1" ht="18" customHeight="1" x14ac:dyDescent="0.2">
      <c r="A198" s="14" t="s">
        <v>5902</v>
      </c>
      <c r="B198" s="14" t="s">
        <v>871</v>
      </c>
      <c r="C198" s="14" t="s">
        <v>864</v>
      </c>
      <c r="D198" s="14" t="s">
        <v>865</v>
      </c>
      <c r="E198" s="14" t="s">
        <v>13</v>
      </c>
      <c r="F198" s="14" t="s">
        <v>5827</v>
      </c>
      <c r="G198" s="25">
        <v>0.66676289224681295</v>
      </c>
      <c r="H198" s="25">
        <v>1.21368136470656E-3</v>
      </c>
      <c r="I198" s="26">
        <v>-333.23710775318602</v>
      </c>
      <c r="J198" s="26">
        <v>1.2136813647065601</v>
      </c>
      <c r="K198" s="31">
        <v>3255</v>
      </c>
      <c r="L198" s="31">
        <v>15</v>
      </c>
      <c r="M198" s="26">
        <v>47.948487125869299</v>
      </c>
      <c r="N198" s="26">
        <v>17.3404972929293</v>
      </c>
      <c r="O198" s="32">
        <f t="shared" si="7"/>
        <v>3.225968707924967</v>
      </c>
      <c r="P198" s="14">
        <v>-1533</v>
      </c>
      <c r="Q198" s="14">
        <v>-1609</v>
      </c>
      <c r="R198" s="14">
        <v>-1465</v>
      </c>
      <c r="S198" s="14"/>
    </row>
    <row r="199" spans="1:37" s="30" customFormat="1" ht="18" customHeight="1" x14ac:dyDescent="0.2">
      <c r="A199" s="14" t="s">
        <v>5958</v>
      </c>
      <c r="B199" s="14" t="s">
        <v>867</v>
      </c>
      <c r="C199" s="14" t="s">
        <v>864</v>
      </c>
      <c r="D199" s="14" t="s">
        <v>865</v>
      </c>
      <c r="E199" s="14" t="s">
        <v>13</v>
      </c>
      <c r="F199" s="14" t="s">
        <v>5827</v>
      </c>
      <c r="G199" s="25">
        <v>0.66715122821452799</v>
      </c>
      <c r="H199" s="25">
        <v>1.9445408021947399E-3</v>
      </c>
      <c r="I199" s="26">
        <v>-332.84877178547202</v>
      </c>
      <c r="J199" s="26">
        <v>1.8411869248514099</v>
      </c>
      <c r="K199" s="31">
        <v>3250</v>
      </c>
      <c r="L199" s="31">
        <v>25</v>
      </c>
      <c r="M199" s="26">
        <v>51.523667089574197</v>
      </c>
      <c r="N199" s="26">
        <v>18.998850218592899</v>
      </c>
      <c r="O199" s="32">
        <f t="shared" si="7"/>
        <v>3.163925408444455</v>
      </c>
      <c r="P199" s="14">
        <v>-1530</v>
      </c>
      <c r="Q199" s="14">
        <v>-1611</v>
      </c>
      <c r="R199" s="14">
        <v>-1453</v>
      </c>
      <c r="S199" s="14"/>
    </row>
    <row r="200" spans="1:37" s="30" customFormat="1" ht="18" customHeight="1" x14ac:dyDescent="0.2">
      <c r="A200" s="14" t="s">
        <v>5890</v>
      </c>
      <c r="B200" s="14" t="s">
        <v>1267</v>
      </c>
      <c r="C200" s="14" t="s">
        <v>1271</v>
      </c>
      <c r="D200" s="14" t="s">
        <v>1152</v>
      </c>
      <c r="E200" s="14" t="s">
        <v>13</v>
      </c>
      <c r="F200" s="14" t="s">
        <v>5827</v>
      </c>
      <c r="G200" s="25">
        <v>0.66715883913111496</v>
      </c>
      <c r="H200" s="25">
        <v>1.37040192882674E-3</v>
      </c>
      <c r="I200" s="26">
        <v>-332.84116086888503</v>
      </c>
      <c r="J200" s="26">
        <v>1.3704019288267399</v>
      </c>
      <c r="K200" s="31">
        <v>3250</v>
      </c>
      <c r="L200" s="31">
        <v>20</v>
      </c>
      <c r="M200" s="26">
        <v>64.355728553909998</v>
      </c>
      <c r="N200" s="26">
        <v>22.8973993574876</v>
      </c>
      <c r="O200" s="32">
        <f t="shared" si="7"/>
        <v>3.2790485129195592</v>
      </c>
      <c r="P200" s="14">
        <v>-1528</v>
      </c>
      <c r="Q200" s="14">
        <v>-1610</v>
      </c>
      <c r="R200" s="14">
        <v>-1454</v>
      </c>
      <c r="S200" s="14"/>
    </row>
    <row r="201" spans="1:37" s="30" customFormat="1" ht="18" customHeight="1" x14ac:dyDescent="0.2">
      <c r="A201" s="14" t="s">
        <v>5894</v>
      </c>
      <c r="B201" s="14" t="s">
        <v>1262</v>
      </c>
      <c r="C201" s="14" t="s">
        <v>5806</v>
      </c>
      <c r="D201" s="14" t="s">
        <v>1152</v>
      </c>
      <c r="E201" s="14" t="s">
        <v>13</v>
      </c>
      <c r="F201" s="14" t="s">
        <v>5827</v>
      </c>
      <c r="G201" s="25">
        <v>0.66747111237201895</v>
      </c>
      <c r="H201" s="25">
        <v>1.5804793105904499E-3</v>
      </c>
      <c r="I201" s="26">
        <v>-332.52888762798102</v>
      </c>
      <c r="J201" s="26">
        <v>1.58047931059045</v>
      </c>
      <c r="K201" s="31">
        <v>3245</v>
      </c>
      <c r="L201" s="31">
        <v>20</v>
      </c>
      <c r="M201" s="26">
        <v>43.1875367026934</v>
      </c>
      <c r="N201" s="26">
        <v>15.3126974947306</v>
      </c>
      <c r="O201" s="32">
        <f t="shared" si="7"/>
        <v>3.2904365480879028</v>
      </c>
      <c r="P201" s="14">
        <v>-1519</v>
      </c>
      <c r="Q201" s="14">
        <v>-1609</v>
      </c>
      <c r="R201" s="14">
        <v>-1450</v>
      </c>
      <c r="S201" s="14"/>
    </row>
    <row r="202" spans="1:37" s="30" customFormat="1" ht="18" customHeight="1" x14ac:dyDescent="0.2">
      <c r="A202" s="14" t="s">
        <v>5911</v>
      </c>
      <c r="B202" s="14" t="s">
        <v>4113</v>
      </c>
      <c r="C202" s="14" t="s">
        <v>1326</v>
      </c>
      <c r="D202" s="14" t="s">
        <v>1152</v>
      </c>
      <c r="E202" s="14" t="s">
        <v>143</v>
      </c>
      <c r="F202" s="14" t="s">
        <v>5827</v>
      </c>
      <c r="G202" s="25">
        <v>0.66790979293154396</v>
      </c>
      <c r="H202" s="25">
        <v>1.7892540700734799E-3</v>
      </c>
      <c r="I202" s="26">
        <v>-332.09020706845598</v>
      </c>
      <c r="J202" s="26">
        <v>1.78925407007348</v>
      </c>
      <c r="K202" s="31">
        <v>3240</v>
      </c>
      <c r="L202" s="31">
        <v>25</v>
      </c>
      <c r="M202" s="26">
        <v>52.432996766399903</v>
      </c>
      <c r="N202" s="26">
        <v>18.363702010878001</v>
      </c>
      <c r="O202" s="32">
        <f t="shared" si="7"/>
        <v>3.3311273252290787</v>
      </c>
      <c r="P202" s="14">
        <v>-1513</v>
      </c>
      <c r="Q202" s="14">
        <v>-1609</v>
      </c>
      <c r="R202" s="14">
        <v>-1443</v>
      </c>
      <c r="S202" s="14"/>
    </row>
    <row r="203" spans="1:37" s="30" customFormat="1" ht="18" customHeight="1" x14ac:dyDescent="0.2">
      <c r="A203" s="30" t="s">
        <v>7097</v>
      </c>
      <c r="B203" s="14" t="s">
        <v>1259</v>
      </c>
      <c r="C203" s="14" t="s">
        <v>5806</v>
      </c>
      <c r="D203" s="14" t="s">
        <v>1152</v>
      </c>
      <c r="E203" s="14" t="s">
        <v>26</v>
      </c>
      <c r="F203" s="30" t="s">
        <v>5827</v>
      </c>
      <c r="G203" s="30">
        <v>0.66832185294571944</v>
      </c>
      <c r="H203" s="30">
        <v>1.7510422378327489E-3</v>
      </c>
      <c r="I203" s="30">
        <v>-331.67814705428054</v>
      </c>
      <c r="J203" s="30">
        <v>1.7510422378327488</v>
      </c>
      <c r="K203" s="30">
        <v>3235</v>
      </c>
      <c r="L203" s="30">
        <v>25</v>
      </c>
      <c r="M203" s="30">
        <v>45.789446554583257</v>
      </c>
      <c r="N203" s="30">
        <v>17.013760850170144</v>
      </c>
      <c r="O203" s="30">
        <v>3.1398713929738173</v>
      </c>
      <c r="P203" s="14">
        <v>-1522</v>
      </c>
      <c r="Q203" s="30">
        <v>-1608</v>
      </c>
      <c r="R203" s="30">
        <v>-1437</v>
      </c>
      <c r="S203" s="14"/>
    </row>
    <row r="204" spans="1:37" s="30" customFormat="1" ht="18" customHeight="1" x14ac:dyDescent="0.2">
      <c r="A204" s="14" t="s">
        <v>5838</v>
      </c>
      <c r="B204" s="14" t="s">
        <v>4754</v>
      </c>
      <c r="C204" s="14" t="s">
        <v>6776</v>
      </c>
      <c r="D204" s="14" t="s">
        <v>1152</v>
      </c>
      <c r="E204" s="14" t="s">
        <v>13</v>
      </c>
      <c r="F204" s="14" t="s">
        <v>5820</v>
      </c>
      <c r="G204" s="25">
        <v>0.66909307006666696</v>
      </c>
      <c r="H204" s="25">
        <v>1.5059257378067399E-3</v>
      </c>
      <c r="I204" s="26">
        <v>-330.906929933333</v>
      </c>
      <c r="J204" s="26">
        <v>1.5059257378067401</v>
      </c>
      <c r="K204" s="31">
        <v>3230</v>
      </c>
      <c r="L204" s="31">
        <v>20</v>
      </c>
      <c r="M204" s="26">
        <v>32.543658000000001</v>
      </c>
      <c r="N204" s="26">
        <v>11.8698078</v>
      </c>
      <c r="O204" s="32">
        <f>(M204/12)/(N204/14)</f>
        <v>3.198670243000902</v>
      </c>
      <c r="P204" s="14">
        <v>-1493</v>
      </c>
      <c r="Q204" s="14">
        <v>-1596</v>
      </c>
      <c r="R204" s="14">
        <v>-1439</v>
      </c>
      <c r="S204" s="14"/>
    </row>
    <row r="205" spans="1:37" s="30" customFormat="1" ht="18" customHeight="1" x14ac:dyDescent="0.2">
      <c r="A205" s="14" t="s">
        <v>5895</v>
      </c>
      <c r="B205" s="14" t="s">
        <v>1254</v>
      </c>
      <c r="C205" s="14" t="s">
        <v>5806</v>
      </c>
      <c r="D205" s="14" t="s">
        <v>1152</v>
      </c>
      <c r="E205" s="14" t="s">
        <v>13</v>
      </c>
      <c r="F205" s="14" t="s">
        <v>5827</v>
      </c>
      <c r="G205" s="25">
        <v>0.66955510033621002</v>
      </c>
      <c r="H205" s="25">
        <v>1.6306845571819001E-3</v>
      </c>
      <c r="I205" s="26">
        <v>-330.44489966379001</v>
      </c>
      <c r="J205" s="26">
        <v>1.6306845571819</v>
      </c>
      <c r="K205" s="31">
        <v>3220</v>
      </c>
      <c r="L205" s="31">
        <v>20</v>
      </c>
      <c r="M205" s="26">
        <v>39.160196722052</v>
      </c>
      <c r="N205" s="26">
        <v>14.057611749827601</v>
      </c>
      <c r="O205" s="32">
        <f>(M205/12)/(N205/14)</f>
        <v>3.2499756707456102</v>
      </c>
      <c r="P205" s="14">
        <v>-1481</v>
      </c>
      <c r="Q205" s="14">
        <v>-1527</v>
      </c>
      <c r="R205" s="14">
        <v>-1439</v>
      </c>
      <c r="S205" s="14"/>
    </row>
    <row r="206" spans="1:37" s="30" customFormat="1" ht="18" customHeight="1" x14ac:dyDescent="0.2">
      <c r="A206" s="14" t="s">
        <v>5908</v>
      </c>
      <c r="B206" s="14" t="s">
        <v>4136</v>
      </c>
      <c r="C206" s="14" t="s">
        <v>4141</v>
      </c>
      <c r="D206" s="14" t="s">
        <v>3789</v>
      </c>
      <c r="E206" s="14" t="s">
        <v>13</v>
      </c>
      <c r="F206" s="14" t="s">
        <v>5827</v>
      </c>
      <c r="G206" s="25">
        <v>0.67004151908989895</v>
      </c>
      <c r="H206" s="25">
        <v>1.3810223652830601E-3</v>
      </c>
      <c r="I206" s="26">
        <v>-329.958480910101</v>
      </c>
      <c r="J206" s="26">
        <v>1.38102236528306</v>
      </c>
      <c r="K206" s="31">
        <v>3215</v>
      </c>
      <c r="L206" s="36">
        <v>20</v>
      </c>
      <c r="M206" s="26">
        <v>45.274288739000802</v>
      </c>
      <c r="N206" s="26">
        <v>16.2225445345765</v>
      </c>
      <c r="O206" s="32">
        <f>(M206/12)/(N206/14)</f>
        <v>3.2559629234645939</v>
      </c>
      <c r="P206" s="14">
        <v>-1477</v>
      </c>
      <c r="Q206" s="14">
        <v>-1518</v>
      </c>
      <c r="R206" s="14">
        <v>-1434</v>
      </c>
      <c r="S206" s="14"/>
    </row>
    <row r="207" spans="1:37" s="30" customFormat="1" ht="18" customHeight="1" x14ac:dyDescent="0.2">
      <c r="A207" s="14" t="s">
        <v>5903</v>
      </c>
      <c r="B207" s="14" t="s">
        <v>859</v>
      </c>
      <c r="C207" s="14" t="s">
        <v>864</v>
      </c>
      <c r="D207" s="14" t="s">
        <v>865</v>
      </c>
      <c r="E207" s="14" t="s">
        <v>13</v>
      </c>
      <c r="F207" s="14" t="s">
        <v>5827</v>
      </c>
      <c r="G207" s="25">
        <v>0.670430768601053</v>
      </c>
      <c r="H207" s="25">
        <v>1.4797031585642799E-3</v>
      </c>
      <c r="I207" s="26">
        <v>-329.56923139894701</v>
      </c>
      <c r="J207" s="26">
        <v>1.4797031585642799</v>
      </c>
      <c r="K207" s="31">
        <v>3210</v>
      </c>
      <c r="L207" s="31">
        <v>20</v>
      </c>
      <c r="M207" s="26">
        <v>42.604520909023499</v>
      </c>
      <c r="N207" s="26">
        <v>15.1760631048951</v>
      </c>
      <c r="O207" s="32">
        <f>(M207/12)/(N207/14)</f>
        <v>3.2752416783130083</v>
      </c>
      <c r="P207" s="14">
        <v>-1474</v>
      </c>
      <c r="Q207" s="14">
        <v>-1513</v>
      </c>
      <c r="R207" s="14">
        <v>-1431</v>
      </c>
      <c r="S207" s="44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</row>
    <row r="208" spans="1:37" s="30" customFormat="1" ht="18" customHeight="1" x14ac:dyDescent="0.2">
      <c r="A208" s="14" t="s">
        <v>5834</v>
      </c>
      <c r="B208" s="14" t="s">
        <v>3352</v>
      </c>
      <c r="C208" s="14" t="s">
        <v>6726</v>
      </c>
      <c r="D208" s="14" t="s">
        <v>932</v>
      </c>
      <c r="E208" s="14" t="s">
        <v>13</v>
      </c>
      <c r="F208" s="14" t="s">
        <v>5820</v>
      </c>
      <c r="G208" s="25">
        <v>0.67380904322684099</v>
      </c>
      <c r="H208" s="25">
        <v>1.5460056470053599E-3</v>
      </c>
      <c r="I208" s="26">
        <v>-326.19095677315897</v>
      </c>
      <c r="J208" s="26">
        <v>1.54600564700536</v>
      </c>
      <c r="K208" s="31">
        <v>3170</v>
      </c>
      <c r="L208" s="31">
        <v>20</v>
      </c>
      <c r="M208" s="26">
        <v>11.715404299999999</v>
      </c>
      <c r="N208" s="26">
        <v>4.1837137000000002</v>
      </c>
      <c r="O208" s="32">
        <f>(M208/12)/(N208/14)</f>
        <v>3.2669471821968439</v>
      </c>
      <c r="P208" s="14">
        <v>-1451</v>
      </c>
      <c r="Q208" s="14">
        <v>-1497</v>
      </c>
      <c r="R208" s="14">
        <v>-1413</v>
      </c>
      <c r="S208" s="14"/>
    </row>
    <row r="209" spans="1:39" s="30" customFormat="1" ht="18" customHeight="1" x14ac:dyDescent="0.2">
      <c r="A209" s="30" t="s">
        <v>7089</v>
      </c>
      <c r="B209" s="14" t="s">
        <v>4170</v>
      </c>
      <c r="C209" s="14" t="s">
        <v>1232</v>
      </c>
      <c r="D209" s="14" t="s">
        <v>18</v>
      </c>
      <c r="E209" s="14" t="s">
        <v>13</v>
      </c>
      <c r="F209" s="30" t="s">
        <v>5827</v>
      </c>
      <c r="G209" s="30">
        <v>0.67475863671987868</v>
      </c>
      <c r="H209" s="30">
        <v>1.35547408628917E-3</v>
      </c>
      <c r="I209" s="30">
        <v>-325.24136328012133</v>
      </c>
      <c r="J209" s="30">
        <v>1.3554740862891701</v>
      </c>
      <c r="K209" s="30">
        <v>3160</v>
      </c>
      <c r="L209" s="30">
        <v>20</v>
      </c>
      <c r="M209" s="30">
        <v>46.832895700000002</v>
      </c>
      <c r="N209" s="30">
        <v>16.755548099999999</v>
      </c>
      <c r="O209" s="30">
        <v>3.2609126237217314</v>
      </c>
      <c r="P209" s="14">
        <v>-1451</v>
      </c>
      <c r="Q209" s="30">
        <v>-1497</v>
      </c>
      <c r="R209" s="30">
        <v>-1406</v>
      </c>
      <c r="S209" s="14"/>
    </row>
    <row r="210" spans="1:39" s="30" customFormat="1" ht="18" customHeight="1" x14ac:dyDescent="0.2">
      <c r="A210" s="38" t="s">
        <v>7422</v>
      </c>
      <c r="B210" s="38" t="s">
        <v>4773</v>
      </c>
      <c r="C210" s="14" t="s">
        <v>4161</v>
      </c>
      <c r="D210" s="14" t="s">
        <v>865</v>
      </c>
      <c r="E210" s="38" t="s">
        <v>13</v>
      </c>
      <c r="F210" s="38" t="s">
        <v>5820</v>
      </c>
      <c r="G210" s="25">
        <v>0.67604063549622595</v>
      </c>
      <c r="H210" s="25">
        <v>1.7808957564537523E-3</v>
      </c>
      <c r="I210" s="26">
        <v>-323.95936450377405</v>
      </c>
      <c r="J210" s="53">
        <v>1.7808957564537522</v>
      </c>
      <c r="K210" s="54">
        <v>3145</v>
      </c>
      <c r="L210" s="54">
        <v>25</v>
      </c>
      <c r="M210" s="55">
        <v>5.1260567429041508</v>
      </c>
      <c r="N210" s="55">
        <v>1.7769315582735978</v>
      </c>
      <c r="O210" s="56">
        <v>3.365576746916755</v>
      </c>
      <c r="P210" s="39">
        <v>-1408</v>
      </c>
      <c r="Q210" s="38">
        <v>-1497</v>
      </c>
      <c r="R210" s="38">
        <v>-1318</v>
      </c>
      <c r="S210" s="14"/>
    </row>
    <row r="211" spans="1:39" s="30" customFormat="1" ht="18" customHeight="1" x14ac:dyDescent="0.2">
      <c r="A211" s="14" t="s">
        <v>5985</v>
      </c>
      <c r="B211" s="14" t="s">
        <v>4175</v>
      </c>
      <c r="C211" s="14" t="s">
        <v>1491</v>
      </c>
      <c r="D211" s="14" t="s">
        <v>1152</v>
      </c>
      <c r="E211" s="14" t="s">
        <v>118</v>
      </c>
      <c r="F211" s="14" t="s">
        <v>17</v>
      </c>
      <c r="G211" s="14" t="s">
        <v>17</v>
      </c>
      <c r="H211" s="14" t="s">
        <v>17</v>
      </c>
      <c r="I211" s="14" t="s">
        <v>17</v>
      </c>
      <c r="J211" s="14" t="s">
        <v>17</v>
      </c>
      <c r="K211" s="14">
        <v>3130</v>
      </c>
      <c r="L211" s="14">
        <v>30</v>
      </c>
      <c r="M211" s="14" t="s">
        <v>17</v>
      </c>
      <c r="N211" s="14" t="s">
        <v>17</v>
      </c>
      <c r="O211" s="14" t="s">
        <v>17</v>
      </c>
      <c r="P211" s="14">
        <v>-1393</v>
      </c>
      <c r="Q211" s="14">
        <v>-1495</v>
      </c>
      <c r="R211" s="14">
        <v>-1300</v>
      </c>
      <c r="S211" s="14"/>
    </row>
    <row r="212" spans="1:39" s="30" customFormat="1" ht="18" customHeight="1" x14ac:dyDescent="0.2">
      <c r="A212" s="14" t="s">
        <v>5860</v>
      </c>
      <c r="B212" s="14" t="s">
        <v>4108</v>
      </c>
      <c r="C212" s="14" t="s">
        <v>4112</v>
      </c>
      <c r="D212" s="14" t="s">
        <v>18</v>
      </c>
      <c r="E212" s="14" t="s">
        <v>13</v>
      </c>
      <c r="F212" s="14" t="s">
        <v>5850</v>
      </c>
      <c r="G212" s="25">
        <v>0.68636967179569397</v>
      </c>
      <c r="H212" s="25">
        <v>1.3827707077559699E-3</v>
      </c>
      <c r="I212" s="26">
        <v>-313.63032820430601</v>
      </c>
      <c r="J212" s="26">
        <v>1.3827707077559701</v>
      </c>
      <c r="K212" s="31">
        <v>3025</v>
      </c>
      <c r="L212" s="31">
        <v>20</v>
      </c>
      <c r="M212" s="26">
        <v>46.693431799999999</v>
      </c>
      <c r="N212" s="26">
        <v>16.673896092835101</v>
      </c>
      <c r="O212" s="32">
        <f>(M212/12)/(N212/14)</f>
        <v>3.2671230605030543</v>
      </c>
      <c r="P212" s="14">
        <v>-1279</v>
      </c>
      <c r="Q212" s="14">
        <v>-1384</v>
      </c>
      <c r="R212" s="14">
        <v>-1213</v>
      </c>
      <c r="S212" s="14"/>
    </row>
    <row r="213" spans="1:39" s="30" customFormat="1" ht="18" customHeight="1" x14ac:dyDescent="0.2">
      <c r="A213" s="14" t="s">
        <v>5847</v>
      </c>
      <c r="B213" s="14" t="s">
        <v>4105</v>
      </c>
      <c r="C213" s="14" t="s">
        <v>6644</v>
      </c>
      <c r="D213" s="14" t="s">
        <v>1152</v>
      </c>
      <c r="E213" s="14" t="s">
        <v>13</v>
      </c>
      <c r="F213" s="14" t="s">
        <v>5820</v>
      </c>
      <c r="G213" s="25">
        <v>0.68627125495877295</v>
      </c>
      <c r="H213" s="25">
        <v>1.7837940450623701E-3</v>
      </c>
      <c r="I213" s="26">
        <v>-313.728745041227</v>
      </c>
      <c r="J213" s="26">
        <v>1.7837940450623699</v>
      </c>
      <c r="K213" s="31">
        <v>3025</v>
      </c>
      <c r="L213" s="31">
        <v>25</v>
      </c>
      <c r="M213" s="26">
        <v>14.5354402</v>
      </c>
      <c r="N213" s="26">
        <v>5.2595686641977997</v>
      </c>
      <c r="O213" s="32">
        <f>(M213/12)/(N213/14)</f>
        <v>3.2242213476745509</v>
      </c>
      <c r="P213" s="14">
        <v>-1281</v>
      </c>
      <c r="Q213" s="14">
        <v>-1391</v>
      </c>
      <c r="R213" s="14">
        <v>-1196</v>
      </c>
      <c r="S213" s="14"/>
    </row>
    <row r="214" spans="1:39" s="30" customFormat="1" ht="18" customHeight="1" x14ac:dyDescent="0.2">
      <c r="A214" s="14" t="s">
        <v>5888</v>
      </c>
      <c r="B214" s="14" t="s">
        <v>1248</v>
      </c>
      <c r="C214" s="14" t="s">
        <v>1252</v>
      </c>
      <c r="D214" s="14" t="s">
        <v>1152</v>
      </c>
      <c r="E214" s="14" t="s">
        <v>13</v>
      </c>
      <c r="F214" s="14" t="s">
        <v>5827</v>
      </c>
      <c r="G214" s="25">
        <v>0.68685647979408404</v>
      </c>
      <c r="H214" s="25">
        <v>1.3318785629428699E-3</v>
      </c>
      <c r="I214" s="26">
        <v>-313.14352020591599</v>
      </c>
      <c r="J214" s="26">
        <v>1.33187856294287</v>
      </c>
      <c r="K214" s="31">
        <v>3015</v>
      </c>
      <c r="L214" s="36">
        <v>20</v>
      </c>
      <c r="M214" s="26">
        <v>44.112568013064198</v>
      </c>
      <c r="N214" s="26">
        <v>15.7219114286276</v>
      </c>
      <c r="O214" s="32">
        <f>(M214/12)/(N214/14)</f>
        <v>3.2734354798741343</v>
      </c>
      <c r="P214" s="14">
        <v>-1261</v>
      </c>
      <c r="Q214" s="14">
        <v>-1379</v>
      </c>
      <c r="R214" s="14">
        <v>-1196</v>
      </c>
      <c r="S214" s="14"/>
    </row>
    <row r="215" spans="1:39" s="30" customFormat="1" ht="18" customHeight="1" x14ac:dyDescent="0.2">
      <c r="A215" s="14" t="s">
        <v>5905</v>
      </c>
      <c r="B215" s="14" t="s">
        <v>4102</v>
      </c>
      <c r="C215" s="14" t="s">
        <v>1326</v>
      </c>
      <c r="D215" s="14" t="s">
        <v>1152</v>
      </c>
      <c r="E215" s="14" t="s">
        <v>13</v>
      </c>
      <c r="F215" s="14" t="s">
        <v>5827</v>
      </c>
      <c r="G215" s="25">
        <v>0.69396341674238504</v>
      </c>
      <c r="H215" s="25">
        <v>1.4284162264684901E-3</v>
      </c>
      <c r="I215" s="26">
        <v>-306.03658325761501</v>
      </c>
      <c r="J215" s="26">
        <v>1.4284162264684901</v>
      </c>
      <c r="K215" s="31">
        <v>2935</v>
      </c>
      <c r="L215" s="31">
        <v>20</v>
      </c>
      <c r="M215" s="26">
        <v>45.127282562706498</v>
      </c>
      <c r="N215" s="26">
        <v>16.366142510385099</v>
      </c>
      <c r="O215" s="32">
        <f>(M215/12)/(N215/14)</f>
        <v>3.2169154270622773</v>
      </c>
      <c r="P215" s="14">
        <v>-1142</v>
      </c>
      <c r="Q215" s="14">
        <v>-1211</v>
      </c>
      <c r="R215" s="14">
        <v>-1056</v>
      </c>
      <c r="S215" s="14"/>
    </row>
    <row r="216" spans="1:39" s="30" customFormat="1" ht="18" customHeight="1" x14ac:dyDescent="0.2">
      <c r="A216" s="30" t="s">
        <v>7078</v>
      </c>
      <c r="B216" s="14" t="s">
        <v>2000</v>
      </c>
      <c r="C216" s="14" t="s">
        <v>1972</v>
      </c>
      <c r="D216" s="14" t="s">
        <v>826</v>
      </c>
      <c r="E216" s="14" t="s">
        <v>26</v>
      </c>
      <c r="F216" s="30" t="s">
        <v>5827</v>
      </c>
      <c r="G216" s="30">
        <v>0.69589716408606905</v>
      </c>
      <c r="H216" s="30">
        <v>1.3251560419354162E-3</v>
      </c>
      <c r="I216" s="30">
        <v>-304.10283591393096</v>
      </c>
      <c r="J216" s="30">
        <v>1.3251560419354163</v>
      </c>
      <c r="K216" s="30">
        <v>2910</v>
      </c>
      <c r="L216" s="30">
        <v>20</v>
      </c>
      <c r="M216" s="30">
        <v>44.271971200000003</v>
      </c>
      <c r="N216" s="30">
        <v>15.6961867</v>
      </c>
      <c r="O216" s="30">
        <v>3.2906484902263977</v>
      </c>
      <c r="P216" s="14">
        <v>-1106</v>
      </c>
      <c r="Q216" s="30">
        <v>-1193</v>
      </c>
      <c r="R216" s="30">
        <v>-1019</v>
      </c>
      <c r="S216" s="14"/>
    </row>
    <row r="217" spans="1:39" s="30" customFormat="1" ht="18" customHeight="1" x14ac:dyDescent="0.2">
      <c r="A217" s="40" t="s">
        <v>7664</v>
      </c>
      <c r="B217" s="37" t="s">
        <v>4035</v>
      </c>
      <c r="C217" s="14" t="s">
        <v>6947</v>
      </c>
      <c r="D217" s="14" t="s">
        <v>173</v>
      </c>
      <c r="E217" s="40" t="s">
        <v>13</v>
      </c>
      <c r="F217" s="38" t="s">
        <v>5827</v>
      </c>
      <c r="G217" s="41">
        <v>0.69606566799839142</v>
      </c>
      <c r="H217" s="41">
        <v>1.7465866979168713E-3</v>
      </c>
      <c r="I217" s="42">
        <v>-303.9343320016086</v>
      </c>
      <c r="J217" s="43">
        <v>1.7465866979168714</v>
      </c>
      <c r="K217" s="44">
        <v>2910</v>
      </c>
      <c r="L217" s="44">
        <v>25</v>
      </c>
      <c r="M217" s="45">
        <v>-18.75389205258017</v>
      </c>
      <c r="N217" s="45">
        <v>8.2707784687505175</v>
      </c>
      <c r="O217" s="46">
        <v>3.2893847127377462</v>
      </c>
      <c r="P217" s="39">
        <v>-1111</v>
      </c>
      <c r="Q217" s="38">
        <v>-1207</v>
      </c>
      <c r="R217" s="38">
        <v>-1014</v>
      </c>
      <c r="S217" s="14"/>
    </row>
    <row r="218" spans="1:39" s="30" customFormat="1" ht="18" customHeight="1" x14ac:dyDescent="0.2">
      <c r="A218" s="14" t="s">
        <v>5906</v>
      </c>
      <c r="B218" s="14" t="s">
        <v>4099</v>
      </c>
      <c r="C218" s="14" t="s">
        <v>1326</v>
      </c>
      <c r="D218" s="14" t="s">
        <v>1152</v>
      </c>
      <c r="E218" s="14" t="s">
        <v>13</v>
      </c>
      <c r="F218" s="14" t="s">
        <v>5827</v>
      </c>
      <c r="G218" s="25">
        <v>0.696745057772162</v>
      </c>
      <c r="H218" s="25">
        <v>1.48392901590909E-3</v>
      </c>
      <c r="I218" s="26">
        <v>-303.254942227838</v>
      </c>
      <c r="J218" s="26">
        <v>1.4839290159090901</v>
      </c>
      <c r="K218" s="31">
        <v>2905</v>
      </c>
      <c r="L218" s="36">
        <v>20</v>
      </c>
      <c r="M218" s="26">
        <v>44.504886804530798</v>
      </c>
      <c r="N218" s="26">
        <v>15.882263362237801</v>
      </c>
      <c r="O218" s="32">
        <f>(M218/12)/(N218/14)</f>
        <v>3.2692045682904127</v>
      </c>
      <c r="P218" s="14">
        <v>-1091</v>
      </c>
      <c r="Q218" s="14">
        <v>-1193</v>
      </c>
      <c r="R218" s="14">
        <v>-1013</v>
      </c>
      <c r="S218" s="137"/>
      <c r="T218" s="138"/>
      <c r="U218" s="136"/>
      <c r="V218" s="143"/>
      <c r="W218" s="143"/>
      <c r="X218" s="143"/>
      <c r="Y218" s="143"/>
      <c r="Z218" s="143"/>
      <c r="AA218" s="139"/>
      <c r="AB218" s="144"/>
      <c r="AC218" s="140"/>
      <c r="AD218" s="140"/>
      <c r="AE218" s="143"/>
      <c r="AF218" s="143"/>
      <c r="AG218" s="143"/>
      <c r="AH218" s="141"/>
      <c r="AI218" s="137"/>
      <c r="AJ218" s="152"/>
      <c r="AK218" s="138"/>
      <c r="AL218" s="139"/>
      <c r="AM218" s="139"/>
    </row>
    <row r="219" spans="1:39" s="30" customFormat="1" ht="18" customHeight="1" x14ac:dyDescent="0.2">
      <c r="A219" s="14" t="s">
        <v>5910</v>
      </c>
      <c r="B219" s="14" t="s">
        <v>4096</v>
      </c>
      <c r="C219" s="14" t="s">
        <v>1326</v>
      </c>
      <c r="D219" s="14" t="s">
        <v>1152</v>
      </c>
      <c r="E219" s="14" t="s">
        <v>143</v>
      </c>
      <c r="F219" s="14" t="s">
        <v>5827</v>
      </c>
      <c r="G219" s="25">
        <v>0.69680047269911305</v>
      </c>
      <c r="H219" s="25">
        <v>1.5399352834558401E-3</v>
      </c>
      <c r="I219" s="26">
        <v>-303.19952730088698</v>
      </c>
      <c r="J219" s="26">
        <v>1.53993528345584</v>
      </c>
      <c r="K219" s="31">
        <v>2900</v>
      </c>
      <c r="L219" s="31">
        <v>20</v>
      </c>
      <c r="M219" s="26">
        <v>44.948464156003404</v>
      </c>
      <c r="N219" s="26">
        <v>16.1983889902098</v>
      </c>
      <c r="O219" s="32">
        <f>(M219/12)/(N219/14)</f>
        <v>3.2373512501993225</v>
      </c>
      <c r="P219" s="14">
        <v>-1083</v>
      </c>
      <c r="Q219" s="14">
        <v>-1191</v>
      </c>
      <c r="R219" s="14">
        <v>-1010</v>
      </c>
      <c r="S219" s="14"/>
    </row>
    <row r="220" spans="1:39" s="30" customFormat="1" ht="18" customHeight="1" x14ac:dyDescent="0.2">
      <c r="A220" s="14" t="s">
        <v>5988</v>
      </c>
      <c r="B220" s="14" t="s">
        <v>4056</v>
      </c>
      <c r="C220" s="14" t="s">
        <v>6951</v>
      </c>
      <c r="D220" s="14" t="s">
        <v>173</v>
      </c>
      <c r="E220" s="14" t="s">
        <v>143</v>
      </c>
      <c r="F220" s="14" t="s">
        <v>17</v>
      </c>
      <c r="G220" s="14" t="s">
        <v>17</v>
      </c>
      <c r="H220" s="14" t="s">
        <v>17</v>
      </c>
      <c r="I220" s="14" t="s">
        <v>17</v>
      </c>
      <c r="J220" s="14" t="s">
        <v>17</v>
      </c>
      <c r="K220" s="14">
        <v>2890</v>
      </c>
      <c r="L220" s="14">
        <v>30</v>
      </c>
      <c r="M220" s="14" t="s">
        <v>17</v>
      </c>
      <c r="N220" s="14" t="s">
        <v>17</v>
      </c>
      <c r="O220" s="14" t="s">
        <v>17</v>
      </c>
      <c r="P220" s="14">
        <v>-1074</v>
      </c>
      <c r="Q220" s="14">
        <v>-1195</v>
      </c>
      <c r="R220" s="14">
        <v>-978</v>
      </c>
      <c r="S220" s="14"/>
    </row>
    <row r="221" spans="1:39" s="30" customFormat="1" ht="18" customHeight="1" x14ac:dyDescent="0.2">
      <c r="A221" s="14" t="s">
        <v>5909</v>
      </c>
      <c r="B221" s="14" t="s">
        <v>4093</v>
      </c>
      <c r="C221" s="14" t="s">
        <v>1326</v>
      </c>
      <c r="D221" s="14" t="s">
        <v>1152</v>
      </c>
      <c r="E221" s="14" t="s">
        <v>143</v>
      </c>
      <c r="F221" s="14" t="s">
        <v>5827</v>
      </c>
      <c r="G221" s="25">
        <v>0.69830488036402605</v>
      </c>
      <c r="H221" s="25">
        <v>1.4593217282101801E-3</v>
      </c>
      <c r="I221" s="26">
        <v>-301.69511963597398</v>
      </c>
      <c r="J221" s="26">
        <v>1.45932172821018</v>
      </c>
      <c r="K221" s="31">
        <v>2885</v>
      </c>
      <c r="L221" s="36">
        <v>20</v>
      </c>
      <c r="M221" s="26">
        <v>44.345059824222098</v>
      </c>
      <c r="N221" s="26">
        <v>15.987465628593601</v>
      </c>
      <c r="O221" s="32">
        <f>(M221/12)/(N221/14)</f>
        <v>3.2360290448868514</v>
      </c>
      <c r="P221" s="14">
        <v>-1064</v>
      </c>
      <c r="Q221" s="14">
        <v>-1126</v>
      </c>
      <c r="R221" s="14">
        <v>-1000</v>
      </c>
      <c r="S221" s="14"/>
    </row>
    <row r="222" spans="1:39" s="30" customFormat="1" ht="18" customHeight="1" x14ac:dyDescent="0.2">
      <c r="A222" s="14" t="s">
        <v>5990</v>
      </c>
      <c r="B222" s="14" t="s">
        <v>3948</v>
      </c>
      <c r="C222" s="14" t="s">
        <v>6951</v>
      </c>
      <c r="D222" s="14" t="s">
        <v>173</v>
      </c>
      <c r="E222" s="14" t="s">
        <v>100</v>
      </c>
      <c r="F222" s="14" t="s">
        <v>17</v>
      </c>
      <c r="G222" s="14" t="s">
        <v>17</v>
      </c>
      <c r="H222" s="14" t="s">
        <v>17</v>
      </c>
      <c r="I222" s="14" t="s">
        <v>17</v>
      </c>
      <c r="J222" s="14" t="s">
        <v>17</v>
      </c>
      <c r="K222" s="14">
        <v>2880</v>
      </c>
      <c r="L222" s="14">
        <v>30</v>
      </c>
      <c r="M222" s="14" t="s">
        <v>17</v>
      </c>
      <c r="N222" s="14" t="s">
        <v>17</v>
      </c>
      <c r="O222" s="14" t="s">
        <v>17</v>
      </c>
      <c r="P222" s="14">
        <v>-1060</v>
      </c>
      <c r="Q222" s="14">
        <v>-1192</v>
      </c>
      <c r="R222" s="14">
        <v>-939</v>
      </c>
      <c r="S222" s="14"/>
    </row>
    <row r="223" spans="1:39" s="30" customFormat="1" ht="18" customHeight="1" x14ac:dyDescent="0.2">
      <c r="A223" s="30" t="s">
        <v>7080</v>
      </c>
      <c r="B223" s="14" t="s">
        <v>4587</v>
      </c>
      <c r="C223" s="14" t="s">
        <v>4085</v>
      </c>
      <c r="D223" s="14" t="s">
        <v>1152</v>
      </c>
      <c r="E223" s="14" t="s">
        <v>100</v>
      </c>
      <c r="F223" s="30" t="s">
        <v>5820</v>
      </c>
      <c r="G223" s="30">
        <v>0.69954155753244862</v>
      </c>
      <c r="H223" s="30">
        <v>1.5112677279740837E-3</v>
      </c>
      <c r="I223" s="30">
        <v>-300.45844246755138</v>
      </c>
      <c r="J223" s="30">
        <v>1.5112677279740838</v>
      </c>
      <c r="K223" s="30">
        <v>2870</v>
      </c>
      <c r="L223" s="30">
        <v>20</v>
      </c>
      <c r="M223" s="30">
        <v>33.534594503753311</v>
      </c>
      <c r="N223" s="30">
        <v>12.280729580108778</v>
      </c>
      <c r="O223" s="30">
        <v>3.1857792594897001</v>
      </c>
      <c r="P223" s="14">
        <v>-1046</v>
      </c>
      <c r="Q223" s="30">
        <v>-1117</v>
      </c>
      <c r="R223" s="30">
        <v>-976</v>
      </c>
      <c r="S223" s="40"/>
      <c r="T223" s="40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</row>
    <row r="224" spans="1:39" s="30" customFormat="1" ht="18" customHeight="1" x14ac:dyDescent="0.2">
      <c r="A224" s="14" t="s">
        <v>5900</v>
      </c>
      <c r="B224" s="14" t="s">
        <v>4090</v>
      </c>
      <c r="C224" s="14" t="s">
        <v>1326</v>
      </c>
      <c r="D224" s="14" t="s">
        <v>1152</v>
      </c>
      <c r="E224" s="14" t="s">
        <v>143</v>
      </c>
      <c r="F224" s="14" t="s">
        <v>5820</v>
      </c>
      <c r="G224" s="25">
        <v>0.70052226238819804</v>
      </c>
      <c r="H224" s="25">
        <v>1.54589725572726E-3</v>
      </c>
      <c r="I224" s="26">
        <v>-299.47773761180099</v>
      </c>
      <c r="J224" s="26">
        <v>1.5458972557272599</v>
      </c>
      <c r="K224" s="31">
        <v>2860</v>
      </c>
      <c r="L224" s="31">
        <v>20</v>
      </c>
      <c r="M224" s="26">
        <v>30.690520650763201</v>
      </c>
      <c r="N224" s="26">
        <v>11.277153522121401</v>
      </c>
      <c r="O224" s="32">
        <f>(M224/12)/(N224/14)</f>
        <v>3.1750571946771577</v>
      </c>
      <c r="P224" s="14">
        <v>-1026</v>
      </c>
      <c r="Q224" s="14">
        <v>-1111</v>
      </c>
      <c r="R224" s="14">
        <v>-941</v>
      </c>
      <c r="S224" s="40"/>
      <c r="T224" s="40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</row>
    <row r="225" spans="1:39" s="30" customFormat="1" ht="18" customHeight="1" x14ac:dyDescent="0.2">
      <c r="A225" s="38" t="s">
        <v>7419</v>
      </c>
      <c r="B225" s="38" t="s">
        <v>4065</v>
      </c>
      <c r="C225" s="14" t="s">
        <v>6952</v>
      </c>
      <c r="D225" s="14" t="s">
        <v>173</v>
      </c>
      <c r="E225" s="38" t="s">
        <v>13</v>
      </c>
      <c r="F225" s="38" t="s">
        <v>5827</v>
      </c>
      <c r="G225" s="25">
        <v>0.70190643886433068</v>
      </c>
      <c r="H225" s="25">
        <v>1.318804974624543E-3</v>
      </c>
      <c r="I225" s="26">
        <v>-298.09356113566929</v>
      </c>
      <c r="J225" s="53">
        <v>1.3188049746245429</v>
      </c>
      <c r="K225" s="54">
        <v>2845</v>
      </c>
      <c r="L225" s="54">
        <v>20</v>
      </c>
      <c r="M225" s="55">
        <v>50.669144944655429</v>
      </c>
      <c r="N225" s="55">
        <v>17.714346761342078</v>
      </c>
      <c r="O225" s="56">
        <v>3.3370692824211559</v>
      </c>
      <c r="P225" s="39">
        <v>-998</v>
      </c>
      <c r="Q225" s="38">
        <v>-1071</v>
      </c>
      <c r="R225" s="38">
        <v>-925</v>
      </c>
      <c r="S225" s="14"/>
    </row>
    <row r="226" spans="1:39" s="30" customFormat="1" ht="18" customHeight="1" x14ac:dyDescent="0.2">
      <c r="A226" s="14" t="s">
        <v>5886</v>
      </c>
      <c r="B226" s="14" t="s">
        <v>4067</v>
      </c>
      <c r="C226" s="14" t="s">
        <v>6951</v>
      </c>
      <c r="D226" s="14" t="s">
        <v>173</v>
      </c>
      <c r="E226" s="14" t="s">
        <v>100</v>
      </c>
      <c r="F226" s="14" t="s">
        <v>5827</v>
      </c>
      <c r="G226" s="25">
        <v>0.70309192506587603</v>
      </c>
      <c r="H226" s="25">
        <v>1.49696626612546E-3</v>
      </c>
      <c r="I226" s="26">
        <v>-296.90807493412399</v>
      </c>
      <c r="J226" s="26">
        <v>1.4969662661254599</v>
      </c>
      <c r="K226" s="31">
        <v>2830</v>
      </c>
      <c r="L226" s="31">
        <v>20</v>
      </c>
      <c r="M226" s="26">
        <v>47.602581758387799</v>
      </c>
      <c r="N226" s="26">
        <v>16.926883523838299</v>
      </c>
      <c r="O226" s="32">
        <f>(M226/12)/(N226/14)</f>
        <v>3.2809551330918874</v>
      </c>
      <c r="P226" s="14">
        <v>-979</v>
      </c>
      <c r="Q226" s="14">
        <v>-1044</v>
      </c>
      <c r="R226" s="14">
        <v>-922</v>
      </c>
      <c r="S226" s="14"/>
    </row>
    <row r="227" spans="1:39" s="30" customFormat="1" ht="18" customHeight="1" x14ac:dyDescent="0.2">
      <c r="A227" s="38" t="s">
        <v>7421</v>
      </c>
      <c r="B227" s="38" t="s">
        <v>3150</v>
      </c>
      <c r="C227" s="14" t="s">
        <v>6952</v>
      </c>
      <c r="D227" s="14" t="s">
        <v>173</v>
      </c>
      <c r="E227" s="38" t="s">
        <v>13</v>
      </c>
      <c r="F227" s="38" t="s">
        <v>5827</v>
      </c>
      <c r="G227" s="25">
        <v>0.70311809116716195</v>
      </c>
      <c r="H227" s="25">
        <v>1.4676035736904635E-3</v>
      </c>
      <c r="I227" s="26">
        <v>-296.88190883283806</v>
      </c>
      <c r="J227" s="53">
        <v>1.4676035736904633</v>
      </c>
      <c r="K227" s="54">
        <v>2830</v>
      </c>
      <c r="L227" s="54">
        <v>20</v>
      </c>
      <c r="M227" s="55">
        <v>9.5460015054130931</v>
      </c>
      <c r="N227" s="55">
        <v>3.4179723382119116</v>
      </c>
      <c r="O227" s="56">
        <v>3.2583650931889987</v>
      </c>
      <c r="P227" s="39">
        <v>-983</v>
      </c>
      <c r="Q227" s="38">
        <v>-1044</v>
      </c>
      <c r="R227" s="38">
        <v>-922</v>
      </c>
      <c r="S227" s="14"/>
    </row>
    <row r="228" spans="1:39" s="30" customFormat="1" ht="18" customHeight="1" x14ac:dyDescent="0.2">
      <c r="A228" s="14" t="s">
        <v>5962</v>
      </c>
      <c r="B228" s="14" t="s">
        <v>4086</v>
      </c>
      <c r="C228" s="14" t="s">
        <v>1326</v>
      </c>
      <c r="D228" s="14" t="s">
        <v>1152</v>
      </c>
      <c r="E228" s="14" t="s">
        <v>143</v>
      </c>
      <c r="F228" s="14" t="s">
        <v>5827</v>
      </c>
      <c r="G228" s="25">
        <v>0.70468324798890503</v>
      </c>
      <c r="H228" s="25">
        <v>1.9445408021947399E-3</v>
      </c>
      <c r="I228" s="26">
        <v>-295.31675201109499</v>
      </c>
      <c r="J228" s="26">
        <v>1.9307749908074401</v>
      </c>
      <c r="K228" s="31">
        <v>2810</v>
      </c>
      <c r="L228" s="31">
        <v>25</v>
      </c>
      <c r="M228" s="26">
        <v>43.2709238026832</v>
      </c>
      <c r="N228" s="26">
        <v>16.026614434770298</v>
      </c>
      <c r="O228" s="32">
        <f>(M228/12)/(N228/14)</f>
        <v>3.1499319236718928</v>
      </c>
      <c r="P228" s="14">
        <v>-962</v>
      </c>
      <c r="Q228" s="14">
        <v>-1025</v>
      </c>
      <c r="R228" s="14">
        <v>-901</v>
      </c>
      <c r="S228" s="14"/>
    </row>
    <row r="229" spans="1:39" s="30" customFormat="1" ht="18" customHeight="1" x14ac:dyDescent="0.2">
      <c r="A229" s="14" t="s">
        <v>5866</v>
      </c>
      <c r="B229" s="14" t="s">
        <v>3976</v>
      </c>
      <c r="C229" s="14" t="s">
        <v>6951</v>
      </c>
      <c r="D229" s="14" t="s">
        <v>173</v>
      </c>
      <c r="E229" s="14" t="s">
        <v>143</v>
      </c>
      <c r="F229" s="14" t="s">
        <v>5820</v>
      </c>
      <c r="G229" s="25">
        <v>0.70474553748106605</v>
      </c>
      <c r="H229" s="25">
        <v>1.4697987456168799E-3</v>
      </c>
      <c r="I229" s="26">
        <v>-295.25446251893402</v>
      </c>
      <c r="J229" s="26">
        <v>1.46979874561688</v>
      </c>
      <c r="K229" s="31">
        <v>2810</v>
      </c>
      <c r="L229" s="31">
        <v>20</v>
      </c>
      <c r="M229" s="26">
        <v>27.843588258050001</v>
      </c>
      <c r="N229" s="26">
        <v>10.231165675644201</v>
      </c>
      <c r="O229" s="32">
        <f>(M229/12)/(N229/14)</f>
        <v>3.1750229964889098</v>
      </c>
      <c r="P229" s="14">
        <v>-961</v>
      </c>
      <c r="Q229" s="14">
        <v>-1011</v>
      </c>
      <c r="R229" s="14">
        <v>-909</v>
      </c>
      <c r="S229" s="145"/>
      <c r="T229" s="145"/>
      <c r="U229" s="145"/>
      <c r="V229" s="145"/>
      <c r="W229" s="146"/>
      <c r="X229" s="146"/>
      <c r="Y229" s="147"/>
      <c r="Z229" s="147"/>
      <c r="AA229" s="148"/>
      <c r="AB229" s="145"/>
      <c r="AC229" s="149"/>
      <c r="AD229" s="149"/>
      <c r="AE229" s="149"/>
      <c r="AF229" s="149"/>
      <c r="AG229" s="149"/>
      <c r="AH229" s="150"/>
      <c r="AI229" s="145"/>
      <c r="AJ229" s="150"/>
      <c r="AK229" s="151"/>
      <c r="AL229" s="151"/>
      <c r="AM229" s="151"/>
    </row>
    <row r="230" spans="1:39" s="30" customFormat="1" ht="18" customHeight="1" x14ac:dyDescent="0.2">
      <c r="A230" s="38" t="s">
        <v>8134</v>
      </c>
      <c r="B230" s="40" t="s">
        <v>3186</v>
      </c>
      <c r="C230" s="38" t="s">
        <v>6952</v>
      </c>
      <c r="D230" s="38" t="s">
        <v>173</v>
      </c>
      <c r="E230" s="38" t="s">
        <v>13</v>
      </c>
      <c r="F230" s="38" t="s">
        <v>5827</v>
      </c>
      <c r="G230" s="41">
        <v>0.70466752354128182</v>
      </c>
      <c r="H230" s="41">
        <v>1.492835955108724E-3</v>
      </c>
      <c r="I230" s="42">
        <v>-295.33247645871819</v>
      </c>
      <c r="J230" s="43">
        <v>1.492835955108724</v>
      </c>
      <c r="K230" s="44">
        <v>2810</v>
      </c>
      <c r="L230" s="44">
        <v>20</v>
      </c>
      <c r="M230" s="45">
        <v>46.691930276236612</v>
      </c>
      <c r="N230" s="45">
        <v>16.663354288565522</v>
      </c>
      <c r="O230" s="46">
        <v>3.269084826035876</v>
      </c>
      <c r="P230" s="40">
        <v>-960</v>
      </c>
      <c r="Q230" s="14">
        <v>-1011</v>
      </c>
      <c r="R230" s="14">
        <v>-909</v>
      </c>
      <c r="S230" s="14"/>
    </row>
    <row r="231" spans="1:39" s="30" customFormat="1" ht="18" customHeight="1" x14ac:dyDescent="0.2">
      <c r="A231" s="14" t="s">
        <v>5989</v>
      </c>
      <c r="B231" s="14" t="s">
        <v>3945</v>
      </c>
      <c r="C231" s="14" t="s">
        <v>6951</v>
      </c>
      <c r="D231" s="14" t="s">
        <v>173</v>
      </c>
      <c r="E231" s="14" t="s">
        <v>143</v>
      </c>
      <c r="F231" s="14" t="s">
        <v>17</v>
      </c>
      <c r="G231" s="14" t="s">
        <v>17</v>
      </c>
      <c r="H231" s="14" t="s">
        <v>17</v>
      </c>
      <c r="I231" s="14" t="s">
        <v>17</v>
      </c>
      <c r="J231" s="14" t="s">
        <v>17</v>
      </c>
      <c r="K231" s="14">
        <v>2800</v>
      </c>
      <c r="L231" s="14">
        <v>30</v>
      </c>
      <c r="M231" s="14" t="s">
        <v>17</v>
      </c>
      <c r="N231" s="14" t="s">
        <v>17</v>
      </c>
      <c r="O231" s="14" t="s">
        <v>17</v>
      </c>
      <c r="P231" s="14">
        <v>-952</v>
      </c>
      <c r="Q231" s="14">
        <v>-1027</v>
      </c>
      <c r="R231" s="14">
        <v>-848</v>
      </c>
      <c r="S231" s="14"/>
    </row>
    <row r="232" spans="1:39" s="30" customFormat="1" ht="18" customHeight="1" x14ac:dyDescent="0.2">
      <c r="A232" s="30" t="s">
        <v>7059</v>
      </c>
      <c r="B232" s="14" t="s">
        <v>3919</v>
      </c>
      <c r="C232" s="14" t="s">
        <v>6952</v>
      </c>
      <c r="D232" s="14" t="s">
        <v>173</v>
      </c>
      <c r="E232" s="14" t="s">
        <v>13</v>
      </c>
      <c r="F232" s="30" t="s">
        <v>5827</v>
      </c>
      <c r="G232" s="30">
        <v>0.70585224926123147</v>
      </c>
      <c r="H232" s="30">
        <v>1.3249666891256547E-3</v>
      </c>
      <c r="I232" s="30">
        <v>-294.14775073876854</v>
      </c>
      <c r="J232" s="30">
        <v>1.3249666891256546</v>
      </c>
      <c r="K232" s="30">
        <v>2800</v>
      </c>
      <c r="L232" s="30">
        <v>20</v>
      </c>
      <c r="M232" s="30">
        <v>44.133912255358304</v>
      </c>
      <c r="N232" s="30">
        <v>15.363300172095389</v>
      </c>
      <c r="O232" s="30">
        <v>3.3514650967660811</v>
      </c>
      <c r="P232" s="14">
        <v>-955</v>
      </c>
      <c r="Q232" s="30">
        <v>-1006</v>
      </c>
      <c r="R232" s="30">
        <v>-904</v>
      </c>
      <c r="S232" s="14"/>
    </row>
    <row r="233" spans="1:39" s="30" customFormat="1" ht="18" customHeight="1" x14ac:dyDescent="0.2">
      <c r="A233" s="30" t="s">
        <v>5987</v>
      </c>
      <c r="B233" s="14" t="s">
        <v>3941</v>
      </c>
      <c r="C233" s="14" t="s">
        <v>6951</v>
      </c>
      <c r="D233" s="14" t="s">
        <v>173</v>
      </c>
      <c r="E233" s="14" t="s">
        <v>13</v>
      </c>
      <c r="F233" s="14" t="s">
        <v>17</v>
      </c>
      <c r="G233" s="14" t="s">
        <v>17</v>
      </c>
      <c r="H233" s="14" t="s">
        <v>17</v>
      </c>
      <c r="I233" s="14" t="s">
        <v>17</v>
      </c>
      <c r="J233" s="14" t="s">
        <v>17</v>
      </c>
      <c r="K233" s="30">
        <v>2760</v>
      </c>
      <c r="L233" s="30">
        <v>30</v>
      </c>
      <c r="M233" s="14" t="s">
        <v>17</v>
      </c>
      <c r="N233" s="14" t="s">
        <v>17</v>
      </c>
      <c r="O233" s="14" t="s">
        <v>17</v>
      </c>
      <c r="P233" s="14">
        <v>-911</v>
      </c>
      <c r="Q233" s="30">
        <v>-992</v>
      </c>
      <c r="R233" s="30">
        <v>-830</v>
      </c>
      <c r="S233" s="14"/>
    </row>
    <row r="234" spans="1:39" s="30" customFormat="1" ht="18" customHeight="1" x14ac:dyDescent="0.2">
      <c r="A234" s="14" t="s">
        <v>5948</v>
      </c>
      <c r="B234" s="14" t="s">
        <v>4051</v>
      </c>
      <c r="C234" s="14" t="s">
        <v>6951</v>
      </c>
      <c r="D234" s="14" t="s">
        <v>173</v>
      </c>
      <c r="E234" s="14" t="s">
        <v>4053</v>
      </c>
      <c r="F234" s="14" t="s">
        <v>5820</v>
      </c>
      <c r="G234" s="25">
        <v>0.70931607808820296</v>
      </c>
      <c r="H234" s="25">
        <v>1.9445408021947399E-3</v>
      </c>
      <c r="I234" s="26">
        <v>-290.68392191179697</v>
      </c>
      <c r="J234" s="26">
        <v>1.77171610600886</v>
      </c>
      <c r="K234" s="31">
        <v>2760</v>
      </c>
      <c r="L234" s="31">
        <v>25</v>
      </c>
      <c r="M234" s="26">
        <v>15.796747270856301</v>
      </c>
      <c r="N234" s="26">
        <v>5.96798446377076</v>
      </c>
      <c r="O234" s="32">
        <f>(M234/12)/(N234/14)</f>
        <v>3.0880674362582576</v>
      </c>
      <c r="P234" s="14">
        <v>-899</v>
      </c>
      <c r="Q234" s="14">
        <v>-976</v>
      </c>
      <c r="R234" s="14">
        <v>-832</v>
      </c>
      <c r="S234" s="14"/>
    </row>
    <row r="235" spans="1:39" s="30" customFormat="1" ht="18" customHeight="1" x14ac:dyDescent="0.2">
      <c r="A235" s="14" t="s">
        <v>5883</v>
      </c>
      <c r="B235" s="14" t="s">
        <v>3933</v>
      </c>
      <c r="C235" s="14" t="s">
        <v>6946</v>
      </c>
      <c r="D235" s="14" t="s">
        <v>173</v>
      </c>
      <c r="E235" s="14" t="s">
        <v>13</v>
      </c>
      <c r="F235" s="14" t="s">
        <v>5820</v>
      </c>
      <c r="G235" s="25">
        <v>0.70905678527726401</v>
      </c>
      <c r="H235" s="25">
        <v>1.3818775441863101E-3</v>
      </c>
      <c r="I235" s="26">
        <v>-290.943214722736</v>
      </c>
      <c r="J235" s="26">
        <v>1.38187754418631</v>
      </c>
      <c r="K235" s="31">
        <v>2760</v>
      </c>
      <c r="L235" s="31">
        <v>20</v>
      </c>
      <c r="M235" s="26">
        <v>28.1684000829169</v>
      </c>
      <c r="N235" s="26">
        <v>10.055616366905401</v>
      </c>
      <c r="O235" s="32">
        <f>(M235/12)/(N235/14)</f>
        <v>3.2681371515153868</v>
      </c>
      <c r="P235" s="14">
        <v>-897</v>
      </c>
      <c r="Q235" s="14">
        <v>-974</v>
      </c>
      <c r="R235" s="14">
        <v>-836</v>
      </c>
      <c r="S235" s="14"/>
    </row>
    <row r="236" spans="1:39" s="30" customFormat="1" ht="18" customHeight="1" x14ac:dyDescent="0.2">
      <c r="A236" s="30" t="s">
        <v>7106</v>
      </c>
      <c r="B236" s="14" t="s">
        <v>169</v>
      </c>
      <c r="C236" s="14" t="s">
        <v>178</v>
      </c>
      <c r="D236" s="14" t="s">
        <v>173</v>
      </c>
      <c r="E236" s="14" t="s">
        <v>17</v>
      </c>
      <c r="F236" s="30" t="s">
        <v>5820</v>
      </c>
      <c r="G236" s="30">
        <v>0.70929698348758929</v>
      </c>
      <c r="H236" s="30">
        <v>1.5458376342971664E-3</v>
      </c>
      <c r="I236" s="30">
        <v>-290.70301651241073</v>
      </c>
      <c r="J236" s="30">
        <v>1.5458376342971665</v>
      </c>
      <c r="K236" s="30">
        <v>2760</v>
      </c>
      <c r="L236" s="30">
        <v>20</v>
      </c>
      <c r="M236" s="30">
        <v>19.08001318087792</v>
      </c>
      <c r="N236" s="30">
        <v>6.9164765878719123</v>
      </c>
      <c r="O236" s="30">
        <v>3.2184039221247409</v>
      </c>
      <c r="P236" s="14">
        <v>-905</v>
      </c>
      <c r="Q236" s="30">
        <v>-974</v>
      </c>
      <c r="R236" s="30">
        <v>-836</v>
      </c>
      <c r="S236" s="14"/>
    </row>
    <row r="237" spans="1:39" s="30" customFormat="1" ht="18" customHeight="1" x14ac:dyDescent="0.2">
      <c r="A237" s="14" t="s">
        <v>5875</v>
      </c>
      <c r="B237" s="14" t="s">
        <v>3973</v>
      </c>
      <c r="C237" s="14" t="s">
        <v>6952</v>
      </c>
      <c r="D237" s="14" t="s">
        <v>173</v>
      </c>
      <c r="E237" s="14" t="s">
        <v>13</v>
      </c>
      <c r="F237" s="14" t="s">
        <v>5820</v>
      </c>
      <c r="G237" s="25">
        <v>0.70949356106266004</v>
      </c>
      <c r="H237" s="25">
        <v>1.3887245184417401E-3</v>
      </c>
      <c r="I237" s="26">
        <v>-290.50643893734002</v>
      </c>
      <c r="J237" s="26">
        <v>1.3887245184417401</v>
      </c>
      <c r="K237" s="31">
        <v>2755</v>
      </c>
      <c r="L237" s="31">
        <v>20</v>
      </c>
      <c r="M237" s="26">
        <v>27.0674692250576</v>
      </c>
      <c r="N237" s="26">
        <v>9.7089339105387698</v>
      </c>
      <c r="O237" s="32">
        <f>(M237/12)/(N237/14)</f>
        <v>3.2525418739973855</v>
      </c>
      <c r="P237" s="14">
        <v>-890</v>
      </c>
      <c r="Q237" s="14">
        <v>-971</v>
      </c>
      <c r="R237" s="14">
        <v>-834</v>
      </c>
      <c r="S237" s="14"/>
    </row>
    <row r="238" spans="1:39" s="30" customFormat="1" ht="18" customHeight="1" x14ac:dyDescent="0.2">
      <c r="A238" s="14" t="s">
        <v>5879</v>
      </c>
      <c r="B238" s="14" t="s">
        <v>3969</v>
      </c>
      <c r="C238" s="14" t="s">
        <v>6947</v>
      </c>
      <c r="D238" s="14" t="s">
        <v>173</v>
      </c>
      <c r="E238" s="14" t="s">
        <v>13</v>
      </c>
      <c r="F238" s="14" t="s">
        <v>5820</v>
      </c>
      <c r="G238" s="25">
        <v>0.71005488042020704</v>
      </c>
      <c r="H238" s="25">
        <v>1.43601761638664E-3</v>
      </c>
      <c r="I238" s="26">
        <v>-289.94511957979199</v>
      </c>
      <c r="J238" s="26">
        <v>1.4360176163866401</v>
      </c>
      <c r="K238" s="31">
        <v>2750</v>
      </c>
      <c r="L238" s="31">
        <v>20</v>
      </c>
      <c r="M238" s="26">
        <v>27.767377689331699</v>
      </c>
      <c r="N238" s="26">
        <v>10.077841370867199</v>
      </c>
      <c r="O238" s="32">
        <f>(M238/12)/(N238/14)</f>
        <v>3.2145052475755893</v>
      </c>
      <c r="P238" s="14">
        <v>-884</v>
      </c>
      <c r="Q238" s="14">
        <v>-968</v>
      </c>
      <c r="R238" s="14">
        <v>-833</v>
      </c>
      <c r="S238" s="40"/>
      <c r="T238" s="40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</row>
    <row r="239" spans="1:39" s="30" customFormat="1" ht="18" customHeight="1" x14ac:dyDescent="0.2">
      <c r="A239" s="14" t="s">
        <v>5877</v>
      </c>
      <c r="B239" s="14" t="s">
        <v>3966</v>
      </c>
      <c r="C239" s="14" t="s">
        <v>6952</v>
      </c>
      <c r="D239" s="14" t="s">
        <v>173</v>
      </c>
      <c r="E239" s="14" t="s">
        <v>13</v>
      </c>
      <c r="F239" s="14" t="s">
        <v>5820</v>
      </c>
      <c r="G239" s="25">
        <v>0.71033365918203395</v>
      </c>
      <c r="H239" s="25">
        <v>1.3643601253022801E-3</v>
      </c>
      <c r="I239" s="26">
        <v>-289.66634081796599</v>
      </c>
      <c r="J239" s="26">
        <v>1.3643601253022799</v>
      </c>
      <c r="K239" s="31">
        <v>2745</v>
      </c>
      <c r="L239" s="31">
        <v>20</v>
      </c>
      <c r="M239" s="26">
        <v>22.860119646005</v>
      </c>
      <c r="N239" s="26">
        <v>8.2244353069264395</v>
      </c>
      <c r="O239" s="32">
        <f>(M239/12)/(N239/14)</f>
        <v>3.2427927987402154</v>
      </c>
      <c r="P239" s="14">
        <v>-879</v>
      </c>
      <c r="Q239" s="14">
        <v>-927</v>
      </c>
      <c r="R239" s="14">
        <v>-831</v>
      </c>
      <c r="S239" s="14"/>
    </row>
    <row r="240" spans="1:39" s="30" customFormat="1" ht="18" customHeight="1" x14ac:dyDescent="0.2">
      <c r="A240" s="14" t="s">
        <v>5884</v>
      </c>
      <c r="B240" s="14" t="s">
        <v>3928</v>
      </c>
      <c r="C240" s="14" t="s">
        <v>6946</v>
      </c>
      <c r="D240" s="14" t="s">
        <v>173</v>
      </c>
      <c r="E240" s="14" t="s">
        <v>13</v>
      </c>
      <c r="F240" s="14" t="s">
        <v>5820</v>
      </c>
      <c r="G240" s="25">
        <v>0.71113452674793598</v>
      </c>
      <c r="H240" s="25">
        <v>1.5396702458106599E-3</v>
      </c>
      <c r="I240" s="26">
        <v>-288.86547325206402</v>
      </c>
      <c r="J240" s="26">
        <v>1.5396702458106599</v>
      </c>
      <c r="K240" s="31">
        <v>2740</v>
      </c>
      <c r="L240" s="31">
        <v>20</v>
      </c>
      <c r="M240" s="26">
        <v>14.1083737346259</v>
      </c>
      <c r="N240" s="26">
        <v>5.1161620523582796</v>
      </c>
      <c r="O240" s="32">
        <f>(M240/12)/(N240/14)</f>
        <v>3.2172103206692739</v>
      </c>
      <c r="P240" s="14">
        <v>-875</v>
      </c>
      <c r="Q240" s="14">
        <v>-921</v>
      </c>
      <c r="R240" s="14">
        <v>-831</v>
      </c>
      <c r="S240" s="14"/>
    </row>
    <row r="241" spans="1:39" s="30" customFormat="1" ht="18" customHeight="1" x14ac:dyDescent="0.2">
      <c r="A241" s="14" t="s">
        <v>5872</v>
      </c>
      <c r="B241" s="14" t="s">
        <v>4042</v>
      </c>
      <c r="C241" s="14" t="s">
        <v>6951</v>
      </c>
      <c r="D241" s="14" t="s">
        <v>173</v>
      </c>
      <c r="E241" s="14" t="s">
        <v>143</v>
      </c>
      <c r="F241" s="14" t="s">
        <v>5820</v>
      </c>
      <c r="G241" s="25">
        <v>0.71105727480188796</v>
      </c>
      <c r="H241" s="25">
        <v>1.45863235529897E-3</v>
      </c>
      <c r="I241" s="26">
        <v>-288.94272519811199</v>
      </c>
      <c r="J241" s="26">
        <v>1.45863235529897</v>
      </c>
      <c r="K241" s="31">
        <v>2740</v>
      </c>
      <c r="L241" s="31">
        <v>20</v>
      </c>
      <c r="M241" s="26">
        <v>25.143435508029</v>
      </c>
      <c r="N241" s="26">
        <v>9.1773489517161408</v>
      </c>
      <c r="O241" s="32">
        <f>(M241/12)/(N241/14)</f>
        <v>3.1963487764312495</v>
      </c>
      <c r="P241" s="14">
        <v>-875</v>
      </c>
      <c r="Q241" s="14">
        <v>-921</v>
      </c>
      <c r="R241" s="14">
        <v>-831</v>
      </c>
      <c r="S241" s="14"/>
      <c r="AL241" s="38"/>
      <c r="AM241" s="38"/>
    </row>
    <row r="242" spans="1:39" s="30" customFormat="1" ht="18" customHeight="1" x14ac:dyDescent="0.2">
      <c r="A242" s="30" t="s">
        <v>7112</v>
      </c>
      <c r="B242" s="14" t="s">
        <v>3924</v>
      </c>
      <c r="C242" s="14" t="s">
        <v>6952</v>
      </c>
      <c r="D242" s="14" t="s">
        <v>173</v>
      </c>
      <c r="E242" s="14" t="s">
        <v>13</v>
      </c>
      <c r="F242" s="30" t="s">
        <v>5820</v>
      </c>
      <c r="G242" s="30">
        <v>0.71229154517833493</v>
      </c>
      <c r="H242" s="30">
        <v>1.4679737719464592E-3</v>
      </c>
      <c r="I242" s="30">
        <v>-287.7084548216651</v>
      </c>
      <c r="J242" s="30">
        <v>1.4679737719464592</v>
      </c>
      <c r="K242" s="30">
        <v>2725</v>
      </c>
      <c r="L242" s="30">
        <v>20</v>
      </c>
      <c r="M242" s="30">
        <v>22.123728583728653</v>
      </c>
      <c r="N242" s="30">
        <v>8.0036630668780528</v>
      </c>
      <c r="O242" s="30">
        <v>3.2249004568710222</v>
      </c>
      <c r="P242" s="14">
        <v>-866</v>
      </c>
      <c r="Q242" s="30">
        <v>-911</v>
      </c>
      <c r="R242" s="30">
        <v>-822</v>
      </c>
      <c r="S242" s="14"/>
    </row>
    <row r="243" spans="1:39" s="30" customFormat="1" ht="18" customHeight="1" x14ac:dyDescent="0.2">
      <c r="A243" s="30" t="s">
        <v>7079</v>
      </c>
      <c r="B243" s="14" t="s">
        <v>4079</v>
      </c>
      <c r="C243" s="14" t="s">
        <v>4085</v>
      </c>
      <c r="D243" s="14" t="s">
        <v>1152</v>
      </c>
      <c r="E243" s="14" t="s">
        <v>100</v>
      </c>
      <c r="F243" s="14" t="s">
        <v>17</v>
      </c>
      <c r="G243" s="14" t="s">
        <v>17</v>
      </c>
      <c r="H243" s="14" t="s">
        <v>17</v>
      </c>
      <c r="I243" s="14" t="s">
        <v>17</v>
      </c>
      <c r="J243" s="14" t="s">
        <v>17</v>
      </c>
      <c r="K243" s="30">
        <v>2720</v>
      </c>
      <c r="L243" s="30">
        <v>35</v>
      </c>
      <c r="M243" s="14" t="s">
        <v>17</v>
      </c>
      <c r="N243" s="14" t="s">
        <v>17</v>
      </c>
      <c r="O243" s="14" t="s">
        <v>17</v>
      </c>
      <c r="P243" s="14">
        <v>-868</v>
      </c>
      <c r="Q243" s="30">
        <v>-929</v>
      </c>
      <c r="R243" s="30">
        <v>-807</v>
      </c>
      <c r="S243" s="14"/>
    </row>
    <row r="244" spans="1:39" s="30" customFormat="1" ht="18" customHeight="1" x14ac:dyDescent="0.2">
      <c r="A244" s="14" t="s">
        <v>5873</v>
      </c>
      <c r="B244" s="14" t="s">
        <v>3962</v>
      </c>
      <c r="C244" s="14" t="s">
        <v>6952</v>
      </c>
      <c r="D244" s="14" t="s">
        <v>173</v>
      </c>
      <c r="E244" s="14" t="s">
        <v>13</v>
      </c>
      <c r="F244" s="14" t="s">
        <v>5820</v>
      </c>
      <c r="G244" s="25">
        <v>0.71256200835969796</v>
      </c>
      <c r="H244" s="25">
        <v>1.6021361613561299E-3</v>
      </c>
      <c r="I244" s="26">
        <v>-287.43799164030202</v>
      </c>
      <c r="J244" s="26">
        <v>1.60213616135613</v>
      </c>
      <c r="K244" s="31">
        <v>2720</v>
      </c>
      <c r="L244" s="31">
        <v>20</v>
      </c>
      <c r="M244" s="26">
        <v>16.652183295576801</v>
      </c>
      <c r="N244" s="26">
        <v>6.0552561009927803</v>
      </c>
      <c r="O244" s="32">
        <f>(M244/12)/(N244/14)</f>
        <v>3.2083774582197639</v>
      </c>
      <c r="P244" s="14">
        <v>-864</v>
      </c>
      <c r="Q244" s="14">
        <v>-906</v>
      </c>
      <c r="R244" s="14">
        <v>-820</v>
      </c>
      <c r="S244" s="14"/>
    </row>
    <row r="245" spans="1:39" s="30" customFormat="1" ht="18" customHeight="1" x14ac:dyDescent="0.2">
      <c r="A245" s="14" t="s">
        <v>5880</v>
      </c>
      <c r="B245" s="14" t="s">
        <v>3958</v>
      </c>
      <c r="C245" s="14" t="s">
        <v>6947</v>
      </c>
      <c r="D245" s="14" t="s">
        <v>173</v>
      </c>
      <c r="E245" s="14" t="s">
        <v>13</v>
      </c>
      <c r="F245" s="14" t="s">
        <v>5820</v>
      </c>
      <c r="G245" s="25">
        <v>0.71311996893698204</v>
      </c>
      <c r="H245" s="25">
        <v>1.47943470193718E-3</v>
      </c>
      <c r="I245" s="26">
        <v>-286.88003106301801</v>
      </c>
      <c r="J245" s="26">
        <v>1.4794347019371801</v>
      </c>
      <c r="K245" s="31">
        <v>2715</v>
      </c>
      <c r="L245" s="31">
        <v>20</v>
      </c>
      <c r="M245" s="26">
        <v>24.370495598426299</v>
      </c>
      <c r="N245" s="26">
        <v>8.7320882523101293</v>
      </c>
      <c r="O245" s="32">
        <f>(M245/12)/(N245/14)</f>
        <v>3.2560647628943453</v>
      </c>
      <c r="P245" s="14">
        <v>-861</v>
      </c>
      <c r="Q245" s="14">
        <v>-904</v>
      </c>
      <c r="R245" s="14">
        <v>-817</v>
      </c>
      <c r="S245" s="14"/>
    </row>
    <row r="246" spans="1:39" s="30" customFormat="1" ht="18" customHeight="1" x14ac:dyDescent="0.2">
      <c r="A246" s="14" t="s">
        <v>5876</v>
      </c>
      <c r="B246" s="14" t="s">
        <v>3954</v>
      </c>
      <c r="C246" s="14" t="s">
        <v>6952</v>
      </c>
      <c r="D246" s="14" t="s">
        <v>173</v>
      </c>
      <c r="E246" s="14" t="s">
        <v>13</v>
      </c>
      <c r="F246" s="14" t="s">
        <v>5820</v>
      </c>
      <c r="G246" s="25">
        <v>0.71667960425967603</v>
      </c>
      <c r="H246" s="25">
        <v>1.4036694074098599E-3</v>
      </c>
      <c r="I246" s="26">
        <v>-283.32039574032399</v>
      </c>
      <c r="J246" s="26">
        <v>1.4036694074098599</v>
      </c>
      <c r="K246" s="31">
        <v>2675</v>
      </c>
      <c r="L246" s="31">
        <v>20</v>
      </c>
      <c r="M246" s="26">
        <v>19.1516586707606</v>
      </c>
      <c r="N246" s="26">
        <v>6.9770635128832899</v>
      </c>
      <c r="O246" s="32">
        <f>(M246/12)/(N246/14)</f>
        <v>3.2024363460782777</v>
      </c>
      <c r="P246" s="14">
        <v>-828</v>
      </c>
      <c r="Q246" s="14">
        <v>-895</v>
      </c>
      <c r="R246" s="14">
        <v>-801</v>
      </c>
      <c r="S246" s="14"/>
    </row>
    <row r="247" spans="1:39" s="30" customFormat="1" ht="18" customHeight="1" x14ac:dyDescent="0.2">
      <c r="A247" s="14" t="s">
        <v>5878</v>
      </c>
      <c r="B247" s="14" t="s">
        <v>3951</v>
      </c>
      <c r="C247" s="14" t="s">
        <v>6952</v>
      </c>
      <c r="D247" s="14" t="s">
        <v>173</v>
      </c>
      <c r="E247" s="14" t="s">
        <v>13</v>
      </c>
      <c r="F247" s="14" t="s">
        <v>5820</v>
      </c>
      <c r="G247" s="25">
        <v>0.71740805652310802</v>
      </c>
      <c r="H247" s="25">
        <v>1.3953247277524901E-3</v>
      </c>
      <c r="I247" s="26">
        <v>-282.591943476891</v>
      </c>
      <c r="J247" s="26">
        <v>1.3953247277524901</v>
      </c>
      <c r="K247" s="31">
        <v>2670</v>
      </c>
      <c r="L247" s="31">
        <v>20</v>
      </c>
      <c r="M247" s="26">
        <v>28.594520458009299</v>
      </c>
      <c r="N247" s="26">
        <v>10.378960565302</v>
      </c>
      <c r="O247" s="32">
        <f>(M247/12)/(N247/14)</f>
        <v>3.2142210829092619</v>
      </c>
      <c r="P247" s="14">
        <v>-824</v>
      </c>
      <c r="Q247" s="14">
        <v>-894</v>
      </c>
      <c r="R247" s="14">
        <v>-798</v>
      </c>
      <c r="S247" s="14"/>
    </row>
    <row r="248" spans="1:39" s="38" customFormat="1" ht="18" customHeight="1" x14ac:dyDescent="0.2">
      <c r="A248" s="14" t="s">
        <v>5874</v>
      </c>
      <c r="B248" s="14" t="s">
        <v>4071</v>
      </c>
      <c r="C248" s="14" t="s">
        <v>6952</v>
      </c>
      <c r="D248" s="14" t="s">
        <v>173</v>
      </c>
      <c r="E248" s="14" t="s">
        <v>13</v>
      </c>
      <c r="F248" s="14" t="s">
        <v>5820</v>
      </c>
      <c r="G248" s="25">
        <v>0.719269626896056</v>
      </c>
      <c r="H248" s="25">
        <v>1.39667901249802E-3</v>
      </c>
      <c r="I248" s="26">
        <v>-280.73037310394398</v>
      </c>
      <c r="J248" s="26">
        <v>1.39667901249802</v>
      </c>
      <c r="K248" s="31">
        <v>2645</v>
      </c>
      <c r="L248" s="31">
        <v>20</v>
      </c>
      <c r="M248" s="26">
        <v>28.839937007507402</v>
      </c>
      <c r="N248" s="26">
        <v>10.310001119264401</v>
      </c>
      <c r="O248" s="32">
        <f>(M248/12)/(N248/14)</f>
        <v>3.2634907393517261</v>
      </c>
      <c r="P248" s="14">
        <v>-811</v>
      </c>
      <c r="Q248" s="14">
        <v>-831</v>
      </c>
      <c r="R248" s="14">
        <v>-796</v>
      </c>
      <c r="S248" s="14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</row>
    <row r="249" spans="1:39" s="38" customFormat="1" ht="18" customHeight="1" x14ac:dyDescent="0.2">
      <c r="A249" s="38" t="s">
        <v>7420</v>
      </c>
      <c r="B249" s="38" t="s">
        <v>3198</v>
      </c>
      <c r="C249" s="14" t="s">
        <v>7052</v>
      </c>
      <c r="D249" s="14" t="s">
        <v>173</v>
      </c>
      <c r="E249" s="38" t="s">
        <v>13</v>
      </c>
      <c r="F249" s="38" t="s">
        <v>5827</v>
      </c>
      <c r="G249" s="25">
        <v>0.72070803753947854</v>
      </c>
      <c r="H249" s="25">
        <v>1.4787939180318705E-3</v>
      </c>
      <c r="I249" s="26">
        <v>-279.29196246052146</v>
      </c>
      <c r="J249" s="53">
        <v>1.4787939180318705</v>
      </c>
      <c r="K249" s="54">
        <v>2630</v>
      </c>
      <c r="L249" s="54">
        <v>20</v>
      </c>
      <c r="M249" s="55">
        <v>6.05824428434516</v>
      </c>
      <c r="N249" s="55">
        <v>2.0991916035873173</v>
      </c>
      <c r="O249" s="56">
        <v>3.3669873931426277</v>
      </c>
      <c r="P249" s="39">
        <v>-808</v>
      </c>
      <c r="Q249" s="38">
        <v>-824</v>
      </c>
      <c r="R249" s="38">
        <v>-792</v>
      </c>
      <c r="S249" s="14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</row>
    <row r="250" spans="1:39" s="38" customFormat="1" ht="18" customHeight="1" x14ac:dyDescent="0.2">
      <c r="A250" s="30" t="s">
        <v>7091</v>
      </c>
      <c r="B250" s="14" t="s">
        <v>175</v>
      </c>
      <c r="C250" s="14" t="s">
        <v>178</v>
      </c>
      <c r="D250" s="14" t="s">
        <v>173</v>
      </c>
      <c r="E250" s="14" t="s">
        <v>13</v>
      </c>
      <c r="F250" s="30" t="s">
        <v>5820</v>
      </c>
      <c r="G250" s="30">
        <v>0.72172173278740037</v>
      </c>
      <c r="H250" s="30">
        <v>1.4439670549952753E-3</v>
      </c>
      <c r="I250" s="30">
        <v>-278.27826721259964</v>
      </c>
      <c r="J250" s="30">
        <v>1.4439670549952752</v>
      </c>
      <c r="K250" s="30">
        <v>2620</v>
      </c>
      <c r="L250" s="30">
        <v>20</v>
      </c>
      <c r="M250" s="30">
        <v>23.292876</v>
      </c>
      <c r="N250" s="30">
        <v>8.4304898999999995</v>
      </c>
      <c r="O250" s="30">
        <v>3.2234214526489144</v>
      </c>
      <c r="P250" s="14">
        <v>-803</v>
      </c>
      <c r="Q250" s="30">
        <v>-818</v>
      </c>
      <c r="R250" s="30">
        <v>-789</v>
      </c>
      <c r="S250" s="14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</row>
    <row r="251" spans="1:39" s="38" customFormat="1" ht="18" customHeight="1" x14ac:dyDescent="0.2">
      <c r="A251" s="38" t="s">
        <v>8209</v>
      </c>
      <c r="B251" s="38" t="s">
        <v>4519</v>
      </c>
      <c r="C251" s="38" t="s">
        <v>178</v>
      </c>
      <c r="D251" s="38" t="s">
        <v>173</v>
      </c>
      <c r="E251" s="38" t="s">
        <v>4519</v>
      </c>
      <c r="F251" s="38" t="s">
        <v>5820</v>
      </c>
      <c r="G251" s="25">
        <v>0.73639156659988636</v>
      </c>
      <c r="H251" s="25">
        <v>1.8016311109595911E-3</v>
      </c>
      <c r="I251" s="26">
        <v>-263.60843340011365</v>
      </c>
      <c r="J251" s="53">
        <v>1.8016311109595911</v>
      </c>
      <c r="K251" s="54">
        <v>2460</v>
      </c>
      <c r="L251" s="175">
        <v>20</v>
      </c>
      <c r="M251" s="55">
        <v>17.832094701154958</v>
      </c>
      <c r="N251" s="55">
        <v>6.3314703317131773</v>
      </c>
      <c r="O251" s="56">
        <f>(M251/12)/(N251/14)</f>
        <v>3.28582610274217</v>
      </c>
      <c r="P251" s="38">
        <v>-593</v>
      </c>
      <c r="Q251" s="38">
        <v>-756</v>
      </c>
      <c r="R251" s="38">
        <v>-430</v>
      </c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</row>
    <row r="252" spans="1:39" s="38" customFormat="1" ht="18" customHeight="1" x14ac:dyDescent="0.2">
      <c r="A252" s="14" t="s">
        <v>8167</v>
      </c>
      <c r="B252" s="14" t="s">
        <v>4124</v>
      </c>
      <c r="C252" s="14" t="s">
        <v>1398</v>
      </c>
      <c r="D252" s="14" t="s">
        <v>1152</v>
      </c>
      <c r="E252" s="14" t="s">
        <v>13</v>
      </c>
      <c r="F252" s="14" t="s">
        <v>5827</v>
      </c>
      <c r="G252" s="41">
        <v>0.73663432851475696</v>
      </c>
      <c r="H252" s="41">
        <v>1.5640586674416019E-3</v>
      </c>
      <c r="I252" s="42">
        <v>-263.36567148524301</v>
      </c>
      <c r="J252" s="42">
        <v>1.5640586674416019</v>
      </c>
      <c r="K252" s="14">
        <v>2455</v>
      </c>
      <c r="L252" s="14">
        <v>20</v>
      </c>
      <c r="M252" s="153">
        <v>41.234877609089793</v>
      </c>
      <c r="N252" s="153">
        <v>14.713864507704365</v>
      </c>
      <c r="O252" s="154">
        <f>(M252/12)/(N252/14)</f>
        <v>3.2695256358664402</v>
      </c>
      <c r="P252" s="14">
        <v>-584</v>
      </c>
      <c r="Q252" s="14">
        <v>-752</v>
      </c>
      <c r="R252" s="14">
        <v>-416</v>
      </c>
      <c r="S252" s="14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</row>
    <row r="253" spans="1:39" s="38" customFormat="1" ht="18" customHeight="1" x14ac:dyDescent="0.2">
      <c r="A253" s="30" t="s">
        <v>7094</v>
      </c>
      <c r="B253" s="14" t="s">
        <v>4491</v>
      </c>
      <c r="C253" s="14" t="s">
        <v>612</v>
      </c>
      <c r="D253" s="14" t="s">
        <v>173</v>
      </c>
      <c r="E253" s="14" t="s">
        <v>13</v>
      </c>
      <c r="F253" s="30" t="s">
        <v>5827</v>
      </c>
      <c r="G253" s="30">
        <v>0.7593108069982949</v>
      </c>
      <c r="H253" s="30">
        <v>1.6643960435745377E-3</v>
      </c>
      <c r="I253" s="30">
        <v>-240.68919300170509</v>
      </c>
      <c r="J253" s="30">
        <v>1.6643960435745377</v>
      </c>
      <c r="K253" s="30">
        <v>2210</v>
      </c>
      <c r="L253" s="30">
        <v>20</v>
      </c>
      <c r="M253" s="30">
        <v>42.194672984008946</v>
      </c>
      <c r="N253" s="30">
        <v>15.572490475787212</v>
      </c>
      <c r="O253" s="30">
        <v>3.161159003942513</v>
      </c>
      <c r="P253" s="14">
        <v>-282</v>
      </c>
      <c r="Q253" s="30">
        <v>-361</v>
      </c>
      <c r="R253" s="30">
        <v>-203</v>
      </c>
      <c r="S253" s="14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</row>
    <row r="254" spans="1:39" s="40" customFormat="1" ht="18" customHeight="1" x14ac:dyDescent="0.2">
      <c r="A254" s="30" t="s">
        <v>7096</v>
      </c>
      <c r="B254" s="14" t="s">
        <v>4488</v>
      </c>
      <c r="C254" s="14" t="s">
        <v>612</v>
      </c>
      <c r="D254" s="14" t="s">
        <v>173</v>
      </c>
      <c r="E254" s="14" t="s">
        <v>13</v>
      </c>
      <c r="F254" s="30" t="s">
        <v>5827</v>
      </c>
      <c r="G254" s="30">
        <v>0.76012036456308552</v>
      </c>
      <c r="H254" s="30">
        <v>1.5660828147022884E-3</v>
      </c>
      <c r="I254" s="30">
        <v>-239.8796354369145</v>
      </c>
      <c r="J254" s="30">
        <v>1.5660828147022883</v>
      </c>
      <c r="K254" s="30">
        <v>2205</v>
      </c>
      <c r="L254" s="30">
        <v>20</v>
      </c>
      <c r="M254" s="30">
        <v>43.619458700000003</v>
      </c>
      <c r="N254" s="30">
        <v>15.3973092</v>
      </c>
      <c r="O254" s="30">
        <v>3.3050819349223262</v>
      </c>
      <c r="P254" s="14">
        <v>-281</v>
      </c>
      <c r="Q254" s="30">
        <v>-361</v>
      </c>
      <c r="R254" s="30">
        <v>-202</v>
      </c>
      <c r="S254" s="14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</row>
    <row r="255" spans="1:39" s="142" customFormat="1" ht="18" customHeight="1" x14ac:dyDescent="0.2">
      <c r="A255" s="30" t="s">
        <v>7093</v>
      </c>
      <c r="B255" s="14" t="s">
        <v>4527</v>
      </c>
      <c r="C255" s="14" t="s">
        <v>612</v>
      </c>
      <c r="D255" s="14" t="s">
        <v>173</v>
      </c>
      <c r="E255" s="14" t="s">
        <v>143</v>
      </c>
      <c r="F255" s="30" t="s">
        <v>5820</v>
      </c>
      <c r="G255" s="30">
        <v>0.76200628586219332</v>
      </c>
      <c r="H255" s="30">
        <v>1.6490203550202842E-3</v>
      </c>
      <c r="I255" s="30">
        <v>-237.99371413780668</v>
      </c>
      <c r="J255" s="30">
        <v>1.6490203550202842</v>
      </c>
      <c r="K255" s="30">
        <v>2185</v>
      </c>
      <c r="L255" s="30">
        <v>20</v>
      </c>
      <c r="M255" s="30">
        <v>12.992022800000001</v>
      </c>
      <c r="N255" s="30">
        <v>4.6402890000000001</v>
      </c>
      <c r="O255" s="30">
        <v>3.2664689490963457</v>
      </c>
      <c r="P255" s="14">
        <v>-269</v>
      </c>
      <c r="Q255" s="30">
        <v>-358</v>
      </c>
      <c r="R255" s="30">
        <v>-181</v>
      </c>
      <c r="S255" s="14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</row>
    <row r="256" spans="1:39" s="143" customFormat="1" ht="18" customHeight="1" x14ac:dyDescent="0.2">
      <c r="A256" s="30" t="s">
        <v>7092</v>
      </c>
      <c r="B256" s="14" t="s">
        <v>4527</v>
      </c>
      <c r="C256" s="14" t="s">
        <v>612</v>
      </c>
      <c r="D256" s="14" t="s">
        <v>173</v>
      </c>
      <c r="E256" s="14" t="s">
        <v>143</v>
      </c>
      <c r="F256" s="30" t="s">
        <v>5820</v>
      </c>
      <c r="G256" s="30">
        <v>0.76220051059199112</v>
      </c>
      <c r="H256" s="30">
        <v>2.4424260237262724E-3</v>
      </c>
      <c r="I256" s="30">
        <v>-237.79948940800887</v>
      </c>
      <c r="J256" s="30">
        <v>2.4424260237262723</v>
      </c>
      <c r="K256" s="30">
        <v>2180</v>
      </c>
      <c r="L256" s="30">
        <v>30</v>
      </c>
      <c r="M256" s="30">
        <v>19.012360875663148</v>
      </c>
      <c r="N256" s="30">
        <v>6.8490453999999996</v>
      </c>
      <c r="O256" s="30">
        <v>3.2385663100252882</v>
      </c>
      <c r="P256" s="14">
        <v>-264</v>
      </c>
      <c r="Q256" s="30">
        <v>-361</v>
      </c>
      <c r="R256" s="30">
        <v>-168</v>
      </c>
      <c r="S256" s="14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</row>
    <row r="257" spans="1:39" s="143" customFormat="1" ht="18" customHeight="1" x14ac:dyDescent="0.2">
      <c r="A257" s="30" t="s">
        <v>7095</v>
      </c>
      <c r="B257" s="14" t="s">
        <v>4488</v>
      </c>
      <c r="C257" s="14" t="s">
        <v>612</v>
      </c>
      <c r="D257" s="14" t="s">
        <v>173</v>
      </c>
      <c r="E257" s="14" t="s">
        <v>13</v>
      </c>
      <c r="F257" s="30" t="s">
        <v>5820</v>
      </c>
      <c r="G257" s="30">
        <v>0.76261566584726359</v>
      </c>
      <c r="H257" s="30">
        <v>1.5209035718795057E-3</v>
      </c>
      <c r="I257" s="30">
        <v>-237.38433415273641</v>
      </c>
      <c r="J257" s="30">
        <v>1.5209035718795056</v>
      </c>
      <c r="K257" s="30">
        <v>2175</v>
      </c>
      <c r="L257" s="30">
        <v>20</v>
      </c>
      <c r="M257" s="30">
        <v>22.446245830290636</v>
      </c>
      <c r="N257" s="30">
        <v>7.8681215908444466</v>
      </c>
      <c r="O257" s="30">
        <v>3.3282768319795615</v>
      </c>
      <c r="P257" s="14">
        <v>-264</v>
      </c>
      <c r="Q257" s="30">
        <v>-357</v>
      </c>
      <c r="R257" s="30">
        <v>-171</v>
      </c>
      <c r="S257" s="14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</row>
    <row r="258" spans="1:39" s="143" customFormat="1" ht="18" customHeight="1" x14ac:dyDescent="0.2">
      <c r="A258" s="38" t="s">
        <v>8210</v>
      </c>
      <c r="B258" s="38" t="s">
        <v>4521</v>
      </c>
      <c r="C258" s="38" t="s">
        <v>178</v>
      </c>
      <c r="D258" s="38" t="s">
        <v>173</v>
      </c>
      <c r="E258" s="38" t="s">
        <v>4521</v>
      </c>
      <c r="F258" s="38" t="s">
        <v>5820</v>
      </c>
      <c r="G258" s="25">
        <v>0.7636692945759177</v>
      </c>
      <c r="H258" s="25">
        <v>1.6526804831707297E-3</v>
      </c>
      <c r="I258" s="26">
        <v>-236.33070542408231</v>
      </c>
      <c r="J258" s="53">
        <v>1.6526804831707296</v>
      </c>
      <c r="K258" s="54">
        <v>2165</v>
      </c>
      <c r="L258" s="175">
        <v>20</v>
      </c>
      <c r="M258" s="55">
        <v>25.926093399999999</v>
      </c>
      <c r="N258" s="55">
        <v>9.3199916999999992</v>
      </c>
      <c r="O258" s="56">
        <f>(M258/12)/(N258/14)</f>
        <v>3.2454008480143464</v>
      </c>
      <c r="P258" s="38">
        <v>-239</v>
      </c>
      <c r="Q258" s="38">
        <v>-356</v>
      </c>
      <c r="R258" s="38">
        <v>-121</v>
      </c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</row>
    <row r="259" spans="1:39" s="143" customFormat="1" ht="18" customHeight="1" x14ac:dyDescent="0.2">
      <c r="A259" s="14" t="s">
        <v>5882</v>
      </c>
      <c r="B259" s="14" t="s">
        <v>4550</v>
      </c>
      <c r="C259" s="14" t="s">
        <v>7049</v>
      </c>
      <c r="D259" s="14" t="s">
        <v>173</v>
      </c>
      <c r="E259" s="14" t="s">
        <v>13</v>
      </c>
      <c r="F259" s="14" t="s">
        <v>5820</v>
      </c>
      <c r="G259" s="25">
        <v>0.77174761277830595</v>
      </c>
      <c r="H259" s="25">
        <v>1.5896394745317001E-3</v>
      </c>
      <c r="I259" s="26">
        <v>-228.25238722169399</v>
      </c>
      <c r="J259" s="26">
        <v>1.5896394745317</v>
      </c>
      <c r="K259" s="31">
        <v>2080</v>
      </c>
      <c r="L259" s="31">
        <v>20</v>
      </c>
      <c r="M259" s="26">
        <v>16.630763224929801</v>
      </c>
      <c r="N259" s="26">
        <v>6.0455129889870598</v>
      </c>
      <c r="O259" s="32">
        <f>(M259/12)/(N259/14)</f>
        <v>3.2094145080982415</v>
      </c>
      <c r="P259" s="14">
        <v>-102</v>
      </c>
      <c r="Q259" s="14">
        <v>-167</v>
      </c>
      <c r="R259" s="14">
        <v>-46</v>
      </c>
      <c r="S259" s="14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</row>
    <row r="260" spans="1:39" s="143" customFormat="1" ht="18" customHeight="1" x14ac:dyDescent="0.2">
      <c r="A260" s="81" t="s">
        <v>8189</v>
      </c>
      <c r="B260" s="58" t="s">
        <v>4573</v>
      </c>
      <c r="C260" s="59" t="s">
        <v>4570</v>
      </c>
      <c r="D260" s="59" t="s">
        <v>3789</v>
      </c>
      <c r="E260" s="161" t="s">
        <v>143</v>
      </c>
      <c r="F260" s="161">
        <v>1.6906705959463066E-3</v>
      </c>
      <c r="G260" s="81" t="s">
        <v>5827</v>
      </c>
      <c r="H260" s="161">
        <v>0.77212957546553707</v>
      </c>
      <c r="I260" s="162">
        <v>-227.87042453446293</v>
      </c>
      <c r="J260" s="163">
        <v>1.6906705959463066</v>
      </c>
      <c r="K260" s="164">
        <v>2075</v>
      </c>
      <c r="L260" s="165">
        <v>20</v>
      </c>
      <c r="M260" s="166">
        <v>45.576312128046958</v>
      </c>
      <c r="N260" s="166">
        <v>16.308636366504203</v>
      </c>
      <c r="O260" s="167">
        <v>3.2603807549843449</v>
      </c>
      <c r="P260" s="168">
        <v>-105</v>
      </c>
      <c r="Q260" s="168">
        <v>-166</v>
      </c>
      <c r="R260" s="169">
        <v>-44</v>
      </c>
      <c r="S260" s="81"/>
      <c r="T260" s="170"/>
      <c r="U260" s="58"/>
      <c r="V260" s="164"/>
      <c r="W260" s="165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</row>
    <row r="261" spans="1:39" s="143" customFormat="1" ht="18" customHeight="1" x14ac:dyDescent="0.2">
      <c r="A261" s="81" t="s">
        <v>8190</v>
      </c>
      <c r="B261" s="58" t="s">
        <v>4577</v>
      </c>
      <c r="C261" s="59" t="s">
        <v>4570</v>
      </c>
      <c r="D261" s="59" t="s">
        <v>3789</v>
      </c>
      <c r="E261" s="161" t="s">
        <v>143</v>
      </c>
      <c r="F261" s="161">
        <v>1.6688516485131729E-3</v>
      </c>
      <c r="G261" s="81" t="s">
        <v>5827</v>
      </c>
      <c r="H261" s="161">
        <v>0.77777133425834566</v>
      </c>
      <c r="I261" s="162">
        <v>-222.22866574165434</v>
      </c>
      <c r="J261" s="163">
        <v>1.6688516485131728</v>
      </c>
      <c r="K261" s="164">
        <v>2020</v>
      </c>
      <c r="L261" s="165">
        <v>20</v>
      </c>
      <c r="M261" s="166">
        <v>47.270511202454692</v>
      </c>
      <c r="N261" s="166">
        <v>16.810142592085871</v>
      </c>
      <c r="O261" s="167">
        <v>3.2806937498650948</v>
      </c>
      <c r="P261" s="168">
        <v>-19</v>
      </c>
      <c r="Q261" s="168">
        <v>-88</v>
      </c>
      <c r="R261" s="169">
        <v>50</v>
      </c>
      <c r="S261" s="81"/>
      <c r="T261" s="170"/>
      <c r="U261" s="58"/>
      <c r="V261" s="164"/>
      <c r="W261" s="165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</row>
    <row r="262" spans="1:39" s="143" customFormat="1" ht="18" customHeight="1" x14ac:dyDescent="0.2">
      <c r="A262" s="38" t="s">
        <v>8208</v>
      </c>
      <c r="B262" s="38" t="s">
        <v>4517</v>
      </c>
      <c r="C262" s="38" t="s">
        <v>178</v>
      </c>
      <c r="D262" s="38" t="s">
        <v>173</v>
      </c>
      <c r="E262" s="38" t="s">
        <v>4517</v>
      </c>
      <c r="F262" s="38" t="s">
        <v>5820</v>
      </c>
      <c r="G262" s="25">
        <v>0.77879547990459186</v>
      </c>
      <c r="H262" s="25">
        <v>1.8179193386528728E-3</v>
      </c>
      <c r="I262" s="26">
        <v>-221.20452009540813</v>
      </c>
      <c r="J262" s="53">
        <v>1.8179193386528727</v>
      </c>
      <c r="K262" s="54">
        <v>2010</v>
      </c>
      <c r="L262" s="175">
        <v>20</v>
      </c>
      <c r="M262" s="55">
        <v>21.470813704332919</v>
      </c>
      <c r="N262" s="55">
        <v>7.6914509828557085</v>
      </c>
      <c r="O262" s="56">
        <f>(M262/12)/(N262/14)</f>
        <v>3.2567694588303397</v>
      </c>
      <c r="P262" s="38">
        <v>1</v>
      </c>
      <c r="Q262" s="38">
        <v>-50</v>
      </c>
      <c r="R262" s="38">
        <v>52</v>
      </c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</row>
    <row r="263" spans="1:39" s="143" customFormat="1" ht="18" customHeight="1" x14ac:dyDescent="0.2">
      <c r="A263" s="38" t="s">
        <v>8207</v>
      </c>
      <c r="B263" s="38" t="s">
        <v>610</v>
      </c>
      <c r="C263" s="38" t="s">
        <v>6946</v>
      </c>
      <c r="D263" s="38" t="s">
        <v>173</v>
      </c>
      <c r="E263" s="38" t="s">
        <v>610</v>
      </c>
      <c r="F263" s="38" t="s">
        <v>5820</v>
      </c>
      <c r="G263" s="176">
        <v>0.7792785242670065</v>
      </c>
      <c r="H263" s="176">
        <v>1.7053264404983187E-3</v>
      </c>
      <c r="I263" s="53">
        <v>-220.7214757329935</v>
      </c>
      <c r="J263" s="53">
        <v>1.7053264404983186</v>
      </c>
      <c r="K263" s="54">
        <v>2005</v>
      </c>
      <c r="L263" s="54">
        <v>20</v>
      </c>
      <c r="M263" s="55">
        <v>19.630955400000001</v>
      </c>
      <c r="N263" s="55">
        <v>6.8827147000000002</v>
      </c>
      <c r="O263" s="56">
        <f>(M263/12)/(N263/14)</f>
        <v>3.3275796394698736</v>
      </c>
      <c r="P263" s="38">
        <v>3</v>
      </c>
      <c r="Q263" s="38">
        <v>-47</v>
      </c>
      <c r="R263" s="38">
        <v>52</v>
      </c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</row>
    <row r="264" spans="1:39" s="40" customFormat="1" ht="18" customHeight="1" x14ac:dyDescent="0.2">
      <c r="A264" s="14" t="s">
        <v>5881</v>
      </c>
      <c r="B264" s="14" t="s">
        <v>4546</v>
      </c>
      <c r="C264" s="14" t="s">
        <v>7049</v>
      </c>
      <c r="D264" s="14" t="s">
        <v>173</v>
      </c>
      <c r="E264" s="14" t="s">
        <v>13</v>
      </c>
      <c r="F264" s="14" t="s">
        <v>5820</v>
      </c>
      <c r="G264" s="25">
        <v>0.780552722413283</v>
      </c>
      <c r="H264" s="25">
        <v>1.78074840458175E-3</v>
      </c>
      <c r="I264" s="26">
        <v>-219.44727758671701</v>
      </c>
      <c r="J264" s="26">
        <v>1.7807484045817501</v>
      </c>
      <c r="K264" s="31">
        <v>1990</v>
      </c>
      <c r="L264" s="31">
        <v>20</v>
      </c>
      <c r="M264" s="26">
        <v>11.429923878974</v>
      </c>
      <c r="N264" s="26">
        <v>4.1377660458202197</v>
      </c>
      <c r="O264" s="32">
        <f>(M264/12)/(N264/14)</f>
        <v>3.2227320357096181</v>
      </c>
      <c r="P264" s="14">
        <v>11</v>
      </c>
      <c r="Q264" s="14">
        <v>-41</v>
      </c>
      <c r="R264" s="14">
        <v>57</v>
      </c>
      <c r="S264" s="14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</row>
    <row r="265" spans="1:39" s="40" customFormat="1" ht="18" customHeight="1" x14ac:dyDescent="0.2">
      <c r="A265" s="14" t="s">
        <v>8166</v>
      </c>
      <c r="B265" s="14" t="s">
        <v>4128</v>
      </c>
      <c r="C265" s="14" t="s">
        <v>6642</v>
      </c>
      <c r="D265" s="14" t="s">
        <v>1152</v>
      </c>
      <c r="E265" s="14" t="s">
        <v>13</v>
      </c>
      <c r="F265" s="14" t="s">
        <v>5827</v>
      </c>
      <c r="G265" s="41">
        <v>0.7969731977055049</v>
      </c>
      <c r="H265" s="41">
        <v>1.5604182549908935E-3</v>
      </c>
      <c r="I265" s="42">
        <v>-203.0268022944951</v>
      </c>
      <c r="J265" s="42">
        <v>1.5604182549908934</v>
      </c>
      <c r="K265" s="14">
        <v>1825</v>
      </c>
      <c r="L265" s="14">
        <v>20</v>
      </c>
      <c r="M265" s="153">
        <v>49.694476896841742</v>
      </c>
      <c r="N265" s="153">
        <v>17.663267948021147</v>
      </c>
      <c r="O265" s="154">
        <f>(M265/12)/(N265/14)</f>
        <v>3.2823421964494006</v>
      </c>
      <c r="P265" s="14">
        <v>185</v>
      </c>
      <c r="Q265" s="14">
        <v>130</v>
      </c>
      <c r="R265" s="14">
        <v>240</v>
      </c>
      <c r="S265" s="14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</row>
    <row r="266" spans="1:39" s="40" customFormat="1" ht="18" customHeight="1" x14ac:dyDescent="0.2">
      <c r="A266" s="30" t="s">
        <v>7077</v>
      </c>
      <c r="B266" s="14" t="s">
        <v>4529</v>
      </c>
      <c r="C266" s="14" t="s">
        <v>6949</v>
      </c>
      <c r="D266" s="14" t="s">
        <v>173</v>
      </c>
      <c r="E266" s="14" t="s">
        <v>17</v>
      </c>
      <c r="F266" s="14" t="s">
        <v>17</v>
      </c>
      <c r="G266" s="14" t="s">
        <v>17</v>
      </c>
      <c r="H266" s="14" t="s">
        <v>17</v>
      </c>
      <c r="I266" s="14" t="s">
        <v>17</v>
      </c>
      <c r="J266" s="14" t="s">
        <v>17</v>
      </c>
      <c r="K266" s="30">
        <v>1200</v>
      </c>
      <c r="L266" s="30">
        <v>30</v>
      </c>
      <c r="M266" s="14" t="s">
        <v>17</v>
      </c>
      <c r="N266" s="14" t="s">
        <v>17</v>
      </c>
      <c r="O266" s="14" t="s">
        <v>17</v>
      </c>
      <c r="P266" s="14">
        <v>808</v>
      </c>
      <c r="Q266" s="30">
        <v>720</v>
      </c>
      <c r="R266" s="30">
        <v>895</v>
      </c>
      <c r="S266" s="14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</row>
    <row r="267" spans="1:39" s="40" customFormat="1" ht="18" customHeight="1" x14ac:dyDescent="0.2">
      <c r="A267" s="38" t="s">
        <v>8206</v>
      </c>
      <c r="B267" s="38" t="s">
        <v>607</v>
      </c>
      <c r="C267" s="38" t="s">
        <v>6946</v>
      </c>
      <c r="D267" s="38" t="s">
        <v>173</v>
      </c>
      <c r="E267" s="38" t="s">
        <v>607</v>
      </c>
      <c r="F267" s="38" t="s">
        <v>5820</v>
      </c>
      <c r="G267" s="176">
        <v>0.88742038398395662</v>
      </c>
      <c r="H267" s="176">
        <v>1.8354993834254171E-3</v>
      </c>
      <c r="I267" s="53">
        <v>-112.57961601604339</v>
      </c>
      <c r="J267" s="53">
        <v>1.835499383425417</v>
      </c>
      <c r="K267" s="54">
        <v>960</v>
      </c>
      <c r="L267" s="54">
        <v>20</v>
      </c>
      <c r="M267" s="55">
        <v>22.244951799999999</v>
      </c>
      <c r="N267" s="55">
        <v>7.8226658000000002</v>
      </c>
      <c r="O267" s="56">
        <f>(M267/12)/(N267/14)</f>
        <v>3.3175958720704473</v>
      </c>
      <c r="P267" s="38">
        <v>1088</v>
      </c>
      <c r="Q267" s="38">
        <v>1021</v>
      </c>
      <c r="R267" s="38">
        <v>1154</v>
      </c>
    </row>
    <row r="268" spans="1:39" s="40" customFormat="1" ht="18" customHeight="1" x14ac:dyDescent="0.2">
      <c r="A268" s="14" t="s">
        <v>6006</v>
      </c>
      <c r="B268" s="14" t="s">
        <v>4539</v>
      </c>
      <c r="C268" s="14" t="s">
        <v>7446</v>
      </c>
      <c r="D268" s="14" t="s">
        <v>173</v>
      </c>
      <c r="E268" s="14" t="s">
        <v>143</v>
      </c>
      <c r="F268" s="14" t="s">
        <v>5997</v>
      </c>
      <c r="G268" s="14" t="s">
        <v>17</v>
      </c>
      <c r="H268" s="14" t="s">
        <v>17</v>
      </c>
      <c r="I268" s="14" t="s">
        <v>17</v>
      </c>
      <c r="J268" s="14" t="s">
        <v>17</v>
      </c>
      <c r="K268" s="30">
        <v>905</v>
      </c>
      <c r="L268" s="30">
        <v>30</v>
      </c>
      <c r="M268" s="30">
        <v>10.8</v>
      </c>
      <c r="N268" s="30">
        <v>4</v>
      </c>
      <c r="O268" s="30">
        <v>3.1</v>
      </c>
      <c r="P268" s="30">
        <v>1122</v>
      </c>
      <c r="Q268" s="30">
        <v>1037</v>
      </c>
      <c r="R268" s="30">
        <v>1207</v>
      </c>
      <c r="S268" s="137"/>
      <c r="T268" s="138"/>
      <c r="U268" s="136"/>
      <c r="V268" s="143"/>
      <c r="W268" s="143"/>
      <c r="X268" s="143"/>
      <c r="Y268" s="143"/>
      <c r="Z268" s="143"/>
      <c r="AA268" s="139"/>
      <c r="AB268" s="139"/>
      <c r="AC268" s="140"/>
      <c r="AD268" s="140"/>
      <c r="AE268" s="143"/>
      <c r="AF268" s="143"/>
      <c r="AG268" s="143"/>
      <c r="AH268" s="141"/>
      <c r="AI268" s="137"/>
      <c r="AJ268" s="152"/>
      <c r="AK268" s="138"/>
      <c r="AL268" s="139"/>
      <c r="AM268" s="139"/>
    </row>
    <row r="269" spans="1:39" s="40" customFormat="1" ht="18" customHeight="1" x14ac:dyDescent="0.2">
      <c r="A269" s="30" t="s">
        <v>7105</v>
      </c>
      <c r="B269" s="14" t="s">
        <v>4536</v>
      </c>
      <c r="C269" s="14" t="s">
        <v>7446</v>
      </c>
      <c r="D269" s="14" t="s">
        <v>173</v>
      </c>
      <c r="E269" s="14" t="s">
        <v>13</v>
      </c>
      <c r="F269" s="30" t="s">
        <v>5827</v>
      </c>
      <c r="G269" s="30">
        <v>0.9012276519352026</v>
      </c>
      <c r="H269" s="30">
        <v>1.4903326708376725E-3</v>
      </c>
      <c r="I269" s="30">
        <v>-98.772348064797399</v>
      </c>
      <c r="J269" s="30">
        <v>1.4903326708376725</v>
      </c>
      <c r="K269" s="30">
        <v>835</v>
      </c>
      <c r="L269" s="30">
        <v>15</v>
      </c>
      <c r="M269" s="30">
        <v>47.887338999999997</v>
      </c>
      <c r="N269" s="30">
        <v>17.1310489</v>
      </c>
      <c r="O269" s="30">
        <v>3.2612458520661085</v>
      </c>
      <c r="P269" s="14">
        <v>1210</v>
      </c>
      <c r="Q269" s="14">
        <v>1169</v>
      </c>
      <c r="R269" s="30">
        <v>1250</v>
      </c>
      <c r="S269" s="14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</row>
    <row r="270" spans="1:39" s="40" customFormat="1" ht="18" customHeight="1" x14ac:dyDescent="0.2">
      <c r="A270" s="30" t="s">
        <v>7104</v>
      </c>
      <c r="B270" s="14" t="s">
        <v>4495</v>
      </c>
      <c r="C270" s="14" t="s">
        <v>6946</v>
      </c>
      <c r="D270" s="14" t="s">
        <v>173</v>
      </c>
      <c r="E270" s="14" t="s">
        <v>13</v>
      </c>
      <c r="F270" s="30" t="s">
        <v>5820</v>
      </c>
      <c r="G270" s="30">
        <v>0.9197159168942447</v>
      </c>
      <c r="H270" s="30">
        <v>2.7213910682873598E-3</v>
      </c>
      <c r="I270" s="30">
        <v>-80.2840831057553</v>
      </c>
      <c r="J270" s="30">
        <v>2.7213910682873599</v>
      </c>
      <c r="K270" s="30">
        <v>670</v>
      </c>
      <c r="L270" s="30">
        <v>25</v>
      </c>
      <c r="M270" s="30">
        <v>11.597466799999999</v>
      </c>
      <c r="N270" s="30">
        <v>4.196396</v>
      </c>
      <c r="O270" s="30">
        <v>3.2242852994172462</v>
      </c>
      <c r="P270" s="14">
        <v>1333</v>
      </c>
      <c r="Q270" s="14">
        <v>1276</v>
      </c>
      <c r="R270" s="30">
        <v>1390</v>
      </c>
      <c r="S270" s="14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</row>
    <row r="271" spans="1:39" s="40" customFormat="1" ht="18" customHeight="1" x14ac:dyDescent="0.2">
      <c r="A271" s="38" t="s">
        <v>8205</v>
      </c>
      <c r="B271" s="38" t="s">
        <v>602</v>
      </c>
      <c r="C271" s="38" t="s">
        <v>6946</v>
      </c>
      <c r="D271" s="38" t="s">
        <v>173</v>
      </c>
      <c r="E271" s="38" t="s">
        <v>602</v>
      </c>
      <c r="F271" s="38" t="s">
        <v>5820</v>
      </c>
      <c r="G271" s="25">
        <v>0.923466727636436</v>
      </c>
      <c r="H271" s="25">
        <v>1.9354214012598074E-3</v>
      </c>
      <c r="I271" s="26">
        <v>-76.533272363563995</v>
      </c>
      <c r="J271" s="53">
        <v>1.9354214012598074</v>
      </c>
      <c r="K271" s="54">
        <v>640</v>
      </c>
      <c r="L271" s="175">
        <v>20</v>
      </c>
      <c r="M271" s="55">
        <v>17.570194185530404</v>
      </c>
      <c r="N271" s="55">
        <v>6.3871886462895491</v>
      </c>
      <c r="O271" s="56">
        <f>(M271/12)/(N271/14)</f>
        <v>3.2093243237816131</v>
      </c>
      <c r="P271" s="38">
        <v>1340</v>
      </c>
      <c r="Q271" s="38">
        <v>1287</v>
      </c>
      <c r="R271" s="38">
        <v>1393</v>
      </c>
    </row>
    <row r="272" spans="1:39" s="40" customFormat="1" ht="18" customHeight="1" x14ac:dyDescent="0.2">
      <c r="A272" s="30" t="s">
        <v>7076</v>
      </c>
      <c r="B272" s="14" t="s">
        <v>4532</v>
      </c>
      <c r="C272" s="14" t="s">
        <v>6950</v>
      </c>
      <c r="D272" s="14" t="s">
        <v>173</v>
      </c>
      <c r="E272" s="14" t="s">
        <v>100</v>
      </c>
      <c r="F272" s="14" t="s">
        <v>17</v>
      </c>
      <c r="G272" s="14" t="s">
        <v>17</v>
      </c>
      <c r="H272" s="14" t="s">
        <v>17</v>
      </c>
      <c r="I272" s="14" t="s">
        <v>17</v>
      </c>
      <c r="J272" s="14" t="s">
        <v>17</v>
      </c>
      <c r="K272" s="30">
        <v>310</v>
      </c>
      <c r="L272" s="30">
        <v>30</v>
      </c>
      <c r="M272" s="14" t="s">
        <v>17</v>
      </c>
      <c r="N272" s="14" t="s">
        <v>17</v>
      </c>
      <c r="O272" s="14" t="s">
        <v>17</v>
      </c>
      <c r="P272" s="14">
        <v>1568</v>
      </c>
      <c r="Q272" s="14">
        <v>1485</v>
      </c>
      <c r="R272" s="30">
        <v>1650</v>
      </c>
      <c r="S272" s="14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</row>
  </sheetData>
  <sortState ref="A4:AM272">
    <sortCondition descending="1" ref="K4:K272"/>
  </sortState>
  <conditionalFormatting sqref="A273:B1048576 S273:S1048576">
    <cfRule type="containsText" dxfId="0" priority="38" operator="containsText" text="..">
      <formula>NOT(ISERROR(SEARCH("..",A273)))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251"/>
  <sheetViews>
    <sheetView workbookViewId="0">
      <pane xSplit="3" ySplit="5" topLeftCell="D6" activePane="bottomRight" state="frozen"/>
      <selection activeCell="D211" sqref="D211"/>
      <selection pane="topRight" activeCell="D211" sqref="D211"/>
      <selection pane="bottomLeft" activeCell="D211" sqref="D211"/>
      <selection pane="bottomRight"/>
    </sheetView>
  </sheetViews>
  <sheetFormatPr baseColWidth="10" defaultRowHeight="16" x14ac:dyDescent="0.2"/>
  <cols>
    <col min="1" max="1" width="17.83203125" style="21" customWidth="1"/>
    <col min="2" max="2" width="7.83203125" style="5" customWidth="1"/>
    <col min="3" max="4" width="17.83203125" style="5" customWidth="1"/>
    <col min="5" max="5" width="16.83203125" style="5" customWidth="1"/>
    <col min="6" max="6" width="17.83203125" style="5" customWidth="1"/>
    <col min="7" max="8" width="13.1640625" style="135" customWidth="1"/>
    <col min="9" max="9" width="20.6640625" style="5" customWidth="1"/>
    <col min="10" max="10" width="12.6640625" style="5" customWidth="1"/>
    <col min="11" max="11" width="13.6640625" style="5" customWidth="1"/>
    <col min="12" max="12" width="19.5" style="19" customWidth="1"/>
    <col min="13" max="13" width="18.6640625" style="19" customWidth="1"/>
    <col min="14" max="14" width="18.6640625" style="5" customWidth="1"/>
    <col min="15" max="15" width="12.5" style="5" customWidth="1"/>
    <col min="16" max="16" width="31.83203125" style="5" customWidth="1"/>
    <col min="17" max="17" width="8.1640625" style="17" customWidth="1"/>
    <col min="18" max="19" width="10" style="18" customWidth="1"/>
    <col min="20" max="20" width="9.83203125" style="18" customWidth="1"/>
    <col min="21" max="21" width="9.33203125" style="18" customWidth="1"/>
    <col min="22" max="22" width="10.33203125" style="18" customWidth="1"/>
    <col min="23" max="23" width="8.5" style="18" customWidth="1"/>
    <col min="24" max="26" width="10" style="20" customWidth="1"/>
    <col min="27" max="27" width="20.5" style="9" customWidth="1"/>
    <col min="28" max="28" width="11" style="18" customWidth="1"/>
    <col min="29" max="29" width="10.5" style="18" customWidth="1"/>
    <col min="30" max="30" width="10.1640625" style="9" customWidth="1"/>
    <col min="31" max="37" width="10.83203125" style="9"/>
    <col min="38" max="38" width="27.83203125" style="9" customWidth="1"/>
    <col min="39" max="16384" width="10.83203125" style="9"/>
  </cols>
  <sheetData>
    <row r="1" spans="1:38" x14ac:dyDescent="0.2">
      <c r="A1" s="160" t="s">
        <v>8181</v>
      </c>
    </row>
    <row r="2" spans="1:38" ht="22" customHeight="1" x14ac:dyDescent="0.2"/>
    <row r="3" spans="1:38" x14ac:dyDescent="0.2">
      <c r="A3" s="202" t="s">
        <v>6011</v>
      </c>
      <c r="B3" s="185" t="s">
        <v>6012</v>
      </c>
      <c r="C3" s="188" t="s">
        <v>6013</v>
      </c>
      <c r="D3" s="185" t="s">
        <v>6014</v>
      </c>
      <c r="E3" s="188" t="s">
        <v>8136</v>
      </c>
      <c r="F3" s="185" t="s">
        <v>6015</v>
      </c>
      <c r="G3" s="178" t="s">
        <v>6016</v>
      </c>
      <c r="H3" s="201" t="s">
        <v>6017</v>
      </c>
      <c r="I3" s="188" t="s">
        <v>6018</v>
      </c>
      <c r="J3" s="201" t="s">
        <v>7653</v>
      </c>
      <c r="K3" s="178" t="s">
        <v>8137</v>
      </c>
      <c r="L3" s="181" t="s">
        <v>6008</v>
      </c>
      <c r="M3" s="182"/>
      <c r="N3" s="185" t="s">
        <v>6009</v>
      </c>
      <c r="O3" s="188" t="s">
        <v>6010</v>
      </c>
      <c r="P3" s="189"/>
      <c r="Q3" s="192" t="s">
        <v>8147</v>
      </c>
      <c r="R3" s="193"/>
      <c r="S3" s="193"/>
      <c r="T3" s="193"/>
      <c r="U3" s="193"/>
      <c r="V3" s="193"/>
      <c r="W3" s="193"/>
      <c r="X3" s="194"/>
      <c r="Y3" s="194"/>
      <c r="Z3" s="194"/>
      <c r="AA3" s="195"/>
      <c r="AB3" s="192" t="s">
        <v>8151</v>
      </c>
      <c r="AC3" s="193"/>
      <c r="AD3" s="193"/>
      <c r="AE3" s="193"/>
      <c r="AF3" s="193"/>
      <c r="AG3" s="193"/>
      <c r="AH3" s="193"/>
      <c r="AI3" s="194"/>
      <c r="AJ3" s="194"/>
      <c r="AK3" s="194"/>
      <c r="AL3" s="195"/>
    </row>
    <row r="4" spans="1:38" ht="52" customHeight="1" x14ac:dyDescent="0.2">
      <c r="A4" s="203"/>
      <c r="B4" s="186"/>
      <c r="C4" s="179"/>
      <c r="D4" s="186"/>
      <c r="E4" s="179"/>
      <c r="F4" s="186"/>
      <c r="G4" s="179"/>
      <c r="H4" s="186"/>
      <c r="I4" s="179"/>
      <c r="J4" s="186"/>
      <c r="K4" s="179"/>
      <c r="L4" s="183"/>
      <c r="M4" s="179"/>
      <c r="N4" s="186"/>
      <c r="O4" s="179"/>
      <c r="P4" s="190"/>
      <c r="Q4" s="185" t="s">
        <v>8139</v>
      </c>
      <c r="R4" s="196" t="s">
        <v>8140</v>
      </c>
      <c r="S4" s="197"/>
      <c r="T4" s="198"/>
      <c r="U4" s="196" t="s">
        <v>8142</v>
      </c>
      <c r="V4" s="197"/>
      <c r="W4" s="198"/>
      <c r="X4" s="196" t="s">
        <v>8146</v>
      </c>
      <c r="Y4" s="197"/>
      <c r="Z4" s="198"/>
      <c r="AA4" s="199" t="s">
        <v>8150</v>
      </c>
      <c r="AB4" s="185" t="s">
        <v>8139</v>
      </c>
      <c r="AC4" s="196" t="s">
        <v>8140</v>
      </c>
      <c r="AD4" s="197"/>
      <c r="AE4" s="198"/>
      <c r="AF4" s="196" t="s">
        <v>8142</v>
      </c>
      <c r="AG4" s="197"/>
      <c r="AH4" s="198"/>
      <c r="AI4" s="196" t="s">
        <v>8145</v>
      </c>
      <c r="AJ4" s="197"/>
      <c r="AK4" s="198"/>
      <c r="AL4" s="199" t="s">
        <v>8149</v>
      </c>
    </row>
    <row r="5" spans="1:38" s="15" customFormat="1" ht="73" customHeight="1" x14ac:dyDescent="0.2">
      <c r="A5" s="204"/>
      <c r="B5" s="187"/>
      <c r="C5" s="180"/>
      <c r="D5" s="187"/>
      <c r="E5" s="180"/>
      <c r="F5" s="187"/>
      <c r="G5" s="180"/>
      <c r="H5" s="187"/>
      <c r="I5" s="180"/>
      <c r="J5" s="187"/>
      <c r="K5" s="180"/>
      <c r="L5" s="184"/>
      <c r="M5" s="180"/>
      <c r="N5" s="187"/>
      <c r="O5" s="82" t="s">
        <v>8141</v>
      </c>
      <c r="P5" s="83" t="s">
        <v>8138</v>
      </c>
      <c r="Q5" s="191"/>
      <c r="R5" s="84" t="s">
        <v>8143</v>
      </c>
      <c r="S5" s="85" t="s">
        <v>7150</v>
      </c>
      <c r="T5" s="86" t="s">
        <v>8144</v>
      </c>
      <c r="U5" s="84" t="s">
        <v>8143</v>
      </c>
      <c r="V5" s="85" t="s">
        <v>7150</v>
      </c>
      <c r="W5" s="86" t="s">
        <v>8144</v>
      </c>
      <c r="X5" s="84" t="s">
        <v>8143</v>
      </c>
      <c r="Y5" s="85" t="s">
        <v>7150</v>
      </c>
      <c r="Z5" s="86" t="s">
        <v>8144</v>
      </c>
      <c r="AA5" s="200"/>
      <c r="AB5" s="191"/>
      <c r="AC5" s="118" t="s">
        <v>8143</v>
      </c>
      <c r="AD5" s="119" t="s">
        <v>8148</v>
      </c>
      <c r="AE5" s="120" t="s">
        <v>8144</v>
      </c>
      <c r="AF5" s="118" t="s">
        <v>8143</v>
      </c>
      <c r="AG5" s="119" t="s">
        <v>8148</v>
      </c>
      <c r="AH5" s="120" t="s">
        <v>8144</v>
      </c>
      <c r="AI5" s="118" t="s">
        <v>8143</v>
      </c>
      <c r="AJ5" s="119" t="s">
        <v>8148</v>
      </c>
      <c r="AK5" s="120" t="s">
        <v>8144</v>
      </c>
      <c r="AL5" s="205"/>
    </row>
    <row r="6" spans="1:38" s="15" customFormat="1" ht="13" customHeight="1" x14ac:dyDescent="0.2">
      <c r="A6" s="87" t="s">
        <v>6019</v>
      </c>
      <c r="B6" s="105">
        <v>17</v>
      </c>
      <c r="C6" s="98" t="s">
        <v>6020</v>
      </c>
      <c r="D6" s="126" t="s">
        <v>173</v>
      </c>
      <c r="E6" s="126" t="s">
        <v>24</v>
      </c>
      <c r="F6" s="127" t="s">
        <v>173</v>
      </c>
      <c r="G6" s="128">
        <v>35.993660140000003</v>
      </c>
      <c r="H6" s="129">
        <v>71.5</v>
      </c>
      <c r="I6" s="98" t="s">
        <v>6021</v>
      </c>
      <c r="J6" s="98" t="s">
        <v>17</v>
      </c>
      <c r="K6" s="106" t="s">
        <v>17</v>
      </c>
      <c r="L6" s="88">
        <v>1.5224E-2</v>
      </c>
      <c r="M6" s="89">
        <v>-5.4419999999999998E-3</v>
      </c>
      <c r="N6" s="90">
        <v>-5.9400000000000001E-2</v>
      </c>
      <c r="O6" s="91" t="s">
        <v>6022</v>
      </c>
      <c r="P6" s="92" t="s">
        <v>6023</v>
      </c>
      <c r="Q6" s="93">
        <v>2.0359680900000001E-3</v>
      </c>
      <c r="R6" s="94">
        <v>0.123</v>
      </c>
      <c r="S6" s="94">
        <v>0.59899999999999998</v>
      </c>
      <c r="T6" s="94">
        <v>0.27800000000000002</v>
      </c>
      <c r="U6" s="95">
        <v>1.2999999999999999E-2</v>
      </c>
      <c r="V6" s="94">
        <v>2.3E-2</v>
      </c>
      <c r="W6" s="94">
        <v>1.4999999999999999E-2</v>
      </c>
      <c r="X6" s="95">
        <v>0.12556874372638199</v>
      </c>
      <c r="Y6" s="94">
        <v>0.60057690132465302</v>
      </c>
      <c r="Z6" s="94">
        <v>0.27395282713839397</v>
      </c>
      <c r="AA6" s="96">
        <v>-1.24359621053892</v>
      </c>
      <c r="AB6" s="95">
        <v>1.02574898E-4</v>
      </c>
      <c r="AC6" s="121">
        <v>3.9E-2</v>
      </c>
      <c r="AD6" s="122">
        <v>0.66100000000000003</v>
      </c>
      <c r="AE6" s="123">
        <v>0.3</v>
      </c>
      <c r="AF6" s="121">
        <v>1.2999999999999999E-2</v>
      </c>
      <c r="AG6" s="122">
        <v>2.3E-2</v>
      </c>
      <c r="AH6" s="122">
        <v>1.4999999999999999E-2</v>
      </c>
      <c r="AI6" s="121">
        <v>4.1523444999999999E-2</v>
      </c>
      <c r="AJ6" s="122">
        <v>0.66019876499999997</v>
      </c>
      <c r="AK6" s="123">
        <v>0.29847328200000001</v>
      </c>
      <c r="AL6" s="123">
        <v>-1.6310870745347399</v>
      </c>
    </row>
    <row r="7" spans="1:38" ht="13" customHeight="1" x14ac:dyDescent="0.2">
      <c r="A7" s="87" t="s">
        <v>6024</v>
      </c>
      <c r="B7" s="105">
        <v>17</v>
      </c>
      <c r="C7" s="98" t="s">
        <v>6020</v>
      </c>
      <c r="D7" s="126" t="s">
        <v>173</v>
      </c>
      <c r="E7" s="126" t="s">
        <v>24</v>
      </c>
      <c r="F7" s="127" t="s">
        <v>173</v>
      </c>
      <c r="G7" s="128">
        <v>33.487005619999998</v>
      </c>
      <c r="H7" s="129">
        <v>70.5</v>
      </c>
      <c r="I7" s="98" t="s">
        <v>6021</v>
      </c>
      <c r="J7" s="98" t="s">
        <v>17</v>
      </c>
      <c r="K7" s="106" t="s">
        <v>17</v>
      </c>
      <c r="L7" s="88">
        <v>1.3779E-2</v>
      </c>
      <c r="M7" s="89">
        <v>-6.5750000000000001E-3</v>
      </c>
      <c r="N7" s="90">
        <v>-4.4441000000000001E-2</v>
      </c>
      <c r="O7" s="97" t="s">
        <v>6025</v>
      </c>
      <c r="P7" s="90" t="s">
        <v>6026</v>
      </c>
      <c r="Q7" s="93">
        <v>3.4399119799999998E-8</v>
      </c>
      <c r="R7" s="94">
        <v>0.14399999999999999</v>
      </c>
      <c r="S7" s="94">
        <v>0.59499999999999997</v>
      </c>
      <c r="T7" s="94">
        <v>0.26100000000000001</v>
      </c>
      <c r="U7" s="95">
        <v>1.0999999999999999E-2</v>
      </c>
      <c r="V7" s="94">
        <v>0.02</v>
      </c>
      <c r="W7" s="94">
        <v>1.2999999999999999E-2</v>
      </c>
      <c r="X7" s="95">
        <v>0.146338161732047</v>
      </c>
      <c r="Y7" s="94">
        <v>0.59491249828282899</v>
      </c>
      <c r="Z7" s="94">
        <v>0.25884338790474498</v>
      </c>
      <c r="AA7" s="93">
        <v>-0.93050721393976699</v>
      </c>
      <c r="AB7" s="95">
        <v>7.97479748E-14</v>
      </c>
      <c r="AC7" s="95">
        <v>6.5000000000000002E-2</v>
      </c>
      <c r="AD7" s="94">
        <v>0.65400000000000003</v>
      </c>
      <c r="AE7" s="100">
        <v>0.28100000000000003</v>
      </c>
      <c r="AF7" s="95">
        <v>1.0999999999999999E-2</v>
      </c>
      <c r="AG7" s="94">
        <v>0.02</v>
      </c>
      <c r="AH7" s="94">
        <v>1.2999999999999999E-2</v>
      </c>
      <c r="AI7" s="95">
        <v>6.6923676000000001E-2</v>
      </c>
      <c r="AJ7" s="94">
        <v>0.65267795900000003</v>
      </c>
      <c r="AK7" s="100">
        <v>0.280581462</v>
      </c>
      <c r="AL7" s="100">
        <v>-1.37856655922206</v>
      </c>
    </row>
    <row r="8" spans="1:38" ht="13" customHeight="1" x14ac:dyDescent="0.2">
      <c r="A8" s="87" t="s">
        <v>6027</v>
      </c>
      <c r="B8" s="105">
        <v>2</v>
      </c>
      <c r="C8" s="98" t="s">
        <v>6020</v>
      </c>
      <c r="D8" s="126" t="s">
        <v>6028</v>
      </c>
      <c r="E8" s="126" t="s">
        <v>24</v>
      </c>
      <c r="F8" s="127" t="s">
        <v>6029</v>
      </c>
      <c r="G8" s="128">
        <v>21.6417</v>
      </c>
      <c r="H8" s="129">
        <v>69.629263888888886</v>
      </c>
      <c r="I8" s="98" t="s">
        <v>6021</v>
      </c>
      <c r="J8" s="98" t="s">
        <v>17</v>
      </c>
      <c r="K8" s="106" t="s">
        <v>17</v>
      </c>
      <c r="L8" s="88">
        <v>1.1749000000000001E-2</v>
      </c>
      <c r="M8" s="89">
        <v>-6.9150000000000001E-3</v>
      </c>
      <c r="N8" s="90">
        <v>-4.1399999999999999E-2</v>
      </c>
      <c r="O8" s="97" t="s">
        <v>17</v>
      </c>
      <c r="P8" s="90" t="s">
        <v>17</v>
      </c>
      <c r="Q8" s="93">
        <v>7.3629006099999999E-4</v>
      </c>
      <c r="R8" s="94">
        <v>0.16500000000000001</v>
      </c>
      <c r="S8" s="94">
        <v>0.60299999999999998</v>
      </c>
      <c r="T8" s="94">
        <v>0.23100000000000001</v>
      </c>
      <c r="U8" s="95">
        <v>1.9E-2</v>
      </c>
      <c r="V8" s="94">
        <v>3.3000000000000002E-2</v>
      </c>
      <c r="W8" s="94">
        <v>2.1999999999999999E-2</v>
      </c>
      <c r="X8" s="95">
        <v>0.17239580782967501</v>
      </c>
      <c r="Y8" s="94">
        <v>0.59496958286277202</v>
      </c>
      <c r="Z8" s="94">
        <v>0.232657175616826</v>
      </c>
      <c r="AA8" s="93">
        <v>0.106231339542479</v>
      </c>
      <c r="AB8" s="95">
        <v>8.7869187999999997E-4</v>
      </c>
      <c r="AC8" s="95">
        <v>8.8999999999999996E-2</v>
      </c>
      <c r="AD8" s="94">
        <v>0.66200000000000003</v>
      </c>
      <c r="AE8" s="100">
        <v>0.25</v>
      </c>
      <c r="AF8" s="95">
        <v>1.9E-2</v>
      </c>
      <c r="AG8" s="94">
        <v>3.3000000000000002E-2</v>
      </c>
      <c r="AH8" s="94">
        <v>2.1999999999999999E-2</v>
      </c>
      <c r="AI8" s="95">
        <v>9.5242543999999998E-2</v>
      </c>
      <c r="AJ8" s="94">
        <v>0.65261740599999996</v>
      </c>
      <c r="AK8" s="100">
        <v>0.25236482199999999</v>
      </c>
      <c r="AL8" s="100">
        <v>0.21204786449964599</v>
      </c>
    </row>
    <row r="9" spans="1:38" ht="13" customHeight="1" x14ac:dyDescent="0.2">
      <c r="A9" s="87" t="s">
        <v>6036</v>
      </c>
      <c r="B9" s="105">
        <v>4</v>
      </c>
      <c r="C9" s="98" t="s">
        <v>6020</v>
      </c>
      <c r="D9" s="126" t="s">
        <v>1688</v>
      </c>
      <c r="E9" s="126" t="s">
        <v>24</v>
      </c>
      <c r="F9" s="127" t="s">
        <v>6037</v>
      </c>
      <c r="G9" s="128">
        <v>23.2</v>
      </c>
      <c r="H9" s="129">
        <v>72.7</v>
      </c>
      <c r="I9" s="98" t="s">
        <v>6021</v>
      </c>
      <c r="J9" s="124" t="s">
        <v>17</v>
      </c>
      <c r="K9" s="125" t="s">
        <v>17</v>
      </c>
      <c r="L9" s="88">
        <v>1.1089E-2</v>
      </c>
      <c r="M9" s="89">
        <v>-6.6699999999999997E-3</v>
      </c>
      <c r="N9" s="90">
        <v>-3.5200000000000002E-2</v>
      </c>
      <c r="O9" s="97" t="s">
        <v>17</v>
      </c>
      <c r="P9" s="90" t="s">
        <v>17</v>
      </c>
      <c r="Q9" s="93">
        <v>3.9381206100000003E-2</v>
      </c>
      <c r="R9" s="94">
        <v>0.19500000000000001</v>
      </c>
      <c r="S9" s="94">
        <v>0.57499999999999996</v>
      </c>
      <c r="T9" s="94">
        <v>0.22900000000000001</v>
      </c>
      <c r="U9" s="95">
        <v>1.4E-2</v>
      </c>
      <c r="V9" s="94">
        <v>2.4E-2</v>
      </c>
      <c r="W9" s="94">
        <v>1.4999999999999999E-2</v>
      </c>
      <c r="X9" s="95">
        <v>0.19879330120185501</v>
      </c>
      <c r="Y9" s="94">
        <v>0.57369497133693803</v>
      </c>
      <c r="Z9" s="94">
        <v>0.22753065676377099</v>
      </c>
      <c r="AA9" s="93">
        <v>-0.56377902932311597</v>
      </c>
      <c r="AB9" s="95">
        <v>1.7288490100000001E-2</v>
      </c>
      <c r="AC9" s="95">
        <v>0.126</v>
      </c>
      <c r="AD9" s="94">
        <v>0.624</v>
      </c>
      <c r="AE9" s="100">
        <v>0.25</v>
      </c>
      <c r="AF9" s="95">
        <v>1.4E-2</v>
      </c>
      <c r="AG9" s="94">
        <v>2.4E-2</v>
      </c>
      <c r="AH9" s="94">
        <v>1.4999999999999999E-2</v>
      </c>
      <c r="AI9" s="95">
        <v>0.12817719499999999</v>
      </c>
      <c r="AJ9" s="94">
        <v>0.62286923000000005</v>
      </c>
      <c r="AK9" s="100">
        <v>0.24910365100000001</v>
      </c>
      <c r="AL9" s="100">
        <v>-0.95683670965719303</v>
      </c>
    </row>
    <row r="10" spans="1:38" ht="13" customHeight="1" x14ac:dyDescent="0.2">
      <c r="A10" s="87" t="s">
        <v>6030</v>
      </c>
      <c r="B10" s="105">
        <v>3</v>
      </c>
      <c r="C10" s="98" t="s">
        <v>6020</v>
      </c>
      <c r="D10" s="126" t="s">
        <v>6031</v>
      </c>
      <c r="E10" s="126" t="s">
        <v>24</v>
      </c>
      <c r="F10" s="127" t="s">
        <v>6032</v>
      </c>
      <c r="G10" s="128">
        <v>31.766413888888888</v>
      </c>
      <c r="H10" s="129">
        <v>74.784641666666658</v>
      </c>
      <c r="I10" s="98" t="s">
        <v>6021</v>
      </c>
      <c r="J10" s="98">
        <v>6</v>
      </c>
      <c r="K10" s="106">
        <v>7</v>
      </c>
      <c r="L10" s="88">
        <v>1.2857E-2</v>
      </c>
      <c r="M10" s="89">
        <v>-4.9160000000000002E-3</v>
      </c>
      <c r="N10" s="90">
        <v>-4.0766999999999998E-2</v>
      </c>
      <c r="O10" s="97" t="s">
        <v>17</v>
      </c>
      <c r="P10" s="90" t="s">
        <v>17</v>
      </c>
      <c r="Q10" s="93">
        <v>1.8341815799999998E-5</v>
      </c>
      <c r="R10" s="94">
        <v>0.19700000000000001</v>
      </c>
      <c r="S10" s="94">
        <v>0.56100000000000005</v>
      </c>
      <c r="T10" s="94">
        <v>0.24199999999999999</v>
      </c>
      <c r="U10" s="95">
        <v>1.6E-2</v>
      </c>
      <c r="V10" s="94">
        <v>0.03</v>
      </c>
      <c r="W10" s="94">
        <v>1.9E-2</v>
      </c>
      <c r="X10" s="95">
        <v>0.19853846919752</v>
      </c>
      <c r="Y10" s="94">
        <v>0.56473940624994101</v>
      </c>
      <c r="Z10" s="94">
        <v>0.23680728363106601</v>
      </c>
      <c r="AA10" s="93">
        <v>-1.1239566310948199</v>
      </c>
      <c r="AB10" s="95">
        <v>7.91313412E-7</v>
      </c>
      <c r="AC10" s="95">
        <v>0.13800000000000001</v>
      </c>
      <c r="AD10" s="94">
        <v>0.59299999999999997</v>
      </c>
      <c r="AE10" s="100">
        <v>0.26900000000000002</v>
      </c>
      <c r="AF10" s="95">
        <v>1.6E-2</v>
      </c>
      <c r="AG10" s="94">
        <v>0.03</v>
      </c>
      <c r="AH10" s="94">
        <v>1.9E-2</v>
      </c>
      <c r="AI10" s="95">
        <v>0.13773780499999999</v>
      </c>
      <c r="AJ10" s="94">
        <v>0.59912681199999995</v>
      </c>
      <c r="AK10" s="100">
        <v>0.26327520700000001</v>
      </c>
      <c r="AL10" s="100">
        <v>-2.2567078964059899</v>
      </c>
    </row>
    <row r="11" spans="1:38" ht="13" customHeight="1" x14ac:dyDescent="0.2">
      <c r="A11" s="87" t="s">
        <v>6033</v>
      </c>
      <c r="B11" s="105">
        <v>4</v>
      </c>
      <c r="C11" s="98" t="s">
        <v>6020</v>
      </c>
      <c r="D11" s="126" t="s">
        <v>6034</v>
      </c>
      <c r="E11" s="126" t="s">
        <v>5785</v>
      </c>
      <c r="F11" s="127" t="s">
        <v>6035</v>
      </c>
      <c r="G11" s="128">
        <v>32.925325000000001</v>
      </c>
      <c r="H11" s="129">
        <v>75.137755555555557</v>
      </c>
      <c r="I11" s="98" t="s">
        <v>6021</v>
      </c>
      <c r="J11" s="98" t="s">
        <v>17</v>
      </c>
      <c r="K11" s="106" t="s">
        <v>17</v>
      </c>
      <c r="L11" s="88">
        <v>1.0940999999999999E-2</v>
      </c>
      <c r="M11" s="89">
        <v>-4.5570000000000003E-3</v>
      </c>
      <c r="N11" s="90">
        <v>-3.585E-2</v>
      </c>
      <c r="O11" s="97" t="s">
        <v>17</v>
      </c>
      <c r="P11" s="90" t="s">
        <v>17</v>
      </c>
      <c r="Q11" s="93">
        <v>1.0482427299999999E-3</v>
      </c>
      <c r="R11" s="94">
        <v>0.218</v>
      </c>
      <c r="S11" s="94">
        <v>0.57599999999999996</v>
      </c>
      <c r="T11" s="94">
        <v>0.20599999999999999</v>
      </c>
      <c r="U11" s="95">
        <v>1.4999999999999999E-2</v>
      </c>
      <c r="V11" s="94">
        <v>2.5999999999999999E-2</v>
      </c>
      <c r="W11" s="94">
        <v>1.7000000000000001E-2</v>
      </c>
      <c r="X11" s="95">
        <v>0.22181270209941301</v>
      </c>
      <c r="Y11" s="94">
        <v>0.57123494669685304</v>
      </c>
      <c r="Z11" s="94">
        <v>0.207030752787284</v>
      </c>
      <c r="AA11" s="93">
        <v>0.110306755056037</v>
      </c>
      <c r="AB11" s="95">
        <v>7.1918303299999995E-4</v>
      </c>
      <c r="AC11" s="95">
        <v>0.157</v>
      </c>
      <c r="AD11" s="94">
        <v>0.61899999999999999</v>
      </c>
      <c r="AE11" s="100">
        <v>0.22500000000000001</v>
      </c>
      <c r="AF11" s="95">
        <v>1.4999999999999999E-2</v>
      </c>
      <c r="AG11" s="94">
        <v>2.5999999999999999E-2</v>
      </c>
      <c r="AH11" s="94">
        <v>1.7000000000000001E-2</v>
      </c>
      <c r="AI11" s="95">
        <v>0.15904669099999999</v>
      </c>
      <c r="AJ11" s="94">
        <v>0.61565574099999998</v>
      </c>
      <c r="AK11" s="100">
        <v>0.225486354</v>
      </c>
      <c r="AL11" s="100">
        <v>-0.17780148235131901</v>
      </c>
    </row>
    <row r="12" spans="1:38" ht="13" customHeight="1" x14ac:dyDescent="0.2">
      <c r="A12" s="87" t="s">
        <v>6042</v>
      </c>
      <c r="B12" s="105">
        <v>3</v>
      </c>
      <c r="C12" s="98" t="s">
        <v>6020</v>
      </c>
      <c r="D12" s="126" t="s">
        <v>6043</v>
      </c>
      <c r="E12" s="126" t="s">
        <v>24</v>
      </c>
      <c r="F12" s="127" t="s">
        <v>6044</v>
      </c>
      <c r="G12" s="128">
        <v>26.912433333333333</v>
      </c>
      <c r="H12" s="129">
        <v>75.787272222222214</v>
      </c>
      <c r="I12" s="98" t="s">
        <v>6021</v>
      </c>
      <c r="J12" s="98">
        <v>3</v>
      </c>
      <c r="K12" s="106">
        <v>8</v>
      </c>
      <c r="L12" s="88">
        <v>9.9670000000000002E-3</v>
      </c>
      <c r="M12" s="89">
        <v>-6.4549999999999998E-3</v>
      </c>
      <c r="N12" s="90">
        <v>-3.2399999999999998E-2</v>
      </c>
      <c r="O12" s="97" t="s">
        <v>17</v>
      </c>
      <c r="P12" s="90" t="s">
        <v>17</v>
      </c>
      <c r="Q12" s="93">
        <v>1.7979208900000001E-3</v>
      </c>
      <c r="R12" s="94">
        <v>0.22</v>
      </c>
      <c r="S12" s="94">
        <v>0.56899999999999995</v>
      </c>
      <c r="T12" s="94">
        <v>0.21199999999999999</v>
      </c>
      <c r="U12" s="95">
        <v>1.6E-2</v>
      </c>
      <c r="V12" s="94">
        <v>2.8000000000000001E-2</v>
      </c>
      <c r="W12" s="94">
        <v>1.7999999999999999E-2</v>
      </c>
      <c r="X12" s="95">
        <v>0.222506888728735</v>
      </c>
      <c r="Y12" s="94">
        <v>0.56618729292246905</v>
      </c>
      <c r="Z12" s="94">
        <v>0.21144967865170999</v>
      </c>
      <c r="AA12" s="93">
        <v>-0.19026404432115801</v>
      </c>
      <c r="AB12" s="95">
        <v>3.28992736E-4</v>
      </c>
      <c r="AC12" s="95">
        <v>0.16</v>
      </c>
      <c r="AD12" s="94">
        <v>0.61399999999999999</v>
      </c>
      <c r="AE12" s="100">
        <v>0.22600000000000001</v>
      </c>
      <c r="AF12" s="95">
        <v>1.6E-2</v>
      </c>
      <c r="AG12" s="94">
        <v>2.8000000000000001E-2</v>
      </c>
      <c r="AH12" s="94">
        <v>1.7999999999999999E-2</v>
      </c>
      <c r="AI12" s="95">
        <v>0.16314400200000001</v>
      </c>
      <c r="AJ12" s="94">
        <v>0.61100663200000005</v>
      </c>
      <c r="AK12" s="100">
        <v>0.225981972</v>
      </c>
      <c r="AL12" s="100">
        <v>-0.36078901647591699</v>
      </c>
    </row>
    <row r="13" spans="1:38" ht="13" customHeight="1" x14ac:dyDescent="0.2">
      <c r="A13" s="87" t="s">
        <v>6038</v>
      </c>
      <c r="B13" s="105">
        <v>5</v>
      </c>
      <c r="C13" s="98" t="s">
        <v>6020</v>
      </c>
      <c r="D13" s="126" t="s">
        <v>6034</v>
      </c>
      <c r="E13" s="126" t="s">
        <v>24</v>
      </c>
      <c r="F13" s="127" t="s">
        <v>6039</v>
      </c>
      <c r="G13" s="128">
        <v>34.1666666666667</v>
      </c>
      <c r="H13" s="129">
        <v>74.75</v>
      </c>
      <c r="I13" s="98" t="s">
        <v>6021</v>
      </c>
      <c r="J13" s="124" t="s">
        <v>17</v>
      </c>
      <c r="K13" s="125" t="s">
        <v>17</v>
      </c>
      <c r="L13" s="88">
        <v>1.0695E-2</v>
      </c>
      <c r="M13" s="89">
        <v>-4.5009999999999998E-3</v>
      </c>
      <c r="N13" s="90">
        <v>-3.4540000000000001E-2</v>
      </c>
      <c r="O13" s="97" t="s">
        <v>6040</v>
      </c>
      <c r="P13" s="90" t="s">
        <v>6041</v>
      </c>
      <c r="Q13" s="93">
        <v>5.4413754900000003E-5</v>
      </c>
      <c r="R13" s="94">
        <v>0.23899999999999999</v>
      </c>
      <c r="S13" s="94">
        <v>0.55200000000000005</v>
      </c>
      <c r="T13" s="94">
        <v>0.20799999999999999</v>
      </c>
      <c r="U13" s="95">
        <v>1.4E-2</v>
      </c>
      <c r="V13" s="94">
        <v>2.4E-2</v>
      </c>
      <c r="W13" s="94">
        <v>1.4999999999999999E-2</v>
      </c>
      <c r="X13" s="95">
        <v>0.241696612756364</v>
      </c>
      <c r="Y13" s="94">
        <v>0.551818910322599</v>
      </c>
      <c r="Z13" s="94">
        <v>0.20649567644671299</v>
      </c>
      <c r="AA13" s="93">
        <v>-0.64199650017941101</v>
      </c>
      <c r="AB13" s="95">
        <v>2.0421228799999999E-6</v>
      </c>
      <c r="AC13" s="95">
        <v>0.17599999999999999</v>
      </c>
      <c r="AD13" s="94">
        <v>0.60199999999999998</v>
      </c>
      <c r="AE13" s="100">
        <v>0.222</v>
      </c>
      <c r="AF13" s="95">
        <v>1.4E-2</v>
      </c>
      <c r="AG13" s="94">
        <v>2.4E-2</v>
      </c>
      <c r="AH13" s="94">
        <v>1.4999999999999999E-2</v>
      </c>
      <c r="AI13" s="95">
        <v>0.177847901</v>
      </c>
      <c r="AJ13" s="94">
        <v>0.60059534299999995</v>
      </c>
      <c r="AK13" s="100">
        <v>0.221680563</v>
      </c>
      <c r="AL13" s="100">
        <v>-0.69992980014890105</v>
      </c>
    </row>
    <row r="14" spans="1:38" ht="13" customHeight="1" x14ac:dyDescent="0.2">
      <c r="A14" s="87" t="s">
        <v>6045</v>
      </c>
      <c r="B14" s="105">
        <v>2</v>
      </c>
      <c r="C14" s="98" t="s">
        <v>6020</v>
      </c>
      <c r="D14" s="126" t="s">
        <v>6046</v>
      </c>
      <c r="E14" s="126" t="s">
        <v>5785</v>
      </c>
      <c r="F14" s="127" t="s">
        <v>6047</v>
      </c>
      <c r="G14" s="128">
        <v>30.129308333333334</v>
      </c>
      <c r="H14" s="129">
        <v>77.26925</v>
      </c>
      <c r="I14" s="98" t="s">
        <v>6021</v>
      </c>
      <c r="J14" s="124" t="s">
        <v>17</v>
      </c>
      <c r="K14" s="125" t="s">
        <v>17</v>
      </c>
      <c r="L14" s="88">
        <v>9.7579999999999993E-3</v>
      </c>
      <c r="M14" s="89">
        <v>-6.4260000000000003E-3</v>
      </c>
      <c r="N14" s="90">
        <v>-3.2149999999999998E-2</v>
      </c>
      <c r="O14" s="97" t="s">
        <v>17</v>
      </c>
      <c r="P14" s="90" t="s">
        <v>17</v>
      </c>
      <c r="Q14" s="93">
        <v>1.15294678E-2</v>
      </c>
      <c r="R14" s="94">
        <v>0.252</v>
      </c>
      <c r="S14" s="94">
        <v>0.51700000000000002</v>
      </c>
      <c r="T14" s="94">
        <v>0.23100000000000001</v>
      </c>
      <c r="U14" s="95">
        <v>0.02</v>
      </c>
      <c r="V14" s="94">
        <v>3.3000000000000002E-2</v>
      </c>
      <c r="W14" s="94">
        <v>0.02</v>
      </c>
      <c r="X14" s="95">
        <v>0.250976081983044</v>
      </c>
      <c r="Y14" s="94">
        <v>0.52858532217366905</v>
      </c>
      <c r="Z14" s="94">
        <v>0.22051564610150201</v>
      </c>
      <c r="AA14" s="93">
        <v>-1.8162704876917799</v>
      </c>
      <c r="AB14" s="95">
        <v>2.8065925799999999E-2</v>
      </c>
      <c r="AC14" s="95">
        <v>0.188</v>
      </c>
      <c r="AD14" s="94">
        <v>0.57199999999999995</v>
      </c>
      <c r="AE14" s="100">
        <v>0.24</v>
      </c>
      <c r="AF14" s="95">
        <v>0.02</v>
      </c>
      <c r="AG14" s="94">
        <v>3.3000000000000002E-2</v>
      </c>
      <c r="AH14" s="94">
        <v>0.02</v>
      </c>
      <c r="AI14" s="95">
        <v>0.18801937899999999</v>
      </c>
      <c r="AJ14" s="94">
        <v>0.57792957499999997</v>
      </c>
      <c r="AK14" s="100">
        <v>0.23416464000000001</v>
      </c>
      <c r="AL14" s="100">
        <v>-1.74061266002091</v>
      </c>
    </row>
    <row r="15" spans="1:38" ht="13" customHeight="1" x14ac:dyDescent="0.2">
      <c r="A15" s="87" t="s">
        <v>6048</v>
      </c>
      <c r="B15" s="105">
        <v>9</v>
      </c>
      <c r="C15" s="98" t="s">
        <v>6020</v>
      </c>
      <c r="D15" s="126" t="s">
        <v>6034</v>
      </c>
      <c r="E15" s="126" t="s">
        <v>24</v>
      </c>
      <c r="F15" s="127" t="s">
        <v>6049</v>
      </c>
      <c r="G15" s="128">
        <v>33.879802777777776</v>
      </c>
      <c r="H15" s="129">
        <v>74.927888888888887</v>
      </c>
      <c r="I15" s="98" t="s">
        <v>6021</v>
      </c>
      <c r="J15" s="98" t="s">
        <v>17</v>
      </c>
      <c r="K15" s="106" t="s">
        <v>17</v>
      </c>
      <c r="L15" s="88">
        <v>9.3629999999999998E-3</v>
      </c>
      <c r="M15" s="89">
        <v>-4.5030000000000001E-3</v>
      </c>
      <c r="N15" s="90">
        <v>-2.9933000000000001E-2</v>
      </c>
      <c r="O15" s="97" t="s">
        <v>6050</v>
      </c>
      <c r="P15" s="90" t="s">
        <v>6051</v>
      </c>
      <c r="Q15" s="93">
        <v>2.0778123800000001E-4</v>
      </c>
      <c r="R15" s="94">
        <v>0.25600000000000001</v>
      </c>
      <c r="S15" s="94">
        <v>0.55200000000000005</v>
      </c>
      <c r="T15" s="94">
        <v>0.192</v>
      </c>
      <c r="U15" s="95">
        <v>1.2E-2</v>
      </c>
      <c r="V15" s="94">
        <v>2.1000000000000001E-2</v>
      </c>
      <c r="W15" s="94">
        <v>1.2999999999999999E-2</v>
      </c>
      <c r="X15" s="95">
        <v>0.25813827003155199</v>
      </c>
      <c r="Y15" s="94">
        <v>0.54985540536642197</v>
      </c>
      <c r="Z15" s="94">
        <v>0.19207859435805999</v>
      </c>
      <c r="AA15" s="93">
        <v>-0.171735974593067</v>
      </c>
      <c r="AB15" s="95">
        <v>3.0262192599999999E-6</v>
      </c>
      <c r="AC15" s="95">
        <v>0.19500000000000001</v>
      </c>
      <c r="AD15" s="94">
        <v>0.60199999999999998</v>
      </c>
      <c r="AE15" s="100">
        <v>0.20300000000000001</v>
      </c>
      <c r="AF15" s="95">
        <v>1.2E-2</v>
      </c>
      <c r="AG15" s="94">
        <v>2.1000000000000001E-2</v>
      </c>
      <c r="AH15" s="94">
        <v>1.2999999999999999E-2</v>
      </c>
      <c r="AI15" s="95">
        <v>0.196972022</v>
      </c>
      <c r="AJ15" s="94">
        <v>0.599429883</v>
      </c>
      <c r="AK15" s="100">
        <v>0.20371376599999999</v>
      </c>
      <c r="AL15" s="100">
        <v>2.37128896351817E-2</v>
      </c>
    </row>
    <row r="16" spans="1:38" ht="13" customHeight="1" x14ac:dyDescent="0.2">
      <c r="A16" s="87" t="s">
        <v>6065</v>
      </c>
      <c r="B16" s="105">
        <v>3</v>
      </c>
      <c r="C16" s="98" t="s">
        <v>6020</v>
      </c>
      <c r="D16" s="126" t="s">
        <v>6066</v>
      </c>
      <c r="E16" s="126" t="s">
        <v>24</v>
      </c>
      <c r="F16" s="127" t="s">
        <v>6067</v>
      </c>
      <c r="G16" s="128">
        <v>25.17936388888889</v>
      </c>
      <c r="H16" s="129">
        <v>83.293408333333332</v>
      </c>
      <c r="I16" s="98" t="s">
        <v>6021</v>
      </c>
      <c r="J16" s="98" t="s">
        <v>17</v>
      </c>
      <c r="K16" s="106" t="s">
        <v>17</v>
      </c>
      <c r="L16" s="88">
        <v>9.0279999999999996E-3</v>
      </c>
      <c r="M16" s="89">
        <v>-6.3969999999999999E-3</v>
      </c>
      <c r="N16" s="90">
        <v>-2.7067000000000001E-2</v>
      </c>
      <c r="O16" s="97" t="s">
        <v>17</v>
      </c>
      <c r="P16" s="90" t="s">
        <v>17</v>
      </c>
      <c r="Q16" s="93">
        <v>1.8711098900000001E-2</v>
      </c>
      <c r="R16" s="94">
        <v>0.255</v>
      </c>
      <c r="S16" s="94">
        <v>0.54100000000000004</v>
      </c>
      <c r="T16" s="94">
        <v>0.20399999999999999</v>
      </c>
      <c r="U16" s="95">
        <v>1.6E-2</v>
      </c>
      <c r="V16" s="94">
        <v>2.8000000000000001E-2</v>
      </c>
      <c r="W16" s="94">
        <v>1.7999999999999999E-2</v>
      </c>
      <c r="X16" s="95">
        <v>0.25661613199922201</v>
      </c>
      <c r="Y16" s="94">
        <v>0.54242898251351102</v>
      </c>
      <c r="Z16" s="94">
        <v>0.20102857925300399</v>
      </c>
      <c r="AA16" s="93">
        <v>-0.71418901956898395</v>
      </c>
      <c r="AB16" s="95">
        <v>3.2680007900000002E-2</v>
      </c>
      <c r="AC16" s="95">
        <v>0.19500000000000001</v>
      </c>
      <c r="AD16" s="94">
        <v>0.58499999999999996</v>
      </c>
      <c r="AE16" s="100">
        <v>0.219</v>
      </c>
      <c r="AF16" s="95">
        <v>1.6E-2</v>
      </c>
      <c r="AG16" s="94">
        <v>2.8000000000000001E-2</v>
      </c>
      <c r="AH16" s="94">
        <v>1.7999999999999999E-2</v>
      </c>
      <c r="AI16" s="95">
        <v>0.197493961</v>
      </c>
      <c r="AJ16" s="94">
        <v>0.58540479700000003</v>
      </c>
      <c r="AK16" s="100">
        <v>0.21715969099999999</v>
      </c>
      <c r="AL16" s="100">
        <v>-0.99919023496220605</v>
      </c>
    </row>
    <row r="17" spans="1:38" ht="13" customHeight="1" x14ac:dyDescent="0.2">
      <c r="A17" s="87" t="s">
        <v>6072</v>
      </c>
      <c r="B17" s="105">
        <v>4</v>
      </c>
      <c r="C17" s="98" t="s">
        <v>6020</v>
      </c>
      <c r="D17" s="126" t="s">
        <v>6046</v>
      </c>
      <c r="E17" s="126" t="s">
        <v>24</v>
      </c>
      <c r="F17" s="127" t="s">
        <v>6073</v>
      </c>
      <c r="G17" s="128">
        <v>30.083191666666668</v>
      </c>
      <c r="H17" s="129">
        <v>76.991691666666668</v>
      </c>
      <c r="I17" s="98" t="s">
        <v>6021</v>
      </c>
      <c r="J17" s="124">
        <v>3</v>
      </c>
      <c r="K17" s="125">
        <v>11</v>
      </c>
      <c r="L17" s="88">
        <v>8.2159999999999993E-3</v>
      </c>
      <c r="M17" s="89">
        <v>-6.2709999999999997E-3</v>
      </c>
      <c r="N17" s="90">
        <v>-2.6624999999999999E-2</v>
      </c>
      <c r="O17" s="97" t="s">
        <v>17</v>
      </c>
      <c r="P17" s="90" t="s">
        <v>17</v>
      </c>
      <c r="Q17" s="93">
        <v>3.09812809E-3</v>
      </c>
      <c r="R17" s="94">
        <v>0.255</v>
      </c>
      <c r="S17" s="94">
        <v>0.56799999999999995</v>
      </c>
      <c r="T17" s="94">
        <v>0.17699999999999999</v>
      </c>
      <c r="U17" s="95">
        <v>1.6E-2</v>
      </c>
      <c r="V17" s="94">
        <v>2.5999999999999999E-2</v>
      </c>
      <c r="W17" s="94">
        <v>1.6E-2</v>
      </c>
      <c r="X17" s="95">
        <v>0.25954909632055101</v>
      </c>
      <c r="Y17" s="94">
        <v>0.55986711370368103</v>
      </c>
      <c r="Z17" s="94">
        <v>0.18065430277339101</v>
      </c>
      <c r="AA17" s="93">
        <v>0.67561884614621204</v>
      </c>
      <c r="AB17" s="95">
        <v>4.6502723100000002E-4</v>
      </c>
      <c r="AC17" s="95">
        <v>0.19600000000000001</v>
      </c>
      <c r="AD17" s="94">
        <v>0.61099999999999999</v>
      </c>
      <c r="AE17" s="100">
        <v>0.193</v>
      </c>
      <c r="AF17" s="95">
        <v>1.6E-2</v>
      </c>
      <c r="AG17" s="94">
        <v>2.5999999999999999E-2</v>
      </c>
      <c r="AH17" s="94">
        <v>1.6E-2</v>
      </c>
      <c r="AI17" s="95">
        <v>0.19989754900000001</v>
      </c>
      <c r="AJ17" s="94">
        <v>0.60495655400000004</v>
      </c>
      <c r="AK17" s="100">
        <v>0.19526184599999999</v>
      </c>
      <c r="AL17" s="100">
        <v>0.65486381464571497</v>
      </c>
    </row>
    <row r="18" spans="1:38" ht="13" customHeight="1" x14ac:dyDescent="0.2">
      <c r="A18" s="87" t="s">
        <v>3642</v>
      </c>
      <c r="B18" s="105">
        <v>3</v>
      </c>
      <c r="C18" s="98" t="s">
        <v>6020</v>
      </c>
      <c r="D18" s="126" t="s">
        <v>6046</v>
      </c>
      <c r="E18" s="126" t="s">
        <v>24</v>
      </c>
      <c r="F18" s="127" t="s">
        <v>6059</v>
      </c>
      <c r="G18" s="128">
        <v>28.890899999999998</v>
      </c>
      <c r="H18" s="129">
        <v>76.579599999999999</v>
      </c>
      <c r="I18" s="98" t="s">
        <v>6021</v>
      </c>
      <c r="J18" s="98">
        <v>9</v>
      </c>
      <c r="K18" s="106">
        <v>12</v>
      </c>
      <c r="L18" s="88">
        <v>8.7740000000000005E-3</v>
      </c>
      <c r="M18" s="89">
        <v>-5.7109999999999999E-3</v>
      </c>
      <c r="N18" s="90">
        <v>-2.7733000000000001E-2</v>
      </c>
      <c r="O18" s="97" t="s">
        <v>17</v>
      </c>
      <c r="P18" s="90" t="s">
        <v>17</v>
      </c>
      <c r="Q18" s="93">
        <v>1.4937034799999999E-3</v>
      </c>
      <c r="R18" s="94">
        <v>0.26200000000000001</v>
      </c>
      <c r="S18" s="94">
        <v>0.52900000000000003</v>
      </c>
      <c r="T18" s="94">
        <v>0.20899999999999999</v>
      </c>
      <c r="U18" s="95">
        <v>1.6E-2</v>
      </c>
      <c r="V18" s="94">
        <v>2.7E-2</v>
      </c>
      <c r="W18" s="94">
        <v>1.7000000000000001E-2</v>
      </c>
      <c r="X18" s="95">
        <v>0.26261856325559502</v>
      </c>
      <c r="Y18" s="94">
        <v>0.53343006558401695</v>
      </c>
      <c r="Z18" s="94">
        <v>0.20402481615086601</v>
      </c>
      <c r="AA18" s="93">
        <v>-1.1470652307954301</v>
      </c>
      <c r="AB18" s="95">
        <v>4.2161351499999999E-4</v>
      </c>
      <c r="AC18" s="95">
        <v>0.20399999999999999</v>
      </c>
      <c r="AD18" s="94">
        <v>0.57499999999999996</v>
      </c>
      <c r="AE18" s="100">
        <v>0.221</v>
      </c>
      <c r="AF18" s="95">
        <v>1.6E-2</v>
      </c>
      <c r="AG18" s="94">
        <v>2.7E-2</v>
      </c>
      <c r="AH18" s="94">
        <v>1.7000000000000001E-2</v>
      </c>
      <c r="AI18" s="95">
        <v>0.20473644299999999</v>
      </c>
      <c r="AJ18" s="94">
        <v>0.577127791</v>
      </c>
      <c r="AK18" s="100">
        <v>0.218242304</v>
      </c>
      <c r="AL18" s="100">
        <v>-1.3358174681136701</v>
      </c>
    </row>
    <row r="19" spans="1:38" ht="13" customHeight="1" x14ac:dyDescent="0.2">
      <c r="A19" s="87" t="s">
        <v>6054</v>
      </c>
      <c r="B19" s="105">
        <v>7</v>
      </c>
      <c r="C19" s="98" t="s">
        <v>6020</v>
      </c>
      <c r="D19" s="126" t="s">
        <v>6055</v>
      </c>
      <c r="E19" s="126" t="s">
        <v>5785</v>
      </c>
      <c r="F19" s="127" t="s">
        <v>6056</v>
      </c>
      <c r="G19" s="128">
        <v>24.994972222222223</v>
      </c>
      <c r="H19" s="129">
        <v>84.812469444444446</v>
      </c>
      <c r="I19" s="98" t="s">
        <v>6021</v>
      </c>
      <c r="J19" s="124">
        <v>12</v>
      </c>
      <c r="K19" s="125">
        <v>20</v>
      </c>
      <c r="L19" s="88">
        <v>9.2540000000000001E-3</v>
      </c>
      <c r="M19" s="89">
        <v>-6.3819999999999997E-3</v>
      </c>
      <c r="N19" s="90">
        <v>-2.8500000000000001E-2</v>
      </c>
      <c r="O19" s="97" t="s">
        <v>6057</v>
      </c>
      <c r="P19" s="90" t="s">
        <v>6058</v>
      </c>
      <c r="Q19" s="93">
        <v>1.7790058000000001E-2</v>
      </c>
      <c r="R19" s="94">
        <v>0.26400000000000001</v>
      </c>
      <c r="S19" s="94">
        <v>0.47399999999999998</v>
      </c>
      <c r="T19" s="94">
        <v>0.26300000000000001</v>
      </c>
      <c r="U19" s="95">
        <v>1.2E-2</v>
      </c>
      <c r="V19" s="94">
        <v>2.1999999999999999E-2</v>
      </c>
      <c r="W19" s="94">
        <v>1.4E-2</v>
      </c>
      <c r="X19" s="95">
        <v>0.25872383622769601</v>
      </c>
      <c r="Y19" s="94">
        <v>0.49175381940763702</v>
      </c>
      <c r="Z19" s="94">
        <v>0.24966756282220401</v>
      </c>
      <c r="AA19" s="93">
        <v>-4.7925487441645496</v>
      </c>
      <c r="AB19" s="95">
        <v>2.7908048300000002E-3</v>
      </c>
      <c r="AC19" s="95">
        <v>0.21299999999999999</v>
      </c>
      <c r="AD19" s="94">
        <v>0.504</v>
      </c>
      <c r="AE19" s="100">
        <v>0.28299999999999997</v>
      </c>
      <c r="AF19" s="95">
        <v>1.2E-2</v>
      </c>
      <c r="AG19" s="94">
        <v>2.1999999999999999E-2</v>
      </c>
      <c r="AH19" s="94">
        <v>1.4E-2</v>
      </c>
      <c r="AI19" s="95">
        <v>0.208338619</v>
      </c>
      <c r="AJ19" s="94">
        <v>0.517783408</v>
      </c>
      <c r="AK19" s="100">
        <v>0.27396719200000003</v>
      </c>
      <c r="AL19" s="100">
        <v>-6.9910760007098602</v>
      </c>
    </row>
    <row r="20" spans="1:38" ht="13" customHeight="1" x14ac:dyDescent="0.2">
      <c r="A20" s="87" t="s">
        <v>6068</v>
      </c>
      <c r="B20" s="105">
        <v>41</v>
      </c>
      <c r="C20" s="98" t="s">
        <v>6020</v>
      </c>
      <c r="D20" s="126" t="s">
        <v>6031</v>
      </c>
      <c r="E20" s="126" t="s">
        <v>24</v>
      </c>
      <c r="F20" s="127" t="s">
        <v>6069</v>
      </c>
      <c r="G20" s="128">
        <v>30.210999999999999</v>
      </c>
      <c r="H20" s="129">
        <v>74.945499999999996</v>
      </c>
      <c r="I20" s="98" t="s">
        <v>6021</v>
      </c>
      <c r="J20" s="98" t="s">
        <v>17</v>
      </c>
      <c r="K20" s="106" t="s">
        <v>17</v>
      </c>
      <c r="L20" s="88">
        <v>9.0329999999999994E-3</v>
      </c>
      <c r="M20" s="89">
        <v>-6.0610000000000004E-3</v>
      </c>
      <c r="N20" s="90">
        <v>-2.6966E-2</v>
      </c>
      <c r="O20" s="97" t="s">
        <v>6070</v>
      </c>
      <c r="P20" s="90" t="s">
        <v>6071</v>
      </c>
      <c r="Q20" s="93">
        <v>4.9155425999999999E-4</v>
      </c>
      <c r="R20" s="94">
        <v>0.26600000000000001</v>
      </c>
      <c r="S20" s="94">
        <v>0.49299999999999999</v>
      </c>
      <c r="T20" s="94">
        <v>0.24099999999999999</v>
      </c>
      <c r="U20" s="95">
        <v>8.9999999999999993E-3</v>
      </c>
      <c r="V20" s="94">
        <v>1.6E-2</v>
      </c>
      <c r="W20" s="94">
        <v>0.01</v>
      </c>
      <c r="X20" s="95">
        <v>0.26388397920711598</v>
      </c>
      <c r="Y20" s="94">
        <v>0.50284077005975902</v>
      </c>
      <c r="Z20" s="94">
        <v>0.233352665205462</v>
      </c>
      <c r="AA20" s="93">
        <v>-4.0560986917663504</v>
      </c>
      <c r="AB20" s="95">
        <v>4.5419820800000001E-6</v>
      </c>
      <c r="AC20" s="95">
        <v>0.215</v>
      </c>
      <c r="AD20" s="94">
        <v>0.53</v>
      </c>
      <c r="AE20" s="100">
        <v>0.25600000000000001</v>
      </c>
      <c r="AF20" s="95">
        <v>8.9999999999999993E-3</v>
      </c>
      <c r="AG20" s="94">
        <v>1.6E-2</v>
      </c>
      <c r="AH20" s="94">
        <v>0.01</v>
      </c>
      <c r="AI20" s="95">
        <v>0.21246475000000001</v>
      </c>
      <c r="AJ20" s="94">
        <v>0.53547208099999999</v>
      </c>
      <c r="AK20" s="100">
        <v>0.25220872599999999</v>
      </c>
      <c r="AL20" s="100">
        <v>-6.1499206152081296</v>
      </c>
    </row>
    <row r="21" spans="1:38" ht="13" customHeight="1" x14ac:dyDescent="0.2">
      <c r="A21" s="87" t="s">
        <v>6080</v>
      </c>
      <c r="B21" s="105">
        <v>5</v>
      </c>
      <c r="C21" s="98" t="s">
        <v>6020</v>
      </c>
      <c r="D21" s="126" t="s">
        <v>1688</v>
      </c>
      <c r="E21" s="126" t="s">
        <v>24</v>
      </c>
      <c r="F21" s="127" t="s">
        <v>6081</v>
      </c>
      <c r="G21" s="128">
        <v>23.2</v>
      </c>
      <c r="H21" s="129">
        <v>72.7</v>
      </c>
      <c r="I21" s="98" t="s">
        <v>6021</v>
      </c>
      <c r="J21" s="124" t="s">
        <v>17</v>
      </c>
      <c r="K21" s="125" t="s">
        <v>17</v>
      </c>
      <c r="L21" s="88">
        <v>8.0510000000000009E-3</v>
      </c>
      <c r="M21" s="89">
        <v>-6.6249999999999998E-3</v>
      </c>
      <c r="N21" s="90">
        <v>-2.5559999999999999E-2</v>
      </c>
      <c r="O21" s="97" t="s">
        <v>6082</v>
      </c>
      <c r="P21" s="90" t="s">
        <v>6083</v>
      </c>
      <c r="Q21" s="93">
        <v>2.5457428700000001E-3</v>
      </c>
      <c r="R21" s="94">
        <v>0.26300000000000001</v>
      </c>
      <c r="S21" s="94">
        <v>0.52800000000000002</v>
      </c>
      <c r="T21" s="94">
        <v>0.20899999999999999</v>
      </c>
      <c r="U21" s="95">
        <v>1.4E-2</v>
      </c>
      <c r="V21" s="94">
        <v>2.5000000000000001E-2</v>
      </c>
      <c r="W21" s="94">
        <v>1.6E-2</v>
      </c>
      <c r="X21" s="95">
        <v>0.26326995799571401</v>
      </c>
      <c r="Y21" s="94">
        <v>0.53217270713282305</v>
      </c>
      <c r="Z21" s="94">
        <v>0.204630794273964</v>
      </c>
      <c r="AA21" s="93">
        <v>-1.2915639964500001</v>
      </c>
      <c r="AB21" s="95">
        <v>1.1277647000000001E-3</v>
      </c>
      <c r="AC21" s="95">
        <v>0.214</v>
      </c>
      <c r="AD21" s="94">
        <v>0.56200000000000006</v>
      </c>
      <c r="AE21" s="100">
        <v>0.22500000000000001</v>
      </c>
      <c r="AF21" s="95">
        <v>1.4E-2</v>
      </c>
      <c r="AG21" s="94">
        <v>2.5000000000000001E-2</v>
      </c>
      <c r="AH21" s="94">
        <v>1.6E-2</v>
      </c>
      <c r="AI21" s="95">
        <v>0.21256536500000001</v>
      </c>
      <c r="AJ21" s="94">
        <v>0.56618658700000002</v>
      </c>
      <c r="AK21" s="100">
        <v>0.22140173899999999</v>
      </c>
      <c r="AL21" s="100">
        <v>-1.98345187732957</v>
      </c>
    </row>
    <row r="22" spans="1:38" ht="13" customHeight="1" x14ac:dyDescent="0.2">
      <c r="A22" s="87" t="s">
        <v>6060</v>
      </c>
      <c r="B22" s="105">
        <v>16</v>
      </c>
      <c r="C22" s="98" t="s">
        <v>6020</v>
      </c>
      <c r="D22" s="126" t="s">
        <v>6061</v>
      </c>
      <c r="E22" s="126" t="s">
        <v>5785</v>
      </c>
      <c r="F22" s="127" t="s">
        <v>6062</v>
      </c>
      <c r="G22" s="128">
        <v>21.897400000000001</v>
      </c>
      <c r="H22" s="129">
        <v>83.394999999999996</v>
      </c>
      <c r="I22" s="98" t="s">
        <v>6021</v>
      </c>
      <c r="J22" s="124" t="s">
        <v>17</v>
      </c>
      <c r="K22" s="125" t="s">
        <v>17</v>
      </c>
      <c r="L22" s="88">
        <v>8.8299999999999993E-3</v>
      </c>
      <c r="M22" s="89">
        <v>-6.1869999999999998E-3</v>
      </c>
      <c r="N22" s="90">
        <v>-2.7281E-2</v>
      </c>
      <c r="O22" s="97" t="s">
        <v>6063</v>
      </c>
      <c r="P22" s="90" t="s">
        <v>6064</v>
      </c>
      <c r="Q22" s="93">
        <v>1.5640327499999999E-2</v>
      </c>
      <c r="R22" s="94">
        <v>0.28199999999999997</v>
      </c>
      <c r="S22" s="94">
        <v>0.46600000000000003</v>
      </c>
      <c r="T22" s="94">
        <v>0.252</v>
      </c>
      <c r="U22" s="95">
        <v>1.0999999999999999E-2</v>
      </c>
      <c r="V22" s="94">
        <v>1.9E-2</v>
      </c>
      <c r="W22" s="94">
        <v>1.2E-2</v>
      </c>
      <c r="X22" s="95">
        <v>0.27773625008790798</v>
      </c>
      <c r="Y22" s="94">
        <v>0.48212807351921699</v>
      </c>
      <c r="Z22" s="94">
        <v>0.24021251210191399</v>
      </c>
      <c r="AA22" s="93">
        <v>-5.1332210921841597</v>
      </c>
      <c r="AB22" s="95">
        <v>2.70550542E-3</v>
      </c>
      <c r="AC22" s="95">
        <v>0.23599999999999999</v>
      </c>
      <c r="AD22" s="94">
        <v>0.49399999999999999</v>
      </c>
      <c r="AE22" s="100">
        <v>0.27</v>
      </c>
      <c r="AF22" s="95">
        <v>1.0999999999999999E-2</v>
      </c>
      <c r="AG22" s="94">
        <v>1.9E-2</v>
      </c>
      <c r="AH22" s="94">
        <v>1.2E-2</v>
      </c>
      <c r="AI22" s="95">
        <v>0.23216260899999999</v>
      </c>
      <c r="AJ22" s="94">
        <v>0.50475916300000001</v>
      </c>
      <c r="AK22" s="100">
        <v>0.26315422399999999</v>
      </c>
      <c r="AL22" s="100">
        <v>-7.9042750216289397</v>
      </c>
    </row>
    <row r="23" spans="1:38" ht="13" customHeight="1" x14ac:dyDescent="0.2">
      <c r="A23" s="87" t="s">
        <v>6084</v>
      </c>
      <c r="B23" s="105">
        <v>8</v>
      </c>
      <c r="C23" s="98" t="s">
        <v>6020</v>
      </c>
      <c r="D23" s="126" t="s">
        <v>6066</v>
      </c>
      <c r="E23" s="126" t="s">
        <v>5785</v>
      </c>
      <c r="F23" s="127" t="s">
        <v>6085</v>
      </c>
      <c r="G23" s="128">
        <v>25.584041666666664</v>
      </c>
      <c r="H23" s="129">
        <v>83.577019444444446</v>
      </c>
      <c r="I23" s="98" t="s">
        <v>6021</v>
      </c>
      <c r="J23" s="124" t="s">
        <v>17</v>
      </c>
      <c r="K23" s="125" t="s">
        <v>17</v>
      </c>
      <c r="L23" s="88">
        <v>8.6449999999999999E-3</v>
      </c>
      <c r="M23" s="89">
        <v>-5.5490000000000001E-3</v>
      </c>
      <c r="N23" s="90">
        <v>-2.4049999999999998E-2</v>
      </c>
      <c r="O23" s="97" t="s">
        <v>6086</v>
      </c>
      <c r="P23" s="90" t="s">
        <v>6087</v>
      </c>
      <c r="Q23" s="93">
        <v>3.3239994400000002E-3</v>
      </c>
      <c r="R23" s="94">
        <v>0.28799999999999998</v>
      </c>
      <c r="S23" s="94">
        <v>0.48199999999999998</v>
      </c>
      <c r="T23" s="94">
        <v>0.23</v>
      </c>
      <c r="U23" s="95">
        <v>1.2E-2</v>
      </c>
      <c r="V23" s="94">
        <v>2.1000000000000001E-2</v>
      </c>
      <c r="W23" s="94">
        <v>1.4E-2</v>
      </c>
      <c r="X23" s="95">
        <v>0.28507725897250003</v>
      </c>
      <c r="Y23" s="94">
        <v>0.49507642502105897</v>
      </c>
      <c r="Z23" s="94">
        <v>0.21991949205274799</v>
      </c>
      <c r="AA23" s="93">
        <v>-3.4471329531979702</v>
      </c>
      <c r="AB23" s="95">
        <v>2.76980807E-4</v>
      </c>
      <c r="AC23" s="95">
        <v>0.24099999999999999</v>
      </c>
      <c r="AD23" s="94">
        <v>0.51300000000000001</v>
      </c>
      <c r="AE23" s="100">
        <v>0.246</v>
      </c>
      <c r="AF23" s="95">
        <v>1.2E-2</v>
      </c>
      <c r="AG23" s="94">
        <v>2.1000000000000001E-2</v>
      </c>
      <c r="AH23" s="94">
        <v>1.4E-2</v>
      </c>
      <c r="AI23" s="95">
        <v>0.23814221499999999</v>
      </c>
      <c r="AJ23" s="94">
        <v>0.52252287900000005</v>
      </c>
      <c r="AK23" s="100">
        <v>0.23941319599999999</v>
      </c>
      <c r="AL23" s="100">
        <v>-4.9599227842446698</v>
      </c>
    </row>
    <row r="24" spans="1:38" ht="13" customHeight="1" x14ac:dyDescent="0.2">
      <c r="A24" s="87" t="s">
        <v>6103</v>
      </c>
      <c r="B24" s="105">
        <v>4</v>
      </c>
      <c r="C24" s="98" t="s">
        <v>6095</v>
      </c>
      <c r="D24" s="126" t="s">
        <v>6096</v>
      </c>
      <c r="E24" s="126" t="s">
        <v>5785</v>
      </c>
      <c r="F24" s="127" t="s">
        <v>6104</v>
      </c>
      <c r="G24" s="128">
        <v>12.914141666666668</v>
      </c>
      <c r="H24" s="129">
        <v>74.855955555555553</v>
      </c>
      <c r="I24" s="98" t="s">
        <v>6021</v>
      </c>
      <c r="J24" s="124">
        <v>2</v>
      </c>
      <c r="K24" s="125">
        <v>17</v>
      </c>
      <c r="L24" s="88">
        <v>6.483E-3</v>
      </c>
      <c r="M24" s="89">
        <v>-6.5529999999999998E-3</v>
      </c>
      <c r="N24" s="90">
        <v>-1.8175E-2</v>
      </c>
      <c r="O24" s="97" t="s">
        <v>17</v>
      </c>
      <c r="P24" s="90" t="s">
        <v>17</v>
      </c>
      <c r="Q24" s="93">
        <v>1.4669748E-2</v>
      </c>
      <c r="R24" s="94">
        <v>0.29399999999999998</v>
      </c>
      <c r="S24" s="94">
        <v>0.52400000000000002</v>
      </c>
      <c r="T24" s="94">
        <v>0.183</v>
      </c>
      <c r="U24" s="95">
        <v>1.4E-2</v>
      </c>
      <c r="V24" s="94">
        <v>2.4E-2</v>
      </c>
      <c r="W24" s="94">
        <v>1.4999999999999999E-2</v>
      </c>
      <c r="X24" s="95">
        <v>0.293888231556511</v>
      </c>
      <c r="Y24" s="94">
        <v>0.52545405928722499</v>
      </c>
      <c r="Z24" s="94">
        <v>0.180789341279082</v>
      </c>
      <c r="AA24" s="93">
        <v>-0.639483678919047</v>
      </c>
      <c r="AB24" s="95">
        <v>6.0967637900000003E-2</v>
      </c>
      <c r="AC24" s="95">
        <v>0.24</v>
      </c>
      <c r="AD24" s="94">
        <v>0.56499999999999995</v>
      </c>
      <c r="AE24" s="100">
        <v>0.19600000000000001</v>
      </c>
      <c r="AF24" s="95">
        <v>1.4E-2</v>
      </c>
      <c r="AG24" s="94">
        <v>2.4E-2</v>
      </c>
      <c r="AH24" s="94">
        <v>1.4999999999999999E-2</v>
      </c>
      <c r="AI24" s="95">
        <v>0.239768076</v>
      </c>
      <c r="AJ24" s="94">
        <v>0.56574219800000003</v>
      </c>
      <c r="AK24" s="100">
        <v>0.19463216899999999</v>
      </c>
      <c r="AL24" s="100">
        <v>-0.86846373784631004</v>
      </c>
    </row>
    <row r="25" spans="1:38" ht="13" customHeight="1" x14ac:dyDescent="0.2">
      <c r="A25" s="87" t="s">
        <v>6076</v>
      </c>
      <c r="B25" s="105">
        <v>7</v>
      </c>
      <c r="C25" s="98" t="s">
        <v>6020</v>
      </c>
      <c r="D25" s="126" t="s">
        <v>6066</v>
      </c>
      <c r="E25" s="126" t="s">
        <v>5785</v>
      </c>
      <c r="F25" s="127" t="s">
        <v>6077</v>
      </c>
      <c r="G25" s="128">
        <v>25.584041666666664</v>
      </c>
      <c r="H25" s="129">
        <v>83.577019444444446</v>
      </c>
      <c r="I25" s="98" t="s">
        <v>6021</v>
      </c>
      <c r="J25" s="98">
        <v>5</v>
      </c>
      <c r="K25" s="106">
        <v>10</v>
      </c>
      <c r="L25" s="88">
        <v>8.2190000000000006E-3</v>
      </c>
      <c r="M25" s="89">
        <v>-6.1850000000000004E-3</v>
      </c>
      <c r="N25" s="90">
        <v>-2.6100000000000002E-2</v>
      </c>
      <c r="O25" s="97" t="s">
        <v>6078</v>
      </c>
      <c r="P25" s="90" t="s">
        <v>6079</v>
      </c>
      <c r="Q25" s="93">
        <v>3.1941500000000002E-3</v>
      </c>
      <c r="R25" s="94">
        <v>0.29099999999999998</v>
      </c>
      <c r="S25" s="94">
        <v>0.45900000000000002</v>
      </c>
      <c r="T25" s="94">
        <v>0.25</v>
      </c>
      <c r="U25" s="95">
        <v>1.2999999999999999E-2</v>
      </c>
      <c r="V25" s="94">
        <v>2.3E-2</v>
      </c>
      <c r="W25" s="94">
        <v>1.4E-2</v>
      </c>
      <c r="X25" s="95">
        <v>0.285591041790491</v>
      </c>
      <c r="Y25" s="94">
        <v>0.47905213035705901</v>
      </c>
      <c r="Z25" s="94">
        <v>0.235432120247968</v>
      </c>
      <c r="AA25" s="93">
        <v>-4.7197468559065801</v>
      </c>
      <c r="AB25" s="95">
        <v>3.1644792800000001E-4</v>
      </c>
      <c r="AC25" s="95">
        <v>0.248</v>
      </c>
      <c r="AD25" s="94">
        <v>0.48799999999999999</v>
      </c>
      <c r="AE25" s="100">
        <v>0.26400000000000001</v>
      </c>
      <c r="AF25" s="95">
        <v>1.2999999999999999E-2</v>
      </c>
      <c r="AG25" s="94">
        <v>2.3E-2</v>
      </c>
      <c r="AH25" s="94">
        <v>1.4E-2</v>
      </c>
      <c r="AI25" s="95">
        <v>0.24307150399999999</v>
      </c>
      <c r="AJ25" s="94">
        <v>0.50266162599999997</v>
      </c>
      <c r="AK25" s="100">
        <v>0.25433784300000001</v>
      </c>
      <c r="AL25" s="100">
        <v>-6.4099642728861399</v>
      </c>
    </row>
    <row r="26" spans="1:38" ht="13" customHeight="1" x14ac:dyDescent="0.2">
      <c r="A26" s="87" t="s">
        <v>6088</v>
      </c>
      <c r="B26" s="105">
        <v>7</v>
      </c>
      <c r="C26" s="98" t="s">
        <v>6020</v>
      </c>
      <c r="D26" s="126" t="s">
        <v>6066</v>
      </c>
      <c r="E26" s="126" t="s">
        <v>24</v>
      </c>
      <c r="F26" s="127" t="s">
        <v>6077</v>
      </c>
      <c r="G26" s="128">
        <v>25.749002777777779</v>
      </c>
      <c r="H26" s="129">
        <v>82.698700000000002</v>
      </c>
      <c r="I26" s="98" t="s">
        <v>6021</v>
      </c>
      <c r="J26" s="98" t="s">
        <v>17</v>
      </c>
      <c r="K26" s="106" t="s">
        <v>17</v>
      </c>
      <c r="L26" s="88">
        <v>7.4450000000000002E-3</v>
      </c>
      <c r="M26" s="89">
        <v>-5.4000000000000003E-3</v>
      </c>
      <c r="N26" s="90">
        <v>-2.0299999999999999E-2</v>
      </c>
      <c r="O26" s="97" t="s">
        <v>6089</v>
      </c>
      <c r="P26" s="90" t="s">
        <v>6090</v>
      </c>
      <c r="Q26" s="93">
        <v>7.4639316899999999E-3</v>
      </c>
      <c r="R26" s="94">
        <v>0.29299999999999998</v>
      </c>
      <c r="S26" s="94">
        <v>0.53200000000000003</v>
      </c>
      <c r="T26" s="94">
        <v>0.17599999999999999</v>
      </c>
      <c r="U26" s="95">
        <v>1.2999999999999999E-2</v>
      </c>
      <c r="V26" s="94">
        <v>2.3E-2</v>
      </c>
      <c r="W26" s="94">
        <v>1.4E-2</v>
      </c>
      <c r="X26" s="95">
        <v>0.29339844784879499</v>
      </c>
      <c r="Y26" s="94">
        <v>0.53122194944956502</v>
      </c>
      <c r="Z26" s="94">
        <v>0.17551057887865501</v>
      </c>
      <c r="AA26" s="93">
        <v>-0.23838329825364701</v>
      </c>
      <c r="AB26" s="95">
        <v>1.6296783099999999E-3</v>
      </c>
      <c r="AC26" s="95">
        <v>0.24399999999999999</v>
      </c>
      <c r="AD26" s="94">
        <v>0.56200000000000006</v>
      </c>
      <c r="AE26" s="100">
        <v>0.19500000000000001</v>
      </c>
      <c r="AF26" s="95">
        <v>1.2999999999999999E-2</v>
      </c>
      <c r="AG26" s="94">
        <v>2.3E-2</v>
      </c>
      <c r="AH26" s="94">
        <v>1.4E-2</v>
      </c>
      <c r="AI26" s="95">
        <v>0.24343282299999999</v>
      </c>
      <c r="AJ26" s="94">
        <v>0.56291496900000004</v>
      </c>
      <c r="AK26" s="100">
        <v>0.19379238600000001</v>
      </c>
      <c r="AL26" s="100">
        <v>-1.0343107889640599</v>
      </c>
    </row>
    <row r="27" spans="1:38" ht="13" customHeight="1" x14ac:dyDescent="0.2">
      <c r="A27" s="87" t="s">
        <v>6094</v>
      </c>
      <c r="B27" s="105">
        <v>5</v>
      </c>
      <c r="C27" s="98" t="s">
        <v>6095</v>
      </c>
      <c r="D27" s="126" t="s">
        <v>6096</v>
      </c>
      <c r="E27" s="126" t="s">
        <v>24</v>
      </c>
      <c r="F27" s="127" t="s">
        <v>6097</v>
      </c>
      <c r="G27" s="128">
        <v>14.793705555555555</v>
      </c>
      <c r="H27" s="129">
        <v>74.686880555555561</v>
      </c>
      <c r="I27" s="98" t="s">
        <v>6021</v>
      </c>
      <c r="J27" s="124" t="s">
        <v>17</v>
      </c>
      <c r="K27" s="125" t="s">
        <v>17</v>
      </c>
      <c r="L27" s="88">
        <v>6.7889999999999999E-3</v>
      </c>
      <c r="M27" s="89">
        <v>-6.0629999999999998E-3</v>
      </c>
      <c r="N27" s="90">
        <v>-1.9699999999999999E-2</v>
      </c>
      <c r="O27" s="97" t="s">
        <v>6098</v>
      </c>
      <c r="P27" s="90" t="s">
        <v>6099</v>
      </c>
      <c r="Q27" s="93">
        <v>4.7487202500000004E-3</v>
      </c>
      <c r="R27" s="94">
        <v>0.29599999999999999</v>
      </c>
      <c r="S27" s="94">
        <v>0.54300000000000004</v>
      </c>
      <c r="T27" s="94">
        <v>0.16</v>
      </c>
      <c r="U27" s="95">
        <v>1.4999999999999999E-2</v>
      </c>
      <c r="V27" s="94">
        <v>2.5999999999999999E-2</v>
      </c>
      <c r="W27" s="94">
        <v>1.6E-2</v>
      </c>
      <c r="X27" s="95">
        <v>0.29994218168589298</v>
      </c>
      <c r="Y27" s="94">
        <v>0.53762886163297896</v>
      </c>
      <c r="Z27" s="94">
        <v>0.162427525358388</v>
      </c>
      <c r="AA27" s="93">
        <v>0.46135340702660099</v>
      </c>
      <c r="AB27" s="95">
        <v>4.9698972000000001E-3</v>
      </c>
      <c r="AC27" s="95">
        <v>0.24299999999999999</v>
      </c>
      <c r="AD27" s="94">
        <v>0.58199999999999996</v>
      </c>
      <c r="AE27" s="100">
        <v>0.17399999999999999</v>
      </c>
      <c r="AF27" s="95">
        <v>1.4999999999999999E-2</v>
      </c>
      <c r="AG27" s="94">
        <v>2.5999999999999999E-2</v>
      </c>
      <c r="AH27" s="94">
        <v>1.6E-2</v>
      </c>
      <c r="AI27" s="95">
        <v>0.246438201</v>
      </c>
      <c r="AJ27" s="94">
        <v>0.57809078000000003</v>
      </c>
      <c r="AK27" s="100">
        <v>0.175507464</v>
      </c>
      <c r="AL27" s="100">
        <v>0.37704294180856701</v>
      </c>
    </row>
    <row r="28" spans="1:38" ht="13" customHeight="1" x14ac:dyDescent="0.2">
      <c r="A28" s="87" t="s">
        <v>6074</v>
      </c>
      <c r="B28" s="105">
        <v>4</v>
      </c>
      <c r="C28" s="98" t="s">
        <v>6020</v>
      </c>
      <c r="D28" s="126" t="s">
        <v>6066</v>
      </c>
      <c r="E28" s="126" t="s">
        <v>24</v>
      </c>
      <c r="F28" s="127" t="s">
        <v>6075</v>
      </c>
      <c r="G28" s="128">
        <v>25.245947222222224</v>
      </c>
      <c r="H28" s="129">
        <v>84.042850000000001</v>
      </c>
      <c r="I28" s="98" t="s">
        <v>6021</v>
      </c>
      <c r="J28" s="98" t="s">
        <v>17</v>
      </c>
      <c r="K28" s="106" t="s">
        <v>17</v>
      </c>
      <c r="L28" s="88">
        <v>8.0470000000000003E-3</v>
      </c>
      <c r="M28" s="89">
        <v>-5.489E-3</v>
      </c>
      <c r="N28" s="90">
        <v>-2.6525E-2</v>
      </c>
      <c r="O28" s="97" t="s">
        <v>17</v>
      </c>
      <c r="P28" s="90" t="s">
        <v>17</v>
      </c>
      <c r="Q28" s="93">
        <v>3.6354352699999998E-4</v>
      </c>
      <c r="R28" s="94">
        <v>0.29499999999999998</v>
      </c>
      <c r="S28" s="94">
        <v>0.48599999999999999</v>
      </c>
      <c r="T28" s="94">
        <v>0.219</v>
      </c>
      <c r="U28" s="95">
        <v>1.4E-2</v>
      </c>
      <c r="V28" s="94">
        <v>2.5000000000000001E-2</v>
      </c>
      <c r="W28" s="94">
        <v>1.6E-2</v>
      </c>
      <c r="X28" s="95">
        <v>0.29197837536925902</v>
      </c>
      <c r="Y28" s="94">
        <v>0.49943397523786498</v>
      </c>
      <c r="Z28" s="94">
        <v>0.20865847953560801</v>
      </c>
      <c r="AA28" s="93">
        <v>-2.68530126420593</v>
      </c>
      <c r="AB28" s="95">
        <v>7.4031206199999999E-4</v>
      </c>
      <c r="AC28" s="95">
        <v>0.25</v>
      </c>
      <c r="AD28" s="94">
        <v>0.51500000000000001</v>
      </c>
      <c r="AE28" s="100">
        <v>0.23499999999999999</v>
      </c>
      <c r="AF28" s="95">
        <v>1.4E-2</v>
      </c>
      <c r="AG28" s="94">
        <v>2.5000000000000001E-2</v>
      </c>
      <c r="AH28" s="94">
        <v>1.6E-2</v>
      </c>
      <c r="AI28" s="95">
        <v>0.24678657500000001</v>
      </c>
      <c r="AJ28" s="94">
        <v>0.52601145599999999</v>
      </c>
      <c r="AK28" s="100">
        <v>0.22727765599999999</v>
      </c>
      <c r="AL28" s="100">
        <v>-3.7823595128145402</v>
      </c>
    </row>
    <row r="29" spans="1:38" ht="13" customHeight="1" x14ac:dyDescent="0.2">
      <c r="A29" s="87" t="s">
        <v>6052</v>
      </c>
      <c r="B29" s="105">
        <v>4</v>
      </c>
      <c r="C29" s="98" t="s">
        <v>6020</v>
      </c>
      <c r="D29" s="126" t="s">
        <v>2604</v>
      </c>
      <c r="E29" s="126" t="s">
        <v>5785</v>
      </c>
      <c r="F29" s="127" t="s">
        <v>6053</v>
      </c>
      <c r="G29" s="128">
        <v>27.7</v>
      </c>
      <c r="H29" s="129">
        <v>85.333333333333329</v>
      </c>
      <c r="I29" s="98" t="s">
        <v>6021</v>
      </c>
      <c r="J29" s="124" t="s">
        <v>17</v>
      </c>
      <c r="K29" s="125" t="s">
        <v>17</v>
      </c>
      <c r="L29" s="88">
        <v>9.2189999999999998E-3</v>
      </c>
      <c r="M29" s="89">
        <v>-4.313E-3</v>
      </c>
      <c r="N29" s="90">
        <v>-2.8924999999999999E-2</v>
      </c>
      <c r="O29" s="97" t="s">
        <v>17</v>
      </c>
      <c r="P29" s="90" t="s">
        <v>17</v>
      </c>
      <c r="Q29" s="93">
        <v>4.0364858100000002E-6</v>
      </c>
      <c r="R29" s="94">
        <v>0.29799999999999999</v>
      </c>
      <c r="S29" s="94">
        <v>0.45300000000000001</v>
      </c>
      <c r="T29" s="94">
        <v>0.249</v>
      </c>
      <c r="U29" s="95">
        <v>1.6E-2</v>
      </c>
      <c r="V29" s="94">
        <v>2.8000000000000001E-2</v>
      </c>
      <c r="W29" s="94">
        <v>1.7000000000000001E-2</v>
      </c>
      <c r="X29" s="95">
        <v>0.29023089368010602</v>
      </c>
      <c r="Y29" s="94">
        <v>0.478847143432447</v>
      </c>
      <c r="Z29" s="94">
        <v>0.23099611701594999</v>
      </c>
      <c r="AA29" s="93">
        <v>-4.45646073103463</v>
      </c>
      <c r="AB29" s="95">
        <v>1.2919768399999999E-6</v>
      </c>
      <c r="AC29" s="95">
        <v>0.25600000000000001</v>
      </c>
      <c r="AD29" s="94">
        <v>0.48299999999999998</v>
      </c>
      <c r="AE29" s="100">
        <v>0.26100000000000001</v>
      </c>
      <c r="AF29" s="95">
        <v>1.6E-2</v>
      </c>
      <c r="AG29" s="94">
        <v>2.8000000000000001E-2</v>
      </c>
      <c r="AH29" s="94">
        <v>1.7000000000000001E-2</v>
      </c>
      <c r="AI29" s="95">
        <v>0.24860013</v>
      </c>
      <c r="AJ29" s="94">
        <v>0.50423962099999997</v>
      </c>
      <c r="AK29" s="100">
        <v>0.247229379</v>
      </c>
      <c r="AL29" s="100">
        <v>-5.4066634753738496</v>
      </c>
    </row>
    <row r="30" spans="1:38" ht="13" customHeight="1" x14ac:dyDescent="0.2">
      <c r="A30" s="87" t="s">
        <v>6109</v>
      </c>
      <c r="B30" s="105">
        <v>27</v>
      </c>
      <c r="C30" s="98" t="s">
        <v>6020</v>
      </c>
      <c r="D30" s="126" t="s">
        <v>6110</v>
      </c>
      <c r="E30" s="126" t="s">
        <v>5785</v>
      </c>
      <c r="F30" s="127" t="s">
        <v>6111</v>
      </c>
      <c r="G30" s="128">
        <v>16.5062</v>
      </c>
      <c r="H30" s="129">
        <v>80.647999999999996</v>
      </c>
      <c r="I30" s="98" t="s">
        <v>6021</v>
      </c>
      <c r="J30" s="98">
        <v>5</v>
      </c>
      <c r="K30" s="106">
        <v>15</v>
      </c>
      <c r="L30" s="88">
        <v>6.1650000000000003E-3</v>
      </c>
      <c r="M30" s="89">
        <v>-5.7149999999999996E-3</v>
      </c>
      <c r="N30" s="90">
        <v>-1.6670000000000001E-2</v>
      </c>
      <c r="O30" s="97" t="s">
        <v>6112</v>
      </c>
      <c r="P30" s="90" t="s">
        <v>6113</v>
      </c>
      <c r="Q30" s="93">
        <v>2.7053368999999999E-3</v>
      </c>
      <c r="R30" s="94">
        <v>0.30599999999999999</v>
      </c>
      <c r="S30" s="94">
        <v>0.54</v>
      </c>
      <c r="T30" s="94">
        <v>0.154</v>
      </c>
      <c r="U30" s="95">
        <v>1.0999999999999999E-2</v>
      </c>
      <c r="V30" s="94">
        <v>1.9E-2</v>
      </c>
      <c r="W30" s="94">
        <v>1.2E-2</v>
      </c>
      <c r="X30" s="95">
        <v>0.30827336798124799</v>
      </c>
      <c r="Y30" s="94">
        <v>0.535618928886887</v>
      </c>
      <c r="Z30" s="94">
        <v>0.15616937085795399</v>
      </c>
      <c r="AA30" s="93">
        <v>0.67251324176600102</v>
      </c>
      <c r="AB30" s="95">
        <v>3.1036407999999999E-4</v>
      </c>
      <c r="AC30" s="95">
        <v>0.255</v>
      </c>
      <c r="AD30" s="94">
        <v>0.58299999999999996</v>
      </c>
      <c r="AE30" s="100">
        <v>0.16200000000000001</v>
      </c>
      <c r="AF30" s="95">
        <v>1.0999999999999999E-2</v>
      </c>
      <c r="AG30" s="94">
        <v>1.9E-2</v>
      </c>
      <c r="AH30" s="94">
        <v>1.2E-2</v>
      </c>
      <c r="AI30" s="95">
        <v>0.25675099499999998</v>
      </c>
      <c r="AJ30" s="94">
        <v>0.57985256399999996</v>
      </c>
      <c r="AK30" s="100">
        <v>0.16348242499999999</v>
      </c>
      <c r="AL30" s="100">
        <v>1.1741652288928399</v>
      </c>
    </row>
    <row r="31" spans="1:38" ht="13" customHeight="1" x14ac:dyDescent="0.2">
      <c r="A31" s="87" t="s">
        <v>6100</v>
      </c>
      <c r="B31" s="105">
        <v>5</v>
      </c>
      <c r="C31" s="98" t="s">
        <v>6020</v>
      </c>
      <c r="D31" s="126" t="s">
        <v>1688</v>
      </c>
      <c r="E31" s="126" t="s">
        <v>24</v>
      </c>
      <c r="F31" s="127" t="s">
        <v>6081</v>
      </c>
      <c r="G31" s="128">
        <v>23.2</v>
      </c>
      <c r="H31" s="129">
        <v>72.7</v>
      </c>
      <c r="I31" s="98" t="s">
        <v>6021</v>
      </c>
      <c r="J31" s="124" t="s">
        <v>17</v>
      </c>
      <c r="K31" s="125" t="s">
        <v>17</v>
      </c>
      <c r="L31" s="88">
        <v>6.0730000000000003E-3</v>
      </c>
      <c r="M31" s="89">
        <v>-6.1089999999999998E-3</v>
      </c>
      <c r="N31" s="90">
        <v>-1.9060000000000001E-2</v>
      </c>
      <c r="O31" s="97" t="s">
        <v>6101</v>
      </c>
      <c r="P31" s="90" t="s">
        <v>6102</v>
      </c>
      <c r="Q31" s="93">
        <v>1.1724227E-2</v>
      </c>
      <c r="R31" s="94">
        <v>0.30599999999999999</v>
      </c>
      <c r="S31" s="94">
        <v>0.53100000000000003</v>
      </c>
      <c r="T31" s="94">
        <v>0.16300000000000001</v>
      </c>
      <c r="U31" s="95">
        <v>1.4E-2</v>
      </c>
      <c r="V31" s="94">
        <v>2.5000000000000001E-2</v>
      </c>
      <c r="W31" s="94">
        <v>1.4999999999999999E-2</v>
      </c>
      <c r="X31" s="95">
        <v>0.30787699127877</v>
      </c>
      <c r="Y31" s="94">
        <v>0.52841643564142704</v>
      </c>
      <c r="Z31" s="94">
        <v>0.16376934983615499</v>
      </c>
      <c r="AA31" s="93">
        <v>7.4977847140780596E-2</v>
      </c>
      <c r="AB31" s="95">
        <v>2.4469671600000002E-3</v>
      </c>
      <c r="AC31" s="95">
        <v>0.25700000000000001</v>
      </c>
      <c r="AD31" s="94">
        <v>0.56599999999999995</v>
      </c>
      <c r="AE31" s="100">
        <v>0.17699999999999999</v>
      </c>
      <c r="AF31" s="95">
        <v>1.4E-2</v>
      </c>
      <c r="AG31" s="94">
        <v>2.5000000000000001E-2</v>
      </c>
      <c r="AH31" s="94">
        <v>1.4999999999999999E-2</v>
      </c>
      <c r="AI31" s="95">
        <v>0.258293838</v>
      </c>
      <c r="AJ31" s="94">
        <v>0.564645548</v>
      </c>
      <c r="AK31" s="100">
        <v>0.17714190799999999</v>
      </c>
      <c r="AL31" s="100">
        <v>-0.21350621240293599</v>
      </c>
    </row>
    <row r="32" spans="1:38" ht="13" customHeight="1" x14ac:dyDescent="0.2">
      <c r="A32" s="87" t="s">
        <v>6147</v>
      </c>
      <c r="B32" s="105">
        <v>5</v>
      </c>
      <c r="C32" s="98" t="s">
        <v>6095</v>
      </c>
      <c r="D32" s="126" t="s">
        <v>6096</v>
      </c>
      <c r="E32" s="126" t="s">
        <v>24</v>
      </c>
      <c r="F32" s="127" t="s">
        <v>6148</v>
      </c>
      <c r="G32" s="128">
        <v>12.854794444444444</v>
      </c>
      <c r="H32" s="129">
        <v>77.594502777777777</v>
      </c>
      <c r="I32" s="98" t="s">
        <v>6021</v>
      </c>
      <c r="J32" s="124" t="s">
        <v>17</v>
      </c>
      <c r="K32" s="125" t="s">
        <v>17</v>
      </c>
      <c r="L32" s="88">
        <v>4.2760000000000003E-3</v>
      </c>
      <c r="M32" s="89">
        <v>-6.5770000000000004E-3</v>
      </c>
      <c r="N32" s="90">
        <v>-1.1979999999999999E-2</v>
      </c>
      <c r="O32" s="97" t="s">
        <v>6122</v>
      </c>
      <c r="P32" s="90" t="s">
        <v>6149</v>
      </c>
      <c r="Q32" s="93">
        <v>1.4127614E-2</v>
      </c>
      <c r="R32" s="94">
        <v>0.314</v>
      </c>
      <c r="S32" s="94">
        <v>0.59299999999999997</v>
      </c>
      <c r="T32" s="94">
        <v>9.4E-2</v>
      </c>
      <c r="U32" s="95">
        <v>1.4999999999999999E-2</v>
      </c>
      <c r="V32" s="94">
        <v>2.5999999999999999E-2</v>
      </c>
      <c r="W32" s="94">
        <v>1.4999999999999999E-2</v>
      </c>
      <c r="X32" s="95">
        <v>0.32262843274385899</v>
      </c>
      <c r="Y32" s="94">
        <v>0.56868777805728599</v>
      </c>
      <c r="Z32" s="94">
        <v>0.108802157339244</v>
      </c>
      <c r="AA32" s="93">
        <v>3.7689465478359301</v>
      </c>
      <c r="AB32" s="95">
        <v>8.5637346600000008E-3</v>
      </c>
      <c r="AC32" s="95">
        <v>0.25800000000000001</v>
      </c>
      <c r="AD32" s="94">
        <v>0.64400000000000002</v>
      </c>
      <c r="AE32" s="100">
        <v>9.8000000000000004E-2</v>
      </c>
      <c r="AF32" s="95">
        <v>1.4999999999999999E-2</v>
      </c>
      <c r="AG32" s="94">
        <v>2.5999999999999999E-2</v>
      </c>
      <c r="AH32" s="94">
        <v>1.4999999999999999E-2</v>
      </c>
      <c r="AI32" s="95">
        <v>0.267060558</v>
      </c>
      <c r="AJ32" s="94">
        <v>0.62430376700000001</v>
      </c>
      <c r="AK32" s="100">
        <v>0.10872931</v>
      </c>
      <c r="AL32" s="100">
        <v>5.1992748114609002</v>
      </c>
    </row>
    <row r="33" spans="1:38" ht="13" customHeight="1" x14ac:dyDescent="0.2">
      <c r="A33" s="87" t="s">
        <v>6118</v>
      </c>
      <c r="B33" s="105">
        <v>4</v>
      </c>
      <c r="C33" s="98" t="s">
        <v>6020</v>
      </c>
      <c r="D33" s="126" t="s">
        <v>6028</v>
      </c>
      <c r="E33" s="126" t="s">
        <v>24</v>
      </c>
      <c r="F33" s="127" t="s">
        <v>6119</v>
      </c>
      <c r="G33" s="128">
        <v>23.022504999999999</v>
      </c>
      <c r="H33" s="129">
        <v>72.571361999999993</v>
      </c>
      <c r="I33" s="98" t="s">
        <v>6021</v>
      </c>
      <c r="J33" s="98" t="s">
        <v>17</v>
      </c>
      <c r="K33" s="106" t="s">
        <v>17</v>
      </c>
      <c r="L33" s="88">
        <v>5.5319999999999996E-3</v>
      </c>
      <c r="M33" s="89">
        <v>-6.3309999999999998E-3</v>
      </c>
      <c r="N33" s="90">
        <v>-1.4625000000000001E-2</v>
      </c>
      <c r="O33" s="97" t="s">
        <v>17</v>
      </c>
      <c r="P33" s="90" t="s">
        <v>17</v>
      </c>
      <c r="Q33" s="93">
        <v>3.4519398499999999E-2</v>
      </c>
      <c r="R33" s="94">
        <v>0.318</v>
      </c>
      <c r="S33" s="94">
        <v>0.53100000000000003</v>
      </c>
      <c r="T33" s="94">
        <v>0.151</v>
      </c>
      <c r="U33" s="95">
        <v>1.4999999999999999E-2</v>
      </c>
      <c r="V33" s="94">
        <v>2.5999999999999999E-2</v>
      </c>
      <c r="W33" s="94">
        <v>1.6E-2</v>
      </c>
      <c r="X33" s="95">
        <v>0.32034494829087401</v>
      </c>
      <c r="Y33" s="94">
        <v>0.526916797091185</v>
      </c>
      <c r="Z33" s="94">
        <v>0.15279810809848801</v>
      </c>
      <c r="AA33" s="93">
        <v>0.409737602878819</v>
      </c>
      <c r="AB33" s="95">
        <v>2.98566566E-2</v>
      </c>
      <c r="AC33" s="95">
        <v>0.26600000000000001</v>
      </c>
      <c r="AD33" s="94">
        <v>0.57899999999999996</v>
      </c>
      <c r="AE33" s="100">
        <v>0.155</v>
      </c>
      <c r="AF33" s="95">
        <v>1.4999999999999999E-2</v>
      </c>
      <c r="AG33" s="94">
        <v>2.5999999999999999E-2</v>
      </c>
      <c r="AH33" s="94">
        <v>1.6E-2</v>
      </c>
      <c r="AI33" s="95">
        <v>0.26897032599999998</v>
      </c>
      <c r="AJ33" s="94">
        <v>0.57362509900000003</v>
      </c>
      <c r="AK33" s="100">
        <v>0.15748389800000001</v>
      </c>
      <c r="AL33" s="100">
        <v>0.94875045994087603</v>
      </c>
    </row>
    <row r="34" spans="1:38" ht="13" customHeight="1" x14ac:dyDescent="0.2">
      <c r="A34" s="87" t="s">
        <v>6181</v>
      </c>
      <c r="B34" s="105">
        <v>18</v>
      </c>
      <c r="C34" s="98" t="s">
        <v>6095</v>
      </c>
      <c r="D34" s="126" t="s">
        <v>6110</v>
      </c>
      <c r="E34" s="126" t="s">
        <v>24</v>
      </c>
      <c r="F34" s="127" t="s">
        <v>6182</v>
      </c>
      <c r="G34" s="128">
        <v>17.000499999999999</v>
      </c>
      <c r="H34" s="129">
        <v>81.804000000000002</v>
      </c>
      <c r="I34" s="98" t="s">
        <v>6021</v>
      </c>
      <c r="J34" s="98" t="s">
        <v>17</v>
      </c>
      <c r="K34" s="106" t="s">
        <v>17</v>
      </c>
      <c r="L34" s="88">
        <v>3.787E-3</v>
      </c>
      <c r="M34" s="89">
        <v>-5.6169999999999996E-3</v>
      </c>
      <c r="N34" s="90">
        <v>-9.1940000000000008E-3</v>
      </c>
      <c r="O34" s="97" t="s">
        <v>6183</v>
      </c>
      <c r="P34" s="90" t="s">
        <v>6184</v>
      </c>
      <c r="Q34" s="93">
        <v>3.2659484900000001E-4</v>
      </c>
      <c r="R34" s="94">
        <v>0.32100000000000001</v>
      </c>
      <c r="S34" s="94">
        <v>0.61299999999999999</v>
      </c>
      <c r="T34" s="94">
        <v>6.5000000000000002E-2</v>
      </c>
      <c r="U34" s="95">
        <v>1.2999999999999999E-2</v>
      </c>
      <c r="V34" s="94">
        <v>2.1999999999999999E-2</v>
      </c>
      <c r="W34" s="94">
        <v>1.2999999999999999E-2</v>
      </c>
      <c r="X34" s="95">
        <v>0.33262331773849202</v>
      </c>
      <c r="Y34" s="94">
        <v>0.58491801598839899</v>
      </c>
      <c r="Z34" s="94">
        <v>8.2442383581222897E-2</v>
      </c>
      <c r="AA34" s="93">
        <v>5.5329736269930603</v>
      </c>
      <c r="AB34" s="95">
        <v>8.6279103600000001E-7</v>
      </c>
      <c r="AC34" s="95">
        <v>0.26500000000000001</v>
      </c>
      <c r="AD34" s="94">
        <v>0.67100000000000004</v>
      </c>
      <c r="AE34" s="100">
        <v>6.4000000000000001E-2</v>
      </c>
      <c r="AF34" s="95">
        <v>1.2999999999999999E-2</v>
      </c>
      <c r="AG34" s="94">
        <v>2.1999999999999999E-2</v>
      </c>
      <c r="AH34" s="94">
        <v>1.2999999999999999E-2</v>
      </c>
      <c r="AI34" s="95">
        <v>0.27424349399999998</v>
      </c>
      <c r="AJ34" s="94">
        <v>0.65065848199999998</v>
      </c>
      <c r="AK34" s="100">
        <v>7.5195759000000001E-2</v>
      </c>
      <c r="AL34" s="100">
        <v>8.8468951580648696</v>
      </c>
    </row>
    <row r="35" spans="1:38" ht="13" customHeight="1" x14ac:dyDescent="0.2">
      <c r="A35" s="87" t="s">
        <v>6091</v>
      </c>
      <c r="B35" s="105">
        <v>5</v>
      </c>
      <c r="C35" s="98" t="s">
        <v>6020</v>
      </c>
      <c r="D35" s="126" t="s">
        <v>6046</v>
      </c>
      <c r="E35" s="126" t="s">
        <v>24</v>
      </c>
      <c r="F35" s="127" t="s">
        <v>6073</v>
      </c>
      <c r="G35" s="128">
        <v>30.083191666666668</v>
      </c>
      <c r="H35" s="129">
        <v>76.991691666666668</v>
      </c>
      <c r="I35" s="98" t="s">
        <v>6021</v>
      </c>
      <c r="J35" s="124" t="s">
        <v>17</v>
      </c>
      <c r="K35" s="125" t="s">
        <v>17</v>
      </c>
      <c r="L35" s="88">
        <v>6.6620000000000004E-3</v>
      </c>
      <c r="M35" s="89">
        <v>-5.4190000000000002E-3</v>
      </c>
      <c r="N35" s="90">
        <v>-2.0299999999999999E-2</v>
      </c>
      <c r="O35" s="97" t="s">
        <v>6092</v>
      </c>
      <c r="P35" s="90" t="s">
        <v>6093</v>
      </c>
      <c r="Q35" s="93">
        <v>0.12756495000000001</v>
      </c>
      <c r="R35" s="94">
        <v>0.32100000000000001</v>
      </c>
      <c r="S35" s="94">
        <v>0.47599999999999998</v>
      </c>
      <c r="T35" s="94">
        <v>0.20300000000000001</v>
      </c>
      <c r="U35" s="95">
        <v>1.4E-2</v>
      </c>
      <c r="V35" s="94">
        <v>2.4E-2</v>
      </c>
      <c r="W35" s="94">
        <v>1.4999999999999999E-2</v>
      </c>
      <c r="X35" s="95">
        <v>0.31811598120446999</v>
      </c>
      <c r="Y35" s="94">
        <v>0.48756439602627899</v>
      </c>
      <c r="Z35" s="94">
        <v>0.19438554708066799</v>
      </c>
      <c r="AA35" s="93">
        <v>-2.7277494280608501</v>
      </c>
      <c r="AB35" s="95">
        <v>8.9490181899999993E-2</v>
      </c>
      <c r="AC35" s="95">
        <v>0.28000000000000003</v>
      </c>
      <c r="AD35" s="94">
        <v>0.501</v>
      </c>
      <c r="AE35" s="100">
        <v>0.219</v>
      </c>
      <c r="AF35" s="95">
        <v>1.4E-2</v>
      </c>
      <c r="AG35" s="94">
        <v>2.4E-2</v>
      </c>
      <c r="AH35" s="94">
        <v>1.4999999999999999E-2</v>
      </c>
      <c r="AI35" s="95">
        <v>0.27662666000000002</v>
      </c>
      <c r="AJ35" s="94">
        <v>0.51098576399999995</v>
      </c>
      <c r="AK35" s="100">
        <v>0.21244704</v>
      </c>
      <c r="AL35" s="100">
        <v>-4.0163785524597104</v>
      </c>
    </row>
    <row r="36" spans="1:38" ht="13" customHeight="1" x14ac:dyDescent="0.2">
      <c r="A36" s="87" t="s">
        <v>6129</v>
      </c>
      <c r="B36" s="105">
        <v>7</v>
      </c>
      <c r="C36" s="98" t="s">
        <v>6020</v>
      </c>
      <c r="D36" s="126" t="s">
        <v>6028</v>
      </c>
      <c r="E36" s="126" t="s">
        <v>24</v>
      </c>
      <c r="F36" s="127" t="s">
        <v>6130</v>
      </c>
      <c r="G36" s="128">
        <v>22.53734166666667</v>
      </c>
      <c r="H36" s="129">
        <v>72.250719444444442</v>
      </c>
      <c r="I36" s="98" t="s">
        <v>6021</v>
      </c>
      <c r="J36" s="98">
        <v>2</v>
      </c>
      <c r="K36" s="106">
        <v>9</v>
      </c>
      <c r="L36" s="88">
        <v>4.5319999999999996E-3</v>
      </c>
      <c r="M36" s="89">
        <v>-5.9919999999999999E-3</v>
      </c>
      <c r="N36" s="90">
        <v>-1.3943000000000001E-2</v>
      </c>
      <c r="O36" s="97" t="s">
        <v>6131</v>
      </c>
      <c r="P36" s="90" t="s">
        <v>6132</v>
      </c>
      <c r="Q36" s="93">
        <v>2.39374045E-3</v>
      </c>
      <c r="R36" s="94">
        <v>0.32500000000000001</v>
      </c>
      <c r="S36" s="94">
        <v>0.56000000000000005</v>
      </c>
      <c r="T36" s="94">
        <v>0.115</v>
      </c>
      <c r="U36" s="95">
        <v>1.2999999999999999E-2</v>
      </c>
      <c r="V36" s="94">
        <v>2.3E-2</v>
      </c>
      <c r="W36" s="94">
        <v>1.4999999999999999E-2</v>
      </c>
      <c r="X36" s="95">
        <v>0.33016836247404802</v>
      </c>
      <c r="Y36" s="94">
        <v>0.54701460274283398</v>
      </c>
      <c r="Z36" s="94">
        <v>0.12287160496024201</v>
      </c>
      <c r="AA36" s="93">
        <v>2.3438122093628002</v>
      </c>
      <c r="AB36" s="95">
        <v>2.57401842E-3</v>
      </c>
      <c r="AC36" s="95">
        <v>0.27300000000000002</v>
      </c>
      <c r="AD36" s="94">
        <v>0.60499999999999998</v>
      </c>
      <c r="AE36" s="100">
        <v>0.121</v>
      </c>
      <c r="AF36" s="95">
        <v>1.2999999999999999E-2</v>
      </c>
      <c r="AG36" s="94">
        <v>2.3E-2</v>
      </c>
      <c r="AH36" s="94">
        <v>1.4999999999999999E-2</v>
      </c>
      <c r="AI36" s="95">
        <v>0.27854094400000001</v>
      </c>
      <c r="AJ36" s="94">
        <v>0.59453476900000002</v>
      </c>
      <c r="AK36" s="100">
        <v>0.12695200000000001</v>
      </c>
      <c r="AL36" s="100">
        <v>3.1385234351037501</v>
      </c>
    </row>
    <row r="37" spans="1:38" ht="13" customHeight="1" x14ac:dyDescent="0.2">
      <c r="A37" s="87" t="s">
        <v>6114</v>
      </c>
      <c r="B37" s="105">
        <v>4</v>
      </c>
      <c r="C37" s="98" t="s">
        <v>6020</v>
      </c>
      <c r="D37" s="126" t="s">
        <v>6115</v>
      </c>
      <c r="E37" s="126" t="s">
        <v>24</v>
      </c>
      <c r="F37" s="127" t="s">
        <v>6115</v>
      </c>
      <c r="G37" s="128">
        <v>15.299327777777778</v>
      </c>
      <c r="H37" s="129">
        <v>74.123997222222215</v>
      </c>
      <c r="I37" s="98" t="s">
        <v>6021</v>
      </c>
      <c r="J37" s="124" t="s">
        <v>17</v>
      </c>
      <c r="K37" s="125" t="s">
        <v>17</v>
      </c>
      <c r="L37" s="88">
        <v>5.6990000000000001E-3</v>
      </c>
      <c r="M37" s="89">
        <v>-6.051E-3</v>
      </c>
      <c r="N37" s="90">
        <v>-1.5275E-2</v>
      </c>
      <c r="O37" s="97" t="s">
        <v>17</v>
      </c>
      <c r="P37" s="90" t="s">
        <v>17</v>
      </c>
      <c r="Q37" s="93">
        <v>2.39400902E-2</v>
      </c>
      <c r="R37" s="94">
        <v>0.33300000000000002</v>
      </c>
      <c r="S37" s="94">
        <v>0.48899999999999999</v>
      </c>
      <c r="T37" s="94">
        <v>0.17799999999999999</v>
      </c>
      <c r="U37" s="95">
        <v>1.4999999999999999E-2</v>
      </c>
      <c r="V37" s="94">
        <v>2.5000000000000001E-2</v>
      </c>
      <c r="W37" s="94">
        <v>1.6E-2</v>
      </c>
      <c r="X37" s="95">
        <v>0.33159509052936398</v>
      </c>
      <c r="Y37" s="94">
        <v>0.49588142304051602</v>
      </c>
      <c r="Z37" s="94">
        <v>0.17258486045902799</v>
      </c>
      <c r="AA37" s="93">
        <v>-1.50795878692943</v>
      </c>
      <c r="AB37" s="95">
        <v>1.4698943000000001E-2</v>
      </c>
      <c r="AC37" s="95">
        <v>0.28599999999999998</v>
      </c>
      <c r="AD37" s="94">
        <v>0.52400000000000002</v>
      </c>
      <c r="AE37" s="100">
        <v>0.19</v>
      </c>
      <c r="AF37" s="95">
        <v>1.4999999999999999E-2</v>
      </c>
      <c r="AG37" s="94">
        <v>2.5000000000000001E-2</v>
      </c>
      <c r="AH37" s="94">
        <v>1.6E-2</v>
      </c>
      <c r="AI37" s="95">
        <v>0.28466384300000003</v>
      </c>
      <c r="AJ37" s="94">
        <v>0.52916271400000003</v>
      </c>
      <c r="AK37" s="100">
        <v>0.18623447300000001</v>
      </c>
      <c r="AL37" s="100">
        <v>-1.9594485835328701</v>
      </c>
    </row>
    <row r="38" spans="1:38" ht="13" customHeight="1" x14ac:dyDescent="0.2">
      <c r="A38" s="87" t="s">
        <v>6124</v>
      </c>
      <c r="B38" s="105">
        <v>5</v>
      </c>
      <c r="C38" s="98" t="s">
        <v>6020</v>
      </c>
      <c r="D38" s="126" t="s">
        <v>1688</v>
      </c>
      <c r="E38" s="126" t="s">
        <v>24</v>
      </c>
      <c r="F38" s="127" t="s">
        <v>6081</v>
      </c>
      <c r="G38" s="128">
        <v>23.2</v>
      </c>
      <c r="H38" s="129">
        <v>72.7</v>
      </c>
      <c r="I38" s="98" t="s">
        <v>6021</v>
      </c>
      <c r="J38" s="124" t="s">
        <v>17</v>
      </c>
      <c r="K38" s="125" t="s">
        <v>17</v>
      </c>
      <c r="L38" s="88">
        <v>4.7210000000000004E-3</v>
      </c>
      <c r="M38" s="89">
        <v>-5.2789999999999998E-3</v>
      </c>
      <c r="N38" s="90">
        <v>-1.414E-2</v>
      </c>
      <c r="O38" s="97" t="s">
        <v>6125</v>
      </c>
      <c r="P38" s="90" t="s">
        <v>6126</v>
      </c>
      <c r="Q38" s="93">
        <v>1.35043747E-2</v>
      </c>
      <c r="R38" s="94">
        <v>0.33600000000000002</v>
      </c>
      <c r="S38" s="94">
        <v>0.55100000000000005</v>
      </c>
      <c r="T38" s="94">
        <v>0.113</v>
      </c>
      <c r="U38" s="95">
        <v>1.4999999999999999E-2</v>
      </c>
      <c r="V38" s="94">
        <v>2.5999999999999999E-2</v>
      </c>
      <c r="W38" s="94">
        <v>1.6E-2</v>
      </c>
      <c r="X38" s="95">
        <v>0.34143265692869701</v>
      </c>
      <c r="Y38" s="94">
        <v>0.53759960406313001</v>
      </c>
      <c r="Z38" s="94">
        <v>0.12102079799281899</v>
      </c>
      <c r="AA38" s="93">
        <v>2.02815913496043</v>
      </c>
      <c r="AB38" s="95">
        <v>6.9504379899999998E-3</v>
      </c>
      <c r="AC38" s="95">
        <v>0.28000000000000003</v>
      </c>
      <c r="AD38" s="94">
        <v>0.60599999999999998</v>
      </c>
      <c r="AE38" s="100">
        <v>0.114</v>
      </c>
      <c r="AF38" s="95">
        <v>1.4999999999999999E-2</v>
      </c>
      <c r="AG38" s="94">
        <v>2.5999999999999999E-2</v>
      </c>
      <c r="AH38" s="94">
        <v>1.6E-2</v>
      </c>
      <c r="AI38" s="95">
        <v>0.28591010300000003</v>
      </c>
      <c r="AJ38" s="94">
        <v>0.59256486900000005</v>
      </c>
      <c r="AK38" s="100">
        <v>0.121602477</v>
      </c>
      <c r="AL38" s="100">
        <v>3.1945550486857699</v>
      </c>
    </row>
    <row r="39" spans="1:38" ht="13" customHeight="1" x14ac:dyDescent="0.2">
      <c r="A39" s="87" t="s">
        <v>6142</v>
      </c>
      <c r="B39" s="105">
        <v>4</v>
      </c>
      <c r="C39" s="98" t="s">
        <v>6020</v>
      </c>
      <c r="D39" s="126" t="s">
        <v>6143</v>
      </c>
      <c r="E39" s="126" t="s">
        <v>24</v>
      </c>
      <c r="F39" s="127" t="s">
        <v>6104</v>
      </c>
      <c r="G39" s="128">
        <v>12.914141666666668</v>
      </c>
      <c r="H39" s="129">
        <v>74.855955555555553</v>
      </c>
      <c r="I39" s="98" t="s">
        <v>6021</v>
      </c>
      <c r="J39" s="124" t="s">
        <v>17</v>
      </c>
      <c r="K39" s="125" t="s">
        <v>17</v>
      </c>
      <c r="L39" s="88">
        <v>4.7930000000000004E-3</v>
      </c>
      <c r="M39" s="89">
        <v>-5.1809999999999998E-3</v>
      </c>
      <c r="N39" s="90">
        <v>-1.2500000000000001E-2</v>
      </c>
      <c r="O39" s="97" t="s">
        <v>17</v>
      </c>
      <c r="P39" s="90" t="s">
        <v>17</v>
      </c>
      <c r="Q39" s="93">
        <v>1.7217745600000001E-3</v>
      </c>
      <c r="R39" s="94">
        <v>0.33500000000000002</v>
      </c>
      <c r="S39" s="94">
        <v>0.53</v>
      </c>
      <c r="T39" s="94">
        <v>0.13500000000000001</v>
      </c>
      <c r="U39" s="95">
        <v>1.6E-2</v>
      </c>
      <c r="V39" s="94">
        <v>2.8000000000000001E-2</v>
      </c>
      <c r="W39" s="94">
        <v>1.7000000000000001E-2</v>
      </c>
      <c r="X39" s="95">
        <v>0.33815378914721</v>
      </c>
      <c r="Y39" s="94">
        <v>0.52319767145884399</v>
      </c>
      <c r="Z39" s="94">
        <v>0.13870443977819499</v>
      </c>
      <c r="AA39" s="93">
        <v>0.82657582664153195</v>
      </c>
      <c r="AB39" s="95">
        <v>2.9825915600000001E-3</v>
      </c>
      <c r="AC39" s="95">
        <v>0.28599999999999998</v>
      </c>
      <c r="AD39" s="94">
        <v>0.57099999999999995</v>
      </c>
      <c r="AE39" s="100">
        <v>0.14299999999999999</v>
      </c>
      <c r="AF39" s="95">
        <v>1.6E-2</v>
      </c>
      <c r="AG39" s="94">
        <v>2.8000000000000001E-2</v>
      </c>
      <c r="AH39" s="94">
        <v>1.7000000000000001E-2</v>
      </c>
      <c r="AI39" s="95">
        <v>0.28924831699999998</v>
      </c>
      <c r="AJ39" s="94">
        <v>0.56461079300000006</v>
      </c>
      <c r="AK39" s="100">
        <v>0.14620950799999999</v>
      </c>
      <c r="AL39" s="100">
        <v>1.1300032894446299</v>
      </c>
    </row>
    <row r="40" spans="1:38" ht="13" customHeight="1" x14ac:dyDescent="0.2">
      <c r="A40" s="87" t="s">
        <v>6144</v>
      </c>
      <c r="B40" s="105">
        <v>16</v>
      </c>
      <c r="C40" s="98" t="s">
        <v>6020</v>
      </c>
      <c r="D40" s="126" t="s">
        <v>17</v>
      </c>
      <c r="E40" s="126" t="s">
        <v>24</v>
      </c>
      <c r="F40" s="127" t="s">
        <v>17</v>
      </c>
      <c r="G40" s="128" t="s">
        <v>17</v>
      </c>
      <c r="H40" s="129" t="s">
        <v>17</v>
      </c>
      <c r="I40" s="98" t="s">
        <v>6021</v>
      </c>
      <c r="J40" s="124" t="s">
        <v>17</v>
      </c>
      <c r="K40" s="125" t="s">
        <v>17</v>
      </c>
      <c r="L40" s="88">
        <v>4.6340000000000001E-3</v>
      </c>
      <c r="M40" s="89">
        <v>-5.5129999999999997E-3</v>
      </c>
      <c r="N40" s="90">
        <v>-1.2043999999999999E-2</v>
      </c>
      <c r="O40" s="97" t="s">
        <v>6145</v>
      </c>
      <c r="P40" s="90" t="s">
        <v>6146</v>
      </c>
      <c r="Q40" s="93">
        <v>4.6851648599999999E-4</v>
      </c>
      <c r="R40" s="94">
        <v>0.33700000000000002</v>
      </c>
      <c r="S40" s="94">
        <v>0.53300000000000003</v>
      </c>
      <c r="T40" s="94">
        <v>0.13</v>
      </c>
      <c r="U40" s="95">
        <v>1.2E-2</v>
      </c>
      <c r="V40" s="94">
        <v>0.02</v>
      </c>
      <c r="W40" s="94">
        <v>1.2E-2</v>
      </c>
      <c r="X40" s="95">
        <v>0.33971640094285199</v>
      </c>
      <c r="Y40" s="94">
        <v>0.52669760837173196</v>
      </c>
      <c r="Z40" s="94">
        <v>0.133641008153149</v>
      </c>
      <c r="AA40" s="93">
        <v>1.1922342366010099</v>
      </c>
      <c r="AB40" s="95">
        <v>8.3070069200000008E-6</v>
      </c>
      <c r="AC40" s="95">
        <v>0.28999999999999998</v>
      </c>
      <c r="AD40" s="94">
        <v>0.57299999999999995</v>
      </c>
      <c r="AE40" s="100">
        <v>0.13700000000000001</v>
      </c>
      <c r="AF40" s="95">
        <v>1.2E-2</v>
      </c>
      <c r="AG40" s="94">
        <v>0.02</v>
      </c>
      <c r="AH40" s="94">
        <v>1.2E-2</v>
      </c>
      <c r="AI40" s="95">
        <v>0.29210160400000001</v>
      </c>
      <c r="AJ40" s="94">
        <v>0.56870155499999997</v>
      </c>
      <c r="AK40" s="100">
        <v>0.13926538499999999</v>
      </c>
      <c r="AL40" s="100">
        <v>1.81370229107424</v>
      </c>
    </row>
    <row r="41" spans="1:38" ht="13" customHeight="1" x14ac:dyDescent="0.2">
      <c r="A41" s="87" t="s">
        <v>6107</v>
      </c>
      <c r="B41" s="105">
        <v>4</v>
      </c>
      <c r="C41" s="98" t="s">
        <v>6020</v>
      </c>
      <c r="D41" s="126" t="s">
        <v>6046</v>
      </c>
      <c r="E41" s="126" t="s">
        <v>24</v>
      </c>
      <c r="F41" s="127" t="s">
        <v>6108</v>
      </c>
      <c r="G41" s="128">
        <v>26.142355555555554</v>
      </c>
      <c r="H41" s="129">
        <v>81.388055555555567</v>
      </c>
      <c r="I41" s="98" t="s">
        <v>6021</v>
      </c>
      <c r="J41" s="124" t="s">
        <v>17</v>
      </c>
      <c r="K41" s="125" t="s">
        <v>17</v>
      </c>
      <c r="L41" s="88">
        <v>6.0559999999999998E-3</v>
      </c>
      <c r="M41" s="89">
        <v>-5.3350000000000003E-3</v>
      </c>
      <c r="N41" s="90">
        <v>-1.67E-2</v>
      </c>
      <c r="O41" s="97" t="s">
        <v>17</v>
      </c>
      <c r="P41" s="90" t="s">
        <v>17</v>
      </c>
      <c r="Q41" s="93">
        <v>1.7749741700000001E-3</v>
      </c>
      <c r="R41" s="94">
        <v>0.33400000000000002</v>
      </c>
      <c r="S41" s="94">
        <v>0.47899999999999998</v>
      </c>
      <c r="T41" s="94">
        <v>0.187</v>
      </c>
      <c r="U41" s="95">
        <v>1.4999999999999999E-2</v>
      </c>
      <c r="V41" s="94">
        <v>2.5000000000000001E-2</v>
      </c>
      <c r="W41" s="94">
        <v>1.6E-2</v>
      </c>
      <c r="X41" s="95">
        <v>0.33178025705756797</v>
      </c>
      <c r="Y41" s="94">
        <v>0.48888191132896103</v>
      </c>
      <c r="Z41" s="94">
        <v>0.179400140780235</v>
      </c>
      <c r="AA41" s="93">
        <v>-1.9939326127008099</v>
      </c>
      <c r="AB41" s="95">
        <v>1.82625189E-3</v>
      </c>
      <c r="AC41" s="95">
        <v>0.29499999999999998</v>
      </c>
      <c r="AD41" s="94">
        <v>0.50700000000000001</v>
      </c>
      <c r="AE41" s="100">
        <v>0.19800000000000001</v>
      </c>
      <c r="AF41" s="95">
        <v>1.4999999999999999E-2</v>
      </c>
      <c r="AG41" s="94">
        <v>2.5000000000000001E-2</v>
      </c>
      <c r="AH41" s="94">
        <v>1.6E-2</v>
      </c>
      <c r="AI41" s="95">
        <v>0.292421296</v>
      </c>
      <c r="AJ41" s="94">
        <v>0.51552781000000003</v>
      </c>
      <c r="AK41" s="100">
        <v>0.192105109</v>
      </c>
      <c r="AL41" s="100">
        <v>-2.66655006550031</v>
      </c>
    </row>
    <row r="42" spans="1:38" ht="13" customHeight="1" x14ac:dyDescent="0.2">
      <c r="A42" s="87" t="s">
        <v>6127</v>
      </c>
      <c r="B42" s="105">
        <v>4</v>
      </c>
      <c r="C42" s="98" t="s">
        <v>6020</v>
      </c>
      <c r="D42" s="126" t="s">
        <v>6043</v>
      </c>
      <c r="E42" s="126" t="s">
        <v>24</v>
      </c>
      <c r="F42" s="127" t="s">
        <v>6128</v>
      </c>
      <c r="G42" s="128">
        <v>28.13</v>
      </c>
      <c r="H42" s="129">
        <v>75.400000000000006</v>
      </c>
      <c r="I42" s="98" t="s">
        <v>6021</v>
      </c>
      <c r="J42" s="98" t="s">
        <v>17</v>
      </c>
      <c r="K42" s="106" t="s">
        <v>17</v>
      </c>
      <c r="L42" s="88">
        <v>4.8269999999999997E-3</v>
      </c>
      <c r="M42" s="89">
        <v>-5.5599999999999998E-3</v>
      </c>
      <c r="N42" s="90">
        <v>-1.3950000000000001E-2</v>
      </c>
      <c r="O42" s="97" t="s">
        <v>17</v>
      </c>
      <c r="P42" s="90" t="s">
        <v>17</v>
      </c>
      <c r="Q42" s="93">
        <v>1.4261451099999999E-2</v>
      </c>
      <c r="R42" s="94">
        <v>0.34</v>
      </c>
      <c r="S42" s="94">
        <v>0.51700000000000002</v>
      </c>
      <c r="T42" s="94">
        <v>0.14299999999999999</v>
      </c>
      <c r="U42" s="95">
        <v>1.4999999999999999E-2</v>
      </c>
      <c r="V42" s="94">
        <v>2.5999999999999999E-2</v>
      </c>
      <c r="W42" s="94">
        <v>1.6E-2</v>
      </c>
      <c r="X42" s="95">
        <v>0.34167657288923903</v>
      </c>
      <c r="Y42" s="94">
        <v>0.514084525686337</v>
      </c>
      <c r="Z42" s="94">
        <v>0.14429519137097099</v>
      </c>
      <c r="AA42" s="93">
        <v>0.23626124248234701</v>
      </c>
      <c r="AB42" s="95">
        <v>1.43222642E-2</v>
      </c>
      <c r="AC42" s="95">
        <v>0.29099999999999998</v>
      </c>
      <c r="AD42" s="94">
        <v>0.55500000000000005</v>
      </c>
      <c r="AE42" s="100">
        <v>0.154</v>
      </c>
      <c r="AF42" s="95">
        <v>1.4999999999999999E-2</v>
      </c>
      <c r="AG42" s="94">
        <v>2.5999999999999999E-2</v>
      </c>
      <c r="AH42" s="94">
        <v>1.6E-2</v>
      </c>
      <c r="AI42" s="95">
        <v>0.29246443</v>
      </c>
      <c r="AJ42" s="94">
        <v>0.552667978</v>
      </c>
      <c r="AK42" s="100">
        <v>0.154931706</v>
      </c>
      <c r="AL42" s="100">
        <v>0.25252644996030799</v>
      </c>
    </row>
    <row r="43" spans="1:38" ht="13" customHeight="1" x14ac:dyDescent="0.2">
      <c r="A43" s="87" t="s">
        <v>6116</v>
      </c>
      <c r="B43" s="105">
        <v>3</v>
      </c>
      <c r="C43" s="98" t="s">
        <v>6020</v>
      </c>
      <c r="D43" s="126" t="s">
        <v>6043</v>
      </c>
      <c r="E43" s="126" t="s">
        <v>24</v>
      </c>
      <c r="F43" s="127" t="s">
        <v>6117</v>
      </c>
      <c r="G43" s="128">
        <v>25.388727777777778</v>
      </c>
      <c r="H43" s="129">
        <v>74.632036111111105</v>
      </c>
      <c r="I43" s="98" t="s">
        <v>6021</v>
      </c>
      <c r="J43" s="98" t="s">
        <v>17</v>
      </c>
      <c r="K43" s="106" t="s">
        <v>17</v>
      </c>
      <c r="L43" s="88">
        <v>4.9569999999999996E-3</v>
      </c>
      <c r="M43" s="89">
        <v>-5.4489999999999999E-3</v>
      </c>
      <c r="N43" s="90">
        <v>-1.4833000000000001E-2</v>
      </c>
      <c r="O43" s="97" t="s">
        <v>17</v>
      </c>
      <c r="P43" s="90" t="s">
        <v>17</v>
      </c>
      <c r="Q43" s="93">
        <v>1.2057628799999999E-3</v>
      </c>
      <c r="R43" s="94">
        <v>0.33500000000000002</v>
      </c>
      <c r="S43" s="94">
        <v>0.52900000000000003</v>
      </c>
      <c r="T43" s="94">
        <v>0.13600000000000001</v>
      </c>
      <c r="U43" s="95">
        <v>1.7000000000000001E-2</v>
      </c>
      <c r="V43" s="94">
        <v>2.9000000000000001E-2</v>
      </c>
      <c r="W43" s="94">
        <v>1.7000000000000001E-2</v>
      </c>
      <c r="X43" s="95">
        <v>0.33850836319428701</v>
      </c>
      <c r="Y43" s="94">
        <v>0.521919260194178</v>
      </c>
      <c r="Z43" s="94">
        <v>0.13962836731891801</v>
      </c>
      <c r="AA43" s="93">
        <v>0.73230958242850097</v>
      </c>
      <c r="AB43" s="95">
        <v>2.5347689399999999E-3</v>
      </c>
      <c r="AC43" s="95">
        <v>0.28999999999999998</v>
      </c>
      <c r="AD43" s="94">
        <v>0.56499999999999995</v>
      </c>
      <c r="AE43" s="100">
        <v>0.14499999999999999</v>
      </c>
      <c r="AF43" s="95">
        <v>1.7000000000000001E-2</v>
      </c>
      <c r="AG43" s="94">
        <v>2.9000000000000001E-2</v>
      </c>
      <c r="AH43" s="94">
        <v>1.7000000000000001E-2</v>
      </c>
      <c r="AI43" s="95">
        <v>0.292992313</v>
      </c>
      <c r="AJ43" s="94">
        <v>0.55946551700000002</v>
      </c>
      <c r="AK43" s="100">
        <v>0.147607883</v>
      </c>
      <c r="AL43" s="100">
        <v>0.81993506128746296</v>
      </c>
    </row>
    <row r="44" spans="1:38" ht="13" customHeight="1" x14ac:dyDescent="0.2">
      <c r="A44" s="87" t="s">
        <v>6133</v>
      </c>
      <c r="B44" s="105">
        <v>37</v>
      </c>
      <c r="C44" s="98" t="s">
        <v>6020</v>
      </c>
      <c r="D44" s="126" t="s">
        <v>6134</v>
      </c>
      <c r="E44" s="126" t="s">
        <v>24</v>
      </c>
      <c r="F44" s="127" t="s">
        <v>6134</v>
      </c>
      <c r="G44" s="128">
        <v>28.704049999999999</v>
      </c>
      <c r="H44" s="129">
        <v>77.102490000000003</v>
      </c>
      <c r="I44" s="98" t="s">
        <v>6021</v>
      </c>
      <c r="J44" s="124" t="s">
        <v>17</v>
      </c>
      <c r="K44" s="125" t="s">
        <v>17</v>
      </c>
      <c r="L44" s="88">
        <v>4.7739999999999996E-3</v>
      </c>
      <c r="M44" s="89">
        <v>-5.6360000000000004E-3</v>
      </c>
      <c r="N44" s="90">
        <v>-1.3922E-2</v>
      </c>
      <c r="O44" s="97" t="s">
        <v>6135</v>
      </c>
      <c r="P44" s="90" t="s">
        <v>6136</v>
      </c>
      <c r="Q44" s="93">
        <v>4.5803345800000004E-3</v>
      </c>
      <c r="R44" s="94">
        <v>0.33900000000000002</v>
      </c>
      <c r="S44" s="94">
        <v>0.52100000000000002</v>
      </c>
      <c r="T44" s="94">
        <v>0.14099999999999999</v>
      </c>
      <c r="U44" s="95">
        <v>0.01</v>
      </c>
      <c r="V44" s="94">
        <v>1.7999999999999999E-2</v>
      </c>
      <c r="W44" s="94">
        <v>1.0999999999999999E-2</v>
      </c>
      <c r="X44" s="95">
        <v>0.339533104962154</v>
      </c>
      <c r="Y44" s="94">
        <v>0.51805636520848797</v>
      </c>
      <c r="Z44" s="94">
        <v>0.14253174430431001</v>
      </c>
      <c r="AA44" s="93">
        <v>0.52567895765842498</v>
      </c>
      <c r="AB44" s="95">
        <v>1.0435308500000001E-3</v>
      </c>
      <c r="AC44" s="95">
        <v>0.29199999999999998</v>
      </c>
      <c r="AD44" s="94">
        <v>0.56100000000000005</v>
      </c>
      <c r="AE44" s="100">
        <v>0.14699999999999999</v>
      </c>
      <c r="AF44" s="95">
        <v>0.01</v>
      </c>
      <c r="AG44" s="94">
        <v>1.7999999999999999E-2</v>
      </c>
      <c r="AH44" s="94">
        <v>1.0999999999999999E-2</v>
      </c>
      <c r="AI44" s="95">
        <v>0.29315654299999999</v>
      </c>
      <c r="AJ44" s="94">
        <v>0.558830618</v>
      </c>
      <c r="AK44" s="100">
        <v>0.14807831699999999</v>
      </c>
      <c r="AL44" s="100">
        <v>0.95976728135697198</v>
      </c>
    </row>
    <row r="45" spans="1:38" ht="13" customHeight="1" x14ac:dyDescent="0.2">
      <c r="A45" s="87" t="s">
        <v>6165</v>
      </c>
      <c r="B45" s="105">
        <v>4</v>
      </c>
      <c r="C45" s="98" t="s">
        <v>6020</v>
      </c>
      <c r="D45" s="126" t="s">
        <v>6166</v>
      </c>
      <c r="E45" s="126" t="s">
        <v>24</v>
      </c>
      <c r="F45" s="127" t="s">
        <v>6167</v>
      </c>
      <c r="G45" s="128">
        <v>14.427547222222222</v>
      </c>
      <c r="H45" s="129">
        <v>74.419091666666674</v>
      </c>
      <c r="I45" s="98" t="s">
        <v>6021</v>
      </c>
      <c r="J45" s="124">
        <v>3</v>
      </c>
      <c r="K45" s="125">
        <v>7</v>
      </c>
      <c r="L45" s="88">
        <v>4.47E-3</v>
      </c>
      <c r="M45" s="89">
        <v>-5.829E-3</v>
      </c>
      <c r="N45" s="90">
        <v>-1.0999999999999999E-2</v>
      </c>
      <c r="O45" s="97" t="s">
        <v>17</v>
      </c>
      <c r="P45" s="90" t="s">
        <v>17</v>
      </c>
      <c r="Q45" s="93">
        <v>1.6752690500000001E-3</v>
      </c>
      <c r="R45" s="94">
        <v>0.33300000000000002</v>
      </c>
      <c r="S45" s="94">
        <v>0.54100000000000004</v>
      </c>
      <c r="T45" s="94">
        <v>0.126</v>
      </c>
      <c r="U45" s="95">
        <v>1.4999999999999999E-2</v>
      </c>
      <c r="V45" s="94">
        <v>2.5999999999999999E-2</v>
      </c>
      <c r="W45" s="94">
        <v>1.7000000000000001E-2</v>
      </c>
      <c r="X45" s="95">
        <v>0.33686823518474401</v>
      </c>
      <c r="Y45" s="94">
        <v>0.53151835763695798</v>
      </c>
      <c r="Z45" s="94">
        <v>0.131668464902333</v>
      </c>
      <c r="AA45" s="93">
        <v>1.33692393715604</v>
      </c>
      <c r="AB45" s="95">
        <v>2.1505685E-4</v>
      </c>
      <c r="AC45" s="95">
        <v>0.28999999999999998</v>
      </c>
      <c r="AD45" s="94">
        <v>0.57799999999999996</v>
      </c>
      <c r="AE45" s="100">
        <v>0.13200000000000001</v>
      </c>
      <c r="AF45" s="95">
        <v>1.4999999999999999E-2</v>
      </c>
      <c r="AG45" s="94">
        <v>2.5999999999999999E-2</v>
      </c>
      <c r="AH45" s="94">
        <v>1.7000000000000001E-2</v>
      </c>
      <c r="AI45" s="95">
        <v>0.29372164099999998</v>
      </c>
      <c r="AJ45" s="94">
        <v>0.56996759600000002</v>
      </c>
      <c r="AK45" s="100">
        <v>0.13637898200000001</v>
      </c>
      <c r="AL45" s="100">
        <v>1.6680468706528699</v>
      </c>
    </row>
    <row r="46" spans="1:38" ht="13" customHeight="1" x14ac:dyDescent="0.2">
      <c r="A46" s="87" t="s">
        <v>6105</v>
      </c>
      <c r="B46" s="105">
        <v>4</v>
      </c>
      <c r="C46" s="98" t="s">
        <v>6020</v>
      </c>
      <c r="D46" s="126" t="s">
        <v>6066</v>
      </c>
      <c r="E46" s="126" t="s">
        <v>5785</v>
      </c>
      <c r="F46" s="127" t="s">
        <v>6106</v>
      </c>
      <c r="G46" s="128">
        <v>25.584041666666664</v>
      </c>
      <c r="H46" s="129">
        <v>83.577019444444446</v>
      </c>
      <c r="I46" s="98" t="s">
        <v>6021</v>
      </c>
      <c r="J46" s="124" t="s">
        <v>17</v>
      </c>
      <c r="K46" s="125" t="s">
        <v>17</v>
      </c>
      <c r="L46" s="88">
        <v>6.012E-3</v>
      </c>
      <c r="M46" s="89">
        <v>-5.5929999999999999E-3</v>
      </c>
      <c r="N46" s="90">
        <v>-1.7024999999999998E-2</v>
      </c>
      <c r="O46" s="97" t="s">
        <v>17</v>
      </c>
      <c r="P46" s="90" t="s">
        <v>17</v>
      </c>
      <c r="Q46" s="93">
        <v>1.4484659300000001E-3</v>
      </c>
      <c r="R46" s="94">
        <v>0.33900000000000002</v>
      </c>
      <c r="S46" s="94">
        <v>0.47599999999999998</v>
      </c>
      <c r="T46" s="94">
        <v>0.186</v>
      </c>
      <c r="U46" s="95">
        <v>1.4999999999999999E-2</v>
      </c>
      <c r="V46" s="94">
        <v>2.5000000000000001E-2</v>
      </c>
      <c r="W46" s="94">
        <v>1.6E-2</v>
      </c>
      <c r="X46" s="95">
        <v>0.33537178786459998</v>
      </c>
      <c r="Y46" s="94">
        <v>0.48674274866908601</v>
      </c>
      <c r="Z46" s="94">
        <v>0.178012095969208</v>
      </c>
      <c r="AA46" s="93">
        <v>-2.0265211613838598</v>
      </c>
      <c r="AB46" s="95">
        <v>7.8449900300000001E-4</v>
      </c>
      <c r="AC46" s="95">
        <v>0.30099999999999999</v>
      </c>
      <c r="AD46" s="94">
        <v>0.501</v>
      </c>
      <c r="AE46" s="100">
        <v>0.19800000000000001</v>
      </c>
      <c r="AF46" s="95">
        <v>1.4999999999999999E-2</v>
      </c>
      <c r="AG46" s="94">
        <v>2.5000000000000001E-2</v>
      </c>
      <c r="AH46" s="94">
        <v>1.6E-2</v>
      </c>
      <c r="AI46" s="95">
        <v>0.29800081699999997</v>
      </c>
      <c r="AJ46" s="94">
        <v>0.51019134399999999</v>
      </c>
      <c r="AK46" s="100">
        <v>0.19185834600000001</v>
      </c>
      <c r="AL46" s="100">
        <v>-2.9287969057577499</v>
      </c>
    </row>
    <row r="47" spans="1:38" s="16" customFormat="1" ht="13" customHeight="1" x14ac:dyDescent="0.2">
      <c r="A47" s="87" t="s">
        <v>6137</v>
      </c>
      <c r="B47" s="105">
        <v>5</v>
      </c>
      <c r="C47" s="98" t="s">
        <v>6020</v>
      </c>
      <c r="D47" s="126" t="s">
        <v>6066</v>
      </c>
      <c r="E47" s="126" t="s">
        <v>24</v>
      </c>
      <c r="F47" s="127" t="s">
        <v>6138</v>
      </c>
      <c r="G47" s="128">
        <v>29.288697222222225</v>
      </c>
      <c r="H47" s="129">
        <v>77.475908333333336</v>
      </c>
      <c r="I47" s="98" t="s">
        <v>6021</v>
      </c>
      <c r="J47" s="98" t="s">
        <v>17</v>
      </c>
      <c r="K47" s="106" t="s">
        <v>17</v>
      </c>
      <c r="L47" s="88">
        <v>4.7840000000000001E-3</v>
      </c>
      <c r="M47" s="89">
        <v>-5.0650000000000001E-3</v>
      </c>
      <c r="N47" s="90">
        <v>-1.3860000000000001E-2</v>
      </c>
      <c r="O47" s="97" t="s">
        <v>6139</v>
      </c>
      <c r="P47" s="90" t="s">
        <v>6140</v>
      </c>
      <c r="Q47" s="93">
        <v>1.7673775500000001E-3</v>
      </c>
      <c r="R47" s="94">
        <v>0.35299999999999998</v>
      </c>
      <c r="S47" s="94">
        <v>0.495</v>
      </c>
      <c r="T47" s="94">
        <v>0.153</v>
      </c>
      <c r="U47" s="95">
        <v>1.4E-2</v>
      </c>
      <c r="V47" s="94">
        <v>2.5000000000000001E-2</v>
      </c>
      <c r="W47" s="94">
        <v>1.6E-2</v>
      </c>
      <c r="X47" s="95">
        <v>0.35172869701498799</v>
      </c>
      <c r="Y47" s="94">
        <v>0.49761229273348201</v>
      </c>
      <c r="Z47" s="94">
        <v>0.15078001035571301</v>
      </c>
      <c r="AA47" s="93">
        <v>-0.62332779441422004</v>
      </c>
      <c r="AB47" s="95">
        <v>7.6233325299999999E-4</v>
      </c>
      <c r="AC47" s="95">
        <v>0.313</v>
      </c>
      <c r="AD47" s="94">
        <v>0.52300000000000002</v>
      </c>
      <c r="AE47" s="100">
        <v>0.16400000000000001</v>
      </c>
      <c r="AF47" s="95">
        <v>1.4E-2</v>
      </c>
      <c r="AG47" s="94">
        <v>2.5000000000000001E-2</v>
      </c>
      <c r="AH47" s="94">
        <v>1.6E-2</v>
      </c>
      <c r="AI47" s="95">
        <v>0.31226561200000003</v>
      </c>
      <c r="AJ47" s="94">
        <v>0.52581196299999999</v>
      </c>
      <c r="AK47" s="100">
        <v>0.161971268</v>
      </c>
      <c r="AL47" s="100">
        <v>-1.12828944125002</v>
      </c>
    </row>
    <row r="48" spans="1:38" s="16" customFormat="1" ht="13" customHeight="1" x14ac:dyDescent="0.2">
      <c r="A48" s="87" t="s">
        <v>6141</v>
      </c>
      <c r="B48" s="105">
        <v>4</v>
      </c>
      <c r="C48" s="98" t="s">
        <v>6020</v>
      </c>
      <c r="D48" s="126" t="s">
        <v>6066</v>
      </c>
      <c r="E48" s="126" t="s">
        <v>24</v>
      </c>
      <c r="F48" s="127" t="s">
        <v>6077</v>
      </c>
      <c r="G48" s="128">
        <v>25.749002777777779</v>
      </c>
      <c r="H48" s="129">
        <v>82.698700000000002</v>
      </c>
      <c r="I48" s="98" t="s">
        <v>6021</v>
      </c>
      <c r="J48" s="98" t="s">
        <v>17</v>
      </c>
      <c r="K48" s="106" t="s">
        <v>17</v>
      </c>
      <c r="L48" s="88">
        <v>4.6930000000000001E-3</v>
      </c>
      <c r="M48" s="89">
        <v>-5.6059999999999999E-3</v>
      </c>
      <c r="N48" s="90">
        <v>-1.3174999999999999E-2</v>
      </c>
      <c r="O48" s="97" t="s">
        <v>17</v>
      </c>
      <c r="P48" s="90" t="s">
        <v>17</v>
      </c>
      <c r="Q48" s="93">
        <v>2.4223234899999999E-3</v>
      </c>
      <c r="R48" s="94">
        <v>0.35199999999999998</v>
      </c>
      <c r="S48" s="94">
        <v>0.47699999999999998</v>
      </c>
      <c r="T48" s="94">
        <v>0.17100000000000001</v>
      </c>
      <c r="U48" s="95">
        <v>1.6E-2</v>
      </c>
      <c r="V48" s="94">
        <v>2.7E-2</v>
      </c>
      <c r="W48" s="94">
        <v>1.7000000000000001E-2</v>
      </c>
      <c r="X48" s="95">
        <v>0.34952627151892801</v>
      </c>
      <c r="Y48" s="94">
        <v>0.48601577214957398</v>
      </c>
      <c r="Z48" s="94">
        <v>0.16451620918732901</v>
      </c>
      <c r="AA48" s="93">
        <v>-1.60655681981192</v>
      </c>
      <c r="AB48" s="95">
        <v>1.84505272E-3</v>
      </c>
      <c r="AC48" s="95">
        <v>0.316</v>
      </c>
      <c r="AD48" s="94">
        <v>0.498</v>
      </c>
      <c r="AE48" s="100">
        <v>0.186</v>
      </c>
      <c r="AF48" s="95">
        <v>1.6E-2</v>
      </c>
      <c r="AG48" s="94">
        <v>2.7E-2</v>
      </c>
      <c r="AH48" s="94">
        <v>1.7000000000000001E-2</v>
      </c>
      <c r="AI48" s="95">
        <v>0.31285249300000001</v>
      </c>
      <c r="AJ48" s="94">
        <v>0.50699286600000004</v>
      </c>
      <c r="AK48" s="100">
        <v>0.18019821799999999</v>
      </c>
      <c r="AL48" s="100">
        <v>-2.5566698820828</v>
      </c>
    </row>
    <row r="49" spans="1:38" s="16" customFormat="1" ht="13" customHeight="1" x14ac:dyDescent="0.2">
      <c r="A49" s="87" t="s">
        <v>6120</v>
      </c>
      <c r="B49" s="105">
        <v>5</v>
      </c>
      <c r="C49" s="98" t="s">
        <v>6020</v>
      </c>
      <c r="D49" s="126" t="s">
        <v>6066</v>
      </c>
      <c r="E49" s="126" t="s">
        <v>24</v>
      </c>
      <c r="F49" s="127" t="s">
        <v>6121</v>
      </c>
      <c r="G49" s="128">
        <v>25.749002777777779</v>
      </c>
      <c r="H49" s="129">
        <v>85.698700000000002</v>
      </c>
      <c r="I49" s="98" t="s">
        <v>6021</v>
      </c>
      <c r="J49" s="98" t="s">
        <v>17</v>
      </c>
      <c r="K49" s="106" t="s">
        <v>17</v>
      </c>
      <c r="L49" s="88">
        <v>4.8999999999999998E-3</v>
      </c>
      <c r="M49" s="89">
        <v>-5.2339999999999999E-3</v>
      </c>
      <c r="N49" s="90">
        <v>-1.4460000000000001E-2</v>
      </c>
      <c r="O49" s="97" t="s">
        <v>6122</v>
      </c>
      <c r="P49" s="90" t="s">
        <v>6123</v>
      </c>
      <c r="Q49" s="93">
        <v>3.0250951299999999E-2</v>
      </c>
      <c r="R49" s="94">
        <v>0.36</v>
      </c>
      <c r="S49" s="94">
        <v>0.47299999999999998</v>
      </c>
      <c r="T49" s="94">
        <v>0.16700000000000001</v>
      </c>
      <c r="U49" s="95">
        <v>1.4999999999999999E-2</v>
      </c>
      <c r="V49" s="94">
        <v>2.5000000000000001E-2</v>
      </c>
      <c r="W49" s="94">
        <v>1.4999999999999999E-2</v>
      </c>
      <c r="X49" s="95">
        <v>0.35747275088889702</v>
      </c>
      <c r="Y49" s="94">
        <v>0.48160011424392701</v>
      </c>
      <c r="Z49" s="94">
        <v>0.16098400882123201</v>
      </c>
      <c r="AA49" s="93">
        <v>-1.7066397984913</v>
      </c>
      <c r="AB49" s="95">
        <v>2.8499304100000001E-2</v>
      </c>
      <c r="AC49" s="95">
        <v>0.32100000000000001</v>
      </c>
      <c r="AD49" s="94">
        <v>0.5</v>
      </c>
      <c r="AE49" s="100">
        <v>0.18</v>
      </c>
      <c r="AF49" s="95">
        <v>1.4999999999999999E-2</v>
      </c>
      <c r="AG49" s="94">
        <v>2.5000000000000001E-2</v>
      </c>
      <c r="AH49" s="94">
        <v>1.4999999999999999E-2</v>
      </c>
      <c r="AI49" s="95">
        <v>0.31738941100000001</v>
      </c>
      <c r="AJ49" s="94">
        <v>0.50738691300000005</v>
      </c>
      <c r="AK49" s="100">
        <v>0.17531877900000001</v>
      </c>
      <c r="AL49" s="100">
        <v>-2.4103522108232198</v>
      </c>
    </row>
    <row r="50" spans="1:38" s="16" customFormat="1" ht="13" customHeight="1" x14ac:dyDescent="0.2">
      <c r="A50" s="87" t="s">
        <v>6161</v>
      </c>
      <c r="B50" s="105">
        <v>8</v>
      </c>
      <c r="C50" s="98" t="s">
        <v>6020</v>
      </c>
      <c r="D50" s="126" t="s">
        <v>6066</v>
      </c>
      <c r="E50" s="126" t="s">
        <v>24</v>
      </c>
      <c r="F50" s="127" t="s">
        <v>6162</v>
      </c>
      <c r="G50" s="128">
        <v>28.464133333333333</v>
      </c>
      <c r="H50" s="129">
        <v>77.817072222222222</v>
      </c>
      <c r="I50" s="98" t="s">
        <v>6021</v>
      </c>
      <c r="J50" s="124" t="s">
        <v>17</v>
      </c>
      <c r="K50" s="125" t="s">
        <v>17</v>
      </c>
      <c r="L50" s="88">
        <v>3.9659999999999999E-3</v>
      </c>
      <c r="M50" s="89">
        <v>-5.7749999999999998E-3</v>
      </c>
      <c r="N50" s="90">
        <v>-1.1436999999999999E-2</v>
      </c>
      <c r="O50" s="97" t="s">
        <v>6163</v>
      </c>
      <c r="P50" s="90" t="s">
        <v>6164</v>
      </c>
      <c r="Q50" s="93">
        <v>3.09189913E-2</v>
      </c>
      <c r="R50" s="94">
        <v>0.36299999999999999</v>
      </c>
      <c r="S50" s="94">
        <v>0.48099999999999998</v>
      </c>
      <c r="T50" s="94">
        <v>0.157</v>
      </c>
      <c r="U50" s="95">
        <v>1.4E-2</v>
      </c>
      <c r="V50" s="94">
        <v>2.5000000000000001E-2</v>
      </c>
      <c r="W50" s="94">
        <v>1.4999999999999999E-2</v>
      </c>
      <c r="X50" s="95">
        <v>0.36059975170818498</v>
      </c>
      <c r="Y50" s="94">
        <v>0.48640305273254802</v>
      </c>
      <c r="Z50" s="94">
        <v>0.15311753712877799</v>
      </c>
      <c r="AA50" s="93">
        <v>-1.1897482928520899</v>
      </c>
      <c r="AB50" s="95">
        <v>4.3845455899999997E-2</v>
      </c>
      <c r="AC50" s="95">
        <v>0.32100000000000001</v>
      </c>
      <c r="AD50" s="94">
        <v>0.51600000000000001</v>
      </c>
      <c r="AE50" s="100">
        <v>0.16400000000000001</v>
      </c>
      <c r="AF50" s="95">
        <v>1.4E-2</v>
      </c>
      <c r="AG50" s="94">
        <v>2.5000000000000001E-2</v>
      </c>
      <c r="AH50" s="94">
        <v>1.4999999999999999E-2</v>
      </c>
      <c r="AI50" s="95">
        <v>0.31884402899999997</v>
      </c>
      <c r="AJ50" s="94">
        <v>0.51966148400000001</v>
      </c>
      <c r="AK50" s="100">
        <v>0.16159227300000001</v>
      </c>
      <c r="AL50" s="100">
        <v>-1.37841906686085</v>
      </c>
    </row>
    <row r="51" spans="1:38" s="16" customFormat="1" ht="13" customHeight="1" x14ac:dyDescent="0.2">
      <c r="A51" s="87" t="s">
        <v>6168</v>
      </c>
      <c r="B51" s="105">
        <v>3</v>
      </c>
      <c r="C51" s="98" t="s">
        <v>6020</v>
      </c>
      <c r="D51" s="126" t="s">
        <v>6151</v>
      </c>
      <c r="E51" s="126" t="s">
        <v>24</v>
      </c>
      <c r="F51" s="127" t="s">
        <v>17</v>
      </c>
      <c r="G51" s="128">
        <v>22.973422222222222</v>
      </c>
      <c r="H51" s="129">
        <v>78.656894444444447</v>
      </c>
      <c r="I51" s="98" t="s">
        <v>6021</v>
      </c>
      <c r="J51" s="98">
        <v>3</v>
      </c>
      <c r="K51" s="106">
        <v>13</v>
      </c>
      <c r="L51" s="88">
        <v>4.6430000000000004E-3</v>
      </c>
      <c r="M51" s="89">
        <v>-4.5100000000000001E-3</v>
      </c>
      <c r="N51" s="90">
        <v>-1.0966999999999999E-2</v>
      </c>
      <c r="O51" s="97" t="s">
        <v>17</v>
      </c>
      <c r="P51" s="90" t="s">
        <v>17</v>
      </c>
      <c r="Q51" s="93">
        <v>3.7172533300000002E-4</v>
      </c>
      <c r="R51" s="94">
        <v>0.36199999999999999</v>
      </c>
      <c r="S51" s="94">
        <v>0.48799999999999999</v>
      </c>
      <c r="T51" s="94">
        <v>0.15</v>
      </c>
      <c r="U51" s="95">
        <v>1.7000000000000001E-2</v>
      </c>
      <c r="V51" s="94">
        <v>2.9000000000000001E-2</v>
      </c>
      <c r="W51" s="94">
        <v>1.7999999999999999E-2</v>
      </c>
      <c r="X51" s="95">
        <v>0.361195232392508</v>
      </c>
      <c r="Y51" s="94">
        <v>0.49203115482741999</v>
      </c>
      <c r="Z51" s="94">
        <v>0.14682809016317</v>
      </c>
      <c r="AA51" s="93">
        <v>-0.68849821461137295</v>
      </c>
      <c r="AB51" s="95">
        <v>2.99814849E-4</v>
      </c>
      <c r="AC51" s="95">
        <v>0.32300000000000001</v>
      </c>
      <c r="AD51" s="94">
        <v>0.51500000000000001</v>
      </c>
      <c r="AE51" s="100">
        <v>0.16200000000000001</v>
      </c>
      <c r="AF51" s="95">
        <v>1.7000000000000001E-2</v>
      </c>
      <c r="AG51" s="94">
        <v>2.9000000000000001E-2</v>
      </c>
      <c r="AH51" s="94">
        <v>1.7999999999999999E-2</v>
      </c>
      <c r="AI51" s="95">
        <v>0.32164141899999998</v>
      </c>
      <c r="AJ51" s="94">
        <v>0.51951514200000004</v>
      </c>
      <c r="AK51" s="100">
        <v>0.15888676299999999</v>
      </c>
      <c r="AL51" s="100">
        <v>-1.12883244932048</v>
      </c>
    </row>
    <row r="52" spans="1:38" s="16" customFormat="1" ht="13" customHeight="1" x14ac:dyDescent="0.2">
      <c r="A52" s="87" t="s">
        <v>6218</v>
      </c>
      <c r="B52" s="105">
        <v>3</v>
      </c>
      <c r="C52" s="98" t="s">
        <v>6095</v>
      </c>
      <c r="D52" s="126" t="s">
        <v>6096</v>
      </c>
      <c r="E52" s="126" t="s">
        <v>24</v>
      </c>
      <c r="F52" s="127" t="s">
        <v>6104</v>
      </c>
      <c r="G52" s="128">
        <v>12.914141666666668</v>
      </c>
      <c r="H52" s="129">
        <v>74.855955555555553</v>
      </c>
      <c r="I52" s="98" t="s">
        <v>6021</v>
      </c>
      <c r="J52" s="98">
        <v>0</v>
      </c>
      <c r="K52" s="106">
        <v>4</v>
      </c>
      <c r="L52" s="88">
        <v>2.513E-3</v>
      </c>
      <c r="M52" s="89">
        <v>-5.8700000000000002E-3</v>
      </c>
      <c r="N52" s="90">
        <v>-5.7670000000000004E-3</v>
      </c>
      <c r="O52" s="97" t="s">
        <v>17</v>
      </c>
      <c r="P52" s="90" t="s">
        <v>17</v>
      </c>
      <c r="Q52" s="93">
        <v>1.4584830100000001E-4</v>
      </c>
      <c r="R52" s="94">
        <v>0.35699999999999998</v>
      </c>
      <c r="S52" s="94">
        <v>0.57799999999999996</v>
      </c>
      <c r="T52" s="94">
        <v>6.5000000000000002E-2</v>
      </c>
      <c r="U52" s="95">
        <v>1.7999999999999999E-2</v>
      </c>
      <c r="V52" s="94">
        <v>0.03</v>
      </c>
      <c r="W52" s="94">
        <v>1.7999999999999999E-2</v>
      </c>
      <c r="X52" s="95">
        <v>0.36912792083998902</v>
      </c>
      <c r="Y52" s="94">
        <v>0.54711521546699005</v>
      </c>
      <c r="Z52" s="94">
        <v>8.3801630464710397E-2</v>
      </c>
      <c r="AA52" s="93">
        <v>3.7461102910035602</v>
      </c>
      <c r="AB52" s="95">
        <v>4.1669754899999997E-5</v>
      </c>
      <c r="AC52" s="95">
        <v>0.316</v>
      </c>
      <c r="AD52" s="94">
        <v>0.623</v>
      </c>
      <c r="AE52" s="100">
        <v>6.0999999999999999E-2</v>
      </c>
      <c r="AF52" s="95">
        <v>1.7999999999999999E-2</v>
      </c>
      <c r="AG52" s="94">
        <v>0.03</v>
      </c>
      <c r="AH52" s="94">
        <v>1.7999999999999999E-2</v>
      </c>
      <c r="AI52" s="95">
        <v>0.327886342</v>
      </c>
      <c r="AJ52" s="94">
        <v>0.59598559900000003</v>
      </c>
      <c r="AK52" s="100">
        <v>7.6189245000000003E-2</v>
      </c>
      <c r="AL52" s="100">
        <v>5.10195551146571</v>
      </c>
    </row>
    <row r="53" spans="1:38" s="16" customFormat="1" ht="13" customHeight="1" x14ac:dyDescent="0.2">
      <c r="A53" s="87" t="s">
        <v>6150</v>
      </c>
      <c r="B53" s="105">
        <v>9</v>
      </c>
      <c r="C53" s="98" t="s">
        <v>6020</v>
      </c>
      <c r="D53" s="126" t="s">
        <v>6151</v>
      </c>
      <c r="E53" s="126" t="s">
        <v>24</v>
      </c>
      <c r="F53" s="127" t="s">
        <v>6152</v>
      </c>
      <c r="G53" s="128">
        <v>24.600507</v>
      </c>
      <c r="H53" s="129">
        <v>80.832243000000005</v>
      </c>
      <c r="I53" s="98" t="s">
        <v>6021</v>
      </c>
      <c r="J53" s="124" t="s">
        <v>17</v>
      </c>
      <c r="K53" s="125" t="s">
        <v>17</v>
      </c>
      <c r="L53" s="88">
        <v>4.3800000000000002E-3</v>
      </c>
      <c r="M53" s="89">
        <v>-5.1859999999999996E-3</v>
      </c>
      <c r="N53" s="90">
        <v>-1.1710999999999999E-2</v>
      </c>
      <c r="O53" s="97" t="s">
        <v>6153</v>
      </c>
      <c r="P53" s="90" t="s">
        <v>6154</v>
      </c>
      <c r="Q53" s="93">
        <v>1.5691185600000001E-2</v>
      </c>
      <c r="R53" s="94">
        <v>0.36699999999999999</v>
      </c>
      <c r="S53" s="94">
        <v>0.46700000000000003</v>
      </c>
      <c r="T53" s="94">
        <v>0.16500000000000001</v>
      </c>
      <c r="U53" s="95">
        <v>1.2999999999999999E-2</v>
      </c>
      <c r="V53" s="94">
        <v>2.1999999999999999E-2</v>
      </c>
      <c r="W53" s="94">
        <v>1.4E-2</v>
      </c>
      <c r="X53" s="95">
        <v>0.36545532032755701</v>
      </c>
      <c r="Y53" s="94">
        <v>0.475082485994341</v>
      </c>
      <c r="Z53" s="94">
        <v>0.15945306541434601</v>
      </c>
      <c r="AA53" s="93">
        <v>-2.0385460661571</v>
      </c>
      <c r="AB53" s="95">
        <v>3.77493546E-3</v>
      </c>
      <c r="AC53" s="95">
        <v>0.33</v>
      </c>
      <c r="AD53" s="94">
        <v>0.497</v>
      </c>
      <c r="AE53" s="100">
        <v>0.17299999999999999</v>
      </c>
      <c r="AF53" s="95">
        <v>1.2999999999999999E-2</v>
      </c>
      <c r="AG53" s="94">
        <v>2.1999999999999999E-2</v>
      </c>
      <c r="AH53" s="94">
        <v>1.4E-2</v>
      </c>
      <c r="AI53" s="95">
        <v>0.32798434100000001</v>
      </c>
      <c r="AJ53" s="94">
        <v>0.502677453</v>
      </c>
      <c r="AK53" s="100">
        <v>0.16937443899999999</v>
      </c>
      <c r="AL53" s="100">
        <v>-2.5615725975742101</v>
      </c>
    </row>
    <row r="54" spans="1:38" s="16" customFormat="1" ht="13" customHeight="1" x14ac:dyDescent="0.2">
      <c r="A54" s="87" t="s">
        <v>6234</v>
      </c>
      <c r="B54" s="105">
        <v>8</v>
      </c>
      <c r="C54" s="98" t="s">
        <v>6095</v>
      </c>
      <c r="D54" s="126" t="s">
        <v>6235</v>
      </c>
      <c r="E54" s="126" t="s">
        <v>24</v>
      </c>
      <c r="F54" s="127" t="s">
        <v>6236</v>
      </c>
      <c r="G54" s="128">
        <v>17.385044444444443</v>
      </c>
      <c r="H54" s="129">
        <v>78.486672222222225</v>
      </c>
      <c r="I54" s="98" t="s">
        <v>6021</v>
      </c>
      <c r="J54" s="98">
        <v>0</v>
      </c>
      <c r="K54" s="106">
        <v>12</v>
      </c>
      <c r="L54" s="88">
        <v>2.3340000000000001E-3</v>
      </c>
      <c r="M54" s="89">
        <v>-5.7710000000000001E-3</v>
      </c>
      <c r="N54" s="90">
        <v>-4.2249999999999996E-3</v>
      </c>
      <c r="O54" s="97" t="s">
        <v>6237</v>
      </c>
      <c r="P54" s="90" t="s">
        <v>6238</v>
      </c>
      <c r="Q54" s="93">
        <v>1.7577701999999999E-3</v>
      </c>
      <c r="R54" s="94">
        <v>0.36499999999999999</v>
      </c>
      <c r="S54" s="94">
        <v>0.56000000000000005</v>
      </c>
      <c r="T54" s="94">
        <v>7.4999999999999997E-2</v>
      </c>
      <c r="U54" s="95">
        <v>1.4E-2</v>
      </c>
      <c r="V54" s="94">
        <v>2.4E-2</v>
      </c>
      <c r="W54" s="94">
        <v>1.4999999999999999E-2</v>
      </c>
      <c r="X54" s="95">
        <v>0.372093143509373</v>
      </c>
      <c r="Y54" s="94">
        <v>0.54052772560226703</v>
      </c>
      <c r="Z54" s="94">
        <v>8.7424076225311897E-2</v>
      </c>
      <c r="AA54" s="93">
        <v>3.4680703071575101</v>
      </c>
      <c r="AB54" s="95">
        <v>2.5602229399999997E-4</v>
      </c>
      <c r="AC54" s="95">
        <v>0.32300000000000001</v>
      </c>
      <c r="AD54" s="94">
        <v>0.59399999999999997</v>
      </c>
      <c r="AE54" s="100">
        <v>8.3000000000000004E-2</v>
      </c>
      <c r="AF54" s="95">
        <v>1.4E-2</v>
      </c>
      <c r="AG54" s="94">
        <v>2.4E-2</v>
      </c>
      <c r="AH54" s="94">
        <v>1.4999999999999999E-2</v>
      </c>
      <c r="AI54" s="95">
        <v>0.32857726900000001</v>
      </c>
      <c r="AJ54" s="94">
        <v>0.58079365999999999</v>
      </c>
      <c r="AK54" s="100">
        <v>9.0685920000000003E-2</v>
      </c>
      <c r="AL54" s="100">
        <v>4.3703411317984102</v>
      </c>
    </row>
    <row r="55" spans="1:38" s="16" customFormat="1" ht="13" customHeight="1" x14ac:dyDescent="0.2">
      <c r="A55" s="87" t="s">
        <v>6206</v>
      </c>
      <c r="B55" s="105">
        <v>2</v>
      </c>
      <c r="C55" s="98" t="s">
        <v>6020</v>
      </c>
      <c r="D55" s="126" t="s">
        <v>6066</v>
      </c>
      <c r="E55" s="126" t="s">
        <v>24</v>
      </c>
      <c r="F55" s="127" t="s">
        <v>6207</v>
      </c>
      <c r="G55" s="128">
        <v>25.150699999999997</v>
      </c>
      <c r="H55" s="129">
        <v>82.564799999999991</v>
      </c>
      <c r="I55" s="98" t="s">
        <v>6021</v>
      </c>
      <c r="J55" s="98" t="s">
        <v>17</v>
      </c>
      <c r="K55" s="106" t="s">
        <v>17</v>
      </c>
      <c r="L55" s="88">
        <v>3.274E-3</v>
      </c>
      <c r="M55" s="89">
        <v>-6.4349999999999997E-3</v>
      </c>
      <c r="N55" s="90">
        <v>-7.8499999999999993E-3</v>
      </c>
      <c r="O55" s="97" t="s">
        <v>17</v>
      </c>
      <c r="P55" s="90" t="s">
        <v>17</v>
      </c>
      <c r="Q55" s="93">
        <v>1.2542724900000001E-4</v>
      </c>
      <c r="R55" s="94">
        <v>0.36599999999999999</v>
      </c>
      <c r="S55" s="94">
        <v>0.52700000000000002</v>
      </c>
      <c r="T55" s="94">
        <v>0.108</v>
      </c>
      <c r="U55" s="95">
        <v>1.9E-2</v>
      </c>
      <c r="V55" s="94">
        <v>3.3000000000000002E-2</v>
      </c>
      <c r="W55" s="94">
        <v>2.1000000000000001E-2</v>
      </c>
      <c r="X55" s="95">
        <v>0.36978640406990099</v>
      </c>
      <c r="Y55" s="94">
        <v>0.51494710101770202</v>
      </c>
      <c r="Z55" s="94">
        <v>0.115380515187243</v>
      </c>
      <c r="AA55" s="93">
        <v>1.29521325869588</v>
      </c>
      <c r="AB55" s="95">
        <v>1.3670713200000001E-4</v>
      </c>
      <c r="AC55" s="95">
        <v>0.32400000000000001</v>
      </c>
      <c r="AD55" s="94">
        <v>0.56499999999999995</v>
      </c>
      <c r="AE55" s="100">
        <v>0.111</v>
      </c>
      <c r="AF55" s="95">
        <v>1.9E-2</v>
      </c>
      <c r="AG55" s="94">
        <v>3.3000000000000002E-2</v>
      </c>
      <c r="AH55" s="94">
        <v>2.1000000000000001E-2</v>
      </c>
      <c r="AI55" s="95">
        <v>0.32914755200000001</v>
      </c>
      <c r="AJ55" s="94">
        <v>0.55297360799999995</v>
      </c>
      <c r="AK55" s="100">
        <v>0.117928028</v>
      </c>
      <c r="AL55" s="100">
        <v>1.5860810459530601</v>
      </c>
    </row>
    <row r="56" spans="1:38" s="16" customFormat="1" ht="13" customHeight="1" x14ac:dyDescent="0.2">
      <c r="A56" s="87" t="s">
        <v>3631</v>
      </c>
      <c r="B56" s="105">
        <v>8</v>
      </c>
      <c r="C56" s="98" t="s">
        <v>6020</v>
      </c>
      <c r="D56" s="126" t="s">
        <v>6031</v>
      </c>
      <c r="E56" s="126" t="s">
        <v>24</v>
      </c>
      <c r="F56" s="127" t="s">
        <v>6155</v>
      </c>
      <c r="G56" s="128">
        <v>31.5</v>
      </c>
      <c r="H56" s="129">
        <v>74.3</v>
      </c>
      <c r="I56" s="98" t="s">
        <v>6021</v>
      </c>
      <c r="J56" s="98" t="s">
        <v>17</v>
      </c>
      <c r="K56" s="106" t="s">
        <v>17</v>
      </c>
      <c r="L56" s="88">
        <v>4.4070000000000003E-3</v>
      </c>
      <c r="M56" s="89">
        <v>-5.45E-3</v>
      </c>
      <c r="N56" s="90">
        <v>-1.1688E-2</v>
      </c>
      <c r="O56" s="97" t="s">
        <v>6156</v>
      </c>
      <c r="P56" s="90" t="s">
        <v>6157</v>
      </c>
      <c r="Q56" s="93">
        <v>1.27458131E-2</v>
      </c>
      <c r="R56" s="94">
        <v>0.372</v>
      </c>
      <c r="S56" s="94">
        <v>0.47899999999999998</v>
      </c>
      <c r="T56" s="94">
        <v>0.14899999999999999</v>
      </c>
      <c r="U56" s="95">
        <v>1.2E-2</v>
      </c>
      <c r="V56" s="94">
        <v>2.1999999999999999E-2</v>
      </c>
      <c r="W56" s="94">
        <v>1.4E-2</v>
      </c>
      <c r="X56" s="95">
        <v>0.37088303266754002</v>
      </c>
      <c r="Y56" s="94">
        <v>0.48341094980730698</v>
      </c>
      <c r="Z56" s="94">
        <v>0.145759268465459</v>
      </c>
      <c r="AA56" s="93">
        <v>-1.0476677665265099</v>
      </c>
      <c r="AB56" s="95">
        <v>2.0957924700000002E-2</v>
      </c>
      <c r="AC56" s="95">
        <v>0.33300000000000002</v>
      </c>
      <c r="AD56" s="94">
        <v>0.50700000000000001</v>
      </c>
      <c r="AE56" s="100">
        <v>0.16</v>
      </c>
      <c r="AF56" s="95">
        <v>1.2E-2</v>
      </c>
      <c r="AG56" s="94">
        <v>2.1999999999999999E-2</v>
      </c>
      <c r="AH56" s="94">
        <v>1.4E-2</v>
      </c>
      <c r="AI56" s="95">
        <v>0.33180865100000001</v>
      </c>
      <c r="AJ56" s="94">
        <v>0.51073499300000003</v>
      </c>
      <c r="AK56" s="100">
        <v>0.15749317500000001</v>
      </c>
      <c r="AL56" s="100">
        <v>-1.60031003566029</v>
      </c>
    </row>
    <row r="57" spans="1:38" s="16" customFormat="1" ht="13" customHeight="1" x14ac:dyDescent="0.2">
      <c r="A57" s="87" t="s">
        <v>6210</v>
      </c>
      <c r="B57" s="105">
        <v>3</v>
      </c>
      <c r="C57" s="98" t="s">
        <v>6020</v>
      </c>
      <c r="D57" s="126" t="s">
        <v>6151</v>
      </c>
      <c r="E57" s="126" t="s">
        <v>24</v>
      </c>
      <c r="F57" s="127" t="s">
        <v>6211</v>
      </c>
      <c r="G57" s="128">
        <v>23.401258333333331</v>
      </c>
      <c r="H57" s="129">
        <v>77.370874999999998</v>
      </c>
      <c r="I57" s="98" t="s">
        <v>6021</v>
      </c>
      <c r="J57" s="98" t="s">
        <v>17</v>
      </c>
      <c r="K57" s="106" t="s">
        <v>17</v>
      </c>
      <c r="L57" s="88">
        <v>3.019E-3</v>
      </c>
      <c r="M57" s="89">
        <v>-5.5259999999999997E-3</v>
      </c>
      <c r="N57" s="90">
        <v>-7.3330000000000001E-3</v>
      </c>
      <c r="O57" s="97" t="s">
        <v>17</v>
      </c>
      <c r="P57" s="90" t="s">
        <v>17</v>
      </c>
      <c r="Q57" s="93">
        <v>3.5665597399999999E-2</v>
      </c>
      <c r="R57" s="94">
        <v>0.372</v>
      </c>
      <c r="S57" s="94">
        <v>0.51200000000000001</v>
      </c>
      <c r="T57" s="94">
        <v>0.11700000000000001</v>
      </c>
      <c r="U57" s="95">
        <v>1.7999999999999999E-2</v>
      </c>
      <c r="V57" s="94">
        <v>2.9000000000000001E-2</v>
      </c>
      <c r="W57" s="94">
        <v>1.7999999999999999E-2</v>
      </c>
      <c r="X57" s="95">
        <v>0.37365566443276799</v>
      </c>
      <c r="Y57" s="94">
        <v>0.50581970010673805</v>
      </c>
      <c r="Z57" s="94">
        <v>0.12063897663031201</v>
      </c>
      <c r="AA57" s="93">
        <v>0.80490411225316205</v>
      </c>
      <c r="AB57" s="95">
        <v>3.7055202600000003E-2</v>
      </c>
      <c r="AC57" s="95">
        <v>0.33</v>
      </c>
      <c r="AD57" s="94">
        <v>0.54500000000000004</v>
      </c>
      <c r="AE57" s="100">
        <v>0.125</v>
      </c>
      <c r="AF57" s="95">
        <v>1.7999999999999999E-2</v>
      </c>
      <c r="AG57" s="94">
        <v>2.9000000000000001E-2</v>
      </c>
      <c r="AH57" s="94">
        <v>1.7999999999999999E-2</v>
      </c>
      <c r="AI57" s="95">
        <v>0.33237243500000002</v>
      </c>
      <c r="AJ57" s="94">
        <v>0.54011379299999995</v>
      </c>
      <c r="AK57" s="100">
        <v>0.12755820600000001</v>
      </c>
      <c r="AL57" s="100">
        <v>0.87378146445092397</v>
      </c>
    </row>
    <row r="58" spans="1:38" s="16" customFormat="1" ht="13" customHeight="1" x14ac:dyDescent="0.2">
      <c r="A58" s="87" t="s">
        <v>6215</v>
      </c>
      <c r="B58" s="105">
        <v>4</v>
      </c>
      <c r="C58" s="98" t="s">
        <v>6095</v>
      </c>
      <c r="D58" s="126" t="s">
        <v>6096</v>
      </c>
      <c r="E58" s="126" t="s">
        <v>24</v>
      </c>
      <c r="F58" s="127" t="s">
        <v>6216</v>
      </c>
      <c r="G58" s="128">
        <v>14.793888888888889</v>
      </c>
      <c r="H58" s="129">
        <v>75.403888888888901</v>
      </c>
      <c r="I58" s="98" t="s">
        <v>6021</v>
      </c>
      <c r="J58" s="98" t="s">
        <v>17</v>
      </c>
      <c r="K58" s="106" t="s">
        <v>17</v>
      </c>
      <c r="L58" s="88">
        <v>2.8709999999999999E-3</v>
      </c>
      <c r="M58" s="89">
        <v>-6.0670000000000003E-3</v>
      </c>
      <c r="N58" s="90">
        <v>-7.025E-3</v>
      </c>
      <c r="O58" s="97" t="s">
        <v>17</v>
      </c>
      <c r="P58" s="90" t="s">
        <v>17</v>
      </c>
      <c r="Q58" s="93">
        <v>1.9901196900000001E-3</v>
      </c>
      <c r="R58" s="94">
        <v>0.373</v>
      </c>
      <c r="S58" s="94">
        <v>0.52</v>
      </c>
      <c r="T58" s="94">
        <v>0.107</v>
      </c>
      <c r="U58" s="95">
        <v>1.4999999999999999E-2</v>
      </c>
      <c r="V58" s="94">
        <v>2.5999999999999999E-2</v>
      </c>
      <c r="W58" s="94">
        <v>1.6E-2</v>
      </c>
      <c r="X58" s="95">
        <v>0.37632958499096397</v>
      </c>
      <c r="Y58" s="94">
        <v>0.51139194626557805</v>
      </c>
      <c r="Z58" s="94">
        <v>0.112326433180041</v>
      </c>
      <c r="AA58" s="93">
        <v>1.34770939081493</v>
      </c>
      <c r="AB58" s="95">
        <v>3.1969774400000001E-3</v>
      </c>
      <c r="AC58" s="95">
        <v>0.33100000000000002</v>
      </c>
      <c r="AD58" s="94">
        <v>0.55800000000000005</v>
      </c>
      <c r="AE58" s="100">
        <v>0.111</v>
      </c>
      <c r="AF58" s="95">
        <v>1.4999999999999999E-2</v>
      </c>
      <c r="AG58" s="94">
        <v>2.5999999999999999E-2</v>
      </c>
      <c r="AH58" s="94">
        <v>1.6E-2</v>
      </c>
      <c r="AI58" s="95">
        <v>0.334319376</v>
      </c>
      <c r="AJ58" s="94">
        <v>0.55051098399999998</v>
      </c>
      <c r="AK58" s="100">
        <v>0.115216053</v>
      </c>
      <c r="AL58" s="100">
        <v>1.8745328588121299</v>
      </c>
    </row>
    <row r="59" spans="1:38" s="16" customFormat="1" ht="13" customHeight="1" x14ac:dyDescent="0.2">
      <c r="A59" s="87" t="s">
        <v>6158</v>
      </c>
      <c r="B59" s="105">
        <v>5</v>
      </c>
      <c r="C59" s="98" t="s">
        <v>6020</v>
      </c>
      <c r="D59" s="126" t="s">
        <v>6066</v>
      </c>
      <c r="E59" s="126" t="s">
        <v>24</v>
      </c>
      <c r="F59" s="127" t="s">
        <v>6138</v>
      </c>
      <c r="G59" s="128">
        <v>29.288697222222225</v>
      </c>
      <c r="H59" s="129">
        <v>77.475908333333336</v>
      </c>
      <c r="I59" s="98" t="s">
        <v>6021</v>
      </c>
      <c r="J59" s="98" t="s">
        <v>17</v>
      </c>
      <c r="K59" s="106" t="s">
        <v>17</v>
      </c>
      <c r="L59" s="88">
        <v>3.6480000000000002E-3</v>
      </c>
      <c r="M59" s="89">
        <v>-5.5040000000000002E-3</v>
      </c>
      <c r="N59" s="90">
        <v>-1.1480000000000001E-2</v>
      </c>
      <c r="O59" s="97" t="s">
        <v>6159</v>
      </c>
      <c r="P59" s="90" t="s">
        <v>6160</v>
      </c>
      <c r="Q59" s="93">
        <v>3.8782789499999999E-3</v>
      </c>
      <c r="R59" s="94">
        <v>0.378</v>
      </c>
      <c r="S59" s="94">
        <v>0.46300000000000002</v>
      </c>
      <c r="T59" s="94">
        <v>0.159</v>
      </c>
      <c r="U59" s="95">
        <v>1.4E-2</v>
      </c>
      <c r="V59" s="94">
        <v>2.5000000000000001E-2</v>
      </c>
      <c r="W59" s="94">
        <v>1.6E-2</v>
      </c>
      <c r="X59" s="95">
        <v>0.37502180299966598</v>
      </c>
      <c r="Y59" s="94">
        <v>0.472600580247445</v>
      </c>
      <c r="Z59" s="94">
        <v>0.15243134139446299</v>
      </c>
      <c r="AA59" s="93">
        <v>-1.70306249204321</v>
      </c>
      <c r="AB59" s="95">
        <v>9.0634936199999998E-3</v>
      </c>
      <c r="AC59" s="95">
        <v>0.34399999999999997</v>
      </c>
      <c r="AD59" s="94">
        <v>0.48499999999999999</v>
      </c>
      <c r="AE59" s="100">
        <v>0.17100000000000001</v>
      </c>
      <c r="AF59" s="95">
        <v>1.4E-2</v>
      </c>
      <c r="AG59" s="94">
        <v>2.5000000000000001E-2</v>
      </c>
      <c r="AH59" s="94">
        <v>1.6E-2</v>
      </c>
      <c r="AI59" s="95">
        <v>0.34084066899999999</v>
      </c>
      <c r="AJ59" s="94">
        <v>0.49362186400000002</v>
      </c>
      <c r="AK59" s="100">
        <v>0.16556602300000001</v>
      </c>
      <c r="AL59" s="100">
        <v>-2.5271103124293801</v>
      </c>
    </row>
    <row r="60" spans="1:38" s="16" customFormat="1" ht="13" customHeight="1" x14ac:dyDescent="0.2">
      <c r="A60" s="87" t="s">
        <v>6247</v>
      </c>
      <c r="B60" s="105">
        <v>3</v>
      </c>
      <c r="C60" s="98" t="s">
        <v>6095</v>
      </c>
      <c r="D60" s="126" t="s">
        <v>6096</v>
      </c>
      <c r="E60" s="126" t="s">
        <v>24</v>
      </c>
      <c r="F60" s="127" t="s">
        <v>6104</v>
      </c>
      <c r="G60" s="128">
        <v>12.914141666666668</v>
      </c>
      <c r="H60" s="129">
        <v>74.855955555555553</v>
      </c>
      <c r="I60" s="98" t="s">
        <v>6021</v>
      </c>
      <c r="J60" s="98">
        <v>1</v>
      </c>
      <c r="K60" s="106">
        <v>10</v>
      </c>
      <c r="L60" s="88">
        <v>2.4229999999999998E-3</v>
      </c>
      <c r="M60" s="89">
        <v>-5.6759999999999996E-3</v>
      </c>
      <c r="N60" s="90">
        <v>-3.333E-3</v>
      </c>
      <c r="O60" s="97" t="s">
        <v>17</v>
      </c>
      <c r="P60" s="90" t="s">
        <v>17</v>
      </c>
      <c r="Q60" s="93">
        <v>1.15690905E-2</v>
      </c>
      <c r="R60" s="94">
        <v>0.378</v>
      </c>
      <c r="S60" s="94">
        <v>0.51900000000000002</v>
      </c>
      <c r="T60" s="94">
        <v>0.10299999999999999</v>
      </c>
      <c r="U60" s="95">
        <v>1.7000000000000001E-2</v>
      </c>
      <c r="V60" s="94">
        <v>2.9000000000000001E-2</v>
      </c>
      <c r="W60" s="94">
        <v>1.7999999999999999E-2</v>
      </c>
      <c r="X60" s="95">
        <v>0.38191891946849899</v>
      </c>
      <c r="Y60" s="94">
        <v>0.509039127966322</v>
      </c>
      <c r="Z60" s="94">
        <v>0.1090888412165</v>
      </c>
      <c r="AA60" s="93">
        <v>1.35941767730489</v>
      </c>
      <c r="AB60" s="95">
        <v>1.7565827400000001E-2</v>
      </c>
      <c r="AC60" s="95">
        <v>0.33900000000000002</v>
      </c>
      <c r="AD60" s="94">
        <v>0.55300000000000005</v>
      </c>
      <c r="AE60" s="100">
        <v>0.109</v>
      </c>
      <c r="AF60" s="95">
        <v>1.7000000000000001E-2</v>
      </c>
      <c r="AG60" s="94">
        <v>2.9000000000000001E-2</v>
      </c>
      <c r="AH60" s="94">
        <v>1.7999999999999999E-2</v>
      </c>
      <c r="AI60" s="95">
        <v>0.34154964700000001</v>
      </c>
      <c r="AJ60" s="94">
        <v>0.54493066199999995</v>
      </c>
      <c r="AK60" s="100">
        <v>0.113614933</v>
      </c>
      <c r="AL60" s="100">
        <v>1.6168184370383001</v>
      </c>
    </row>
    <row r="61" spans="1:38" s="16" customFormat="1" ht="13" customHeight="1" x14ac:dyDescent="0.2">
      <c r="A61" s="87" t="s">
        <v>6176</v>
      </c>
      <c r="B61" s="105">
        <v>8</v>
      </c>
      <c r="C61" s="98" t="s">
        <v>6020</v>
      </c>
      <c r="D61" s="126" t="s">
        <v>6066</v>
      </c>
      <c r="E61" s="126" t="s">
        <v>24</v>
      </c>
      <c r="F61" s="127" t="s">
        <v>6177</v>
      </c>
      <c r="G61" s="128">
        <v>28.354086111111112</v>
      </c>
      <c r="H61" s="129">
        <v>78.26754722222222</v>
      </c>
      <c r="I61" s="98" t="s">
        <v>6021</v>
      </c>
      <c r="J61" s="98" t="s">
        <v>17</v>
      </c>
      <c r="K61" s="106" t="s">
        <v>17</v>
      </c>
      <c r="L61" s="88">
        <v>4.2770000000000004E-3</v>
      </c>
      <c r="M61" s="89">
        <v>-4.0860000000000002E-3</v>
      </c>
      <c r="N61" s="90">
        <v>-9.5250000000000005E-3</v>
      </c>
      <c r="O61" s="97" t="s">
        <v>6178</v>
      </c>
      <c r="P61" s="90" t="s">
        <v>6179</v>
      </c>
      <c r="Q61" s="93">
        <v>2.3474911399999999E-2</v>
      </c>
      <c r="R61" s="94">
        <v>0.38</v>
      </c>
      <c r="S61" s="94">
        <v>0.47299999999999998</v>
      </c>
      <c r="T61" s="94">
        <v>0.14599999999999999</v>
      </c>
      <c r="U61" s="95">
        <v>1.4E-2</v>
      </c>
      <c r="V61" s="94">
        <v>2.4E-2</v>
      </c>
      <c r="W61" s="94">
        <v>1.4E-2</v>
      </c>
      <c r="X61" s="95">
        <v>0.37938889281266602</v>
      </c>
      <c r="Y61" s="94">
        <v>0.47823823523718001</v>
      </c>
      <c r="Z61" s="94">
        <v>0.14235978432257801</v>
      </c>
      <c r="AA61" s="93">
        <v>-1.15244467761548</v>
      </c>
      <c r="AB61" s="95">
        <v>1.49727178E-2</v>
      </c>
      <c r="AC61" s="95">
        <v>0.34399999999999997</v>
      </c>
      <c r="AD61" s="94">
        <v>0.499</v>
      </c>
      <c r="AE61" s="100">
        <v>0.157</v>
      </c>
      <c r="AF61" s="95">
        <v>1.4E-2</v>
      </c>
      <c r="AG61" s="94">
        <v>2.4E-2</v>
      </c>
      <c r="AH61" s="94">
        <v>1.4E-2</v>
      </c>
      <c r="AI61" s="95">
        <v>0.34225642000000001</v>
      </c>
      <c r="AJ61" s="94">
        <v>0.50361176500000004</v>
      </c>
      <c r="AK61" s="100">
        <v>0.15416246</v>
      </c>
      <c r="AL61" s="100">
        <v>-1.7572763240443801</v>
      </c>
    </row>
    <row r="62" spans="1:38" s="16" customFormat="1" ht="13" customHeight="1" x14ac:dyDescent="0.2">
      <c r="A62" s="87" t="s">
        <v>6208</v>
      </c>
      <c r="B62" s="105">
        <v>3</v>
      </c>
      <c r="C62" s="98" t="s">
        <v>6095</v>
      </c>
      <c r="D62" s="126" t="s">
        <v>6110</v>
      </c>
      <c r="E62" s="126" t="s">
        <v>24</v>
      </c>
      <c r="F62" s="127" t="s">
        <v>6209</v>
      </c>
      <c r="G62" s="128">
        <v>18.302544444444447</v>
      </c>
      <c r="H62" s="129">
        <v>83.899788888888892</v>
      </c>
      <c r="I62" s="98" t="s">
        <v>6021</v>
      </c>
      <c r="J62" s="98" t="s">
        <v>17</v>
      </c>
      <c r="K62" s="106" t="s">
        <v>17</v>
      </c>
      <c r="L62" s="88">
        <v>3.4659999999999999E-3</v>
      </c>
      <c r="M62" s="89">
        <v>-5.1529999999999996E-3</v>
      </c>
      <c r="N62" s="90">
        <v>-7.3330000000000001E-3</v>
      </c>
      <c r="O62" s="97" t="s">
        <v>17</v>
      </c>
      <c r="P62" s="90" t="s">
        <v>17</v>
      </c>
      <c r="Q62" s="93">
        <v>2.5300210100000001E-2</v>
      </c>
      <c r="R62" s="94">
        <v>0.38400000000000001</v>
      </c>
      <c r="S62" s="94">
        <v>0.48</v>
      </c>
      <c r="T62" s="94">
        <v>0.13700000000000001</v>
      </c>
      <c r="U62" s="95">
        <v>1.7999999999999999E-2</v>
      </c>
      <c r="V62" s="94">
        <v>0.03</v>
      </c>
      <c r="W62" s="94">
        <v>1.7999999999999999E-2</v>
      </c>
      <c r="X62" s="95">
        <v>0.38200333109527901</v>
      </c>
      <c r="Y62" s="94">
        <v>0.48368120654642499</v>
      </c>
      <c r="Z62" s="94">
        <v>0.13443080758845499</v>
      </c>
      <c r="AA62" s="93">
        <v>-0.54152674340725404</v>
      </c>
      <c r="AB62" s="95">
        <v>4.7953559600000001E-2</v>
      </c>
      <c r="AC62" s="95">
        <v>0.34399999999999997</v>
      </c>
      <c r="AD62" s="94">
        <v>0.51100000000000001</v>
      </c>
      <c r="AE62" s="100">
        <v>0.14499999999999999</v>
      </c>
      <c r="AF62" s="95">
        <v>1.7999999999999999E-2</v>
      </c>
      <c r="AG62" s="94">
        <v>0.03</v>
      </c>
      <c r="AH62" s="94">
        <v>1.7999999999999999E-2</v>
      </c>
      <c r="AI62" s="95">
        <v>0.342884197</v>
      </c>
      <c r="AJ62" s="94">
        <v>0.514215168</v>
      </c>
      <c r="AK62" s="100">
        <v>0.142933853</v>
      </c>
      <c r="AL62" s="100">
        <v>-0.70858091878537999</v>
      </c>
    </row>
    <row r="63" spans="1:38" s="16" customFormat="1" ht="13" customHeight="1" x14ac:dyDescent="0.2">
      <c r="A63" s="87" t="s">
        <v>6258</v>
      </c>
      <c r="B63" s="105">
        <v>14</v>
      </c>
      <c r="C63" s="98" t="s">
        <v>6095</v>
      </c>
      <c r="D63" s="126" t="s">
        <v>6259</v>
      </c>
      <c r="E63" s="126" t="s">
        <v>24</v>
      </c>
      <c r="F63" s="127" t="s">
        <v>6260</v>
      </c>
      <c r="G63" s="128">
        <v>11.806488888888889</v>
      </c>
      <c r="H63" s="129">
        <v>79.745377777777776</v>
      </c>
      <c r="I63" s="98" t="s">
        <v>6021</v>
      </c>
      <c r="J63" s="98" t="s">
        <v>17</v>
      </c>
      <c r="K63" s="106" t="s">
        <v>17</v>
      </c>
      <c r="L63" s="88">
        <v>1.74E-3</v>
      </c>
      <c r="M63" s="89">
        <v>-5.7670000000000004E-3</v>
      </c>
      <c r="N63" s="90">
        <v>-8.3600000000000005E-4</v>
      </c>
      <c r="O63" s="97" t="s">
        <v>6261</v>
      </c>
      <c r="P63" s="90" t="s">
        <v>6262</v>
      </c>
      <c r="Q63" s="93">
        <v>1.3768125500000001E-2</v>
      </c>
      <c r="R63" s="94">
        <v>0.38100000000000001</v>
      </c>
      <c r="S63" s="94">
        <v>0.55500000000000005</v>
      </c>
      <c r="T63" s="94">
        <v>6.4000000000000001E-2</v>
      </c>
      <c r="U63" s="95">
        <v>1.2999999999999999E-2</v>
      </c>
      <c r="V63" s="94">
        <v>2.3E-2</v>
      </c>
      <c r="W63" s="94">
        <v>1.4E-2</v>
      </c>
      <c r="X63" s="95">
        <v>0.38776699351088501</v>
      </c>
      <c r="Y63" s="94">
        <v>0.53580218181436301</v>
      </c>
      <c r="Z63" s="94">
        <v>7.6472494479701295E-2</v>
      </c>
      <c r="AA63" s="93">
        <v>3.7207844794816598</v>
      </c>
      <c r="AB63" s="95">
        <v>5.1449998100000002E-3</v>
      </c>
      <c r="AC63" s="95">
        <v>0.34100000000000003</v>
      </c>
      <c r="AD63" s="94">
        <v>0.59299999999999997</v>
      </c>
      <c r="AE63" s="100">
        <v>6.6000000000000003E-2</v>
      </c>
      <c r="AF63" s="95">
        <v>1.2999999999999999E-2</v>
      </c>
      <c r="AG63" s="94">
        <v>2.3E-2</v>
      </c>
      <c r="AH63" s="94">
        <v>1.4E-2</v>
      </c>
      <c r="AI63" s="95">
        <v>0.34625113600000001</v>
      </c>
      <c r="AJ63" s="94">
        <v>0.57952216999999995</v>
      </c>
      <c r="AK63" s="100">
        <v>7.4275970999999996E-2</v>
      </c>
      <c r="AL63" s="100">
        <v>4.9679931901057302</v>
      </c>
    </row>
    <row r="64" spans="1:38" s="16" customFormat="1" ht="13" customHeight="1" x14ac:dyDescent="0.2">
      <c r="A64" s="87" t="s">
        <v>6185</v>
      </c>
      <c r="B64" s="105">
        <v>7</v>
      </c>
      <c r="C64" s="98" t="s">
        <v>6095</v>
      </c>
      <c r="D64" s="126" t="s">
        <v>6186</v>
      </c>
      <c r="E64" s="126" t="s">
        <v>24</v>
      </c>
      <c r="F64" s="127" t="s">
        <v>6187</v>
      </c>
      <c r="G64" s="128">
        <v>9.9329833333333326</v>
      </c>
      <c r="H64" s="129">
        <v>77.470197222222225</v>
      </c>
      <c r="I64" s="98" t="s">
        <v>6021</v>
      </c>
      <c r="J64" s="98" t="s">
        <v>17</v>
      </c>
      <c r="K64" s="106" t="s">
        <v>17</v>
      </c>
      <c r="L64" s="88">
        <v>2.1489999999999999E-3</v>
      </c>
      <c r="M64" s="89">
        <v>-6.0980000000000001E-3</v>
      </c>
      <c r="N64" s="90">
        <v>-8.9429999999999996E-3</v>
      </c>
      <c r="O64" s="97" t="s">
        <v>6188</v>
      </c>
      <c r="P64" s="90" t="s">
        <v>6189</v>
      </c>
      <c r="Q64" s="93">
        <v>3.2270655099999997E-2</v>
      </c>
      <c r="R64" s="94">
        <v>0.38200000000000001</v>
      </c>
      <c r="S64" s="94">
        <v>0.52200000000000002</v>
      </c>
      <c r="T64" s="94">
        <v>9.6000000000000002E-2</v>
      </c>
      <c r="U64" s="95">
        <v>1.7000000000000001E-2</v>
      </c>
      <c r="V64" s="94">
        <v>2.8000000000000001E-2</v>
      </c>
      <c r="W64" s="94">
        <v>1.7999999999999999E-2</v>
      </c>
      <c r="X64" s="95">
        <v>0.38588563279627702</v>
      </c>
      <c r="Y64" s="94">
        <v>0.51088138442820696</v>
      </c>
      <c r="Z64" s="94">
        <v>0.103278615945699</v>
      </c>
      <c r="AA64" s="93">
        <v>1.58227544632522</v>
      </c>
      <c r="AB64" s="95">
        <v>1.8429483900000002E-2</v>
      </c>
      <c r="AC64" s="95">
        <v>0.34399999999999997</v>
      </c>
      <c r="AD64" s="94">
        <v>0.55300000000000005</v>
      </c>
      <c r="AE64" s="100">
        <v>0.10299999999999999</v>
      </c>
      <c r="AF64" s="95">
        <v>1.7000000000000001E-2</v>
      </c>
      <c r="AG64" s="94">
        <v>2.8000000000000001E-2</v>
      </c>
      <c r="AH64" s="94">
        <v>1.7999999999999999E-2</v>
      </c>
      <c r="AI64" s="95">
        <v>0.34754504000000003</v>
      </c>
      <c r="AJ64" s="94">
        <v>0.54444063700000001</v>
      </c>
      <c r="AK64" s="100">
        <v>0.108053704</v>
      </c>
      <c r="AL64" s="100">
        <v>1.7937941913452</v>
      </c>
    </row>
    <row r="65" spans="1:38" s="16" customFormat="1" ht="13" customHeight="1" x14ac:dyDescent="0.2">
      <c r="A65" s="87" t="s">
        <v>6172</v>
      </c>
      <c r="B65" s="105">
        <v>8</v>
      </c>
      <c r="C65" s="98" t="s">
        <v>6020</v>
      </c>
      <c r="D65" s="126" t="s">
        <v>6066</v>
      </c>
      <c r="E65" s="126" t="s">
        <v>24</v>
      </c>
      <c r="F65" s="127" t="s">
        <v>6173</v>
      </c>
      <c r="G65" s="128">
        <v>26.796930555555559</v>
      </c>
      <c r="H65" s="129">
        <v>80.271158333333332</v>
      </c>
      <c r="I65" s="98" t="s">
        <v>6021</v>
      </c>
      <c r="J65" s="98" t="s">
        <v>17</v>
      </c>
      <c r="K65" s="106" t="s">
        <v>17</v>
      </c>
      <c r="L65" s="88">
        <v>3.5860000000000002E-3</v>
      </c>
      <c r="M65" s="89">
        <v>-5.6129999999999999E-3</v>
      </c>
      <c r="N65" s="90">
        <v>-9.9629999999999996E-3</v>
      </c>
      <c r="O65" s="97" t="s">
        <v>6174</v>
      </c>
      <c r="P65" s="90" t="s">
        <v>6175</v>
      </c>
      <c r="Q65" s="93">
        <v>7.4630913800000004E-2</v>
      </c>
      <c r="R65" s="94">
        <v>0.38700000000000001</v>
      </c>
      <c r="S65" s="94">
        <v>0.45600000000000002</v>
      </c>
      <c r="T65" s="94">
        <v>0.157</v>
      </c>
      <c r="U65" s="95">
        <v>1.4E-2</v>
      </c>
      <c r="V65" s="94">
        <v>2.3E-2</v>
      </c>
      <c r="W65" s="94">
        <v>1.4999999999999999E-2</v>
      </c>
      <c r="X65" s="95">
        <v>0.38411093691755199</v>
      </c>
      <c r="Y65" s="94">
        <v>0.46528499042181598</v>
      </c>
      <c r="Z65" s="94">
        <v>0.150656539381261</v>
      </c>
      <c r="AA65" s="93">
        <v>-1.9263967630040999</v>
      </c>
      <c r="AB65" s="95">
        <v>0.16765216299999999</v>
      </c>
      <c r="AC65" s="95">
        <v>0.35199999999999998</v>
      </c>
      <c r="AD65" s="94">
        <v>0.48499999999999999</v>
      </c>
      <c r="AE65" s="100">
        <v>0.16300000000000001</v>
      </c>
      <c r="AF65" s="95">
        <v>1.4E-2</v>
      </c>
      <c r="AG65" s="94">
        <v>2.3E-2</v>
      </c>
      <c r="AH65" s="94">
        <v>1.4999999999999999E-2</v>
      </c>
      <c r="AI65" s="95">
        <v>0.34949043000000002</v>
      </c>
      <c r="AJ65" s="94">
        <v>0.49172347199999999</v>
      </c>
      <c r="AK65" s="100">
        <v>0.15881060799999999</v>
      </c>
      <c r="AL65" s="100">
        <v>-2.3663921787375601</v>
      </c>
    </row>
    <row r="66" spans="1:38" s="16" customFormat="1" ht="13" customHeight="1" x14ac:dyDescent="0.2">
      <c r="A66" s="87" t="s">
        <v>6194</v>
      </c>
      <c r="B66" s="105">
        <v>5</v>
      </c>
      <c r="C66" s="98" t="s">
        <v>6020</v>
      </c>
      <c r="D66" s="126" t="s">
        <v>6151</v>
      </c>
      <c r="E66" s="126" t="s">
        <v>24</v>
      </c>
      <c r="F66" s="127" t="s">
        <v>6195</v>
      </c>
      <c r="G66" s="128">
        <v>23.179300000000001</v>
      </c>
      <c r="H66" s="129">
        <v>75.784908333333334</v>
      </c>
      <c r="I66" s="98" t="s">
        <v>6021</v>
      </c>
      <c r="J66" s="98" t="s">
        <v>17</v>
      </c>
      <c r="K66" s="106" t="s">
        <v>17</v>
      </c>
      <c r="L66" s="88">
        <v>3.094E-3</v>
      </c>
      <c r="M66" s="89">
        <v>-5.3619999999999996E-3</v>
      </c>
      <c r="N66" s="90">
        <v>-8.0999999999999996E-3</v>
      </c>
      <c r="O66" s="97" t="s">
        <v>6196</v>
      </c>
      <c r="P66" s="90" t="s">
        <v>6197</v>
      </c>
      <c r="Q66" s="93">
        <v>9.4421023799999993E-3</v>
      </c>
      <c r="R66" s="94">
        <v>0.38800000000000001</v>
      </c>
      <c r="S66" s="94">
        <v>0.47099999999999997</v>
      </c>
      <c r="T66" s="94">
        <v>0.14000000000000001</v>
      </c>
      <c r="U66" s="95">
        <v>1.4999999999999999E-2</v>
      </c>
      <c r="V66" s="94">
        <v>2.5999999999999999E-2</v>
      </c>
      <c r="W66" s="94">
        <v>1.6E-2</v>
      </c>
      <c r="X66" s="95">
        <v>0.38731838533728002</v>
      </c>
      <c r="Y66" s="94">
        <v>0.476111718236017</v>
      </c>
      <c r="Z66" s="94">
        <v>0.13655509818585199</v>
      </c>
      <c r="AA66" s="93">
        <v>-1.0014553443567</v>
      </c>
      <c r="AB66" s="95">
        <v>4.6920523799999997E-3</v>
      </c>
      <c r="AC66" s="95">
        <v>0.35299999999999998</v>
      </c>
      <c r="AD66" s="94">
        <v>0.5</v>
      </c>
      <c r="AE66" s="100">
        <v>0.14699999999999999</v>
      </c>
      <c r="AF66" s="95">
        <v>1.4999999999999999E-2</v>
      </c>
      <c r="AG66" s="94">
        <v>2.5999999999999999E-2</v>
      </c>
      <c r="AH66" s="94">
        <v>1.6E-2</v>
      </c>
      <c r="AI66" s="95">
        <v>0.35141853000000001</v>
      </c>
      <c r="AJ66" s="94">
        <v>0.50418594100000003</v>
      </c>
      <c r="AK66" s="100">
        <v>0.144422579</v>
      </c>
      <c r="AL66" s="100">
        <v>-1.22989929624492</v>
      </c>
    </row>
    <row r="67" spans="1:38" s="16" customFormat="1" ht="13" customHeight="1" x14ac:dyDescent="0.2">
      <c r="A67" s="87" t="s">
        <v>6219</v>
      </c>
      <c r="B67" s="105">
        <v>5</v>
      </c>
      <c r="C67" s="98" t="s">
        <v>6095</v>
      </c>
      <c r="D67" s="126" t="s">
        <v>6110</v>
      </c>
      <c r="E67" s="126" t="s">
        <v>24</v>
      </c>
      <c r="F67" s="127" t="s">
        <v>6220</v>
      </c>
      <c r="G67" s="128">
        <v>16.758324999999999</v>
      </c>
      <c r="H67" s="129">
        <v>77.986030555555558</v>
      </c>
      <c r="I67" s="98" t="s">
        <v>6021</v>
      </c>
      <c r="J67" s="98">
        <v>4</v>
      </c>
      <c r="K67" s="106">
        <v>18</v>
      </c>
      <c r="L67" s="88">
        <v>2.2620000000000001E-3</v>
      </c>
      <c r="M67" s="89">
        <v>-5.8190000000000004E-3</v>
      </c>
      <c r="N67" s="90">
        <v>-5.6800000000000002E-3</v>
      </c>
      <c r="O67" s="97" t="s">
        <v>6221</v>
      </c>
      <c r="P67" s="90" t="s">
        <v>6222</v>
      </c>
      <c r="Q67" s="93">
        <v>5.5360006699999999E-2</v>
      </c>
      <c r="R67" s="94">
        <v>0.39200000000000002</v>
      </c>
      <c r="S67" s="94">
        <v>0.48799999999999999</v>
      </c>
      <c r="T67" s="94">
        <v>0.12</v>
      </c>
      <c r="U67" s="95">
        <v>1.4E-2</v>
      </c>
      <c r="V67" s="94">
        <v>2.4E-2</v>
      </c>
      <c r="W67" s="94">
        <v>1.4999999999999999E-2</v>
      </c>
      <c r="X67" s="95">
        <v>0.392300986005021</v>
      </c>
      <c r="Y67" s="94">
        <v>0.48740539289728602</v>
      </c>
      <c r="Z67" s="94">
        <v>0.12034093119422901</v>
      </c>
      <c r="AA67" s="93">
        <v>9.0042203893257497E-2</v>
      </c>
      <c r="AB67" s="95">
        <v>6.05464904E-2</v>
      </c>
      <c r="AC67" s="95">
        <v>0.35199999999999998</v>
      </c>
      <c r="AD67" s="94">
        <v>0.52300000000000002</v>
      </c>
      <c r="AE67" s="100">
        <v>0.125</v>
      </c>
      <c r="AF67" s="95">
        <v>1.4E-2</v>
      </c>
      <c r="AG67" s="94">
        <v>2.4E-2</v>
      </c>
      <c r="AH67" s="94">
        <v>1.4999999999999999E-2</v>
      </c>
      <c r="AI67" s="95">
        <v>0.35247742399999998</v>
      </c>
      <c r="AJ67" s="94">
        <v>0.52198817799999997</v>
      </c>
      <c r="AK67" s="100">
        <v>0.12556576699999999</v>
      </c>
      <c r="AL67" s="100">
        <v>0.28049011516762501</v>
      </c>
    </row>
    <row r="68" spans="1:38" s="16" customFormat="1" ht="13" customHeight="1" x14ac:dyDescent="0.2">
      <c r="A68" s="87" t="s">
        <v>6302</v>
      </c>
      <c r="B68" s="105">
        <v>31</v>
      </c>
      <c r="C68" s="98" t="s">
        <v>6095</v>
      </c>
      <c r="D68" s="126" t="s">
        <v>6186</v>
      </c>
      <c r="E68" s="126" t="s">
        <v>24</v>
      </c>
      <c r="F68" s="127" t="s">
        <v>6303</v>
      </c>
      <c r="G68" s="128">
        <v>10.46</v>
      </c>
      <c r="H68" s="129">
        <v>79.38</v>
      </c>
      <c r="I68" s="98" t="s">
        <v>6021</v>
      </c>
      <c r="J68" s="98">
        <v>0</v>
      </c>
      <c r="K68" s="106">
        <v>9</v>
      </c>
      <c r="L68" s="88">
        <v>7.0799999999999997E-4</v>
      </c>
      <c r="M68" s="89">
        <v>-5.7409999999999996E-3</v>
      </c>
      <c r="N68" s="90">
        <v>3.4940000000000001E-3</v>
      </c>
      <c r="O68" s="97" t="s">
        <v>6304</v>
      </c>
      <c r="P68" s="90" t="s">
        <v>6305</v>
      </c>
      <c r="Q68" s="93">
        <v>1.2751459499999999E-2</v>
      </c>
      <c r="R68" s="94">
        <v>0.39500000000000002</v>
      </c>
      <c r="S68" s="94">
        <v>0.55700000000000005</v>
      </c>
      <c r="T68" s="94">
        <v>4.8000000000000001E-2</v>
      </c>
      <c r="U68" s="95">
        <v>1.2E-2</v>
      </c>
      <c r="V68" s="94">
        <v>2.1000000000000001E-2</v>
      </c>
      <c r="W68" s="94">
        <v>1.2999999999999999E-2</v>
      </c>
      <c r="X68" s="95">
        <v>0.40224538666761001</v>
      </c>
      <c r="Y68" s="94">
        <v>0.536686003700234</v>
      </c>
      <c r="Z68" s="94">
        <v>6.1106518029539002E-2</v>
      </c>
      <c r="AA68" s="93">
        <v>4.4817225399784002</v>
      </c>
      <c r="AB68" s="95">
        <v>6.5416248600000003E-3</v>
      </c>
      <c r="AC68" s="95">
        <v>0.35199999999999998</v>
      </c>
      <c r="AD68" s="94">
        <v>0.59899999999999998</v>
      </c>
      <c r="AE68" s="100">
        <v>0.05</v>
      </c>
      <c r="AF68" s="95">
        <v>1.2E-2</v>
      </c>
      <c r="AG68" s="94">
        <v>2.1000000000000001E-2</v>
      </c>
      <c r="AH68" s="94">
        <v>1.2999999999999999E-2</v>
      </c>
      <c r="AI68" s="95">
        <v>0.35657856999999998</v>
      </c>
      <c r="AJ68" s="94">
        <v>0.58564203199999998</v>
      </c>
      <c r="AK68" s="100">
        <v>5.7879347999999997E-2</v>
      </c>
      <c r="AL68" s="100">
        <v>6.6364335053954902</v>
      </c>
    </row>
    <row r="69" spans="1:38" s="16" customFormat="1" ht="13" customHeight="1" x14ac:dyDescent="0.2">
      <c r="A69" s="87" t="s">
        <v>6190</v>
      </c>
      <c r="B69" s="105">
        <v>8</v>
      </c>
      <c r="C69" s="98" t="s">
        <v>6095</v>
      </c>
      <c r="D69" s="126" t="s">
        <v>6186</v>
      </c>
      <c r="E69" s="126" t="s">
        <v>24</v>
      </c>
      <c r="F69" s="127" t="s">
        <v>6191</v>
      </c>
      <c r="G69" s="128">
        <v>12.834172222222223</v>
      </c>
      <c r="H69" s="129">
        <v>79.703638888888889</v>
      </c>
      <c r="I69" s="98" t="s">
        <v>6021</v>
      </c>
      <c r="J69" s="98" t="s">
        <v>17</v>
      </c>
      <c r="K69" s="106" t="s">
        <v>17</v>
      </c>
      <c r="L69" s="88">
        <v>2.183E-3</v>
      </c>
      <c r="M69" s="89">
        <v>-5.5979999999999997E-3</v>
      </c>
      <c r="N69" s="90">
        <v>-8.1499999999999993E-3</v>
      </c>
      <c r="O69" s="97" t="s">
        <v>6192</v>
      </c>
      <c r="P69" s="90" t="s">
        <v>6193</v>
      </c>
      <c r="Q69" s="93">
        <v>4.18905844E-2</v>
      </c>
      <c r="R69" s="94">
        <v>0.39300000000000002</v>
      </c>
      <c r="S69" s="94">
        <v>0.502</v>
      </c>
      <c r="T69" s="94">
        <v>0.105</v>
      </c>
      <c r="U69" s="95">
        <v>1.6E-2</v>
      </c>
      <c r="V69" s="94">
        <v>2.7E-2</v>
      </c>
      <c r="W69" s="94">
        <v>1.7000000000000001E-2</v>
      </c>
      <c r="X69" s="95">
        <v>0.39496637772228599</v>
      </c>
      <c r="Y69" s="94">
        <v>0.49641914694118</v>
      </c>
      <c r="Z69" s="94">
        <v>0.10865985255198</v>
      </c>
      <c r="AA69" s="93">
        <v>0.84739438146020096</v>
      </c>
      <c r="AB69" s="95">
        <v>7.7605581800000004E-2</v>
      </c>
      <c r="AC69" s="95">
        <v>0.35599999999999998</v>
      </c>
      <c r="AD69" s="94">
        <v>0.53300000000000003</v>
      </c>
      <c r="AE69" s="100">
        <v>0.111</v>
      </c>
      <c r="AF69" s="95">
        <v>1.6E-2</v>
      </c>
      <c r="AG69" s="94">
        <v>2.7E-2</v>
      </c>
      <c r="AH69" s="94">
        <v>1.7000000000000001E-2</v>
      </c>
      <c r="AI69" s="95">
        <v>0.357705</v>
      </c>
      <c r="AJ69" s="94">
        <v>0.52882129200000005</v>
      </c>
      <c r="AK69" s="100">
        <v>0.113504762</v>
      </c>
      <c r="AL69" s="100">
        <v>0.99891102775623597</v>
      </c>
    </row>
    <row r="70" spans="1:38" s="16" customFormat="1" ht="13" customHeight="1" x14ac:dyDescent="0.2">
      <c r="A70" s="87" t="s">
        <v>6263</v>
      </c>
      <c r="B70" s="105">
        <v>43</v>
      </c>
      <c r="C70" s="98" t="s">
        <v>6095</v>
      </c>
      <c r="D70" s="126" t="s">
        <v>6110</v>
      </c>
      <c r="E70" s="126" t="s">
        <v>24</v>
      </c>
      <c r="F70" s="127" t="s">
        <v>6264</v>
      </c>
      <c r="G70" s="128">
        <v>16.485155555555558</v>
      </c>
      <c r="H70" s="129">
        <v>79.890055555555563</v>
      </c>
      <c r="I70" s="98" t="s">
        <v>6021</v>
      </c>
      <c r="J70" s="98" t="s">
        <v>17</v>
      </c>
      <c r="K70" s="106" t="s">
        <v>17</v>
      </c>
      <c r="L70" s="88">
        <v>9.4600000000000001E-4</v>
      </c>
      <c r="M70" s="89">
        <v>-5.6990000000000001E-3</v>
      </c>
      <c r="N70" s="90">
        <v>-6.6299999999999996E-4</v>
      </c>
      <c r="O70" s="97" t="s">
        <v>6265</v>
      </c>
      <c r="P70" s="90" t="s">
        <v>6266</v>
      </c>
      <c r="Q70" s="93">
        <v>2.6557896599999999E-2</v>
      </c>
      <c r="R70" s="94">
        <v>0.39300000000000002</v>
      </c>
      <c r="S70" s="94">
        <v>0.56499999999999995</v>
      </c>
      <c r="T70" s="94">
        <v>4.2000000000000003E-2</v>
      </c>
      <c r="U70" s="95">
        <v>1.2999999999999999E-2</v>
      </c>
      <c r="V70" s="94">
        <v>2.1999999999999999E-2</v>
      </c>
      <c r="W70" s="94">
        <v>1.2999999999999999E-2</v>
      </c>
      <c r="X70" s="95">
        <v>0.40113287013510202</v>
      </c>
      <c r="Y70" s="94">
        <v>0.54208541916173902</v>
      </c>
      <c r="Z70" s="94">
        <v>5.6819142200821897E-2</v>
      </c>
      <c r="AA70" s="93">
        <v>4.8569144480273501</v>
      </c>
      <c r="AB70" s="95">
        <v>7.8637836099999994E-3</v>
      </c>
      <c r="AC70" s="95">
        <v>0.35099999999999998</v>
      </c>
      <c r="AD70" s="94">
        <v>0.60899999999999999</v>
      </c>
      <c r="AE70" s="100">
        <v>0.04</v>
      </c>
      <c r="AF70" s="95">
        <v>1.2999999999999999E-2</v>
      </c>
      <c r="AG70" s="94">
        <v>2.1999999999999999E-2</v>
      </c>
      <c r="AH70" s="94">
        <v>1.2999999999999999E-2</v>
      </c>
      <c r="AI70" s="95">
        <v>0.357900987</v>
      </c>
      <c r="AJ70" s="94">
        <v>0.59234934900000003</v>
      </c>
      <c r="AK70" s="100">
        <v>4.9797600999999997E-2</v>
      </c>
      <c r="AL70" s="100">
        <v>7.1033183361402896</v>
      </c>
    </row>
    <row r="71" spans="1:38" s="16" customFormat="1" ht="13" customHeight="1" x14ac:dyDescent="0.2">
      <c r="A71" s="87" t="s">
        <v>6267</v>
      </c>
      <c r="B71" s="105">
        <v>8</v>
      </c>
      <c r="C71" s="98" t="s">
        <v>6095</v>
      </c>
      <c r="D71" s="126" t="s">
        <v>6110</v>
      </c>
      <c r="E71" s="126" t="s">
        <v>24</v>
      </c>
      <c r="F71" s="127" t="s">
        <v>6268</v>
      </c>
      <c r="G71" s="128">
        <v>16.170000000000002</v>
      </c>
      <c r="H71" s="129">
        <v>81.13</v>
      </c>
      <c r="I71" s="98" t="s">
        <v>6021</v>
      </c>
      <c r="J71" s="98">
        <v>2</v>
      </c>
      <c r="K71" s="106">
        <v>18</v>
      </c>
      <c r="L71" s="88">
        <v>1.4779999999999999E-3</v>
      </c>
      <c r="M71" s="89">
        <v>-5.2750000000000002E-3</v>
      </c>
      <c r="N71" s="90">
        <v>-6.1200000000000002E-4</v>
      </c>
      <c r="O71" s="97" t="s">
        <v>6269</v>
      </c>
      <c r="P71" s="90" t="s">
        <v>6270</v>
      </c>
      <c r="Q71" s="93">
        <v>7.5227365999999999E-4</v>
      </c>
      <c r="R71" s="94">
        <v>0.39500000000000002</v>
      </c>
      <c r="S71" s="94">
        <v>0.54</v>
      </c>
      <c r="T71" s="94">
        <v>6.5000000000000002E-2</v>
      </c>
      <c r="U71" s="95">
        <v>1.4E-2</v>
      </c>
      <c r="V71" s="94">
        <v>2.4E-2</v>
      </c>
      <c r="W71" s="94">
        <v>1.4999999999999999E-2</v>
      </c>
      <c r="X71" s="95">
        <v>0.40108152480574599</v>
      </c>
      <c r="Y71" s="94">
        <v>0.52296466892523497</v>
      </c>
      <c r="Z71" s="94">
        <v>7.5993930388995504E-2</v>
      </c>
      <c r="AA71" s="93">
        <v>3.2333877253458199</v>
      </c>
      <c r="AB71" s="95">
        <v>3.2844030800000001E-4</v>
      </c>
      <c r="AC71" s="95">
        <v>0.35299999999999998</v>
      </c>
      <c r="AD71" s="94">
        <v>0.58299999999999996</v>
      </c>
      <c r="AE71" s="100">
        <v>6.4000000000000001E-2</v>
      </c>
      <c r="AF71" s="95">
        <v>1.4E-2</v>
      </c>
      <c r="AG71" s="94">
        <v>2.4E-2</v>
      </c>
      <c r="AH71" s="94">
        <v>1.4999999999999999E-2</v>
      </c>
      <c r="AI71" s="95">
        <v>0.35841182500000002</v>
      </c>
      <c r="AJ71" s="94">
        <v>0.56955853300000003</v>
      </c>
      <c r="AK71" s="100">
        <v>7.2071283999999999E-2</v>
      </c>
      <c r="AL71" s="100">
        <v>4.6580213884103996</v>
      </c>
    </row>
    <row r="72" spans="1:38" s="16" customFormat="1" ht="13" customHeight="1" x14ac:dyDescent="0.2">
      <c r="A72" s="87" t="s">
        <v>6169</v>
      </c>
      <c r="B72" s="105">
        <v>5</v>
      </c>
      <c r="C72" s="98" t="s">
        <v>6020</v>
      </c>
      <c r="D72" s="126" t="s">
        <v>6066</v>
      </c>
      <c r="E72" s="126" t="s">
        <v>24</v>
      </c>
      <c r="F72" s="127" t="s">
        <v>6067</v>
      </c>
      <c r="G72" s="128">
        <v>25.17936388888889</v>
      </c>
      <c r="H72" s="129">
        <v>83.293408333333332</v>
      </c>
      <c r="I72" s="98" t="s">
        <v>6021</v>
      </c>
      <c r="J72" s="124" t="s">
        <v>17</v>
      </c>
      <c r="K72" s="125" t="s">
        <v>17</v>
      </c>
      <c r="L72" s="88">
        <v>4.0860000000000002E-3</v>
      </c>
      <c r="M72" s="89">
        <v>-4.627E-3</v>
      </c>
      <c r="N72" s="90">
        <v>-1.086E-2</v>
      </c>
      <c r="O72" s="97" t="s">
        <v>6170</v>
      </c>
      <c r="P72" s="90" t="s">
        <v>6171</v>
      </c>
      <c r="Q72" s="93">
        <v>2.82415913E-3</v>
      </c>
      <c r="R72" s="94">
        <v>0.39600000000000002</v>
      </c>
      <c r="S72" s="94">
        <v>0.45200000000000001</v>
      </c>
      <c r="T72" s="94">
        <v>0.152</v>
      </c>
      <c r="U72" s="95">
        <v>1.4999999999999999E-2</v>
      </c>
      <c r="V72" s="94">
        <v>2.5000000000000001E-2</v>
      </c>
      <c r="W72" s="94">
        <v>1.4999999999999999E-2</v>
      </c>
      <c r="X72" s="95">
        <v>0.39268047223117902</v>
      </c>
      <c r="Y72" s="94">
        <v>0.46206962054923001</v>
      </c>
      <c r="Z72" s="94">
        <v>0.145300672665857</v>
      </c>
      <c r="AA72" s="93">
        <v>-1.84831263415424</v>
      </c>
      <c r="AB72" s="95">
        <v>1.8033598499999999E-3</v>
      </c>
      <c r="AC72" s="95">
        <v>0.36199999999999999</v>
      </c>
      <c r="AD72" s="94">
        <v>0.47699999999999998</v>
      </c>
      <c r="AE72" s="100">
        <v>0.161</v>
      </c>
      <c r="AF72" s="95">
        <v>1.4999999999999999E-2</v>
      </c>
      <c r="AG72" s="94">
        <v>2.5000000000000001E-2</v>
      </c>
      <c r="AH72" s="94">
        <v>1.4999999999999999E-2</v>
      </c>
      <c r="AI72" s="95">
        <v>0.35866005899999998</v>
      </c>
      <c r="AJ72" s="94">
        <v>0.48532492399999999</v>
      </c>
      <c r="AK72" s="100">
        <v>0.156034066</v>
      </c>
      <c r="AL72" s="100">
        <v>-2.5019430677830701</v>
      </c>
    </row>
    <row r="73" spans="1:38" s="16" customFormat="1" ht="13" customHeight="1" x14ac:dyDescent="0.2">
      <c r="A73" s="87" t="s">
        <v>6212</v>
      </c>
      <c r="B73" s="105">
        <v>8</v>
      </c>
      <c r="C73" s="98" t="s">
        <v>6020</v>
      </c>
      <c r="D73" s="126" t="s">
        <v>6066</v>
      </c>
      <c r="E73" s="126" t="s">
        <v>24</v>
      </c>
      <c r="F73" s="127" t="s">
        <v>6085</v>
      </c>
      <c r="G73" s="128">
        <v>25.748999999999999</v>
      </c>
      <c r="H73" s="129">
        <v>82.698700000000002</v>
      </c>
      <c r="I73" s="98" t="s">
        <v>6021</v>
      </c>
      <c r="J73" s="124" t="s">
        <v>17</v>
      </c>
      <c r="K73" s="125" t="s">
        <v>17</v>
      </c>
      <c r="L73" s="88">
        <v>3.0200000000000001E-3</v>
      </c>
      <c r="M73" s="89">
        <v>-4.7580000000000001E-3</v>
      </c>
      <c r="N73" s="90">
        <v>-7.1000000000000004E-3</v>
      </c>
      <c r="O73" s="97" t="s">
        <v>6213</v>
      </c>
      <c r="P73" s="90" t="s">
        <v>6214</v>
      </c>
      <c r="Q73" s="93">
        <v>5.8046082700000004E-4</v>
      </c>
      <c r="R73" s="94">
        <v>0.39700000000000002</v>
      </c>
      <c r="S73" s="94">
        <v>0.46800000000000003</v>
      </c>
      <c r="T73" s="94">
        <v>0.13500000000000001</v>
      </c>
      <c r="U73" s="95">
        <v>1.2999999999999999E-2</v>
      </c>
      <c r="V73" s="94">
        <v>2.3E-2</v>
      </c>
      <c r="W73" s="94">
        <v>1.4E-2</v>
      </c>
      <c r="X73" s="95">
        <v>0.39548509712294799</v>
      </c>
      <c r="Y73" s="94">
        <v>0.47258444019717</v>
      </c>
      <c r="Z73" s="94">
        <v>0.131979050127805</v>
      </c>
      <c r="AA73" s="93">
        <v>-0.96898422474595403</v>
      </c>
      <c r="AB73" s="95">
        <v>4.4403989199999998E-4</v>
      </c>
      <c r="AC73" s="95">
        <v>0.36099999999999999</v>
      </c>
      <c r="AD73" s="94">
        <v>0.49399999999999999</v>
      </c>
      <c r="AE73" s="100">
        <v>0.14499999999999999</v>
      </c>
      <c r="AF73" s="95">
        <v>1.2999999999999999E-2</v>
      </c>
      <c r="AG73" s="94">
        <v>2.3E-2</v>
      </c>
      <c r="AH73" s="94">
        <v>1.4E-2</v>
      </c>
      <c r="AI73" s="95">
        <v>0.35947413</v>
      </c>
      <c r="AJ73" s="94">
        <v>0.49793464900000001</v>
      </c>
      <c r="AK73" s="100">
        <v>0.142613305</v>
      </c>
      <c r="AL73" s="100">
        <v>-1.5123144626090601</v>
      </c>
    </row>
    <row r="74" spans="1:38" s="16" customFormat="1" ht="13" customHeight="1" x14ac:dyDescent="0.2">
      <c r="A74" s="87" t="s">
        <v>6248</v>
      </c>
      <c r="B74" s="105">
        <v>5</v>
      </c>
      <c r="C74" s="98" t="s">
        <v>6095</v>
      </c>
      <c r="D74" s="126" t="s">
        <v>6096</v>
      </c>
      <c r="E74" s="126" t="s">
        <v>24</v>
      </c>
      <c r="F74" s="127" t="s">
        <v>6216</v>
      </c>
      <c r="G74" s="128">
        <v>14.793888888888889</v>
      </c>
      <c r="H74" s="129">
        <v>75.403888888888901</v>
      </c>
      <c r="I74" s="98" t="s">
        <v>6021</v>
      </c>
      <c r="J74" s="98" t="s">
        <v>17</v>
      </c>
      <c r="K74" s="106" t="s">
        <v>17</v>
      </c>
      <c r="L74" s="88">
        <v>2.2620000000000001E-3</v>
      </c>
      <c r="M74" s="89">
        <v>-5.64E-3</v>
      </c>
      <c r="N74" s="90">
        <v>-2.9199999999999999E-3</v>
      </c>
      <c r="O74" s="97" t="s">
        <v>6249</v>
      </c>
      <c r="P74" s="90" t="s">
        <v>6250</v>
      </c>
      <c r="Q74" s="93">
        <v>1.3426489699999999E-3</v>
      </c>
      <c r="R74" s="94">
        <v>0.39400000000000002</v>
      </c>
      <c r="S74" s="94">
        <v>0.498</v>
      </c>
      <c r="T74" s="94">
        <v>0.109</v>
      </c>
      <c r="U74" s="95">
        <v>1.4999999999999999E-2</v>
      </c>
      <c r="V74" s="94">
        <v>2.5999999999999999E-2</v>
      </c>
      <c r="W74" s="94">
        <v>1.7000000000000001E-2</v>
      </c>
      <c r="X74" s="95">
        <v>0.39460503945519299</v>
      </c>
      <c r="Y74" s="94">
        <v>0.49379050485730902</v>
      </c>
      <c r="Z74" s="94">
        <v>0.111715218515458</v>
      </c>
      <c r="AA74" s="93">
        <v>0.68455454739579202</v>
      </c>
      <c r="AB74" s="95">
        <v>3.9399179500000002E-4</v>
      </c>
      <c r="AC74" s="95">
        <v>0.35899999999999999</v>
      </c>
      <c r="AD74" s="94">
        <v>0.52400000000000002</v>
      </c>
      <c r="AE74" s="100">
        <v>0.11600000000000001</v>
      </c>
      <c r="AF74" s="95">
        <v>1.4999999999999999E-2</v>
      </c>
      <c r="AG74" s="94">
        <v>2.5999999999999999E-2</v>
      </c>
      <c r="AH74" s="94">
        <v>1.7000000000000001E-2</v>
      </c>
      <c r="AI74" s="95">
        <v>0.36088545599999999</v>
      </c>
      <c r="AJ74" s="94">
        <v>0.52166057799999999</v>
      </c>
      <c r="AK74" s="100">
        <v>0.117428557</v>
      </c>
      <c r="AL74" s="100">
        <v>0.55984239314593698</v>
      </c>
    </row>
    <row r="75" spans="1:38" s="16" customFormat="1" ht="13" customHeight="1" x14ac:dyDescent="0.2">
      <c r="A75" s="87" t="s">
        <v>6254</v>
      </c>
      <c r="B75" s="105">
        <v>3</v>
      </c>
      <c r="C75" s="98" t="s">
        <v>6095</v>
      </c>
      <c r="D75" s="126" t="s">
        <v>6110</v>
      </c>
      <c r="E75" s="126" t="s">
        <v>24</v>
      </c>
      <c r="F75" s="127" t="s">
        <v>6255</v>
      </c>
      <c r="G75" s="128">
        <v>17.968900999999999</v>
      </c>
      <c r="H75" s="129">
        <v>79.594054</v>
      </c>
      <c r="I75" s="98" t="s">
        <v>6021</v>
      </c>
      <c r="J75" s="124" t="s">
        <v>17</v>
      </c>
      <c r="K75" s="125" t="s">
        <v>17</v>
      </c>
      <c r="L75" s="88">
        <v>1.663E-3</v>
      </c>
      <c r="M75" s="89">
        <v>-5.7819999999999998E-3</v>
      </c>
      <c r="N75" s="90">
        <v>-1.2999999999999999E-3</v>
      </c>
      <c r="O75" s="97" t="s">
        <v>17</v>
      </c>
      <c r="P75" s="90" t="s">
        <v>17</v>
      </c>
      <c r="Q75" s="93">
        <v>5.1458132500000003E-2</v>
      </c>
      <c r="R75" s="94">
        <v>0.40200000000000002</v>
      </c>
      <c r="S75" s="94">
        <v>0.51400000000000001</v>
      </c>
      <c r="T75" s="94">
        <v>8.4000000000000005E-2</v>
      </c>
      <c r="U75" s="95">
        <v>1.7000000000000001E-2</v>
      </c>
      <c r="V75" s="94">
        <v>0.03</v>
      </c>
      <c r="W75" s="94">
        <v>1.7999999999999999E-2</v>
      </c>
      <c r="X75" s="95">
        <v>0.40614393277305399</v>
      </c>
      <c r="Y75" s="94">
        <v>0.50200964180595697</v>
      </c>
      <c r="Z75" s="94">
        <v>9.1888211550662693E-2</v>
      </c>
      <c r="AA75" s="93">
        <v>1.6814459758275799</v>
      </c>
      <c r="AB75" s="95">
        <v>5.8965475699999999E-2</v>
      </c>
      <c r="AC75" s="95">
        <v>0.35699999999999998</v>
      </c>
      <c r="AD75" s="94">
        <v>0.56200000000000006</v>
      </c>
      <c r="AE75" s="100">
        <v>8.1000000000000003E-2</v>
      </c>
      <c r="AF75" s="95">
        <v>1.7000000000000001E-2</v>
      </c>
      <c r="AG75" s="94">
        <v>0.03</v>
      </c>
      <c r="AH75" s="94">
        <v>1.7999999999999999E-2</v>
      </c>
      <c r="AI75" s="95">
        <v>0.362501886</v>
      </c>
      <c r="AJ75" s="94">
        <v>0.548450887</v>
      </c>
      <c r="AK75" s="100">
        <v>8.9081560000000004E-2</v>
      </c>
      <c r="AL75" s="100">
        <v>2.6761739518043499</v>
      </c>
    </row>
    <row r="76" spans="1:38" s="16" customFormat="1" ht="13" customHeight="1" x14ac:dyDescent="0.2">
      <c r="A76" s="87" t="s">
        <v>6256</v>
      </c>
      <c r="B76" s="105">
        <v>2</v>
      </c>
      <c r="C76" s="98" t="s">
        <v>6095</v>
      </c>
      <c r="D76" s="126" t="s">
        <v>6110</v>
      </c>
      <c r="E76" s="126" t="s">
        <v>24</v>
      </c>
      <c r="F76" s="127" t="s">
        <v>6257</v>
      </c>
      <c r="G76" s="128">
        <v>14.670986111111111</v>
      </c>
      <c r="H76" s="129">
        <v>77.590744444444439</v>
      </c>
      <c r="I76" s="98" t="s">
        <v>6021</v>
      </c>
      <c r="J76" s="124" t="s">
        <v>17</v>
      </c>
      <c r="K76" s="125" t="s">
        <v>17</v>
      </c>
      <c r="L76" s="88">
        <v>1.328E-3</v>
      </c>
      <c r="M76" s="89">
        <v>-5.7450000000000001E-3</v>
      </c>
      <c r="N76" s="90">
        <v>-1E-3</v>
      </c>
      <c r="O76" s="97" t="s">
        <v>17</v>
      </c>
      <c r="P76" s="90" t="s">
        <v>17</v>
      </c>
      <c r="Q76" s="93">
        <v>2.57753883E-2</v>
      </c>
      <c r="R76" s="94">
        <v>0.39700000000000002</v>
      </c>
      <c r="S76" s="94">
        <v>0.53100000000000003</v>
      </c>
      <c r="T76" s="94">
        <v>7.1999999999999995E-2</v>
      </c>
      <c r="U76" s="95">
        <v>2.1000000000000001E-2</v>
      </c>
      <c r="V76" s="94">
        <v>3.4000000000000002E-2</v>
      </c>
      <c r="W76" s="94">
        <v>0.02</v>
      </c>
      <c r="X76" s="95">
        <v>0.40451690212149999</v>
      </c>
      <c r="Y76" s="94">
        <v>0.511080288958778</v>
      </c>
      <c r="Z76" s="94">
        <v>8.4443733121190204E-2</v>
      </c>
      <c r="AA76" s="93">
        <v>2.26966390467499</v>
      </c>
      <c r="AB76" s="95">
        <v>0.10296642</v>
      </c>
      <c r="AC76" s="95">
        <v>0.35499999999999998</v>
      </c>
      <c r="AD76" s="94">
        <v>0.57399999999999995</v>
      </c>
      <c r="AE76" s="100">
        <v>7.1999999999999995E-2</v>
      </c>
      <c r="AF76" s="95">
        <v>2.1000000000000001E-2</v>
      </c>
      <c r="AG76" s="94">
        <v>3.4000000000000002E-2</v>
      </c>
      <c r="AH76" s="94">
        <v>0.02</v>
      </c>
      <c r="AI76" s="95">
        <v>0.36279644999999999</v>
      </c>
      <c r="AJ76" s="94">
        <v>0.55376365900000002</v>
      </c>
      <c r="AK76" s="100">
        <v>8.3528799000000001E-2</v>
      </c>
      <c r="AL76" s="100">
        <v>3.0091701508919302</v>
      </c>
    </row>
    <row r="77" spans="1:38" s="16" customFormat="1" ht="13" customHeight="1" x14ac:dyDescent="0.2">
      <c r="A77" s="87" t="s">
        <v>6202</v>
      </c>
      <c r="B77" s="105">
        <v>5</v>
      </c>
      <c r="C77" s="98" t="s">
        <v>6020</v>
      </c>
      <c r="D77" s="126" t="s">
        <v>6066</v>
      </c>
      <c r="E77" s="126" t="s">
        <v>24</v>
      </c>
      <c r="F77" s="127" t="s">
        <v>6203</v>
      </c>
      <c r="G77" s="128">
        <v>25.4358</v>
      </c>
      <c r="H77" s="129">
        <v>81.846311111111106</v>
      </c>
      <c r="I77" s="98" t="s">
        <v>6021</v>
      </c>
      <c r="J77" s="124" t="s">
        <v>17</v>
      </c>
      <c r="K77" s="125" t="s">
        <v>17</v>
      </c>
      <c r="L77" s="88">
        <v>3.4229999999999998E-3</v>
      </c>
      <c r="M77" s="89">
        <v>-4.3870000000000003E-3</v>
      </c>
      <c r="N77" s="90">
        <v>-8.0400000000000003E-3</v>
      </c>
      <c r="O77" s="97" t="s">
        <v>6204</v>
      </c>
      <c r="P77" s="90" t="s">
        <v>6205</v>
      </c>
      <c r="Q77" s="93">
        <v>8.2912365700000004E-2</v>
      </c>
      <c r="R77" s="94">
        <v>0.40200000000000002</v>
      </c>
      <c r="S77" s="94">
        <v>0.45700000000000002</v>
      </c>
      <c r="T77" s="94">
        <v>0.14099999999999999</v>
      </c>
      <c r="U77" s="95">
        <v>1.4999999999999999E-2</v>
      </c>
      <c r="V77" s="94">
        <v>2.5999999999999999E-2</v>
      </c>
      <c r="W77" s="94">
        <v>1.6E-2</v>
      </c>
      <c r="X77" s="95">
        <v>0.39947684414930001</v>
      </c>
      <c r="Y77" s="94">
        <v>0.46444633398839702</v>
      </c>
      <c r="Z77" s="94">
        <v>0.13612554538917199</v>
      </c>
      <c r="AA77" s="93">
        <v>-1.39011816172195</v>
      </c>
      <c r="AB77" s="95">
        <v>0.15852066100000001</v>
      </c>
      <c r="AC77" s="95">
        <v>0.36499999999999999</v>
      </c>
      <c r="AD77" s="94">
        <v>0.48899999999999999</v>
      </c>
      <c r="AE77" s="100">
        <v>0.14599999999999999</v>
      </c>
      <c r="AF77" s="95">
        <v>1.4999999999999999E-2</v>
      </c>
      <c r="AG77" s="94">
        <v>2.5999999999999999E-2</v>
      </c>
      <c r="AH77" s="94">
        <v>1.6E-2</v>
      </c>
      <c r="AI77" s="95">
        <v>0.36281202400000001</v>
      </c>
      <c r="AJ77" s="94">
        <v>0.49450523200000002</v>
      </c>
      <c r="AK77" s="100">
        <v>0.14270254700000001</v>
      </c>
      <c r="AL77" s="100">
        <v>-1.49876064214108</v>
      </c>
    </row>
    <row r="78" spans="1:38" s="16" customFormat="1" ht="13" customHeight="1" x14ac:dyDescent="0.2">
      <c r="A78" s="87" t="s">
        <v>6239</v>
      </c>
      <c r="B78" s="105">
        <v>5</v>
      </c>
      <c r="C78" s="98" t="s">
        <v>6020</v>
      </c>
      <c r="D78" s="126" t="s">
        <v>6066</v>
      </c>
      <c r="E78" s="126" t="s">
        <v>24</v>
      </c>
      <c r="F78" s="127" t="s">
        <v>6240</v>
      </c>
      <c r="G78" s="128">
        <v>29.477474999999998</v>
      </c>
      <c r="H78" s="129">
        <v>77.74806944444444</v>
      </c>
      <c r="I78" s="98" t="s">
        <v>6021</v>
      </c>
      <c r="J78" s="98" t="s">
        <v>17</v>
      </c>
      <c r="K78" s="106" t="s">
        <v>17</v>
      </c>
      <c r="L78" s="88">
        <v>1.7080000000000001E-3</v>
      </c>
      <c r="M78" s="89">
        <v>-6.0350000000000004E-3</v>
      </c>
      <c r="N78" s="90">
        <v>-3.7799999999999999E-3</v>
      </c>
      <c r="O78" s="97" t="s">
        <v>6241</v>
      </c>
      <c r="P78" s="90" t="s">
        <v>6242</v>
      </c>
      <c r="Q78" s="93">
        <v>1.5160046999999999E-2</v>
      </c>
      <c r="R78" s="94">
        <v>0.39900000000000002</v>
      </c>
      <c r="S78" s="94">
        <v>0.501</v>
      </c>
      <c r="T78" s="94">
        <v>0.1</v>
      </c>
      <c r="U78" s="95">
        <v>1.4999999999999999E-2</v>
      </c>
      <c r="V78" s="94">
        <v>2.5000000000000001E-2</v>
      </c>
      <c r="W78" s="94">
        <v>1.6E-2</v>
      </c>
      <c r="X78" s="95">
        <v>0.40098551519358799</v>
      </c>
      <c r="Y78" s="94">
        <v>0.49536559790225099</v>
      </c>
      <c r="Z78" s="94">
        <v>0.10369289985822901</v>
      </c>
      <c r="AA78" s="93">
        <v>1.0484563910571501</v>
      </c>
      <c r="AB78" s="95">
        <v>1.16402563E-2</v>
      </c>
      <c r="AC78" s="95">
        <v>0.36299999999999999</v>
      </c>
      <c r="AD78" s="94">
        <v>0.53100000000000003</v>
      </c>
      <c r="AE78" s="100">
        <v>0.106</v>
      </c>
      <c r="AF78" s="95">
        <v>1.4999999999999999E-2</v>
      </c>
      <c r="AG78" s="94">
        <v>2.5000000000000001E-2</v>
      </c>
      <c r="AH78" s="94">
        <v>1.6E-2</v>
      </c>
      <c r="AI78" s="95">
        <v>0.36455946</v>
      </c>
      <c r="AJ78" s="94">
        <v>0.52704494899999998</v>
      </c>
      <c r="AK78" s="100">
        <v>0.10842336700000001</v>
      </c>
      <c r="AL78" s="100">
        <v>1.2096054544755901</v>
      </c>
    </row>
    <row r="79" spans="1:38" s="16" customFormat="1" ht="13" customHeight="1" x14ac:dyDescent="0.2">
      <c r="A79" s="87" t="s">
        <v>6277</v>
      </c>
      <c r="B79" s="105">
        <v>15</v>
      </c>
      <c r="C79" s="98" t="s">
        <v>6095</v>
      </c>
      <c r="D79" s="126" t="s">
        <v>6186</v>
      </c>
      <c r="E79" s="126" t="s">
        <v>24</v>
      </c>
      <c r="F79" s="127" t="s">
        <v>6278</v>
      </c>
      <c r="G79" s="128">
        <v>8.7139129999999998</v>
      </c>
      <c r="H79" s="129">
        <v>77.756652000000003</v>
      </c>
      <c r="I79" s="98" t="s">
        <v>6021</v>
      </c>
      <c r="J79" s="98" t="s">
        <v>17</v>
      </c>
      <c r="K79" s="106" t="s">
        <v>17</v>
      </c>
      <c r="L79" s="88">
        <v>7.9799999999999999E-4</v>
      </c>
      <c r="M79" s="89">
        <v>-5.738E-3</v>
      </c>
      <c r="N79" s="90">
        <v>7.7999999999999999E-4</v>
      </c>
      <c r="O79" s="97" t="s">
        <v>6279</v>
      </c>
      <c r="P79" s="90" t="s">
        <v>6280</v>
      </c>
      <c r="Q79" s="93">
        <v>5.1008020900000003E-3</v>
      </c>
      <c r="R79" s="94">
        <v>0.40200000000000002</v>
      </c>
      <c r="S79" s="94">
        <v>0.54100000000000004</v>
      </c>
      <c r="T79" s="94">
        <v>5.7000000000000002E-2</v>
      </c>
      <c r="U79" s="95">
        <v>1.2999999999999999E-2</v>
      </c>
      <c r="V79" s="94">
        <v>2.3E-2</v>
      </c>
      <c r="W79" s="94">
        <v>1.4E-2</v>
      </c>
      <c r="X79" s="95">
        <v>0.40800477124533802</v>
      </c>
      <c r="Y79" s="94">
        <v>0.52380211437359503</v>
      </c>
      <c r="Z79" s="94">
        <v>6.8231380039468506E-2</v>
      </c>
      <c r="AA79" s="93">
        <v>3.6200717336160202</v>
      </c>
      <c r="AB79" s="95">
        <v>3.2062610299999998E-4</v>
      </c>
      <c r="AC79" s="95">
        <v>0.36</v>
      </c>
      <c r="AD79" s="94">
        <v>0.59399999999999997</v>
      </c>
      <c r="AE79" s="100">
        <v>4.5999999999999999E-2</v>
      </c>
      <c r="AF79" s="95">
        <v>1.2999999999999999E-2</v>
      </c>
      <c r="AG79" s="94">
        <v>2.3E-2</v>
      </c>
      <c r="AH79" s="94">
        <v>1.4E-2</v>
      </c>
      <c r="AI79" s="95">
        <v>0.36624843200000001</v>
      </c>
      <c r="AJ79" s="94">
        <v>0.57811518200000001</v>
      </c>
      <c r="AK79" s="100">
        <v>5.5677107000000003E-2</v>
      </c>
      <c r="AL79" s="100">
        <v>5.8305708437010697</v>
      </c>
    </row>
    <row r="80" spans="1:38" s="16" customFormat="1" ht="13" customHeight="1" x14ac:dyDescent="0.2">
      <c r="A80" s="87" t="s">
        <v>6198</v>
      </c>
      <c r="B80" s="105">
        <v>10</v>
      </c>
      <c r="C80" s="98" t="s">
        <v>6095</v>
      </c>
      <c r="D80" s="126" t="s">
        <v>6096</v>
      </c>
      <c r="E80" s="126" t="s">
        <v>24</v>
      </c>
      <c r="F80" s="127" t="s">
        <v>6199</v>
      </c>
      <c r="G80" s="128">
        <v>13.1629</v>
      </c>
      <c r="H80" s="129">
        <v>75.857099999999988</v>
      </c>
      <c r="I80" s="98" t="s">
        <v>6021</v>
      </c>
      <c r="J80" s="124" t="s">
        <v>17</v>
      </c>
      <c r="K80" s="125" t="s">
        <v>17</v>
      </c>
      <c r="L80" s="88">
        <v>2.7929999999999999E-3</v>
      </c>
      <c r="M80" s="89">
        <v>-4.8659999999999997E-3</v>
      </c>
      <c r="N80" s="90">
        <v>-8.0999999999999996E-3</v>
      </c>
      <c r="O80" s="97" t="s">
        <v>6200</v>
      </c>
      <c r="P80" s="90" t="s">
        <v>6201</v>
      </c>
      <c r="Q80" s="93">
        <v>4.3356363699999997E-2</v>
      </c>
      <c r="R80" s="94">
        <v>0.4</v>
      </c>
      <c r="S80" s="94">
        <v>0.501</v>
      </c>
      <c r="T80" s="94">
        <v>9.9000000000000005E-2</v>
      </c>
      <c r="U80" s="95">
        <v>1.6E-2</v>
      </c>
      <c r="V80" s="94">
        <v>2.7E-2</v>
      </c>
      <c r="W80" s="94">
        <v>1.6E-2</v>
      </c>
      <c r="X80" s="95">
        <v>0.40212986217364699</v>
      </c>
      <c r="Y80" s="94">
        <v>0.494868120770454</v>
      </c>
      <c r="Z80" s="94">
        <v>0.10304581218480199</v>
      </c>
      <c r="AA80" s="93">
        <v>1.0320781500199001</v>
      </c>
      <c r="AB80" s="95">
        <v>2.5869975699999999E-2</v>
      </c>
      <c r="AC80" s="95">
        <v>0.36499999999999999</v>
      </c>
      <c r="AD80" s="94">
        <v>0.52600000000000002</v>
      </c>
      <c r="AE80" s="100">
        <v>0.109</v>
      </c>
      <c r="AF80" s="95">
        <v>1.6E-2</v>
      </c>
      <c r="AG80" s="94">
        <v>2.7E-2</v>
      </c>
      <c r="AH80" s="94">
        <v>1.6E-2</v>
      </c>
      <c r="AI80" s="95">
        <v>0.36634181900000001</v>
      </c>
      <c r="AJ80" s="94">
        <v>0.52263574899999998</v>
      </c>
      <c r="AK80" s="100">
        <v>0.111048301</v>
      </c>
      <c r="AL80" s="100">
        <v>0.89501377673656202</v>
      </c>
    </row>
    <row r="81" spans="1:38" s="16" customFormat="1" ht="13" customHeight="1" x14ac:dyDescent="0.2">
      <c r="A81" s="87" t="s">
        <v>6275</v>
      </c>
      <c r="B81" s="105">
        <v>3</v>
      </c>
      <c r="C81" s="98" t="s">
        <v>6095</v>
      </c>
      <c r="D81" s="126" t="s">
        <v>6110</v>
      </c>
      <c r="E81" s="126" t="s">
        <v>24</v>
      </c>
      <c r="F81" s="127" t="s">
        <v>6276</v>
      </c>
      <c r="G81" s="128">
        <v>14.442600000000001</v>
      </c>
      <c r="H81" s="129">
        <v>79.986455555555551</v>
      </c>
      <c r="I81" s="98" t="s">
        <v>6021</v>
      </c>
      <c r="J81" s="124" t="s">
        <v>17</v>
      </c>
      <c r="K81" s="125" t="s">
        <v>17</v>
      </c>
      <c r="L81" s="88">
        <v>1.7359999999999999E-3</v>
      </c>
      <c r="M81" s="89">
        <v>-4.365E-3</v>
      </c>
      <c r="N81" s="90">
        <v>6.6699999999999995E-4</v>
      </c>
      <c r="O81" s="97" t="s">
        <v>17</v>
      </c>
      <c r="P81" s="90" t="s">
        <v>17</v>
      </c>
      <c r="Q81" s="93">
        <v>7.2853261500000002E-3</v>
      </c>
      <c r="R81" s="94">
        <v>0.39800000000000002</v>
      </c>
      <c r="S81" s="94">
        <v>0.55200000000000005</v>
      </c>
      <c r="T81" s="94">
        <v>0.05</v>
      </c>
      <c r="U81" s="95">
        <v>1.7000000000000001E-2</v>
      </c>
      <c r="V81" s="94">
        <v>0.03</v>
      </c>
      <c r="W81" s="94">
        <v>1.9E-2</v>
      </c>
      <c r="X81" s="95">
        <v>0.40705311563896901</v>
      </c>
      <c r="Y81" s="94">
        <v>0.52497357464928895</v>
      </c>
      <c r="Z81" s="94">
        <v>6.8011652172663403E-2</v>
      </c>
      <c r="AA81" s="93">
        <v>3.30727485438269</v>
      </c>
      <c r="AB81" s="95">
        <v>1.0580219E-2</v>
      </c>
      <c r="AC81" s="95">
        <v>0.35799999999999998</v>
      </c>
      <c r="AD81" s="94">
        <v>0.59399999999999997</v>
      </c>
      <c r="AE81" s="100">
        <v>4.8000000000000001E-2</v>
      </c>
      <c r="AF81" s="95">
        <v>1.7000000000000001E-2</v>
      </c>
      <c r="AG81" s="94">
        <v>0.03</v>
      </c>
      <c r="AH81" s="94">
        <v>1.9E-2</v>
      </c>
      <c r="AI81" s="95">
        <v>0.36677576499999998</v>
      </c>
      <c r="AJ81" s="94">
        <v>0.57091661599999999</v>
      </c>
      <c r="AK81" s="100">
        <v>6.2346202000000003E-2</v>
      </c>
      <c r="AL81" s="100">
        <v>4.3793510464300098</v>
      </c>
    </row>
    <row r="82" spans="1:38" s="16" customFormat="1" ht="13" customHeight="1" x14ac:dyDescent="0.2">
      <c r="A82" s="87" t="s">
        <v>6285</v>
      </c>
      <c r="B82" s="105">
        <v>2</v>
      </c>
      <c r="C82" s="98" t="s">
        <v>6095</v>
      </c>
      <c r="D82" s="126" t="s">
        <v>6110</v>
      </c>
      <c r="E82" s="126" t="s">
        <v>24</v>
      </c>
      <c r="F82" s="127" t="s">
        <v>6220</v>
      </c>
      <c r="G82" s="128">
        <v>16.758324999999999</v>
      </c>
      <c r="H82" s="129">
        <v>77.986030555555558</v>
      </c>
      <c r="I82" s="98" t="s">
        <v>6021</v>
      </c>
      <c r="J82" s="124" t="s">
        <v>17</v>
      </c>
      <c r="K82" s="125" t="s">
        <v>17</v>
      </c>
      <c r="L82" s="88">
        <v>6.1300000000000005E-4</v>
      </c>
      <c r="M82" s="89">
        <v>-6.1710000000000003E-3</v>
      </c>
      <c r="N82" s="90">
        <v>1.15E-3</v>
      </c>
      <c r="O82" s="97" t="s">
        <v>17</v>
      </c>
      <c r="P82" s="90" t="s">
        <v>17</v>
      </c>
      <c r="Q82" s="93">
        <v>2.3558048599999999E-2</v>
      </c>
      <c r="R82" s="94">
        <v>0.40300000000000002</v>
      </c>
      <c r="S82" s="94">
        <v>0.54</v>
      </c>
      <c r="T82" s="94">
        <v>5.7000000000000002E-2</v>
      </c>
      <c r="U82" s="95">
        <v>2.1000000000000001E-2</v>
      </c>
      <c r="V82" s="94">
        <v>3.3000000000000002E-2</v>
      </c>
      <c r="W82" s="94">
        <v>0.02</v>
      </c>
      <c r="X82" s="95">
        <v>0.41158736469659901</v>
      </c>
      <c r="Y82" s="94">
        <v>0.51620003568795503</v>
      </c>
      <c r="Z82" s="94">
        <v>7.2251030756126794E-2</v>
      </c>
      <c r="AA82" s="93">
        <v>2.8344441241177099</v>
      </c>
      <c r="AB82" s="95">
        <v>0.153466989</v>
      </c>
      <c r="AC82" s="95">
        <v>0.36</v>
      </c>
      <c r="AD82" s="94">
        <v>0.57999999999999996</v>
      </c>
      <c r="AE82" s="100">
        <v>0.06</v>
      </c>
      <c r="AF82" s="95">
        <v>2.1000000000000001E-2</v>
      </c>
      <c r="AG82" s="94">
        <v>3.3000000000000002E-2</v>
      </c>
      <c r="AH82" s="94">
        <v>0.02</v>
      </c>
      <c r="AI82" s="95">
        <v>0.36922272699999997</v>
      </c>
      <c r="AJ82" s="94">
        <v>0.55782973400000002</v>
      </c>
      <c r="AK82" s="100">
        <v>7.2981625999999994E-2</v>
      </c>
      <c r="AL82" s="100">
        <v>3.4008534447924599</v>
      </c>
    </row>
    <row r="83" spans="1:38" s="16" customFormat="1" ht="13" customHeight="1" x14ac:dyDescent="0.2">
      <c r="A83" s="87" t="s">
        <v>6253</v>
      </c>
      <c r="B83" s="105">
        <v>4</v>
      </c>
      <c r="C83" s="98" t="s">
        <v>6095</v>
      </c>
      <c r="D83" s="126" t="s">
        <v>6235</v>
      </c>
      <c r="E83" s="126" t="s">
        <v>24</v>
      </c>
      <c r="F83" s="127" t="s">
        <v>6236</v>
      </c>
      <c r="G83" s="128">
        <v>17.385044444444443</v>
      </c>
      <c r="H83" s="129">
        <v>78.486672222222225</v>
      </c>
      <c r="I83" s="98" t="s">
        <v>6021</v>
      </c>
      <c r="J83" s="124" t="s">
        <v>17</v>
      </c>
      <c r="K83" s="125" t="s">
        <v>17</v>
      </c>
      <c r="L83" s="88">
        <v>8.9300000000000002E-4</v>
      </c>
      <c r="M83" s="89">
        <v>-6.3379999999999999E-3</v>
      </c>
      <c r="N83" s="90">
        <v>-2.2000000000000001E-3</v>
      </c>
      <c r="O83" s="97" t="s">
        <v>17</v>
      </c>
      <c r="P83" s="90" t="s">
        <v>17</v>
      </c>
      <c r="Q83" s="93">
        <v>6.8596155499999999E-3</v>
      </c>
      <c r="R83" s="94">
        <v>0.39700000000000002</v>
      </c>
      <c r="S83" s="94">
        <v>0.54100000000000004</v>
      </c>
      <c r="T83" s="94">
        <v>6.2E-2</v>
      </c>
      <c r="U83" s="95">
        <v>1.6E-2</v>
      </c>
      <c r="V83" s="94">
        <v>2.8000000000000001E-2</v>
      </c>
      <c r="W83" s="94">
        <v>1.7000000000000001E-2</v>
      </c>
      <c r="X83" s="95">
        <v>0.40450968817463501</v>
      </c>
      <c r="Y83" s="94">
        <v>0.52005013201582895</v>
      </c>
      <c r="Z83" s="94">
        <v>7.5479849226675402E-2</v>
      </c>
      <c r="AA83" s="93">
        <v>3.0221998161325798</v>
      </c>
      <c r="AB83" s="95">
        <v>7.6988156199999996E-3</v>
      </c>
      <c r="AC83" s="95">
        <v>0.36299999999999999</v>
      </c>
      <c r="AD83" s="94">
        <v>0.56799999999999995</v>
      </c>
      <c r="AE83" s="100">
        <v>6.8000000000000005E-2</v>
      </c>
      <c r="AF83" s="95">
        <v>1.6E-2</v>
      </c>
      <c r="AG83" s="94">
        <v>2.8000000000000001E-2</v>
      </c>
      <c r="AH83" s="94">
        <v>1.7000000000000001E-2</v>
      </c>
      <c r="AI83" s="95">
        <v>0.36950456500000001</v>
      </c>
      <c r="AJ83" s="94">
        <v>0.55342047000000005</v>
      </c>
      <c r="AK83" s="100">
        <v>7.705447E-2</v>
      </c>
      <c r="AL83" s="100">
        <v>3.3455884769730999</v>
      </c>
    </row>
    <row r="84" spans="1:38" s="16" customFormat="1" ht="13" customHeight="1" x14ac:dyDescent="0.2">
      <c r="A84" s="87" t="s">
        <v>6286</v>
      </c>
      <c r="B84" s="105">
        <v>5</v>
      </c>
      <c r="C84" s="98" t="s">
        <v>6095</v>
      </c>
      <c r="D84" s="126" t="s">
        <v>6186</v>
      </c>
      <c r="E84" s="126" t="s">
        <v>24</v>
      </c>
      <c r="F84" s="127" t="s">
        <v>6287</v>
      </c>
      <c r="G84" s="128">
        <v>12.588958333333334</v>
      </c>
      <c r="H84" s="129">
        <v>78.250069444444449</v>
      </c>
      <c r="I84" s="98" t="s">
        <v>6021</v>
      </c>
      <c r="J84" s="124" t="s">
        <v>17</v>
      </c>
      <c r="K84" s="125" t="s">
        <v>17</v>
      </c>
      <c r="L84" s="88">
        <v>1.0629999999999999E-3</v>
      </c>
      <c r="M84" s="89">
        <v>-5.3559999999999997E-3</v>
      </c>
      <c r="N84" s="90">
        <v>1.2999999999999999E-3</v>
      </c>
      <c r="O84" s="97" t="s">
        <v>6288</v>
      </c>
      <c r="P84" s="90" t="s">
        <v>6289</v>
      </c>
      <c r="Q84" s="93">
        <v>2.9275051600000001E-2</v>
      </c>
      <c r="R84" s="94">
        <v>0.40500000000000003</v>
      </c>
      <c r="S84" s="94">
        <v>0.53300000000000003</v>
      </c>
      <c r="T84" s="94">
        <v>6.2E-2</v>
      </c>
      <c r="U84" s="95">
        <v>1.4999999999999999E-2</v>
      </c>
      <c r="V84" s="94">
        <v>2.5999999999999999E-2</v>
      </c>
      <c r="W84" s="94">
        <v>1.7000000000000001E-2</v>
      </c>
      <c r="X84" s="95">
        <v>0.41107708461415199</v>
      </c>
      <c r="Y84" s="94">
        <v>0.51534837082896601</v>
      </c>
      <c r="Z84" s="94">
        <v>7.3613224055047499E-2</v>
      </c>
      <c r="AA84" s="93">
        <v>2.9024652446573498</v>
      </c>
      <c r="AB84" s="95">
        <v>3.3176269799999998E-2</v>
      </c>
      <c r="AC84" s="95">
        <v>0.36499999999999999</v>
      </c>
      <c r="AD84" s="94">
        <v>0.56999999999999995</v>
      </c>
      <c r="AE84" s="100">
        <v>6.5000000000000002E-2</v>
      </c>
      <c r="AF84" s="95">
        <v>1.4999999999999999E-2</v>
      </c>
      <c r="AG84" s="94">
        <v>2.5999999999999999E-2</v>
      </c>
      <c r="AH84" s="94">
        <v>1.7000000000000001E-2</v>
      </c>
      <c r="AI84" s="95">
        <v>0.370446526</v>
      </c>
      <c r="AJ84" s="94">
        <v>0.55581052900000005</v>
      </c>
      <c r="AK84" s="100">
        <v>7.3775990999999999E-2</v>
      </c>
      <c r="AL84" s="100">
        <v>3.6407796004081598</v>
      </c>
    </row>
    <row r="85" spans="1:38" s="16" customFormat="1" ht="13" customHeight="1" x14ac:dyDescent="0.2">
      <c r="A85" s="87" t="s">
        <v>6281</v>
      </c>
      <c r="B85" s="105">
        <v>5</v>
      </c>
      <c r="C85" s="98" t="s">
        <v>6095</v>
      </c>
      <c r="D85" s="126" t="s">
        <v>6096</v>
      </c>
      <c r="E85" s="126" t="s">
        <v>24</v>
      </c>
      <c r="F85" s="127" t="s">
        <v>6282</v>
      </c>
      <c r="G85" s="128">
        <v>15.458924999999999</v>
      </c>
      <c r="H85" s="129">
        <v>75.00780833333333</v>
      </c>
      <c r="I85" s="98" t="s">
        <v>6021</v>
      </c>
      <c r="J85" s="98">
        <v>4</v>
      </c>
      <c r="K85" s="106">
        <v>10</v>
      </c>
      <c r="L85" s="88">
        <v>9.4799999999999995E-4</v>
      </c>
      <c r="M85" s="89">
        <v>-6.0809999999999996E-3</v>
      </c>
      <c r="N85" s="90">
        <v>1.1000000000000001E-3</v>
      </c>
      <c r="O85" s="97" t="s">
        <v>6283</v>
      </c>
      <c r="P85" s="90" t="s">
        <v>6284</v>
      </c>
      <c r="Q85" s="93">
        <v>1.1912894900000001E-3</v>
      </c>
      <c r="R85" s="94">
        <v>0.40400000000000003</v>
      </c>
      <c r="S85" s="94">
        <v>0.51800000000000002</v>
      </c>
      <c r="T85" s="94">
        <v>7.8E-2</v>
      </c>
      <c r="U85" s="95">
        <v>1.6E-2</v>
      </c>
      <c r="V85" s="94">
        <v>2.7E-2</v>
      </c>
      <c r="W85" s="94">
        <v>1.7000000000000001E-2</v>
      </c>
      <c r="X85" s="95">
        <v>0.40832693567629502</v>
      </c>
      <c r="Y85" s="94">
        <v>0.50533318396914195</v>
      </c>
      <c r="Z85" s="94">
        <v>8.6380652498600594E-2</v>
      </c>
      <c r="AA85" s="93">
        <v>2.02198800985565</v>
      </c>
      <c r="AB85" s="95">
        <v>1.0998213E-4</v>
      </c>
      <c r="AC85" s="95">
        <v>0.36699999999999999</v>
      </c>
      <c r="AD85" s="94">
        <v>0.55400000000000005</v>
      </c>
      <c r="AE85" s="100">
        <v>7.9000000000000001E-2</v>
      </c>
      <c r="AF85" s="95">
        <v>1.6E-2</v>
      </c>
      <c r="AG85" s="94">
        <v>2.7E-2</v>
      </c>
      <c r="AH85" s="94">
        <v>1.7000000000000001E-2</v>
      </c>
      <c r="AI85" s="95">
        <v>0.37132521600000001</v>
      </c>
      <c r="AJ85" s="94">
        <v>0.54320423799999995</v>
      </c>
      <c r="AK85" s="100">
        <v>8.5499866999999993E-2</v>
      </c>
      <c r="AL85" s="100">
        <v>2.72744685308525</v>
      </c>
    </row>
    <row r="86" spans="1:38" s="16" customFormat="1" ht="13" customHeight="1" x14ac:dyDescent="0.2">
      <c r="A86" s="87" t="s">
        <v>6180</v>
      </c>
      <c r="B86" s="105">
        <v>4</v>
      </c>
      <c r="C86" s="98" t="s">
        <v>6020</v>
      </c>
      <c r="D86" s="126" t="s">
        <v>6055</v>
      </c>
      <c r="E86" s="126" t="s">
        <v>24</v>
      </c>
      <c r="F86" s="127" t="s">
        <v>6056</v>
      </c>
      <c r="G86" s="128">
        <v>26.120888888888889</v>
      </c>
      <c r="H86" s="129">
        <v>85.364719444444432</v>
      </c>
      <c r="I86" s="98" t="s">
        <v>6021</v>
      </c>
      <c r="J86" s="98" t="s">
        <v>17</v>
      </c>
      <c r="K86" s="106" t="s">
        <v>17</v>
      </c>
      <c r="L86" s="88">
        <v>3.539E-3</v>
      </c>
      <c r="M86" s="89">
        <v>-4.2770000000000004E-3</v>
      </c>
      <c r="N86" s="90">
        <v>-9.1999999999999998E-3</v>
      </c>
      <c r="O86" s="97" t="s">
        <v>17</v>
      </c>
      <c r="P86" s="90" t="s">
        <v>17</v>
      </c>
      <c r="Q86" s="93">
        <v>0.134313232</v>
      </c>
      <c r="R86" s="94">
        <v>0.41099999999999998</v>
      </c>
      <c r="S86" s="94">
        <v>0.45100000000000001</v>
      </c>
      <c r="T86" s="94">
        <v>0.13800000000000001</v>
      </c>
      <c r="U86" s="95">
        <v>1.6E-2</v>
      </c>
      <c r="V86" s="94">
        <v>2.8000000000000001E-2</v>
      </c>
      <c r="W86" s="94">
        <v>1.7000000000000001E-2</v>
      </c>
      <c r="X86" s="95">
        <v>0.407795018869758</v>
      </c>
      <c r="Y86" s="94">
        <v>0.459993818934882</v>
      </c>
      <c r="Z86" s="94">
        <v>0.132258421989877</v>
      </c>
      <c r="AA86" s="93">
        <v>-1.40774753329445</v>
      </c>
      <c r="AB86" s="95">
        <v>9.6486432900000002E-2</v>
      </c>
      <c r="AC86" s="95">
        <v>0.378</v>
      </c>
      <c r="AD86" s="94">
        <v>0.47399999999999998</v>
      </c>
      <c r="AE86" s="100">
        <v>0.14799999999999999</v>
      </c>
      <c r="AF86" s="95">
        <v>1.6E-2</v>
      </c>
      <c r="AG86" s="94">
        <v>2.8000000000000001E-2</v>
      </c>
      <c r="AH86" s="94">
        <v>1.7000000000000001E-2</v>
      </c>
      <c r="AI86" s="95">
        <v>0.37431624000000002</v>
      </c>
      <c r="AJ86" s="94">
        <v>0.48279317999999999</v>
      </c>
      <c r="AK86" s="100">
        <v>0.14290254899999999</v>
      </c>
      <c r="AL86" s="100">
        <v>-1.9307645216886</v>
      </c>
    </row>
    <row r="87" spans="1:38" s="16" customFormat="1" ht="13" customHeight="1" x14ac:dyDescent="0.2">
      <c r="A87" s="87" t="s">
        <v>6230</v>
      </c>
      <c r="B87" s="105">
        <v>4</v>
      </c>
      <c r="C87" s="98" t="s">
        <v>6020</v>
      </c>
      <c r="D87" s="126" t="s">
        <v>6046</v>
      </c>
      <c r="E87" s="126" t="s">
        <v>24</v>
      </c>
      <c r="F87" s="127" t="s">
        <v>6047</v>
      </c>
      <c r="G87" s="128">
        <v>30.129308333333334</v>
      </c>
      <c r="H87" s="129">
        <v>77.26925</v>
      </c>
      <c r="I87" s="98" t="s">
        <v>6021</v>
      </c>
      <c r="J87" s="98" t="s">
        <v>17</v>
      </c>
      <c r="K87" s="106" t="s">
        <v>17</v>
      </c>
      <c r="L87" s="88">
        <v>2.2330000000000002E-3</v>
      </c>
      <c r="M87" s="89">
        <v>-5.777E-3</v>
      </c>
      <c r="N87" s="90">
        <v>-5.1500000000000001E-3</v>
      </c>
      <c r="O87" s="97" t="s">
        <v>17</v>
      </c>
      <c r="P87" s="90" t="s">
        <v>17</v>
      </c>
      <c r="Q87" s="93">
        <v>2.2174406800000001E-4</v>
      </c>
      <c r="R87" s="94">
        <v>0.41099999999999998</v>
      </c>
      <c r="S87" s="94">
        <v>0.44800000000000001</v>
      </c>
      <c r="T87" s="94">
        <v>0.14099999999999999</v>
      </c>
      <c r="U87" s="95">
        <v>1.6E-2</v>
      </c>
      <c r="V87" s="94">
        <v>2.8000000000000001E-2</v>
      </c>
      <c r="W87" s="94">
        <v>1.7999999999999999E-2</v>
      </c>
      <c r="X87" s="95">
        <v>0.407499074969841</v>
      </c>
      <c r="Y87" s="94">
        <v>0.45833965989526498</v>
      </c>
      <c r="Z87" s="94">
        <v>0.13420882856952099</v>
      </c>
      <c r="AA87" s="93">
        <v>-1.50717353243498</v>
      </c>
      <c r="AB87" s="95">
        <v>1.4029842099999999E-3</v>
      </c>
      <c r="AC87" s="95">
        <v>0.378</v>
      </c>
      <c r="AD87" s="94">
        <v>0.47399999999999998</v>
      </c>
      <c r="AE87" s="100">
        <v>0.14799999999999999</v>
      </c>
      <c r="AF87" s="95">
        <v>1.6E-2</v>
      </c>
      <c r="AG87" s="94">
        <v>2.8000000000000001E-2</v>
      </c>
      <c r="AH87" s="94">
        <v>1.7999999999999999E-2</v>
      </c>
      <c r="AI87" s="95">
        <v>0.37456575800000003</v>
      </c>
      <c r="AJ87" s="94">
        <v>0.482652156</v>
      </c>
      <c r="AK87" s="100">
        <v>0.14279391499999999</v>
      </c>
      <c r="AL87" s="100">
        <v>-1.8709224768180699</v>
      </c>
    </row>
    <row r="88" spans="1:38" s="16" customFormat="1" ht="13" customHeight="1" x14ac:dyDescent="0.2">
      <c r="A88" s="87" t="s">
        <v>6243</v>
      </c>
      <c r="B88" s="105">
        <v>5</v>
      </c>
      <c r="C88" s="98" t="s">
        <v>6020</v>
      </c>
      <c r="D88" s="126" t="s">
        <v>6061</v>
      </c>
      <c r="E88" s="126" t="s">
        <v>24</v>
      </c>
      <c r="F88" s="127" t="s">
        <v>6244</v>
      </c>
      <c r="G88" s="128">
        <v>23.838099999999997</v>
      </c>
      <c r="H88" s="129">
        <v>79.442172222222226</v>
      </c>
      <c r="I88" s="98" t="s">
        <v>6021</v>
      </c>
      <c r="J88" s="98" t="s">
        <v>17</v>
      </c>
      <c r="K88" s="106" t="s">
        <v>17</v>
      </c>
      <c r="L88" s="88">
        <v>1.787E-3</v>
      </c>
      <c r="M88" s="89">
        <v>-4.5319999999999996E-3</v>
      </c>
      <c r="N88" s="90">
        <v>-3.4199999999999999E-3</v>
      </c>
      <c r="O88" s="97" t="s">
        <v>6245</v>
      </c>
      <c r="P88" s="90" t="s">
        <v>6246</v>
      </c>
      <c r="Q88" s="93">
        <v>8.6378137799999997E-3</v>
      </c>
      <c r="R88" s="94">
        <v>0.41</v>
      </c>
      <c r="S88" s="94">
        <v>0.497</v>
      </c>
      <c r="T88" s="94">
        <v>9.2999999999999999E-2</v>
      </c>
      <c r="U88" s="95">
        <v>1.6E-2</v>
      </c>
      <c r="V88" s="94">
        <v>2.8000000000000001E-2</v>
      </c>
      <c r="W88" s="94">
        <v>1.7999999999999999E-2</v>
      </c>
      <c r="X88" s="95">
        <v>0.41204789265333203</v>
      </c>
      <c r="Y88" s="94">
        <v>0.49041815609390799</v>
      </c>
      <c r="Z88" s="94">
        <v>9.7575876752294594E-2</v>
      </c>
      <c r="AA88" s="93">
        <v>1.0412561870452499</v>
      </c>
      <c r="AB88" s="95">
        <v>5.8050766700000001E-3</v>
      </c>
      <c r="AC88" s="95">
        <v>0.373</v>
      </c>
      <c r="AD88" s="94">
        <v>0.52500000000000002</v>
      </c>
      <c r="AE88" s="100">
        <v>0.10100000000000001</v>
      </c>
      <c r="AF88" s="95">
        <v>1.6E-2</v>
      </c>
      <c r="AG88" s="94">
        <v>2.8000000000000001E-2</v>
      </c>
      <c r="AH88" s="94">
        <v>1.7999999999999999E-2</v>
      </c>
      <c r="AI88" s="95">
        <v>0.37552791200000002</v>
      </c>
      <c r="AJ88" s="94">
        <v>0.52054401100000003</v>
      </c>
      <c r="AK88" s="100">
        <v>0.103896326</v>
      </c>
      <c r="AL88" s="100">
        <v>1.03628194907968</v>
      </c>
    </row>
    <row r="89" spans="1:38" s="16" customFormat="1" ht="13" customHeight="1" x14ac:dyDescent="0.2">
      <c r="A89" s="87" t="s">
        <v>6226</v>
      </c>
      <c r="B89" s="105">
        <v>13</v>
      </c>
      <c r="C89" s="98" t="s">
        <v>6020</v>
      </c>
      <c r="D89" s="126" t="s">
        <v>6066</v>
      </c>
      <c r="E89" s="126" t="s">
        <v>24</v>
      </c>
      <c r="F89" s="127" t="s">
        <v>6227</v>
      </c>
      <c r="G89" s="128">
        <v>25.45</v>
      </c>
      <c r="H89" s="129">
        <v>78.62</v>
      </c>
      <c r="I89" s="98" t="s">
        <v>6021</v>
      </c>
      <c r="J89" s="98" t="s">
        <v>17</v>
      </c>
      <c r="K89" s="106" t="s">
        <v>17</v>
      </c>
      <c r="L89" s="88">
        <v>2.0479999999999999E-3</v>
      </c>
      <c r="M89" s="89">
        <v>-5.2909999999999997E-3</v>
      </c>
      <c r="N89" s="90">
        <v>-5.3229999999999996E-3</v>
      </c>
      <c r="O89" s="97" t="s">
        <v>6228</v>
      </c>
      <c r="P89" s="90" t="s">
        <v>6229</v>
      </c>
      <c r="Q89" s="93">
        <v>2.0045223399999999E-2</v>
      </c>
      <c r="R89" s="94">
        <v>0.41299999999999998</v>
      </c>
      <c r="S89" s="94">
        <v>0.47599999999999998</v>
      </c>
      <c r="T89" s="94">
        <v>0.112</v>
      </c>
      <c r="U89" s="95">
        <v>1.2E-2</v>
      </c>
      <c r="V89" s="94">
        <v>2.1999999999999999E-2</v>
      </c>
      <c r="W89" s="94">
        <v>1.4E-2</v>
      </c>
      <c r="X89" s="95">
        <v>0.41180710095350498</v>
      </c>
      <c r="Y89" s="94">
        <v>0.47642560641925402</v>
      </c>
      <c r="Z89" s="94">
        <v>0.111876166111244</v>
      </c>
      <c r="AA89" s="93">
        <v>8.0591453468413007E-3</v>
      </c>
      <c r="AB89" s="95">
        <v>1.5827002699999999E-2</v>
      </c>
      <c r="AC89" s="95">
        <v>0.377</v>
      </c>
      <c r="AD89" s="94">
        <v>0.50600000000000001</v>
      </c>
      <c r="AE89" s="100">
        <v>0.11700000000000001</v>
      </c>
      <c r="AF89" s="95">
        <v>1.2E-2</v>
      </c>
      <c r="AG89" s="94">
        <v>2.1999999999999999E-2</v>
      </c>
      <c r="AH89" s="94">
        <v>1.4E-2</v>
      </c>
      <c r="AI89" s="95">
        <v>0.37683128700000001</v>
      </c>
      <c r="AJ89" s="94">
        <v>0.50622783800000004</v>
      </c>
      <c r="AK89" s="100">
        <v>0.116958072</v>
      </c>
      <c r="AL89" s="100">
        <v>2.1338671796942099E-2</v>
      </c>
    </row>
    <row r="90" spans="1:38" s="16" customFormat="1" ht="13" customHeight="1" x14ac:dyDescent="0.2">
      <c r="A90" s="87" t="s">
        <v>6314</v>
      </c>
      <c r="B90" s="105">
        <v>3</v>
      </c>
      <c r="C90" s="98" t="s">
        <v>6095</v>
      </c>
      <c r="D90" s="126" t="s">
        <v>6186</v>
      </c>
      <c r="E90" s="126" t="s">
        <v>24</v>
      </c>
      <c r="F90" s="127" t="s">
        <v>6315</v>
      </c>
      <c r="G90" s="128">
        <v>11.148094444444444</v>
      </c>
      <c r="H90" s="129">
        <v>78.361177777777769</v>
      </c>
      <c r="I90" s="98" t="s">
        <v>6021</v>
      </c>
      <c r="J90" s="98" t="s">
        <v>17</v>
      </c>
      <c r="K90" s="106" t="s">
        <v>17</v>
      </c>
      <c r="L90" s="88">
        <v>3.21E-4</v>
      </c>
      <c r="M90" s="89">
        <v>-5.4850000000000003E-3</v>
      </c>
      <c r="N90" s="90">
        <v>4.3670000000000002E-3</v>
      </c>
      <c r="O90" s="97" t="s">
        <v>17</v>
      </c>
      <c r="P90" s="90" t="s">
        <v>17</v>
      </c>
      <c r="Q90" s="93">
        <v>6.2440999599999998E-2</v>
      </c>
      <c r="R90" s="94">
        <v>0.40600000000000003</v>
      </c>
      <c r="S90" s="94">
        <v>0.54800000000000004</v>
      </c>
      <c r="T90" s="94">
        <v>4.5999999999999999E-2</v>
      </c>
      <c r="U90" s="95">
        <v>1.7000000000000001E-2</v>
      </c>
      <c r="V90" s="94">
        <v>0.03</v>
      </c>
      <c r="W90" s="94">
        <v>1.7999999999999999E-2</v>
      </c>
      <c r="X90" s="95">
        <v>0.41483582976599198</v>
      </c>
      <c r="Y90" s="94">
        <v>0.523302674865883</v>
      </c>
      <c r="Z90" s="94">
        <v>6.1898114096813797E-2</v>
      </c>
      <c r="AA90" s="93">
        <v>3.5983592482999902</v>
      </c>
      <c r="AB90" s="95">
        <v>9.2625922299999996E-2</v>
      </c>
      <c r="AC90" s="95">
        <v>0.36899999999999999</v>
      </c>
      <c r="AD90" s="94">
        <v>0.58799999999999997</v>
      </c>
      <c r="AE90" s="100">
        <v>4.2999999999999997E-2</v>
      </c>
      <c r="AF90" s="95">
        <v>1.7000000000000001E-2</v>
      </c>
      <c r="AG90" s="94">
        <v>0.03</v>
      </c>
      <c r="AH90" s="94">
        <v>1.7999999999999999E-2</v>
      </c>
      <c r="AI90" s="95">
        <v>0.37778519100000002</v>
      </c>
      <c r="AJ90" s="94">
        <v>0.56551060099999995</v>
      </c>
      <c r="AK90" s="100">
        <v>5.6736843000000002E-2</v>
      </c>
      <c r="AL90" s="100">
        <v>4.4943435508525003</v>
      </c>
    </row>
    <row r="91" spans="1:38" s="16" customFormat="1" ht="13" customHeight="1" x14ac:dyDescent="0.2">
      <c r="A91" s="87" t="s">
        <v>6306</v>
      </c>
      <c r="B91" s="105">
        <v>5</v>
      </c>
      <c r="C91" s="98" t="s">
        <v>6095</v>
      </c>
      <c r="D91" s="126" t="s">
        <v>6110</v>
      </c>
      <c r="E91" s="126" t="s">
        <v>24</v>
      </c>
      <c r="F91" s="127" t="s">
        <v>6276</v>
      </c>
      <c r="G91" s="128">
        <v>14.442600000000001</v>
      </c>
      <c r="H91" s="129">
        <v>79.986455555555551</v>
      </c>
      <c r="I91" s="98" t="s">
        <v>6021</v>
      </c>
      <c r="J91" s="124" t="s">
        <v>17</v>
      </c>
      <c r="K91" s="125" t="s">
        <v>17</v>
      </c>
      <c r="L91" s="88">
        <v>5.9800000000000001E-4</v>
      </c>
      <c r="M91" s="89">
        <v>-5.437E-3</v>
      </c>
      <c r="N91" s="90">
        <v>3.6600000000000001E-3</v>
      </c>
      <c r="O91" s="97" t="s">
        <v>6204</v>
      </c>
      <c r="P91" s="90" t="s">
        <v>6307</v>
      </c>
      <c r="Q91" s="93">
        <v>7.2412128000000006E-2</v>
      </c>
      <c r="R91" s="94">
        <v>0.40799999999999997</v>
      </c>
      <c r="S91" s="94">
        <v>0.53900000000000003</v>
      </c>
      <c r="T91" s="94">
        <v>5.2999999999999999E-2</v>
      </c>
      <c r="U91" s="95">
        <v>1.6E-2</v>
      </c>
      <c r="V91" s="94">
        <v>2.8000000000000001E-2</v>
      </c>
      <c r="W91" s="94">
        <v>1.7999999999999999E-2</v>
      </c>
      <c r="X91" s="95">
        <v>0.41464546250890599</v>
      </c>
      <c r="Y91" s="94">
        <v>0.51877133435624101</v>
      </c>
      <c r="Z91" s="94">
        <v>6.6620503620610699E-2</v>
      </c>
      <c r="AA91" s="93">
        <v>3.1863026343134102</v>
      </c>
      <c r="AB91" s="95">
        <v>0.112106408</v>
      </c>
      <c r="AC91" s="95">
        <v>0.372</v>
      </c>
      <c r="AD91" s="94">
        <v>0.57399999999999995</v>
      </c>
      <c r="AE91" s="100">
        <v>5.3999999999999999E-2</v>
      </c>
      <c r="AF91" s="95">
        <v>1.6E-2</v>
      </c>
      <c r="AG91" s="94">
        <v>2.8000000000000001E-2</v>
      </c>
      <c r="AH91" s="94">
        <v>1.7999999999999999E-2</v>
      </c>
      <c r="AI91" s="95">
        <v>0.37852168800000002</v>
      </c>
      <c r="AJ91" s="94">
        <v>0.55685078300000002</v>
      </c>
      <c r="AK91" s="100">
        <v>6.4657550999999994E-2</v>
      </c>
      <c r="AL91" s="100">
        <v>3.9159946954354301</v>
      </c>
    </row>
    <row r="92" spans="1:38" s="16" customFormat="1" ht="13" customHeight="1" x14ac:dyDescent="0.2">
      <c r="A92" s="87" t="s">
        <v>6273</v>
      </c>
      <c r="B92" s="105">
        <v>4</v>
      </c>
      <c r="C92" s="98" t="s">
        <v>6095</v>
      </c>
      <c r="D92" s="126" t="s">
        <v>6110</v>
      </c>
      <c r="E92" s="126" t="s">
        <v>24</v>
      </c>
      <c r="F92" s="127" t="s">
        <v>6274</v>
      </c>
      <c r="G92" s="128">
        <v>13.175848999999999</v>
      </c>
      <c r="H92" s="129">
        <v>79.610905000000002</v>
      </c>
      <c r="I92" s="98" t="s">
        <v>6021</v>
      </c>
      <c r="J92" s="124" t="s">
        <v>17</v>
      </c>
      <c r="K92" s="125" t="s">
        <v>17</v>
      </c>
      <c r="L92" s="88">
        <v>1.9959999999999999E-3</v>
      </c>
      <c r="M92" s="89">
        <v>-3.8430000000000001E-3</v>
      </c>
      <c r="N92" s="90">
        <v>-1.25E-4</v>
      </c>
      <c r="O92" s="97" t="s">
        <v>17</v>
      </c>
      <c r="P92" s="90" t="s">
        <v>17</v>
      </c>
      <c r="Q92" s="93">
        <v>9.8227667399999993E-4</v>
      </c>
      <c r="R92" s="94">
        <v>0.42399999999999999</v>
      </c>
      <c r="S92" s="94">
        <v>0.50800000000000001</v>
      </c>
      <c r="T92" s="94">
        <v>6.8000000000000005E-2</v>
      </c>
      <c r="U92" s="95">
        <v>1.7000000000000001E-2</v>
      </c>
      <c r="V92" s="94">
        <v>2.9000000000000001E-2</v>
      </c>
      <c r="W92" s="94">
        <v>1.7000000000000001E-2</v>
      </c>
      <c r="X92" s="95">
        <v>0.42814888267888102</v>
      </c>
      <c r="Y92" s="94">
        <v>0.49542597756920898</v>
      </c>
      <c r="Z92" s="94">
        <v>7.6462319454950106E-2</v>
      </c>
      <c r="AA92" s="93">
        <v>2.0316301274400801</v>
      </c>
      <c r="AB92" s="95">
        <v>2.3940455799999999E-3</v>
      </c>
      <c r="AC92" s="95">
        <v>0.379</v>
      </c>
      <c r="AD92" s="94">
        <v>0.55500000000000005</v>
      </c>
      <c r="AE92" s="100">
        <v>6.6000000000000003E-2</v>
      </c>
      <c r="AF92" s="95">
        <v>1.7000000000000001E-2</v>
      </c>
      <c r="AG92" s="94">
        <v>2.9000000000000001E-2</v>
      </c>
      <c r="AH92" s="94">
        <v>1.7000000000000001E-2</v>
      </c>
      <c r="AI92" s="95">
        <v>0.38435411899999999</v>
      </c>
      <c r="AJ92" s="94">
        <v>0.54150437299999998</v>
      </c>
      <c r="AK92" s="100">
        <v>7.4165044999999999E-2</v>
      </c>
      <c r="AL92" s="100">
        <v>3.1386143761090199</v>
      </c>
    </row>
    <row r="93" spans="1:38" s="16" customFormat="1" ht="13" customHeight="1" x14ac:dyDescent="0.2">
      <c r="A93" s="87" t="s">
        <v>6223</v>
      </c>
      <c r="B93" s="105">
        <v>5</v>
      </c>
      <c r="C93" s="98" t="s">
        <v>6020</v>
      </c>
      <c r="D93" s="126" t="s">
        <v>6066</v>
      </c>
      <c r="E93" s="126" t="s">
        <v>24</v>
      </c>
      <c r="F93" s="127" t="s">
        <v>6203</v>
      </c>
      <c r="G93" s="128">
        <v>25.4358</v>
      </c>
      <c r="H93" s="129">
        <v>81.846311111111106</v>
      </c>
      <c r="I93" s="98" t="s">
        <v>6021</v>
      </c>
      <c r="J93" s="124" t="s">
        <v>17</v>
      </c>
      <c r="K93" s="125" t="s">
        <v>17</v>
      </c>
      <c r="L93" s="88">
        <v>2.5730000000000002E-3</v>
      </c>
      <c r="M93" s="89">
        <v>-4.4330000000000003E-3</v>
      </c>
      <c r="N93" s="90">
        <v>-5.5999999999999999E-3</v>
      </c>
      <c r="O93" s="97" t="s">
        <v>6224</v>
      </c>
      <c r="P93" s="90" t="s">
        <v>6225</v>
      </c>
      <c r="Q93" s="93">
        <v>1.6481928600000001E-2</v>
      </c>
      <c r="R93" s="94">
        <v>0.42199999999999999</v>
      </c>
      <c r="S93" s="94">
        <v>0.44900000000000001</v>
      </c>
      <c r="T93" s="94">
        <v>0.13</v>
      </c>
      <c r="U93" s="95">
        <v>1.4999999999999999E-2</v>
      </c>
      <c r="V93" s="94">
        <v>2.5000000000000001E-2</v>
      </c>
      <c r="W93" s="94">
        <v>1.6E-2</v>
      </c>
      <c r="X93" s="95">
        <v>0.41820479586097498</v>
      </c>
      <c r="Y93" s="94">
        <v>0.45659731814694798</v>
      </c>
      <c r="Z93" s="94">
        <v>0.12530794427546699</v>
      </c>
      <c r="AA93" s="93">
        <v>-1.2817135312079699</v>
      </c>
      <c r="AB93" s="95">
        <v>3.8706430100000001E-2</v>
      </c>
      <c r="AC93" s="95">
        <v>0.38800000000000001</v>
      </c>
      <c r="AD93" s="94">
        <v>0.47199999999999998</v>
      </c>
      <c r="AE93" s="100">
        <v>0.14000000000000001</v>
      </c>
      <c r="AF93" s="95">
        <v>1.4999999999999999E-2</v>
      </c>
      <c r="AG93" s="94">
        <v>2.5000000000000001E-2</v>
      </c>
      <c r="AH93" s="94">
        <v>1.6E-2</v>
      </c>
      <c r="AI93" s="95">
        <v>0.385152877</v>
      </c>
      <c r="AJ93" s="94">
        <v>0.47876761099999998</v>
      </c>
      <c r="AK93" s="100">
        <v>0.136085972</v>
      </c>
      <c r="AL93" s="100">
        <v>-1.85258966737994</v>
      </c>
    </row>
    <row r="94" spans="1:38" s="16" customFormat="1" ht="13" customHeight="1" x14ac:dyDescent="0.2">
      <c r="A94" s="87" t="s">
        <v>6308</v>
      </c>
      <c r="B94" s="105">
        <v>5</v>
      </c>
      <c r="C94" s="98" t="s">
        <v>6095</v>
      </c>
      <c r="D94" s="126" t="s">
        <v>6110</v>
      </c>
      <c r="E94" s="126" t="s">
        <v>24</v>
      </c>
      <c r="F94" s="127" t="s">
        <v>6276</v>
      </c>
      <c r="G94" s="128">
        <v>14.442600000000001</v>
      </c>
      <c r="H94" s="129">
        <v>79.986455555555551</v>
      </c>
      <c r="I94" s="98" t="s">
        <v>6021</v>
      </c>
      <c r="J94" s="98" t="s">
        <v>17</v>
      </c>
      <c r="K94" s="106" t="s">
        <v>17</v>
      </c>
      <c r="L94" s="88">
        <v>6.0700000000000001E-4</v>
      </c>
      <c r="M94" s="89">
        <v>-5.3299999999999997E-3</v>
      </c>
      <c r="N94" s="90">
        <v>3.98E-3</v>
      </c>
      <c r="O94" s="97" t="s">
        <v>6309</v>
      </c>
      <c r="P94" s="90" t="s">
        <v>6310</v>
      </c>
      <c r="Q94" s="93">
        <v>3.33393927E-3</v>
      </c>
      <c r="R94" s="94">
        <v>0.41499999999999998</v>
      </c>
      <c r="S94" s="94">
        <v>0.53900000000000003</v>
      </c>
      <c r="T94" s="94">
        <v>4.5999999999999999E-2</v>
      </c>
      <c r="U94" s="95">
        <v>1.7999999999999999E-2</v>
      </c>
      <c r="V94" s="94">
        <v>0.03</v>
      </c>
      <c r="W94" s="94">
        <v>1.7999999999999999E-2</v>
      </c>
      <c r="X94" s="95">
        <v>0.423299042464028</v>
      </c>
      <c r="Y94" s="94">
        <v>0.51521326552845204</v>
      </c>
      <c r="Z94" s="94">
        <v>6.1523317626627397E-2</v>
      </c>
      <c r="AA94" s="93">
        <v>3.3127376982749901</v>
      </c>
      <c r="AB94" s="95">
        <v>3.9203754600000001E-4</v>
      </c>
      <c r="AC94" s="95">
        <v>0.38100000000000001</v>
      </c>
      <c r="AD94" s="94">
        <v>0.56499999999999995</v>
      </c>
      <c r="AE94" s="100">
        <v>5.3999999999999999E-2</v>
      </c>
      <c r="AF94" s="95">
        <v>1.7999999999999999E-2</v>
      </c>
      <c r="AG94" s="94">
        <v>0.03</v>
      </c>
      <c r="AH94" s="94">
        <v>1.7999999999999999E-2</v>
      </c>
      <c r="AI94" s="95">
        <v>0.388326491</v>
      </c>
      <c r="AJ94" s="94">
        <v>0.54721603299999999</v>
      </c>
      <c r="AK94" s="100">
        <v>6.4480913000000001E-2</v>
      </c>
      <c r="AL94" s="100">
        <v>3.7277842540775299</v>
      </c>
    </row>
    <row r="95" spans="1:38" s="16" customFormat="1" ht="13" customHeight="1" x14ac:dyDescent="0.2">
      <c r="A95" s="87" t="s">
        <v>6231</v>
      </c>
      <c r="B95" s="105">
        <v>3</v>
      </c>
      <c r="C95" s="98" t="s">
        <v>6020</v>
      </c>
      <c r="D95" s="126" t="s">
        <v>6066</v>
      </c>
      <c r="E95" s="126" t="s">
        <v>24</v>
      </c>
      <c r="F95" s="127" t="s">
        <v>6232</v>
      </c>
      <c r="G95" s="128">
        <v>26.94</v>
      </c>
      <c r="H95" s="129">
        <v>81.19</v>
      </c>
      <c r="I95" s="98" t="s">
        <v>6021</v>
      </c>
      <c r="J95" s="98">
        <v>0</v>
      </c>
      <c r="K95" s="106">
        <v>10</v>
      </c>
      <c r="L95" s="88">
        <v>1.916E-3</v>
      </c>
      <c r="M95" s="89">
        <v>-5.7219999999999997E-3</v>
      </c>
      <c r="N95" s="90">
        <v>-5.0330000000000001E-3</v>
      </c>
      <c r="O95" s="97" t="s">
        <v>17</v>
      </c>
      <c r="P95" s="90" t="s">
        <v>17</v>
      </c>
      <c r="Q95" s="93">
        <v>0.117534025</v>
      </c>
      <c r="R95" s="94">
        <v>0.42799999999999999</v>
      </c>
      <c r="S95" s="94">
        <v>0.41399999999999998</v>
      </c>
      <c r="T95" s="94">
        <v>0.158</v>
      </c>
      <c r="U95" s="95">
        <v>1.7000000000000001E-2</v>
      </c>
      <c r="V95" s="94">
        <v>0.03</v>
      </c>
      <c r="W95" s="94">
        <v>1.9E-2</v>
      </c>
      <c r="X95" s="95">
        <v>0.42014374275046101</v>
      </c>
      <c r="Y95" s="94">
        <v>0.43543177518699999</v>
      </c>
      <c r="Z95" s="94">
        <v>0.14447207772172499</v>
      </c>
      <c r="AA95" s="93">
        <v>-2.7561729375097599</v>
      </c>
      <c r="AB95" s="95">
        <v>0.200591196</v>
      </c>
      <c r="AC95" s="95">
        <v>0.40200000000000002</v>
      </c>
      <c r="AD95" s="94">
        <v>0.432</v>
      </c>
      <c r="AE95" s="100">
        <v>0.16600000000000001</v>
      </c>
      <c r="AF95" s="95">
        <v>1.7000000000000001E-2</v>
      </c>
      <c r="AG95" s="94">
        <v>0.03</v>
      </c>
      <c r="AH95" s="94">
        <v>1.9E-2</v>
      </c>
      <c r="AI95" s="95">
        <v>0.39426437800000003</v>
      </c>
      <c r="AJ95" s="94">
        <v>0.45081807600000001</v>
      </c>
      <c r="AK95" s="100">
        <v>0.15491281500000001</v>
      </c>
      <c r="AL95" s="100">
        <v>-3.4120710369791598</v>
      </c>
    </row>
    <row r="96" spans="1:38" s="16" customFormat="1" ht="13" customHeight="1" x14ac:dyDescent="0.2">
      <c r="A96" s="87" t="s">
        <v>6311</v>
      </c>
      <c r="B96" s="105">
        <v>7</v>
      </c>
      <c r="C96" s="98" t="s">
        <v>6095</v>
      </c>
      <c r="D96" s="126" t="s">
        <v>6235</v>
      </c>
      <c r="E96" s="126" t="s">
        <v>24</v>
      </c>
      <c r="F96" s="127" t="s">
        <v>6255</v>
      </c>
      <c r="G96" s="128">
        <v>18.007308333333334</v>
      </c>
      <c r="H96" s="129">
        <v>79.588016666666661</v>
      </c>
      <c r="I96" s="98" t="s">
        <v>6021</v>
      </c>
      <c r="J96" s="98">
        <v>6</v>
      </c>
      <c r="K96" s="106">
        <v>18</v>
      </c>
      <c r="L96" s="88">
        <v>-1.95E-4</v>
      </c>
      <c r="M96" s="89">
        <v>-6.4790000000000004E-3</v>
      </c>
      <c r="N96" s="90">
        <v>4.0289999999999996E-3</v>
      </c>
      <c r="O96" s="97" t="s">
        <v>6312</v>
      </c>
      <c r="P96" s="90" t="s">
        <v>6313</v>
      </c>
      <c r="Q96" s="93">
        <v>2.2287745000000001E-2</v>
      </c>
      <c r="R96" s="94">
        <v>0.42799999999999999</v>
      </c>
      <c r="S96" s="94">
        <v>0.51400000000000001</v>
      </c>
      <c r="T96" s="94">
        <v>5.8999999999999997E-2</v>
      </c>
      <c r="U96" s="95">
        <v>1.4999999999999999E-2</v>
      </c>
      <c r="V96" s="94">
        <v>2.5000000000000001E-2</v>
      </c>
      <c r="W96" s="94">
        <v>1.4999999999999999E-2</v>
      </c>
      <c r="X96" s="95">
        <v>0.43148846045052203</v>
      </c>
      <c r="Y96" s="94">
        <v>0.50059019705687402</v>
      </c>
      <c r="Z96" s="94">
        <v>6.8021872253999194E-2</v>
      </c>
      <c r="AA96" s="93">
        <v>2.6155261820404099</v>
      </c>
      <c r="AB96" s="95">
        <v>4.4275901200000002E-2</v>
      </c>
      <c r="AC96" s="95">
        <v>0.39200000000000002</v>
      </c>
      <c r="AD96" s="94">
        <v>0.55100000000000005</v>
      </c>
      <c r="AE96" s="100">
        <v>5.8000000000000003E-2</v>
      </c>
      <c r="AF96" s="95">
        <v>1.4999999999999999E-2</v>
      </c>
      <c r="AG96" s="94">
        <v>2.5000000000000001E-2</v>
      </c>
      <c r="AH96" s="94">
        <v>1.4999999999999999E-2</v>
      </c>
      <c r="AI96" s="95">
        <v>0.39530487399999997</v>
      </c>
      <c r="AJ96" s="94">
        <v>0.539873398</v>
      </c>
      <c r="AK96" s="100">
        <v>6.4893589000000002E-2</v>
      </c>
      <c r="AL96" s="100">
        <v>3.63296054766918</v>
      </c>
    </row>
    <row r="97" spans="1:38" s="16" customFormat="1" ht="13" customHeight="1" x14ac:dyDescent="0.2">
      <c r="A97" s="87" t="s">
        <v>6295</v>
      </c>
      <c r="B97" s="105">
        <v>4</v>
      </c>
      <c r="C97" s="98" t="s">
        <v>6095</v>
      </c>
      <c r="D97" s="126" t="s">
        <v>6110</v>
      </c>
      <c r="E97" s="126" t="s">
        <v>24</v>
      </c>
      <c r="F97" s="127" t="s">
        <v>6268</v>
      </c>
      <c r="G97" s="128">
        <v>16.170000000000002</v>
      </c>
      <c r="H97" s="129">
        <v>81.13</v>
      </c>
      <c r="I97" s="98" t="s">
        <v>6021</v>
      </c>
      <c r="J97" s="98" t="s">
        <v>17</v>
      </c>
      <c r="K97" s="106" t="s">
        <v>17</v>
      </c>
      <c r="L97" s="88">
        <v>6.4400000000000004E-4</v>
      </c>
      <c r="M97" s="89">
        <v>-4.483E-3</v>
      </c>
      <c r="N97" s="90">
        <v>2.2750000000000001E-3</v>
      </c>
      <c r="O97" s="97" t="s">
        <v>17</v>
      </c>
      <c r="P97" s="90" t="s">
        <v>17</v>
      </c>
      <c r="Q97" s="93">
        <v>2.30100863E-2</v>
      </c>
      <c r="R97" s="94">
        <v>0.43</v>
      </c>
      <c r="S97" s="94">
        <v>0.50700000000000001</v>
      </c>
      <c r="T97" s="94">
        <v>6.3E-2</v>
      </c>
      <c r="U97" s="95">
        <v>1.7000000000000001E-2</v>
      </c>
      <c r="V97" s="94">
        <v>2.8000000000000001E-2</v>
      </c>
      <c r="W97" s="94">
        <v>1.7000000000000001E-2</v>
      </c>
      <c r="X97" s="95">
        <v>0.43439087582113101</v>
      </c>
      <c r="Y97" s="94">
        <v>0.49348740542202102</v>
      </c>
      <c r="Z97" s="94">
        <v>7.2157600212522696E-2</v>
      </c>
      <c r="AA97" s="93">
        <v>2.08510994411284</v>
      </c>
      <c r="AB97" s="95">
        <v>1.52126976E-2</v>
      </c>
      <c r="AC97" s="95">
        <v>0.39700000000000002</v>
      </c>
      <c r="AD97" s="94">
        <v>0.53600000000000003</v>
      </c>
      <c r="AE97" s="100">
        <v>6.7000000000000004E-2</v>
      </c>
      <c r="AF97" s="95">
        <v>1.7000000000000001E-2</v>
      </c>
      <c r="AG97" s="94">
        <v>2.8000000000000001E-2</v>
      </c>
      <c r="AH97" s="94">
        <v>1.7000000000000001E-2</v>
      </c>
      <c r="AI97" s="95">
        <v>0.40073344999999999</v>
      </c>
      <c r="AJ97" s="94">
        <v>0.52578692800000004</v>
      </c>
      <c r="AK97" s="100">
        <v>7.3492262000000003E-2</v>
      </c>
      <c r="AL97" s="100">
        <v>2.4675362042500999</v>
      </c>
    </row>
    <row r="98" spans="1:38" s="16" customFormat="1" ht="13" customHeight="1" x14ac:dyDescent="0.2">
      <c r="A98" s="87" t="s">
        <v>6233</v>
      </c>
      <c r="B98" s="105">
        <v>3</v>
      </c>
      <c r="C98" s="98" t="s">
        <v>6020</v>
      </c>
      <c r="D98" s="126" t="s">
        <v>6055</v>
      </c>
      <c r="E98" s="126" t="s">
        <v>24</v>
      </c>
      <c r="F98" s="127" t="s">
        <v>6056</v>
      </c>
      <c r="G98" s="128">
        <v>26.120888888888889</v>
      </c>
      <c r="H98" s="129">
        <v>85.364719444444432</v>
      </c>
      <c r="I98" s="98" t="s">
        <v>6021</v>
      </c>
      <c r="J98" s="98" t="s">
        <v>17</v>
      </c>
      <c r="K98" s="106" t="s">
        <v>17</v>
      </c>
      <c r="L98" s="88">
        <v>1.8270000000000001E-3</v>
      </c>
      <c r="M98" s="89">
        <v>-5.3039999999999997E-3</v>
      </c>
      <c r="N98" s="90">
        <v>-4.5999999999999999E-3</v>
      </c>
      <c r="O98" s="97" t="s">
        <v>17</v>
      </c>
      <c r="P98" s="90" t="s">
        <v>17</v>
      </c>
      <c r="Q98" s="93">
        <v>2.9117823499999998E-3</v>
      </c>
      <c r="R98" s="94">
        <v>0.432</v>
      </c>
      <c r="S98" s="94">
        <v>0.42899999999999999</v>
      </c>
      <c r="T98" s="94">
        <v>0.13900000000000001</v>
      </c>
      <c r="U98" s="95">
        <v>1.7999999999999999E-2</v>
      </c>
      <c r="V98" s="94">
        <v>3.1E-2</v>
      </c>
      <c r="W98" s="94">
        <v>1.9E-2</v>
      </c>
      <c r="X98" s="95">
        <v>0.42540473939185303</v>
      </c>
      <c r="Y98" s="94">
        <v>0.44537902624922898</v>
      </c>
      <c r="Z98" s="94">
        <v>0.129261117237357</v>
      </c>
      <c r="AA98" s="93">
        <v>-1.92232128293249</v>
      </c>
      <c r="AB98" s="95">
        <v>3.0583968199999999E-3</v>
      </c>
      <c r="AC98" s="95">
        <v>0.40799999999999997</v>
      </c>
      <c r="AD98" s="94">
        <v>0.44</v>
      </c>
      <c r="AE98" s="100">
        <v>0.151</v>
      </c>
      <c r="AF98" s="95">
        <v>1.7999999999999999E-2</v>
      </c>
      <c r="AG98" s="94">
        <v>3.1E-2</v>
      </c>
      <c r="AH98" s="94">
        <v>1.9E-2</v>
      </c>
      <c r="AI98" s="95">
        <v>0.401733479</v>
      </c>
      <c r="AJ98" s="94">
        <v>0.45694206500000001</v>
      </c>
      <c r="AK98" s="100">
        <v>0.14126503900000001</v>
      </c>
      <c r="AL98" s="100">
        <v>-2.7175645515102098</v>
      </c>
    </row>
    <row r="99" spans="1:38" s="16" customFormat="1" ht="13" customHeight="1" x14ac:dyDescent="0.2">
      <c r="A99" s="87" t="s">
        <v>6271</v>
      </c>
      <c r="B99" s="105">
        <v>3</v>
      </c>
      <c r="C99" s="98" t="s">
        <v>6095</v>
      </c>
      <c r="D99" s="126" t="s">
        <v>6110</v>
      </c>
      <c r="E99" s="126" t="s">
        <v>24</v>
      </c>
      <c r="F99" s="127" t="s">
        <v>6272</v>
      </c>
      <c r="G99" s="128">
        <v>15.647677777777778</v>
      </c>
      <c r="H99" s="129">
        <v>77.746758333333332</v>
      </c>
      <c r="I99" s="98" t="s">
        <v>6021</v>
      </c>
      <c r="J99" s="124" t="s">
        <v>17</v>
      </c>
      <c r="K99" s="125" t="s">
        <v>17</v>
      </c>
      <c r="L99" s="88">
        <v>1.707E-3</v>
      </c>
      <c r="M99" s="89">
        <v>-5.5430000000000002E-3</v>
      </c>
      <c r="N99" s="90">
        <v>-2.33E-4</v>
      </c>
      <c r="O99" s="97" t="s">
        <v>17</v>
      </c>
      <c r="P99" s="90" t="s">
        <v>17</v>
      </c>
      <c r="Q99" s="93">
        <v>5.5383818200000004E-3</v>
      </c>
      <c r="R99" s="94">
        <v>0.432</v>
      </c>
      <c r="S99" s="94">
        <v>0.47099999999999997</v>
      </c>
      <c r="T99" s="94">
        <v>9.8000000000000004E-2</v>
      </c>
      <c r="U99" s="95">
        <v>1.7999999999999999E-2</v>
      </c>
      <c r="V99" s="94">
        <v>3.2000000000000001E-2</v>
      </c>
      <c r="W99" s="94">
        <v>1.9E-2</v>
      </c>
      <c r="X99" s="95">
        <v>0.43076181005744302</v>
      </c>
      <c r="Y99" s="94">
        <v>0.47044892416571699</v>
      </c>
      <c r="Z99" s="94">
        <v>9.8894214174197304E-2</v>
      </c>
      <c r="AA99" s="93">
        <v>0.22967569199406801</v>
      </c>
      <c r="AB99" s="95">
        <v>8.5471380199999992E-3</v>
      </c>
      <c r="AC99" s="95">
        <v>0.40300000000000002</v>
      </c>
      <c r="AD99" s="94">
        <v>0.49099999999999999</v>
      </c>
      <c r="AE99" s="100">
        <v>0.106</v>
      </c>
      <c r="AF99" s="95">
        <v>1.7999999999999999E-2</v>
      </c>
      <c r="AG99" s="94">
        <v>3.2000000000000001E-2</v>
      </c>
      <c r="AH99" s="94">
        <v>1.9E-2</v>
      </c>
      <c r="AI99" s="95">
        <v>0.401890947</v>
      </c>
      <c r="AJ99" s="94">
        <v>0.492629335</v>
      </c>
      <c r="AK99" s="100">
        <v>0.105483031</v>
      </c>
      <c r="AL99" s="100">
        <v>-5.9059197140337E-2</v>
      </c>
    </row>
    <row r="100" spans="1:38" s="16" customFormat="1" ht="13" customHeight="1" x14ac:dyDescent="0.2">
      <c r="A100" s="87" t="s">
        <v>6349</v>
      </c>
      <c r="B100" s="105">
        <v>4</v>
      </c>
      <c r="C100" s="98" t="s">
        <v>6095</v>
      </c>
      <c r="D100" s="126" t="s">
        <v>6186</v>
      </c>
      <c r="E100" s="126" t="s">
        <v>24</v>
      </c>
      <c r="F100" s="127" t="s">
        <v>6350</v>
      </c>
      <c r="G100" s="128">
        <v>11.811805555555557</v>
      </c>
      <c r="H100" s="129">
        <v>77.544027777777771</v>
      </c>
      <c r="I100" s="98" t="s">
        <v>6021</v>
      </c>
      <c r="J100" s="98" t="s">
        <v>17</v>
      </c>
      <c r="K100" s="106" t="s">
        <v>17</v>
      </c>
      <c r="L100" s="88">
        <v>-7.4100000000000001E-4</v>
      </c>
      <c r="M100" s="89">
        <v>-5.3569999999999998E-3</v>
      </c>
      <c r="N100" s="90">
        <v>8.5249999999999996E-3</v>
      </c>
      <c r="O100" s="97" t="s">
        <v>17</v>
      </c>
      <c r="P100" s="90" t="s">
        <v>17</v>
      </c>
      <c r="Q100" s="93">
        <v>3.75840681E-2</v>
      </c>
      <c r="R100" s="94">
        <v>0.436</v>
      </c>
      <c r="S100" s="94">
        <v>0.51600000000000001</v>
      </c>
      <c r="T100" s="94">
        <v>4.7E-2</v>
      </c>
      <c r="U100" s="95">
        <v>1.7999999999999999E-2</v>
      </c>
      <c r="V100" s="94">
        <v>0.03</v>
      </c>
      <c r="W100" s="94">
        <v>1.7000000000000001E-2</v>
      </c>
      <c r="X100" s="95">
        <v>0.44361039685261699</v>
      </c>
      <c r="Y100" s="94">
        <v>0.49717909876366101</v>
      </c>
      <c r="Z100" s="94">
        <v>5.9178627662803497E-2</v>
      </c>
      <c r="AA100" s="93">
        <v>2.7517677392456701</v>
      </c>
      <c r="AB100" s="95">
        <v>8.5362789699999997E-2</v>
      </c>
      <c r="AC100" s="95">
        <v>0.40300000000000002</v>
      </c>
      <c r="AD100" s="94">
        <v>0.54700000000000004</v>
      </c>
      <c r="AE100" s="100">
        <v>0.05</v>
      </c>
      <c r="AF100" s="95">
        <v>1.7999999999999999E-2</v>
      </c>
      <c r="AG100" s="94">
        <v>0.03</v>
      </c>
      <c r="AH100" s="94">
        <v>1.7000000000000001E-2</v>
      </c>
      <c r="AI100" s="95">
        <v>0.40888622000000002</v>
      </c>
      <c r="AJ100" s="94">
        <v>0.53233341000000001</v>
      </c>
      <c r="AK100" s="100">
        <v>5.8791422000000003E-2</v>
      </c>
      <c r="AL100" s="100">
        <v>3.38466787881777</v>
      </c>
    </row>
    <row r="101" spans="1:38" s="16" customFormat="1" ht="13" customHeight="1" x14ac:dyDescent="0.2">
      <c r="A101" s="87" t="s">
        <v>6296</v>
      </c>
      <c r="B101" s="105">
        <v>3</v>
      </c>
      <c r="C101" s="98" t="s">
        <v>6095</v>
      </c>
      <c r="D101" s="126" t="s">
        <v>6110</v>
      </c>
      <c r="E101" s="126" t="s">
        <v>24</v>
      </c>
      <c r="F101" s="127" t="s">
        <v>6297</v>
      </c>
      <c r="G101" s="128">
        <v>14.681888000000001</v>
      </c>
      <c r="H101" s="129">
        <v>77.600590999999994</v>
      </c>
      <c r="I101" s="98" t="s">
        <v>6021</v>
      </c>
      <c r="J101" s="98" t="s">
        <v>17</v>
      </c>
      <c r="K101" s="106" t="s">
        <v>17</v>
      </c>
      <c r="L101" s="88">
        <v>8.5700000000000001E-4</v>
      </c>
      <c r="M101" s="89">
        <v>-5.0819999999999997E-3</v>
      </c>
      <c r="N101" s="90">
        <v>3.3670000000000002E-3</v>
      </c>
      <c r="O101" s="97" t="s">
        <v>17</v>
      </c>
      <c r="P101" s="90" t="s">
        <v>17</v>
      </c>
      <c r="Q101" s="93">
        <v>4.2543945E-2</v>
      </c>
      <c r="R101" s="94">
        <v>0.44800000000000001</v>
      </c>
      <c r="S101" s="94">
        <v>0.45400000000000001</v>
      </c>
      <c r="T101" s="94">
        <v>9.8000000000000004E-2</v>
      </c>
      <c r="U101" s="95">
        <v>1.7999999999999999E-2</v>
      </c>
      <c r="V101" s="94">
        <v>0.03</v>
      </c>
      <c r="W101" s="94">
        <v>1.9E-2</v>
      </c>
      <c r="X101" s="95">
        <v>0.44597428005199102</v>
      </c>
      <c r="Y101" s="94">
        <v>0.45732693820426001</v>
      </c>
      <c r="Z101" s="94">
        <v>9.6736821064330195E-2</v>
      </c>
      <c r="AA101" s="93">
        <v>-0.21817531060060899</v>
      </c>
      <c r="AB101" s="95">
        <v>5.0670694600000003E-2</v>
      </c>
      <c r="AC101" s="95">
        <v>0.41499999999999998</v>
      </c>
      <c r="AD101" s="94">
        <v>0.49</v>
      </c>
      <c r="AE101" s="100">
        <v>9.5000000000000001E-2</v>
      </c>
      <c r="AF101" s="95">
        <v>1.7999999999999999E-2</v>
      </c>
      <c r="AG101" s="94">
        <v>0.03</v>
      </c>
      <c r="AH101" s="94">
        <v>1.9E-2</v>
      </c>
      <c r="AI101" s="95">
        <v>0.41420865800000001</v>
      </c>
      <c r="AJ101" s="94">
        <v>0.49028830000000001</v>
      </c>
      <c r="AK101" s="100">
        <v>9.5500689999999999E-2</v>
      </c>
      <c r="AL101" s="100">
        <v>0.23886387267398401</v>
      </c>
    </row>
    <row r="102" spans="1:38" s="16" customFormat="1" ht="13" customHeight="1" x14ac:dyDescent="0.2">
      <c r="A102" s="87" t="s">
        <v>6316</v>
      </c>
      <c r="B102" s="105">
        <v>9</v>
      </c>
      <c r="C102" s="98" t="s">
        <v>6095</v>
      </c>
      <c r="D102" s="126" t="s">
        <v>6096</v>
      </c>
      <c r="E102" s="126" t="s">
        <v>24</v>
      </c>
      <c r="F102" s="127" t="s">
        <v>6167</v>
      </c>
      <c r="G102" s="128">
        <v>14.427547222222222</v>
      </c>
      <c r="H102" s="129">
        <v>74.419091666666674</v>
      </c>
      <c r="I102" s="98" t="s">
        <v>6021</v>
      </c>
      <c r="J102" s="124" t="s">
        <v>17</v>
      </c>
      <c r="K102" s="125" t="s">
        <v>17</v>
      </c>
      <c r="L102" s="88">
        <v>3.5E-4</v>
      </c>
      <c r="M102" s="89">
        <v>-5.0029999999999996E-3</v>
      </c>
      <c r="N102" s="90">
        <v>5.0670000000000003E-3</v>
      </c>
      <c r="O102" s="97" t="s">
        <v>6317</v>
      </c>
      <c r="P102" s="90" t="s">
        <v>6318</v>
      </c>
      <c r="Q102" s="93">
        <v>9.7138334800000005E-4</v>
      </c>
      <c r="R102" s="94">
        <v>0.443</v>
      </c>
      <c r="S102" s="94">
        <v>0.47</v>
      </c>
      <c r="T102" s="94">
        <v>8.6999999999999994E-2</v>
      </c>
      <c r="U102" s="95">
        <v>1.4E-2</v>
      </c>
      <c r="V102" s="94">
        <v>2.3E-2</v>
      </c>
      <c r="W102" s="94">
        <v>1.4E-2</v>
      </c>
      <c r="X102" s="95">
        <v>0.44306881240889101</v>
      </c>
      <c r="Y102" s="94">
        <v>0.46850507730103802</v>
      </c>
      <c r="Z102" s="94">
        <v>8.8463312746695402E-2</v>
      </c>
      <c r="AA102" s="93">
        <v>0.57042113626517199</v>
      </c>
      <c r="AB102" s="95">
        <v>6.5906306299999995E-4</v>
      </c>
      <c r="AC102" s="95">
        <v>0.41499999999999998</v>
      </c>
      <c r="AD102" s="94">
        <v>0.49199999999999999</v>
      </c>
      <c r="AE102" s="100">
        <v>9.2999999999999999E-2</v>
      </c>
      <c r="AF102" s="95">
        <v>1.4E-2</v>
      </c>
      <c r="AG102" s="94">
        <v>2.3E-2</v>
      </c>
      <c r="AH102" s="94">
        <v>1.4E-2</v>
      </c>
      <c r="AI102" s="95">
        <v>0.41469535299999999</v>
      </c>
      <c r="AJ102" s="94">
        <v>0.491767491</v>
      </c>
      <c r="AK102" s="100">
        <v>9.3534998999999994E-2</v>
      </c>
      <c r="AL102" s="100">
        <v>0.45390030341891002</v>
      </c>
    </row>
    <row r="103" spans="1:38" s="16" customFormat="1" ht="13" customHeight="1" x14ac:dyDescent="0.2">
      <c r="A103" s="87" t="s">
        <v>6251</v>
      </c>
      <c r="B103" s="105">
        <v>3</v>
      </c>
      <c r="C103" s="98" t="s">
        <v>6020</v>
      </c>
      <c r="D103" s="126" t="s">
        <v>6151</v>
      </c>
      <c r="E103" s="126" t="s">
        <v>24</v>
      </c>
      <c r="F103" s="127" t="s">
        <v>6252</v>
      </c>
      <c r="G103" s="128">
        <v>22.744108333333333</v>
      </c>
      <c r="H103" s="129">
        <v>77.736966666666675</v>
      </c>
      <c r="I103" s="98" t="s">
        <v>6021</v>
      </c>
      <c r="J103" s="98" t="s">
        <v>17</v>
      </c>
      <c r="K103" s="106" t="s">
        <v>17</v>
      </c>
      <c r="L103" s="88">
        <v>2.1069999999999999E-3</v>
      </c>
      <c r="M103" s="89">
        <v>-3.62E-3</v>
      </c>
      <c r="N103" s="90">
        <v>-2.5330000000000001E-3</v>
      </c>
      <c r="O103" s="97" t="s">
        <v>17</v>
      </c>
      <c r="P103" s="90" t="s">
        <v>17</v>
      </c>
      <c r="Q103" s="93">
        <v>7.1119946699999999E-3</v>
      </c>
      <c r="R103" s="94">
        <v>0.44600000000000001</v>
      </c>
      <c r="S103" s="94">
        <v>0.44</v>
      </c>
      <c r="T103" s="94">
        <v>0.114</v>
      </c>
      <c r="U103" s="95">
        <v>1.7999999999999999E-2</v>
      </c>
      <c r="V103" s="94">
        <v>0.03</v>
      </c>
      <c r="W103" s="94">
        <v>1.7999999999999999E-2</v>
      </c>
      <c r="X103" s="95">
        <v>0.44207054729362899</v>
      </c>
      <c r="Y103" s="94">
        <v>0.448795450131455</v>
      </c>
      <c r="Z103" s="94">
        <v>0.109174218250513</v>
      </c>
      <c r="AA103" s="93">
        <v>-1.0370575911058399</v>
      </c>
      <c r="AB103" s="95">
        <v>1.1549049E-2</v>
      </c>
      <c r="AC103" s="95">
        <v>0.41899999999999998</v>
      </c>
      <c r="AD103" s="94">
        <v>0.46100000000000002</v>
      </c>
      <c r="AE103" s="100">
        <v>0.12</v>
      </c>
      <c r="AF103" s="95">
        <v>1.7999999999999999E-2</v>
      </c>
      <c r="AG103" s="94">
        <v>0.03</v>
      </c>
      <c r="AH103" s="94">
        <v>1.7999999999999999E-2</v>
      </c>
      <c r="AI103" s="95">
        <v>0.41491099100000001</v>
      </c>
      <c r="AJ103" s="94">
        <v>0.4693195</v>
      </c>
      <c r="AK103" s="100">
        <v>0.11576127</v>
      </c>
      <c r="AL103" s="100">
        <v>-1.34801663702327</v>
      </c>
    </row>
    <row r="104" spans="1:38" s="16" customFormat="1" ht="13" customHeight="1" x14ac:dyDescent="0.2">
      <c r="A104" s="87" t="s">
        <v>6217</v>
      </c>
      <c r="B104" s="105">
        <v>2</v>
      </c>
      <c r="C104" s="98" t="s">
        <v>6020</v>
      </c>
      <c r="D104" s="126" t="s">
        <v>6066</v>
      </c>
      <c r="E104" s="126" t="s">
        <v>24</v>
      </c>
      <c r="F104" s="127" t="s">
        <v>6077</v>
      </c>
      <c r="G104" s="128">
        <v>25.749002777777779</v>
      </c>
      <c r="H104" s="129">
        <v>82.698700000000002</v>
      </c>
      <c r="I104" s="98" t="s">
        <v>6021</v>
      </c>
      <c r="J104" s="124" t="s">
        <v>17</v>
      </c>
      <c r="K104" s="125" t="s">
        <v>17</v>
      </c>
      <c r="L104" s="88">
        <v>2.7109999999999999E-3</v>
      </c>
      <c r="M104" s="89">
        <v>-3.1930000000000001E-3</v>
      </c>
      <c r="N104" s="90">
        <v>-6.3499999999999997E-3</v>
      </c>
      <c r="O104" s="97" t="s">
        <v>17</v>
      </c>
      <c r="P104" s="90" t="s">
        <v>17</v>
      </c>
      <c r="Q104" s="93">
        <v>9.11865907E-3</v>
      </c>
      <c r="R104" s="94">
        <v>0.45700000000000002</v>
      </c>
      <c r="S104" s="94">
        <v>0.36799999999999999</v>
      </c>
      <c r="T104" s="94">
        <v>0.17399999999999999</v>
      </c>
      <c r="U104" s="95">
        <v>2.1000000000000001E-2</v>
      </c>
      <c r="V104" s="94">
        <v>3.4000000000000002E-2</v>
      </c>
      <c r="W104" s="94">
        <v>2.1999999999999999E-2</v>
      </c>
      <c r="X104" s="95">
        <v>0.44359583468833003</v>
      </c>
      <c r="Y104" s="94">
        <v>0.40711125142522298</v>
      </c>
      <c r="Z104" s="94">
        <v>0.149273658546172</v>
      </c>
      <c r="AA104" s="93">
        <v>-3.8088753855916799</v>
      </c>
      <c r="AB104" s="95">
        <v>1.9411251800000001E-2</v>
      </c>
      <c r="AC104" s="95">
        <v>0.43</v>
      </c>
      <c r="AD104" s="94">
        <v>0.38500000000000001</v>
      </c>
      <c r="AE104" s="100">
        <v>0.185</v>
      </c>
      <c r="AF104" s="95">
        <v>2.1000000000000001E-2</v>
      </c>
      <c r="AG104" s="94">
        <v>3.4000000000000002E-2</v>
      </c>
      <c r="AH104" s="94">
        <v>2.1999999999999999E-2</v>
      </c>
      <c r="AI104" s="95">
        <v>0.41518359399999999</v>
      </c>
      <c r="AJ104" s="94">
        <v>0.42118580999999999</v>
      </c>
      <c r="AK104" s="100">
        <v>0.16360939199999999</v>
      </c>
      <c r="AL104" s="100">
        <v>-4.3984925831193697</v>
      </c>
    </row>
    <row r="105" spans="1:38" s="16" customFormat="1" ht="13" customHeight="1" x14ac:dyDescent="0.2">
      <c r="A105" s="87" t="s">
        <v>6319</v>
      </c>
      <c r="B105" s="105">
        <v>8</v>
      </c>
      <c r="C105" s="98" t="s">
        <v>6095</v>
      </c>
      <c r="D105" s="126" t="s">
        <v>6186</v>
      </c>
      <c r="E105" s="126" t="s">
        <v>24</v>
      </c>
      <c r="F105" s="127" t="s">
        <v>6320</v>
      </c>
      <c r="G105" s="128">
        <v>9.2882138888888885</v>
      </c>
      <c r="H105" s="129">
        <v>79.312861111111104</v>
      </c>
      <c r="I105" s="98" t="s">
        <v>6021</v>
      </c>
      <c r="J105" s="98" t="s">
        <v>17</v>
      </c>
      <c r="K105" s="106" t="s">
        <v>17</v>
      </c>
      <c r="L105" s="88">
        <v>-3.9999999999999998E-6</v>
      </c>
      <c r="M105" s="89">
        <v>-5.0819999999999997E-3</v>
      </c>
      <c r="N105" s="90">
        <v>5.0879999999999996E-3</v>
      </c>
      <c r="O105" s="97" t="s">
        <v>6321</v>
      </c>
      <c r="P105" s="90" t="s">
        <v>6322</v>
      </c>
      <c r="Q105" s="93">
        <v>4.1954210400000002E-3</v>
      </c>
      <c r="R105" s="94">
        <v>0.443</v>
      </c>
      <c r="S105" s="94">
        <v>0.49</v>
      </c>
      <c r="T105" s="94">
        <v>6.7000000000000004E-2</v>
      </c>
      <c r="U105" s="95">
        <v>1.4E-2</v>
      </c>
      <c r="V105" s="94">
        <v>2.5999999999999999E-2</v>
      </c>
      <c r="W105" s="94">
        <v>1.6E-2</v>
      </c>
      <c r="X105" s="95">
        <v>0.44561842568014298</v>
      </c>
      <c r="Y105" s="94">
        <v>0.481402726557903</v>
      </c>
      <c r="Z105" s="94">
        <v>7.3013602780755096E-2</v>
      </c>
      <c r="AA105" s="93">
        <v>1.6785546990759901</v>
      </c>
      <c r="AB105" s="95">
        <v>1.4706621300000001E-3</v>
      </c>
      <c r="AC105" s="95">
        <v>0.41499999999999998</v>
      </c>
      <c r="AD105" s="94">
        <v>0.51200000000000001</v>
      </c>
      <c r="AE105" s="100">
        <v>7.2999999999999995E-2</v>
      </c>
      <c r="AF105" s="95">
        <v>1.4E-2</v>
      </c>
      <c r="AG105" s="94">
        <v>2.5999999999999999E-2</v>
      </c>
      <c r="AH105" s="94">
        <v>1.6E-2</v>
      </c>
      <c r="AI105" s="95">
        <v>0.41663505899999997</v>
      </c>
      <c r="AJ105" s="94">
        <v>0.50694230799999995</v>
      </c>
      <c r="AK105" s="100">
        <v>7.6423735000000007E-2</v>
      </c>
      <c r="AL105" s="100">
        <v>1.7995879368238501</v>
      </c>
    </row>
    <row r="106" spans="1:38" s="16" customFormat="1" ht="13" customHeight="1" x14ac:dyDescent="0.2">
      <c r="A106" s="87" t="s">
        <v>6323</v>
      </c>
      <c r="B106" s="105">
        <v>13</v>
      </c>
      <c r="C106" s="98" t="s">
        <v>6020</v>
      </c>
      <c r="D106" s="126" t="s">
        <v>6066</v>
      </c>
      <c r="E106" s="126" t="s">
        <v>24</v>
      </c>
      <c r="F106" s="127" t="s">
        <v>6324</v>
      </c>
      <c r="G106" s="128">
        <v>16.3</v>
      </c>
      <c r="H106" s="129">
        <v>80.48</v>
      </c>
      <c r="I106" s="98" t="s">
        <v>6021</v>
      </c>
      <c r="J106" s="98" t="s">
        <v>17</v>
      </c>
      <c r="K106" s="106" t="s">
        <v>17</v>
      </c>
      <c r="L106" s="88">
        <v>-9.6000000000000002E-5</v>
      </c>
      <c r="M106" s="89">
        <v>-4.8679999999999999E-3</v>
      </c>
      <c r="N106" s="90">
        <v>5.5310000000000003E-3</v>
      </c>
      <c r="O106" s="97" t="s">
        <v>6325</v>
      </c>
      <c r="P106" s="90" t="s">
        <v>6326</v>
      </c>
      <c r="Q106" s="93">
        <v>1.03461973E-2</v>
      </c>
      <c r="R106" s="94">
        <v>0.44900000000000001</v>
      </c>
      <c r="S106" s="94">
        <v>0.48899999999999999</v>
      </c>
      <c r="T106" s="94">
        <v>6.0999999999999999E-2</v>
      </c>
      <c r="U106" s="95">
        <v>1.2999999999999999E-2</v>
      </c>
      <c r="V106" s="94">
        <v>2.3E-2</v>
      </c>
      <c r="W106" s="94">
        <v>1.4E-2</v>
      </c>
      <c r="X106" s="95">
        <v>0.45224176595096799</v>
      </c>
      <c r="Y106" s="94">
        <v>0.48115567893715899</v>
      </c>
      <c r="Z106" s="94">
        <v>6.6570754502590396E-2</v>
      </c>
      <c r="AA106" s="93">
        <v>1.94499781159659</v>
      </c>
      <c r="AB106" s="95">
        <v>7.4131566099999999E-3</v>
      </c>
      <c r="AC106" s="95">
        <v>0.41899999999999998</v>
      </c>
      <c r="AD106" s="94">
        <v>0.51700000000000002</v>
      </c>
      <c r="AE106" s="100">
        <v>6.4000000000000001E-2</v>
      </c>
      <c r="AF106" s="95">
        <v>1.2999999999999999E-2</v>
      </c>
      <c r="AG106" s="94">
        <v>2.3E-2</v>
      </c>
      <c r="AH106" s="94">
        <v>1.4E-2</v>
      </c>
      <c r="AI106" s="95">
        <v>0.42089532400000002</v>
      </c>
      <c r="AJ106" s="94">
        <v>0.51147339000000003</v>
      </c>
      <c r="AK106" s="100">
        <v>6.7631854000000005E-2</v>
      </c>
      <c r="AL106" s="100">
        <v>2.5478553743464998</v>
      </c>
    </row>
    <row r="107" spans="1:38" s="16" customFormat="1" ht="13" customHeight="1" x14ac:dyDescent="0.2">
      <c r="A107" s="87" t="s">
        <v>6294</v>
      </c>
      <c r="B107" s="105">
        <v>3</v>
      </c>
      <c r="C107" s="98" t="s">
        <v>6020</v>
      </c>
      <c r="D107" s="126" t="s">
        <v>6066</v>
      </c>
      <c r="E107" s="126" t="s">
        <v>24</v>
      </c>
      <c r="F107" s="127" t="s">
        <v>6085</v>
      </c>
      <c r="G107" s="128">
        <v>25.748999999999999</v>
      </c>
      <c r="H107" s="129">
        <v>82.698700000000002</v>
      </c>
      <c r="I107" s="98" t="s">
        <v>6021</v>
      </c>
      <c r="J107" s="124" t="s">
        <v>17</v>
      </c>
      <c r="K107" s="125" t="s">
        <v>17</v>
      </c>
      <c r="L107" s="88">
        <v>6.9999999999999999E-6</v>
      </c>
      <c r="M107" s="89">
        <v>-4.9199999999999999E-3</v>
      </c>
      <c r="N107" s="90">
        <v>2.2000000000000001E-3</v>
      </c>
      <c r="O107" s="97" t="s">
        <v>17</v>
      </c>
      <c r="P107" s="90" t="s">
        <v>17</v>
      </c>
      <c r="Q107" s="93">
        <v>1.99438649E-2</v>
      </c>
      <c r="R107" s="94">
        <v>0.45900000000000002</v>
      </c>
      <c r="S107" s="94">
        <v>0.45</v>
      </c>
      <c r="T107" s="94">
        <v>9.1999999999999998E-2</v>
      </c>
      <c r="U107" s="95">
        <v>0.02</v>
      </c>
      <c r="V107" s="94">
        <v>3.2000000000000001E-2</v>
      </c>
      <c r="W107" s="94">
        <v>1.9E-2</v>
      </c>
      <c r="X107" s="95">
        <v>0.45561540000606099</v>
      </c>
      <c r="Y107" s="94">
        <v>0.45362510446864301</v>
      </c>
      <c r="Z107" s="94">
        <v>9.0860527582995204E-2</v>
      </c>
      <c r="AA107" s="93">
        <v>-0.14461055843571399</v>
      </c>
      <c r="AB107" s="95">
        <v>0.100144661</v>
      </c>
      <c r="AC107" s="95">
        <v>0.433</v>
      </c>
      <c r="AD107" s="94">
        <v>0.47099999999999997</v>
      </c>
      <c r="AE107" s="100">
        <v>9.6000000000000002E-2</v>
      </c>
      <c r="AF107" s="95">
        <v>0.02</v>
      </c>
      <c r="AG107" s="94">
        <v>3.2000000000000001E-2</v>
      </c>
      <c r="AH107" s="94">
        <v>1.9E-2</v>
      </c>
      <c r="AI107" s="95">
        <v>0.43029475900000003</v>
      </c>
      <c r="AJ107" s="94">
        <v>0.47514549900000003</v>
      </c>
      <c r="AK107" s="100">
        <v>9.4546765000000005E-2</v>
      </c>
      <c r="AL107" s="100">
        <v>-0.29020659181059599</v>
      </c>
    </row>
    <row r="108" spans="1:38" s="16" customFormat="1" ht="13" customHeight="1" x14ac:dyDescent="0.2">
      <c r="A108" s="87" t="s">
        <v>6331</v>
      </c>
      <c r="B108" s="105">
        <v>4</v>
      </c>
      <c r="C108" s="98" t="s">
        <v>6095</v>
      </c>
      <c r="D108" s="126" t="s">
        <v>6235</v>
      </c>
      <c r="E108" s="126" t="s">
        <v>24</v>
      </c>
      <c r="F108" s="127" t="s">
        <v>6255</v>
      </c>
      <c r="G108" s="128">
        <v>18.007308333333334</v>
      </c>
      <c r="H108" s="129">
        <v>79.588016666666661</v>
      </c>
      <c r="I108" s="98" t="s">
        <v>6021</v>
      </c>
      <c r="J108" s="98" t="s">
        <v>17</v>
      </c>
      <c r="K108" s="106" t="s">
        <v>17</v>
      </c>
      <c r="L108" s="88">
        <v>-9.2999999999999997E-5</v>
      </c>
      <c r="M108" s="89">
        <v>-5.1209999999999997E-3</v>
      </c>
      <c r="N108" s="90">
        <v>6.0749999999999997E-3</v>
      </c>
      <c r="O108" s="97" t="s">
        <v>17</v>
      </c>
      <c r="P108" s="90" t="s">
        <v>17</v>
      </c>
      <c r="Q108" s="93">
        <v>1.69487646E-3</v>
      </c>
      <c r="R108" s="94">
        <v>0.45900000000000002</v>
      </c>
      <c r="S108" s="94">
        <v>0.46500000000000002</v>
      </c>
      <c r="T108" s="94">
        <v>7.5999999999999998E-2</v>
      </c>
      <c r="U108" s="95">
        <v>1.7000000000000001E-2</v>
      </c>
      <c r="V108" s="94">
        <v>0.03</v>
      </c>
      <c r="W108" s="94">
        <v>1.9E-2</v>
      </c>
      <c r="X108" s="95">
        <v>0.45909072435325399</v>
      </c>
      <c r="Y108" s="94">
        <v>0.46222192026425202</v>
      </c>
      <c r="Z108" s="94">
        <v>7.8721412551164202E-2</v>
      </c>
      <c r="AA108" s="93">
        <v>0.62038447524319895</v>
      </c>
      <c r="AB108" s="95">
        <v>7.4251520499999998E-3</v>
      </c>
      <c r="AC108" s="95">
        <v>0.43099999999999999</v>
      </c>
      <c r="AD108" s="94">
        <v>0.48899999999999999</v>
      </c>
      <c r="AE108" s="100">
        <v>0.08</v>
      </c>
      <c r="AF108" s="95">
        <v>1.7000000000000001E-2</v>
      </c>
      <c r="AG108" s="94">
        <v>0.03</v>
      </c>
      <c r="AH108" s="94">
        <v>1.9E-2</v>
      </c>
      <c r="AI108" s="95">
        <v>0.430909019</v>
      </c>
      <c r="AJ108" s="94">
        <v>0.48730515499999999</v>
      </c>
      <c r="AK108" s="100">
        <v>8.1775844E-2</v>
      </c>
      <c r="AL108" s="100">
        <v>0.66047137616358498</v>
      </c>
    </row>
    <row r="109" spans="1:38" s="16" customFormat="1" ht="13" customHeight="1" x14ac:dyDescent="0.2">
      <c r="A109" s="87" t="s">
        <v>6363</v>
      </c>
      <c r="B109" s="105">
        <v>5</v>
      </c>
      <c r="C109" s="98" t="s">
        <v>6095</v>
      </c>
      <c r="D109" s="126" t="s">
        <v>6186</v>
      </c>
      <c r="E109" s="126" t="s">
        <v>24</v>
      </c>
      <c r="F109" s="127" t="s">
        <v>6364</v>
      </c>
      <c r="G109" s="128">
        <v>12.185483333333334</v>
      </c>
      <c r="H109" s="129">
        <v>79.571077777777774</v>
      </c>
      <c r="I109" s="98" t="s">
        <v>6021</v>
      </c>
      <c r="J109" s="124" t="s">
        <v>17</v>
      </c>
      <c r="K109" s="125" t="s">
        <v>17</v>
      </c>
      <c r="L109" s="88">
        <v>-1.165E-3</v>
      </c>
      <c r="M109" s="89">
        <v>-5.0730000000000003E-3</v>
      </c>
      <c r="N109" s="90">
        <v>1.1639999999999999E-2</v>
      </c>
      <c r="O109" s="97" t="s">
        <v>6365</v>
      </c>
      <c r="P109" s="90" t="s">
        <v>6366</v>
      </c>
      <c r="Q109" s="93">
        <v>5.6965468300000004E-3</v>
      </c>
      <c r="R109" s="94">
        <v>0.46200000000000002</v>
      </c>
      <c r="S109" s="94">
        <v>0.505</v>
      </c>
      <c r="T109" s="94">
        <v>3.3000000000000002E-2</v>
      </c>
      <c r="U109" s="95">
        <v>1.6E-2</v>
      </c>
      <c r="V109" s="94">
        <v>2.7E-2</v>
      </c>
      <c r="W109" s="94">
        <v>1.7000000000000001E-2</v>
      </c>
      <c r="X109" s="95">
        <v>0.46737047142584298</v>
      </c>
      <c r="Y109" s="94">
        <v>0.48822405843644801</v>
      </c>
      <c r="Z109" s="94">
        <v>4.44338043489634E-2</v>
      </c>
      <c r="AA109" s="93">
        <v>3.00597680599029</v>
      </c>
      <c r="AB109" s="95">
        <v>3.87101038E-3</v>
      </c>
      <c r="AC109" s="95">
        <v>0.42899999999999999</v>
      </c>
      <c r="AD109" s="94">
        <v>0.53900000000000003</v>
      </c>
      <c r="AE109" s="100">
        <v>3.2000000000000001E-2</v>
      </c>
      <c r="AF109" s="95">
        <v>1.6E-2</v>
      </c>
      <c r="AG109" s="94">
        <v>2.7E-2</v>
      </c>
      <c r="AH109" s="94">
        <v>1.7000000000000001E-2</v>
      </c>
      <c r="AI109" s="95">
        <v>0.43380438999999998</v>
      </c>
      <c r="AJ109" s="94">
        <v>0.525423109</v>
      </c>
      <c r="AK109" s="100">
        <v>4.0771513000000002E-2</v>
      </c>
      <c r="AL109" s="100">
        <v>3.8895166290577201</v>
      </c>
    </row>
    <row r="110" spans="1:38" s="16" customFormat="1" ht="13" customHeight="1" x14ac:dyDescent="0.2">
      <c r="A110" s="87" t="s">
        <v>6339</v>
      </c>
      <c r="B110" s="105">
        <v>4</v>
      </c>
      <c r="C110" s="98" t="s">
        <v>6095</v>
      </c>
      <c r="D110" s="126" t="s">
        <v>6110</v>
      </c>
      <c r="E110" s="126" t="s">
        <v>24</v>
      </c>
      <c r="F110" s="127" t="s">
        <v>6257</v>
      </c>
      <c r="G110" s="128">
        <v>14.670986111111111</v>
      </c>
      <c r="H110" s="129">
        <v>77.590744444444439</v>
      </c>
      <c r="I110" s="98" t="s">
        <v>6021</v>
      </c>
      <c r="J110" s="98" t="s">
        <v>17</v>
      </c>
      <c r="K110" s="106" t="s">
        <v>17</v>
      </c>
      <c r="L110" s="88">
        <v>-4.8500000000000003E-4</v>
      </c>
      <c r="M110" s="89">
        <v>-5.0099999999999997E-3</v>
      </c>
      <c r="N110" s="90">
        <v>7.4000000000000003E-3</v>
      </c>
      <c r="O110" s="97" t="s">
        <v>17</v>
      </c>
      <c r="P110" s="90" t="s">
        <v>17</v>
      </c>
      <c r="Q110" s="93">
        <v>6.8389381299999996E-2</v>
      </c>
      <c r="R110" s="94">
        <v>0.46400000000000002</v>
      </c>
      <c r="S110" s="94">
        <v>0.45300000000000001</v>
      </c>
      <c r="T110" s="94">
        <v>8.3000000000000004E-2</v>
      </c>
      <c r="U110" s="95">
        <v>1.7000000000000001E-2</v>
      </c>
      <c r="V110" s="94">
        <v>0.03</v>
      </c>
      <c r="W110" s="94">
        <v>1.9E-2</v>
      </c>
      <c r="X110" s="95">
        <v>0.46258572019105598</v>
      </c>
      <c r="Y110" s="94">
        <v>0.45404741800888399</v>
      </c>
      <c r="Z110" s="94">
        <v>8.3401185101666594E-2</v>
      </c>
      <c r="AA110" s="93">
        <v>0.14039622726248399</v>
      </c>
      <c r="AB110" s="95">
        <v>0.20320876199999999</v>
      </c>
      <c r="AC110" s="95">
        <v>0.435</v>
      </c>
      <c r="AD110" s="94">
        <v>0.48199999999999998</v>
      </c>
      <c r="AE110" s="100">
        <v>8.3000000000000004E-2</v>
      </c>
      <c r="AF110" s="95">
        <v>1.7000000000000001E-2</v>
      </c>
      <c r="AG110" s="94">
        <v>0.03</v>
      </c>
      <c r="AH110" s="94">
        <v>1.9E-2</v>
      </c>
      <c r="AI110" s="95">
        <v>0.43410784800000002</v>
      </c>
      <c r="AJ110" s="94">
        <v>0.48196247800000003</v>
      </c>
      <c r="AK110" s="100">
        <v>8.3916957E-2</v>
      </c>
      <c r="AL110" s="100">
        <v>0.37233626495949601</v>
      </c>
    </row>
    <row r="111" spans="1:38" s="16" customFormat="1" ht="13" customHeight="1" x14ac:dyDescent="0.2">
      <c r="A111" s="87" t="s">
        <v>6327</v>
      </c>
      <c r="B111" s="105">
        <v>8</v>
      </c>
      <c r="C111" s="98" t="s">
        <v>6020</v>
      </c>
      <c r="D111" s="126" t="s">
        <v>6028</v>
      </c>
      <c r="E111" s="126" t="s">
        <v>24</v>
      </c>
      <c r="F111" s="127" t="s">
        <v>6328</v>
      </c>
      <c r="G111" s="128">
        <v>21.278872222222223</v>
      </c>
      <c r="H111" s="129">
        <v>73.60652222222221</v>
      </c>
      <c r="I111" s="98" t="s">
        <v>6021</v>
      </c>
      <c r="J111" s="124" t="s">
        <v>17</v>
      </c>
      <c r="K111" s="125" t="s">
        <v>17</v>
      </c>
      <c r="L111" s="88">
        <v>-2.8800000000000001E-4</v>
      </c>
      <c r="M111" s="89">
        <v>-5.3439999999999998E-3</v>
      </c>
      <c r="N111" s="90">
        <v>5.7120000000000001E-3</v>
      </c>
      <c r="O111" s="97" t="s">
        <v>6329</v>
      </c>
      <c r="P111" s="90" t="s">
        <v>6330</v>
      </c>
      <c r="Q111" s="93">
        <v>3.1723068399999999E-3</v>
      </c>
      <c r="R111" s="94">
        <v>0.46300000000000002</v>
      </c>
      <c r="S111" s="94">
        <v>0.44700000000000001</v>
      </c>
      <c r="T111" s="94">
        <v>0.09</v>
      </c>
      <c r="U111" s="95">
        <v>1.4E-2</v>
      </c>
      <c r="V111" s="94">
        <v>2.5999999999999999E-2</v>
      </c>
      <c r="W111" s="94">
        <v>1.6E-2</v>
      </c>
      <c r="X111" s="95">
        <v>0.46119449428560999</v>
      </c>
      <c r="Y111" s="94">
        <v>0.450023420023212</v>
      </c>
      <c r="Z111" s="94">
        <v>8.8817322620267397E-2</v>
      </c>
      <c r="AA111" s="93">
        <v>-0.21882566855198299</v>
      </c>
      <c r="AB111" s="95">
        <v>4.0322357799999998E-3</v>
      </c>
      <c r="AC111" s="95">
        <v>0.437</v>
      </c>
      <c r="AD111" s="94">
        <v>0.46800000000000003</v>
      </c>
      <c r="AE111" s="100">
        <v>9.6000000000000002E-2</v>
      </c>
      <c r="AF111" s="95">
        <v>1.4E-2</v>
      </c>
      <c r="AG111" s="94">
        <v>2.5999999999999999E-2</v>
      </c>
      <c r="AH111" s="94">
        <v>1.6E-2</v>
      </c>
      <c r="AI111" s="95">
        <v>0.43423145800000001</v>
      </c>
      <c r="AJ111" s="94">
        <v>0.47119481299999999</v>
      </c>
      <c r="AK111" s="100">
        <v>9.4611363000000004E-2</v>
      </c>
      <c r="AL111" s="100">
        <v>-0.41527600080451099</v>
      </c>
    </row>
    <row r="112" spans="1:38" s="16" customFormat="1" ht="13" customHeight="1" x14ac:dyDescent="0.2">
      <c r="A112" s="87" t="s">
        <v>6332</v>
      </c>
      <c r="B112" s="105">
        <v>5</v>
      </c>
      <c r="C112" s="98" t="s">
        <v>6095</v>
      </c>
      <c r="D112" s="126" t="s">
        <v>6096</v>
      </c>
      <c r="E112" s="126" t="s">
        <v>24</v>
      </c>
      <c r="F112" s="127" t="s">
        <v>6104</v>
      </c>
      <c r="G112" s="128">
        <v>12.914141666666668</v>
      </c>
      <c r="H112" s="129">
        <v>74.855955555555553</v>
      </c>
      <c r="I112" s="98" t="s">
        <v>6021</v>
      </c>
      <c r="J112" s="98" t="s">
        <v>17</v>
      </c>
      <c r="K112" s="106" t="s">
        <v>17</v>
      </c>
      <c r="L112" s="88">
        <v>-4.2999999999999999E-4</v>
      </c>
      <c r="M112" s="89">
        <v>-5.4390000000000003E-3</v>
      </c>
      <c r="N112" s="90">
        <v>6.1399999999999996E-3</v>
      </c>
      <c r="O112" s="97" t="s">
        <v>6333</v>
      </c>
      <c r="P112" s="90" t="s">
        <v>6334</v>
      </c>
      <c r="Q112" s="93">
        <v>7.9519535800000006E-3</v>
      </c>
      <c r="R112" s="94">
        <v>0.46500000000000002</v>
      </c>
      <c r="S112" s="94">
        <v>0.45800000000000002</v>
      </c>
      <c r="T112" s="94">
        <v>7.6999999999999999E-2</v>
      </c>
      <c r="U112" s="95">
        <v>1.6E-2</v>
      </c>
      <c r="V112" s="94">
        <v>2.7E-2</v>
      </c>
      <c r="W112" s="94">
        <v>1.7000000000000001E-2</v>
      </c>
      <c r="X112" s="95">
        <v>0.46444439461804798</v>
      </c>
      <c r="Y112" s="94">
        <v>0.45721257816272798</v>
      </c>
      <c r="Z112" s="94">
        <v>7.8376442217286596E-2</v>
      </c>
      <c r="AA112" s="93">
        <v>0.47038765373944802</v>
      </c>
      <c r="AB112" s="95">
        <v>2.6115869900000001E-2</v>
      </c>
      <c r="AC112" s="95">
        <v>0.437</v>
      </c>
      <c r="AD112" s="94">
        <v>0.48599999999999999</v>
      </c>
      <c r="AE112" s="100">
        <v>7.8E-2</v>
      </c>
      <c r="AF112" s="95">
        <v>1.6E-2</v>
      </c>
      <c r="AG112" s="94">
        <v>2.7E-2</v>
      </c>
      <c r="AH112" s="94">
        <v>1.7000000000000001E-2</v>
      </c>
      <c r="AI112" s="95">
        <v>0.43580480300000002</v>
      </c>
      <c r="AJ112" s="94">
        <v>0.48492785700000002</v>
      </c>
      <c r="AK112" s="100">
        <v>7.9307985999999997E-2</v>
      </c>
      <c r="AL112" s="100">
        <v>0.75664482366730401</v>
      </c>
    </row>
    <row r="113" spans="1:38" s="16" customFormat="1" ht="13" customHeight="1" x14ac:dyDescent="0.2">
      <c r="A113" s="87" t="s">
        <v>6298</v>
      </c>
      <c r="B113" s="105">
        <v>5</v>
      </c>
      <c r="C113" s="98" t="s">
        <v>6020</v>
      </c>
      <c r="D113" s="126" t="s">
        <v>6028</v>
      </c>
      <c r="E113" s="126" t="s">
        <v>24</v>
      </c>
      <c r="F113" s="127" t="s">
        <v>6299</v>
      </c>
      <c r="G113" s="128">
        <v>22.308494444444445</v>
      </c>
      <c r="H113" s="129">
        <v>74.012</v>
      </c>
      <c r="I113" s="98" t="s">
        <v>6021</v>
      </c>
      <c r="J113" s="98" t="s">
        <v>17</v>
      </c>
      <c r="K113" s="106" t="s">
        <v>17</v>
      </c>
      <c r="L113" s="88">
        <v>4.6299999999999998E-4</v>
      </c>
      <c r="M113" s="89">
        <v>-4.4539999999999996E-3</v>
      </c>
      <c r="N113" s="90">
        <v>3.3800000000000002E-3</v>
      </c>
      <c r="O113" s="97" t="s">
        <v>6300</v>
      </c>
      <c r="P113" s="90" t="s">
        <v>6301</v>
      </c>
      <c r="Q113" s="93">
        <v>2.5125549099999998E-2</v>
      </c>
      <c r="R113" s="94">
        <v>0.46800000000000003</v>
      </c>
      <c r="S113" s="94">
        <v>0.41099999999999998</v>
      </c>
      <c r="T113" s="94">
        <v>0.121</v>
      </c>
      <c r="U113" s="95">
        <v>1.6E-2</v>
      </c>
      <c r="V113" s="94">
        <v>2.7E-2</v>
      </c>
      <c r="W113" s="94">
        <v>1.7000000000000001E-2</v>
      </c>
      <c r="X113" s="95">
        <v>0.46186688260633302</v>
      </c>
      <c r="Y113" s="94">
        <v>0.42547743743703798</v>
      </c>
      <c r="Z113" s="94">
        <v>0.112694186134719</v>
      </c>
      <c r="AA113" s="93">
        <v>-2.1347591895175202</v>
      </c>
      <c r="AB113" s="95">
        <v>4.15088204E-2</v>
      </c>
      <c r="AC113" s="95">
        <v>0.443</v>
      </c>
      <c r="AD113" s="94">
        <v>0.42899999999999999</v>
      </c>
      <c r="AE113" s="100">
        <v>0.128</v>
      </c>
      <c r="AF113" s="95">
        <v>1.6E-2</v>
      </c>
      <c r="AG113" s="94">
        <v>2.7E-2</v>
      </c>
      <c r="AH113" s="94">
        <v>1.7000000000000001E-2</v>
      </c>
      <c r="AI113" s="95">
        <v>0.43736524999999998</v>
      </c>
      <c r="AJ113" s="94">
        <v>0.44133816300000001</v>
      </c>
      <c r="AK113" s="100">
        <v>0.12127169</v>
      </c>
      <c r="AL113" s="100">
        <v>-2.6786235157424598</v>
      </c>
    </row>
    <row r="114" spans="1:38" s="16" customFormat="1" ht="13" customHeight="1" x14ac:dyDescent="0.2">
      <c r="A114" s="87" t="s">
        <v>6290</v>
      </c>
      <c r="B114" s="105">
        <v>5</v>
      </c>
      <c r="C114" s="98" t="s">
        <v>6020</v>
      </c>
      <c r="D114" s="126" t="s">
        <v>6061</v>
      </c>
      <c r="E114" s="126" t="s">
        <v>24</v>
      </c>
      <c r="F114" s="127" t="s">
        <v>6291</v>
      </c>
      <c r="G114" s="128">
        <v>22.079625</v>
      </c>
      <c r="H114" s="129">
        <v>82.139141666666674</v>
      </c>
      <c r="I114" s="98" t="s">
        <v>6021</v>
      </c>
      <c r="J114" s="98" t="s">
        <v>17</v>
      </c>
      <c r="K114" s="106" t="s">
        <v>17</v>
      </c>
      <c r="L114" s="88">
        <v>2.2100000000000001E-4</v>
      </c>
      <c r="M114" s="89">
        <v>-4.4450000000000002E-3</v>
      </c>
      <c r="N114" s="90">
        <v>1.2999999999999999E-3</v>
      </c>
      <c r="O114" s="97" t="s">
        <v>6292</v>
      </c>
      <c r="P114" s="90" t="s">
        <v>6293</v>
      </c>
      <c r="Q114" s="93">
        <v>2.6195598600000001E-3</v>
      </c>
      <c r="R114" s="94">
        <v>0.47099999999999997</v>
      </c>
      <c r="S114" s="94">
        <v>0.42</v>
      </c>
      <c r="T114" s="94">
        <v>0.108</v>
      </c>
      <c r="U114" s="95">
        <v>1.4999999999999999E-2</v>
      </c>
      <c r="V114" s="94">
        <v>2.5000000000000001E-2</v>
      </c>
      <c r="W114" s="94">
        <v>1.6E-2</v>
      </c>
      <c r="X114" s="95">
        <v>0.46765264595882999</v>
      </c>
      <c r="Y114" s="94">
        <v>0.42998701708381798</v>
      </c>
      <c r="Z114" s="94">
        <v>0.102331832650618</v>
      </c>
      <c r="AA114" s="93">
        <v>-1.50167555467142</v>
      </c>
      <c r="AB114" s="95">
        <v>6.0236685E-3</v>
      </c>
      <c r="AC114" s="95">
        <v>0.44700000000000001</v>
      </c>
      <c r="AD114" s="94">
        <v>0.44</v>
      </c>
      <c r="AE114" s="100">
        <v>0.113</v>
      </c>
      <c r="AF114" s="95">
        <v>1.4999999999999999E-2</v>
      </c>
      <c r="AG114" s="94">
        <v>2.5000000000000001E-2</v>
      </c>
      <c r="AH114" s="94">
        <v>1.6E-2</v>
      </c>
      <c r="AI114" s="95">
        <v>0.44307047500000002</v>
      </c>
      <c r="AJ114" s="94">
        <v>0.44832550599999998</v>
      </c>
      <c r="AK114" s="100">
        <v>0.108578653</v>
      </c>
      <c r="AL114" s="100">
        <v>-1.8597170225638999</v>
      </c>
    </row>
    <row r="115" spans="1:38" s="16" customFormat="1" ht="13" customHeight="1" x14ac:dyDescent="0.2">
      <c r="A115" s="87" t="s">
        <v>6345</v>
      </c>
      <c r="B115" s="105">
        <v>4</v>
      </c>
      <c r="C115" s="98" t="s">
        <v>6020</v>
      </c>
      <c r="D115" s="126" t="s">
        <v>6028</v>
      </c>
      <c r="E115" s="126" t="s">
        <v>24</v>
      </c>
      <c r="F115" s="127" t="s">
        <v>6346</v>
      </c>
      <c r="G115" s="128">
        <v>20.837538888888886</v>
      </c>
      <c r="H115" s="129">
        <v>73.412127777777783</v>
      </c>
      <c r="I115" s="98" t="s">
        <v>6021</v>
      </c>
      <c r="J115" s="124" t="s">
        <v>17</v>
      </c>
      <c r="K115" s="125" t="s">
        <v>17</v>
      </c>
      <c r="L115" s="88">
        <v>-4.4000000000000002E-4</v>
      </c>
      <c r="M115" s="89">
        <v>-4.9199999999999999E-3</v>
      </c>
      <c r="N115" s="90">
        <v>7.6499999999999997E-3</v>
      </c>
      <c r="O115" s="97" t="s">
        <v>17</v>
      </c>
      <c r="P115" s="90" t="s">
        <v>17</v>
      </c>
      <c r="Q115" s="93">
        <v>3.07910692E-2</v>
      </c>
      <c r="R115" s="94">
        <v>0.47499999999999998</v>
      </c>
      <c r="S115" s="94">
        <v>0.442</v>
      </c>
      <c r="T115" s="94">
        <v>8.4000000000000005E-2</v>
      </c>
      <c r="U115" s="95">
        <v>1.6E-2</v>
      </c>
      <c r="V115" s="94">
        <v>2.8000000000000001E-2</v>
      </c>
      <c r="W115" s="94">
        <v>1.7000000000000001E-2</v>
      </c>
      <c r="X115" s="95">
        <v>0.47181943846757801</v>
      </c>
      <c r="Y115" s="94">
        <v>0.44539013482269502</v>
      </c>
      <c r="Z115" s="94">
        <v>8.2888555266892205E-2</v>
      </c>
      <c r="AA115" s="93">
        <v>-0.148048244154177</v>
      </c>
      <c r="AB115" s="95">
        <v>0.11666372799999999</v>
      </c>
      <c r="AC115" s="95">
        <v>0.44900000000000001</v>
      </c>
      <c r="AD115" s="94">
        <v>0.46800000000000003</v>
      </c>
      <c r="AE115" s="100">
        <v>8.3000000000000004E-2</v>
      </c>
      <c r="AF115" s="95">
        <v>1.6E-2</v>
      </c>
      <c r="AG115" s="94">
        <v>2.8000000000000001E-2</v>
      </c>
      <c r="AH115" s="94">
        <v>1.7000000000000001E-2</v>
      </c>
      <c r="AI115" s="95">
        <v>0.447316826</v>
      </c>
      <c r="AJ115" s="94">
        <v>0.47006566799999999</v>
      </c>
      <c r="AK115" s="100">
        <v>8.2596208000000004E-2</v>
      </c>
      <c r="AL115" s="100">
        <v>1.1552281591174199E-2</v>
      </c>
    </row>
    <row r="116" spans="1:38" s="16" customFormat="1" ht="13" customHeight="1" x14ac:dyDescent="0.2">
      <c r="A116" s="87" t="s">
        <v>6360</v>
      </c>
      <c r="B116" s="105">
        <v>3</v>
      </c>
      <c r="C116" s="98" t="s">
        <v>6095</v>
      </c>
      <c r="D116" s="126" t="s">
        <v>6110</v>
      </c>
      <c r="E116" s="126" t="s">
        <v>24</v>
      </c>
      <c r="F116" s="127" t="s">
        <v>6361</v>
      </c>
      <c r="G116" s="128">
        <v>18.277899999999999</v>
      </c>
      <c r="H116" s="129">
        <v>83.370841666666664</v>
      </c>
      <c r="I116" s="98" t="s">
        <v>6021</v>
      </c>
      <c r="J116" s="98" t="s">
        <v>17</v>
      </c>
      <c r="K116" s="106" t="s">
        <v>17</v>
      </c>
      <c r="L116" s="88">
        <v>-1.588E-3</v>
      </c>
      <c r="M116" s="89">
        <v>-5.1310000000000001E-3</v>
      </c>
      <c r="N116" s="90">
        <v>1.06E-2</v>
      </c>
      <c r="O116" s="97" t="s">
        <v>17</v>
      </c>
      <c r="P116" s="90" t="s">
        <v>17</v>
      </c>
      <c r="Q116" s="93">
        <v>5.1145383500000004E-3</v>
      </c>
      <c r="R116" s="94">
        <v>0.47799999999999998</v>
      </c>
      <c r="S116" s="94">
        <v>0.46600000000000003</v>
      </c>
      <c r="T116" s="94">
        <v>5.7000000000000002E-2</v>
      </c>
      <c r="U116" s="95">
        <v>1.7999999999999999E-2</v>
      </c>
      <c r="V116" s="94">
        <v>3.2000000000000001E-2</v>
      </c>
      <c r="W116" s="94">
        <v>1.9E-2</v>
      </c>
      <c r="X116" s="95">
        <v>0.47816457374763999</v>
      </c>
      <c r="Y116" s="94">
        <v>0.46000027590403297</v>
      </c>
      <c r="Z116" s="94">
        <v>6.1929652572630403E-2</v>
      </c>
      <c r="AA116" s="93">
        <v>1.1945884857297799</v>
      </c>
      <c r="AB116" s="95">
        <v>4.7012451199999999E-2</v>
      </c>
      <c r="AC116" s="95">
        <v>0.44700000000000001</v>
      </c>
      <c r="AD116" s="94">
        <v>0.498</v>
      </c>
      <c r="AE116" s="100">
        <v>5.5E-2</v>
      </c>
      <c r="AF116" s="95">
        <v>1.7999999999999999E-2</v>
      </c>
      <c r="AG116" s="94">
        <v>3.2000000000000001E-2</v>
      </c>
      <c r="AH116" s="94">
        <v>1.9E-2</v>
      </c>
      <c r="AI116" s="95">
        <v>0.44882039000000001</v>
      </c>
      <c r="AJ116" s="94">
        <v>0.491237957</v>
      </c>
      <c r="AK116" s="100">
        <v>5.9925393E-2</v>
      </c>
      <c r="AL116" s="100">
        <v>1.66191836164383</v>
      </c>
    </row>
    <row r="117" spans="1:38" s="16" customFormat="1" ht="13" customHeight="1" x14ac:dyDescent="0.2">
      <c r="A117" s="87" t="s">
        <v>6335</v>
      </c>
      <c r="B117" s="105">
        <v>3</v>
      </c>
      <c r="C117" s="98" t="s">
        <v>6020</v>
      </c>
      <c r="D117" s="126" t="s">
        <v>6151</v>
      </c>
      <c r="E117" s="126" t="s">
        <v>24</v>
      </c>
      <c r="F117" s="127" t="s">
        <v>6336</v>
      </c>
      <c r="G117" s="128">
        <v>23.861836111111113</v>
      </c>
      <c r="H117" s="129">
        <v>76.493899999999996</v>
      </c>
      <c r="I117" s="98" t="s">
        <v>6021</v>
      </c>
      <c r="J117" s="124" t="s">
        <v>17</v>
      </c>
      <c r="K117" s="125" t="s">
        <v>17</v>
      </c>
      <c r="L117" s="88">
        <v>2.1499999999999999E-4</v>
      </c>
      <c r="M117" s="89">
        <v>-4.5760000000000002E-3</v>
      </c>
      <c r="N117" s="90">
        <v>6.2329999999999998E-3</v>
      </c>
      <c r="O117" s="97" t="s">
        <v>17</v>
      </c>
      <c r="P117" s="90" t="s">
        <v>17</v>
      </c>
      <c r="Q117" s="93">
        <v>0.211796596</v>
      </c>
      <c r="R117" s="94">
        <v>0.48299999999999998</v>
      </c>
      <c r="S117" s="94">
        <v>0.41099999999999998</v>
      </c>
      <c r="T117" s="94">
        <v>0.107</v>
      </c>
      <c r="U117" s="95">
        <v>1.7000000000000001E-2</v>
      </c>
      <c r="V117" s="94">
        <v>0.03</v>
      </c>
      <c r="W117" s="94">
        <v>1.9E-2</v>
      </c>
      <c r="X117" s="95">
        <v>0.47601944792641598</v>
      </c>
      <c r="Y117" s="94">
        <v>0.42471277664849399</v>
      </c>
      <c r="Z117" s="94">
        <v>9.93677600834902E-2</v>
      </c>
      <c r="AA117" s="93">
        <v>-1.5335570459527701</v>
      </c>
      <c r="AB117" s="95">
        <v>0.40444375399999999</v>
      </c>
      <c r="AC117" s="95">
        <v>0.45700000000000002</v>
      </c>
      <c r="AD117" s="94">
        <v>0.43099999999999999</v>
      </c>
      <c r="AE117" s="100">
        <v>0.112</v>
      </c>
      <c r="AF117" s="95">
        <v>1.7000000000000001E-2</v>
      </c>
      <c r="AG117" s="94">
        <v>0.03</v>
      </c>
      <c r="AH117" s="94">
        <v>1.9E-2</v>
      </c>
      <c r="AI117" s="95">
        <v>0.45111015100000001</v>
      </c>
      <c r="AJ117" s="94">
        <v>0.44324634099999999</v>
      </c>
      <c r="AK117" s="100">
        <v>0.105613497</v>
      </c>
      <c r="AL117" s="100">
        <v>-1.8538967613285</v>
      </c>
    </row>
    <row r="118" spans="1:38" s="16" customFormat="1" ht="13" customHeight="1" x14ac:dyDescent="0.2">
      <c r="A118" s="87" t="s">
        <v>6337</v>
      </c>
      <c r="B118" s="105">
        <v>3</v>
      </c>
      <c r="C118" s="98" t="s">
        <v>6020</v>
      </c>
      <c r="D118" s="126" t="s">
        <v>6028</v>
      </c>
      <c r="E118" s="126" t="s">
        <v>24</v>
      </c>
      <c r="F118" s="127" t="s">
        <v>6338</v>
      </c>
      <c r="G118" s="128">
        <v>21.325849999999999</v>
      </c>
      <c r="H118" s="129">
        <v>73.301233333333329</v>
      </c>
      <c r="I118" s="98" t="s">
        <v>6021</v>
      </c>
      <c r="J118" s="124" t="s">
        <v>17</v>
      </c>
      <c r="K118" s="125" t="s">
        <v>17</v>
      </c>
      <c r="L118" s="88">
        <v>-9.0300000000000005E-4</v>
      </c>
      <c r="M118" s="89">
        <v>-4.4289999999999998E-3</v>
      </c>
      <c r="N118" s="90">
        <v>7.3330000000000001E-3</v>
      </c>
      <c r="O118" s="97" t="s">
        <v>17</v>
      </c>
      <c r="P118" s="90" t="s">
        <v>17</v>
      </c>
      <c r="Q118" s="93">
        <v>2.3946435200000002E-3</v>
      </c>
      <c r="R118" s="94">
        <v>0.48299999999999998</v>
      </c>
      <c r="S118" s="94">
        <v>0.41799999999999998</v>
      </c>
      <c r="T118" s="94">
        <v>9.9000000000000005E-2</v>
      </c>
      <c r="U118" s="95">
        <v>1.7000000000000001E-2</v>
      </c>
      <c r="V118" s="94">
        <v>2.9000000000000001E-2</v>
      </c>
      <c r="W118" s="94">
        <v>1.7999999999999999E-2</v>
      </c>
      <c r="X118" s="95">
        <v>0.47776845311972299</v>
      </c>
      <c r="Y118" s="94">
        <v>0.42895859394887398</v>
      </c>
      <c r="Z118" s="94">
        <v>9.3306979969523696E-2</v>
      </c>
      <c r="AA118" s="93">
        <v>-1.1879532659279799</v>
      </c>
      <c r="AB118" s="95">
        <v>3.3667196199999999E-3</v>
      </c>
      <c r="AC118" s="95">
        <v>0.45800000000000002</v>
      </c>
      <c r="AD118" s="94">
        <v>0.44</v>
      </c>
      <c r="AE118" s="100">
        <v>0.10199999999999999</v>
      </c>
      <c r="AF118" s="95">
        <v>1.7000000000000001E-2</v>
      </c>
      <c r="AG118" s="94">
        <v>2.9000000000000001E-2</v>
      </c>
      <c r="AH118" s="94">
        <v>1.7999999999999999E-2</v>
      </c>
      <c r="AI118" s="95">
        <v>0.453324807</v>
      </c>
      <c r="AJ118" s="94">
        <v>0.44903907300000001</v>
      </c>
      <c r="AK118" s="100">
        <v>9.7606750000000006E-2</v>
      </c>
      <c r="AL118" s="100">
        <v>-1.3245959652350701</v>
      </c>
    </row>
    <row r="119" spans="1:38" s="16" customFormat="1" ht="13" customHeight="1" x14ac:dyDescent="0.2">
      <c r="A119" s="87" t="s">
        <v>6340</v>
      </c>
      <c r="B119" s="105">
        <v>5</v>
      </c>
      <c r="C119" s="98" t="s">
        <v>6020</v>
      </c>
      <c r="D119" s="126" t="s">
        <v>6341</v>
      </c>
      <c r="E119" s="126" t="s">
        <v>24</v>
      </c>
      <c r="F119" s="127" t="s">
        <v>6342</v>
      </c>
      <c r="G119" s="128">
        <v>19.850000000000001</v>
      </c>
      <c r="H119" s="129">
        <v>74</v>
      </c>
      <c r="I119" s="98" t="s">
        <v>6021</v>
      </c>
      <c r="J119" s="98">
        <v>4</v>
      </c>
      <c r="K119" s="106">
        <v>11</v>
      </c>
      <c r="L119" s="88">
        <v>-7.8899999999999999E-4</v>
      </c>
      <c r="M119" s="89">
        <v>-4.7689999999999998E-3</v>
      </c>
      <c r="N119" s="90">
        <v>7.5799999999999999E-3</v>
      </c>
      <c r="O119" s="97" t="s">
        <v>6343</v>
      </c>
      <c r="P119" s="90" t="s">
        <v>6344</v>
      </c>
      <c r="Q119" s="93">
        <v>1.9997915000000002E-2</v>
      </c>
      <c r="R119" s="94">
        <v>0.48599999999999999</v>
      </c>
      <c r="S119" s="94">
        <v>0.42499999999999999</v>
      </c>
      <c r="T119" s="94">
        <v>8.8999999999999996E-2</v>
      </c>
      <c r="U119" s="95">
        <v>1.6E-2</v>
      </c>
      <c r="V119" s="94">
        <v>2.7E-2</v>
      </c>
      <c r="W119" s="94">
        <v>1.6E-2</v>
      </c>
      <c r="X119" s="95">
        <v>0.482182481265094</v>
      </c>
      <c r="Y119" s="94">
        <v>0.43246262239508498</v>
      </c>
      <c r="Z119" s="94">
        <v>8.5387320727298696E-2</v>
      </c>
      <c r="AA119" s="93">
        <v>-0.79720429361932998</v>
      </c>
      <c r="AB119" s="95">
        <v>6.5091187100000003E-2</v>
      </c>
      <c r="AC119" s="95">
        <v>0.46100000000000002</v>
      </c>
      <c r="AD119" s="94">
        <v>0.443</v>
      </c>
      <c r="AE119" s="100">
        <v>9.6000000000000002E-2</v>
      </c>
      <c r="AF119" s="95">
        <v>1.6E-2</v>
      </c>
      <c r="AG119" s="94">
        <v>2.7E-2</v>
      </c>
      <c r="AH119" s="94">
        <v>1.6E-2</v>
      </c>
      <c r="AI119" s="95">
        <v>0.45726999899999998</v>
      </c>
      <c r="AJ119" s="94">
        <v>0.44992492000000001</v>
      </c>
      <c r="AK119" s="100">
        <v>9.2774334E-2</v>
      </c>
      <c r="AL119" s="100">
        <v>-1.1954188533754799</v>
      </c>
    </row>
    <row r="120" spans="1:38" s="16" customFormat="1" ht="13" customHeight="1" x14ac:dyDescent="0.2">
      <c r="A120" s="87" t="s">
        <v>6353</v>
      </c>
      <c r="B120" s="105">
        <v>3</v>
      </c>
      <c r="C120" s="98" t="s">
        <v>6020</v>
      </c>
      <c r="D120" s="126" t="s">
        <v>6028</v>
      </c>
      <c r="E120" s="126" t="s">
        <v>24</v>
      </c>
      <c r="F120" s="127" t="s">
        <v>6299</v>
      </c>
      <c r="G120" s="128">
        <v>22.308494444444445</v>
      </c>
      <c r="H120" s="129">
        <v>74.012</v>
      </c>
      <c r="I120" s="98" t="s">
        <v>6021</v>
      </c>
      <c r="J120" s="98" t="s">
        <v>17</v>
      </c>
      <c r="K120" s="106" t="s">
        <v>17</v>
      </c>
      <c r="L120" s="88">
        <v>-4.26E-4</v>
      </c>
      <c r="M120" s="89">
        <v>-4.5919999999999997E-3</v>
      </c>
      <c r="N120" s="90">
        <v>9.6670000000000002E-3</v>
      </c>
      <c r="O120" s="97" t="s">
        <v>17</v>
      </c>
      <c r="P120" s="90" t="s">
        <v>17</v>
      </c>
      <c r="Q120" s="93">
        <v>5.8051315900000001E-3</v>
      </c>
      <c r="R120" s="94">
        <v>0.48599999999999999</v>
      </c>
      <c r="S120" s="94">
        <v>0.41299999999999998</v>
      </c>
      <c r="T120" s="94">
        <v>0.10100000000000001</v>
      </c>
      <c r="U120" s="95">
        <v>1.9E-2</v>
      </c>
      <c r="V120" s="94">
        <v>0.03</v>
      </c>
      <c r="W120" s="94">
        <v>1.9E-2</v>
      </c>
      <c r="X120" s="95">
        <v>0.48006994077378401</v>
      </c>
      <c r="Y120" s="94">
        <v>0.42535943027130801</v>
      </c>
      <c r="Z120" s="94">
        <v>9.4604578508191095E-2</v>
      </c>
      <c r="AA120" s="93">
        <v>-1.3733371412823701</v>
      </c>
      <c r="AB120" s="95">
        <v>7.8841724200000001E-3</v>
      </c>
      <c r="AC120" s="95">
        <v>0.46400000000000002</v>
      </c>
      <c r="AD120" s="94">
        <v>0.434</v>
      </c>
      <c r="AE120" s="100">
        <v>0.10199999999999999</v>
      </c>
      <c r="AF120" s="95">
        <v>1.9E-2</v>
      </c>
      <c r="AG120" s="94">
        <v>0.03</v>
      </c>
      <c r="AH120" s="94">
        <v>1.9E-2</v>
      </c>
      <c r="AI120" s="95">
        <v>0.45832675499999997</v>
      </c>
      <c r="AJ120" s="94">
        <v>0.44477873600000001</v>
      </c>
      <c r="AK120" s="100">
        <v>9.6861955E-2</v>
      </c>
      <c r="AL120" s="100">
        <v>-1.45112242179844</v>
      </c>
    </row>
    <row r="121" spans="1:38" s="16" customFormat="1" ht="13" customHeight="1" x14ac:dyDescent="0.2">
      <c r="A121" s="87" t="s">
        <v>6374</v>
      </c>
      <c r="B121" s="105">
        <v>2</v>
      </c>
      <c r="C121" s="98" t="s">
        <v>6375</v>
      </c>
      <c r="D121" s="126" t="s">
        <v>6034</v>
      </c>
      <c r="E121" s="126" t="s">
        <v>24</v>
      </c>
      <c r="F121" s="127" t="s">
        <v>6376</v>
      </c>
      <c r="G121" s="128">
        <v>34</v>
      </c>
      <c r="H121" s="129">
        <v>78</v>
      </c>
      <c r="I121" s="98" t="s">
        <v>6021</v>
      </c>
      <c r="J121" s="124" t="s">
        <v>17</v>
      </c>
      <c r="K121" s="125" t="s">
        <v>17</v>
      </c>
      <c r="L121" s="88">
        <v>-1.536E-3</v>
      </c>
      <c r="M121" s="89">
        <v>-4.9880000000000002E-3</v>
      </c>
      <c r="N121" s="90">
        <v>1.3849999999999999E-2</v>
      </c>
      <c r="O121" s="97" t="s">
        <v>17</v>
      </c>
      <c r="P121" s="90" t="s">
        <v>17</v>
      </c>
      <c r="Q121" s="93">
        <v>0.13676501099999999</v>
      </c>
      <c r="R121" s="94">
        <v>0.48499999999999999</v>
      </c>
      <c r="S121" s="94">
        <v>0.46899999999999997</v>
      </c>
      <c r="T121" s="94">
        <v>4.5999999999999999E-2</v>
      </c>
      <c r="U121" s="95">
        <v>2.1000000000000001E-2</v>
      </c>
      <c r="V121" s="94">
        <v>3.4000000000000002E-2</v>
      </c>
      <c r="W121" s="94">
        <v>2.1999999999999999E-2</v>
      </c>
      <c r="X121" s="95">
        <v>0.486461693795049</v>
      </c>
      <c r="Y121" s="94">
        <v>0.45998643681119999</v>
      </c>
      <c r="Z121" s="94">
        <v>5.3579363229322198E-2</v>
      </c>
      <c r="AA121" s="93">
        <v>1.3618055471794901</v>
      </c>
      <c r="AB121" s="95">
        <v>0.14012301499999999</v>
      </c>
      <c r="AC121" s="95">
        <v>0.46200000000000002</v>
      </c>
      <c r="AD121" s="94">
        <v>0.49299999999999999</v>
      </c>
      <c r="AE121" s="100">
        <v>4.5999999999999999E-2</v>
      </c>
      <c r="AF121" s="95">
        <v>2.1000000000000001E-2</v>
      </c>
      <c r="AG121" s="94">
        <v>3.4000000000000002E-2</v>
      </c>
      <c r="AH121" s="94">
        <v>2.1999999999999999E-2</v>
      </c>
      <c r="AI121" s="95">
        <v>0.46242761199999999</v>
      </c>
      <c r="AJ121" s="94">
        <v>0.48518625199999998</v>
      </c>
      <c r="AK121" s="100">
        <v>5.2415969999999999E-2</v>
      </c>
      <c r="AL121" s="100">
        <v>1.5611803778308899</v>
      </c>
    </row>
    <row r="122" spans="1:38" s="16" customFormat="1" ht="13" customHeight="1" x14ac:dyDescent="0.2">
      <c r="A122" s="87" t="s">
        <v>6347</v>
      </c>
      <c r="B122" s="105">
        <v>4</v>
      </c>
      <c r="C122" s="98" t="s">
        <v>6020</v>
      </c>
      <c r="D122" s="126" t="s">
        <v>6028</v>
      </c>
      <c r="E122" s="126" t="s">
        <v>24</v>
      </c>
      <c r="F122" s="127" t="s">
        <v>6348</v>
      </c>
      <c r="G122" s="128">
        <v>23.847669444444442</v>
      </c>
      <c r="H122" s="129">
        <v>72.993297222222225</v>
      </c>
      <c r="I122" s="98" t="s">
        <v>6021</v>
      </c>
      <c r="J122" s="124" t="s">
        <v>17</v>
      </c>
      <c r="K122" s="125" t="s">
        <v>17</v>
      </c>
      <c r="L122" s="88">
        <v>-4.5199999999999998E-4</v>
      </c>
      <c r="M122" s="89">
        <v>-4.8869999999999999E-3</v>
      </c>
      <c r="N122" s="90">
        <v>7.7000000000000002E-3</v>
      </c>
      <c r="O122" s="97" t="s">
        <v>17</v>
      </c>
      <c r="P122" s="90" t="s">
        <v>17</v>
      </c>
      <c r="Q122" s="93">
        <v>8.8461010600000001E-2</v>
      </c>
      <c r="R122" s="94">
        <v>0.49399999999999999</v>
      </c>
      <c r="S122" s="94">
        <v>0.39500000000000002</v>
      </c>
      <c r="T122" s="94">
        <v>0.111</v>
      </c>
      <c r="U122" s="95">
        <v>1.6E-2</v>
      </c>
      <c r="V122" s="94">
        <v>2.7E-2</v>
      </c>
      <c r="W122" s="94">
        <v>1.7000000000000001E-2</v>
      </c>
      <c r="X122" s="95">
        <v>0.487124191344739</v>
      </c>
      <c r="Y122" s="94">
        <v>0.41106616807236102</v>
      </c>
      <c r="Z122" s="94">
        <v>0.101843820823228</v>
      </c>
      <c r="AA122" s="93">
        <v>-2.18148525262098</v>
      </c>
      <c r="AB122" s="95">
        <v>0.14476699400000001</v>
      </c>
      <c r="AC122" s="95">
        <v>0.47</v>
      </c>
      <c r="AD122" s="94">
        <v>0.41199999999999998</v>
      </c>
      <c r="AE122" s="100">
        <v>0.11700000000000001</v>
      </c>
      <c r="AF122" s="95">
        <v>1.6E-2</v>
      </c>
      <c r="AG122" s="94">
        <v>2.7E-2</v>
      </c>
      <c r="AH122" s="94">
        <v>1.7000000000000001E-2</v>
      </c>
      <c r="AI122" s="95">
        <v>0.464527093</v>
      </c>
      <c r="AJ122" s="94">
        <v>0.42579729300000002</v>
      </c>
      <c r="AK122" s="100">
        <v>0.109582177</v>
      </c>
      <c r="AL122" s="100">
        <v>-2.7170322133814802</v>
      </c>
    </row>
    <row r="123" spans="1:38" s="16" customFormat="1" ht="13" customHeight="1" x14ac:dyDescent="0.2">
      <c r="A123" s="87" t="s">
        <v>6354</v>
      </c>
      <c r="B123" s="105">
        <v>5</v>
      </c>
      <c r="C123" s="98" t="s">
        <v>6095</v>
      </c>
      <c r="D123" s="126" t="s">
        <v>6096</v>
      </c>
      <c r="E123" s="126" t="s">
        <v>24</v>
      </c>
      <c r="F123" s="127" t="s">
        <v>6355</v>
      </c>
      <c r="G123" s="128">
        <v>15.165000000000001</v>
      </c>
      <c r="H123" s="129">
        <v>74.484999999999999</v>
      </c>
      <c r="I123" s="98" t="s">
        <v>6021</v>
      </c>
      <c r="J123" s="98" t="s">
        <v>17</v>
      </c>
      <c r="K123" s="106" t="s">
        <v>17</v>
      </c>
      <c r="L123" s="88">
        <v>-1.031E-3</v>
      </c>
      <c r="M123" s="89">
        <v>-4.7600000000000003E-3</v>
      </c>
      <c r="N123" s="90">
        <v>1.0500000000000001E-2</v>
      </c>
      <c r="O123" s="97" t="s">
        <v>6356</v>
      </c>
      <c r="P123" s="90" t="s">
        <v>6357</v>
      </c>
      <c r="Q123" s="93">
        <v>2.5018557499999999E-3</v>
      </c>
      <c r="R123" s="94">
        <v>0.496</v>
      </c>
      <c r="S123" s="94">
        <v>0.42699999999999999</v>
      </c>
      <c r="T123" s="94">
        <v>7.6999999999999999E-2</v>
      </c>
      <c r="U123" s="95">
        <v>1.6E-2</v>
      </c>
      <c r="V123" s="94">
        <v>2.8000000000000001E-2</v>
      </c>
      <c r="W123" s="94">
        <v>1.7000000000000001E-2</v>
      </c>
      <c r="X123" s="95">
        <v>0.49254077604084701</v>
      </c>
      <c r="Y123" s="94">
        <v>0.43269556563721701</v>
      </c>
      <c r="Z123" s="94">
        <v>7.4793449243566207E-2</v>
      </c>
      <c r="AA123" s="93">
        <v>-0.401165016568995</v>
      </c>
      <c r="AB123" s="95">
        <v>4.6781776600000003E-3</v>
      </c>
      <c r="AC123" s="95">
        <v>0.46800000000000003</v>
      </c>
      <c r="AD123" s="94">
        <v>0.45</v>
      </c>
      <c r="AE123" s="100">
        <v>8.1000000000000003E-2</v>
      </c>
      <c r="AF123" s="95">
        <v>1.6E-2</v>
      </c>
      <c r="AG123" s="94">
        <v>2.8000000000000001E-2</v>
      </c>
      <c r="AH123" s="94">
        <v>1.7000000000000001E-2</v>
      </c>
      <c r="AI123" s="95">
        <v>0.46607712899999998</v>
      </c>
      <c r="AJ123" s="94">
        <v>0.45453065500000001</v>
      </c>
      <c r="AK123" s="100">
        <v>7.9305828999999994E-2</v>
      </c>
      <c r="AL123" s="100">
        <v>-0.50010445158551098</v>
      </c>
    </row>
    <row r="124" spans="1:38" s="16" customFormat="1" ht="13" customHeight="1" x14ac:dyDescent="0.2">
      <c r="A124" s="87" t="s">
        <v>6391</v>
      </c>
      <c r="B124" s="105">
        <v>4</v>
      </c>
      <c r="C124" s="98" t="s">
        <v>6095</v>
      </c>
      <c r="D124" s="126" t="s">
        <v>6110</v>
      </c>
      <c r="E124" s="126" t="s">
        <v>24</v>
      </c>
      <c r="F124" s="127" t="s">
        <v>6276</v>
      </c>
      <c r="G124" s="128">
        <v>14.442599</v>
      </c>
      <c r="H124" s="129">
        <v>79.986456000000004</v>
      </c>
      <c r="I124" s="98" t="s">
        <v>6021</v>
      </c>
      <c r="J124" s="98" t="s">
        <v>17</v>
      </c>
      <c r="K124" s="106" t="s">
        <v>17</v>
      </c>
      <c r="L124" s="88">
        <v>-2.1389999999999998E-3</v>
      </c>
      <c r="M124" s="89">
        <v>-5.3020000000000003E-3</v>
      </c>
      <c r="N124" s="90">
        <v>1.6475E-2</v>
      </c>
      <c r="O124" s="97" t="s">
        <v>17</v>
      </c>
      <c r="P124" s="90" t="s">
        <v>17</v>
      </c>
      <c r="Q124" s="93">
        <v>0.20193486899999999</v>
      </c>
      <c r="R124" s="94">
        <v>0.49299999999999999</v>
      </c>
      <c r="S124" s="94">
        <v>0.46300000000000002</v>
      </c>
      <c r="T124" s="94">
        <v>4.3999999999999997E-2</v>
      </c>
      <c r="U124" s="95">
        <v>1.6E-2</v>
      </c>
      <c r="V124" s="94">
        <v>2.8000000000000001E-2</v>
      </c>
      <c r="W124" s="94">
        <v>1.7999999999999999E-2</v>
      </c>
      <c r="X124" s="95">
        <v>0.49384580198815897</v>
      </c>
      <c r="Y124" s="94">
        <v>0.45662215957788899</v>
      </c>
      <c r="Z124" s="94">
        <v>4.9558147872744103E-2</v>
      </c>
      <c r="AA124" s="93">
        <v>1.4801370719018401</v>
      </c>
      <c r="AB124" s="95">
        <v>0.51469173199999996</v>
      </c>
      <c r="AC124" s="95">
        <v>0.46600000000000003</v>
      </c>
      <c r="AD124" s="94">
        <v>0.497</v>
      </c>
      <c r="AE124" s="100">
        <v>3.6999999999999998E-2</v>
      </c>
      <c r="AF124" s="95">
        <v>1.6E-2</v>
      </c>
      <c r="AG124" s="94">
        <v>2.8000000000000001E-2</v>
      </c>
      <c r="AH124" s="94">
        <v>1.7999999999999999E-2</v>
      </c>
      <c r="AI124" s="95">
        <v>0.46793854899999998</v>
      </c>
      <c r="AJ124" s="94">
        <v>0.489191924</v>
      </c>
      <c r="AK124" s="100">
        <v>4.2844898999999999E-2</v>
      </c>
      <c r="AL124" s="100">
        <v>2.26523852388712</v>
      </c>
    </row>
    <row r="125" spans="1:38" s="16" customFormat="1" ht="13" customHeight="1" x14ac:dyDescent="0.2">
      <c r="A125" s="87" t="s">
        <v>6362</v>
      </c>
      <c r="B125" s="105">
        <v>4</v>
      </c>
      <c r="C125" s="98" t="s">
        <v>6095</v>
      </c>
      <c r="D125" s="126" t="s">
        <v>6110</v>
      </c>
      <c r="E125" s="126" t="s">
        <v>24</v>
      </c>
      <c r="F125" s="127" t="s">
        <v>6297</v>
      </c>
      <c r="G125" s="128">
        <v>14.681888000000001</v>
      </c>
      <c r="H125" s="129">
        <v>77.600590999999994</v>
      </c>
      <c r="I125" s="98" t="s">
        <v>6021</v>
      </c>
      <c r="J125" s="98" t="s">
        <v>17</v>
      </c>
      <c r="K125" s="106" t="s">
        <v>17</v>
      </c>
      <c r="L125" s="88">
        <v>-1.66E-3</v>
      </c>
      <c r="M125" s="89">
        <v>-4.3400000000000001E-3</v>
      </c>
      <c r="N125" s="90">
        <v>1.145E-2</v>
      </c>
      <c r="O125" s="97" t="s">
        <v>17</v>
      </c>
      <c r="P125" s="90" t="s">
        <v>17</v>
      </c>
      <c r="Q125" s="93">
        <v>2.8776242900000002E-3</v>
      </c>
      <c r="R125" s="94">
        <v>0.49299999999999999</v>
      </c>
      <c r="S125" s="94">
        <v>0.45800000000000002</v>
      </c>
      <c r="T125" s="94">
        <v>4.9000000000000002E-2</v>
      </c>
      <c r="U125" s="95">
        <v>1.7000000000000001E-2</v>
      </c>
      <c r="V125" s="94">
        <v>2.8000000000000001E-2</v>
      </c>
      <c r="W125" s="94">
        <v>1.7000000000000001E-2</v>
      </c>
      <c r="X125" s="95">
        <v>0.49340396831042499</v>
      </c>
      <c r="Y125" s="94">
        <v>0.45309270678540198</v>
      </c>
      <c r="Z125" s="94">
        <v>5.3530040233382703E-2</v>
      </c>
      <c r="AA125" s="93">
        <v>1.2036553346038099</v>
      </c>
      <c r="AB125" s="95">
        <v>5.5494131699999998E-3</v>
      </c>
      <c r="AC125" s="95">
        <v>0.46899999999999997</v>
      </c>
      <c r="AD125" s="94">
        <v>0.48499999999999999</v>
      </c>
      <c r="AE125" s="100">
        <v>4.5999999999999999E-2</v>
      </c>
      <c r="AF125" s="95">
        <v>1.7000000000000001E-2</v>
      </c>
      <c r="AG125" s="94">
        <v>2.8000000000000001E-2</v>
      </c>
      <c r="AH125" s="94">
        <v>1.7000000000000001E-2</v>
      </c>
      <c r="AI125" s="95">
        <v>0.46970165000000003</v>
      </c>
      <c r="AJ125" s="94">
        <v>0.48030636199999999</v>
      </c>
      <c r="AK125" s="100">
        <v>4.9964267E-2</v>
      </c>
      <c r="AL125" s="100">
        <v>1.6702310922960799</v>
      </c>
    </row>
    <row r="126" spans="1:38" s="16" customFormat="1" ht="13" customHeight="1" x14ac:dyDescent="0.2">
      <c r="A126" s="87" t="s">
        <v>6396</v>
      </c>
      <c r="B126" s="105">
        <v>31</v>
      </c>
      <c r="C126" s="98" t="s">
        <v>6020</v>
      </c>
      <c r="D126" s="126" t="s">
        <v>6066</v>
      </c>
      <c r="E126" s="126" t="s">
        <v>24</v>
      </c>
      <c r="F126" s="127" t="s">
        <v>6397</v>
      </c>
      <c r="G126" s="128">
        <v>25.317644444444444</v>
      </c>
      <c r="H126" s="129">
        <v>82.973913888888887</v>
      </c>
      <c r="I126" s="98" t="s">
        <v>6021</v>
      </c>
      <c r="J126" s="98" t="s">
        <v>17</v>
      </c>
      <c r="K126" s="106" t="s">
        <v>17</v>
      </c>
      <c r="L126" s="88">
        <v>-2.33E-3</v>
      </c>
      <c r="M126" s="89">
        <v>-5.842E-3</v>
      </c>
      <c r="N126" s="90">
        <v>1.9465E-2</v>
      </c>
      <c r="O126" s="97" t="s">
        <v>6398</v>
      </c>
      <c r="P126" s="90" t="s">
        <v>6399</v>
      </c>
      <c r="Q126" s="93">
        <v>5.67667151E-3</v>
      </c>
      <c r="R126" s="94">
        <v>0.499</v>
      </c>
      <c r="S126" s="94">
        <v>0.43</v>
      </c>
      <c r="T126" s="94">
        <v>7.0999999999999994E-2</v>
      </c>
      <c r="U126" s="95">
        <v>1.4E-2</v>
      </c>
      <c r="V126" s="94">
        <v>2.3E-2</v>
      </c>
      <c r="W126" s="94">
        <v>1.4E-2</v>
      </c>
      <c r="X126" s="95">
        <v>0.49671629298083197</v>
      </c>
      <c r="Y126" s="94">
        <v>0.43339532662725999</v>
      </c>
      <c r="Z126" s="94">
        <v>6.9917022497491196E-2</v>
      </c>
      <c r="AA126" s="93">
        <v>-0.166363967018577</v>
      </c>
      <c r="AB126" s="95">
        <v>4.6904177400000002E-3</v>
      </c>
      <c r="AC126" s="95">
        <v>0.47699999999999998</v>
      </c>
      <c r="AD126" s="94">
        <v>0.44500000000000001</v>
      </c>
      <c r="AE126" s="100">
        <v>7.8E-2</v>
      </c>
      <c r="AF126" s="95">
        <v>1.4E-2</v>
      </c>
      <c r="AG126" s="94">
        <v>2.3E-2</v>
      </c>
      <c r="AH126" s="94">
        <v>1.4E-2</v>
      </c>
      <c r="AI126" s="95">
        <v>0.47466492399999999</v>
      </c>
      <c r="AJ126" s="94">
        <v>0.44878923399999998</v>
      </c>
      <c r="AK126" s="100">
        <v>7.6507673999999998E-2</v>
      </c>
      <c r="AL126" s="100">
        <v>-0.59615914067323905</v>
      </c>
    </row>
    <row r="127" spans="1:38" s="16" customFormat="1" ht="13" customHeight="1" x14ac:dyDescent="0.2">
      <c r="A127" s="87" t="s">
        <v>6351</v>
      </c>
      <c r="B127" s="105">
        <v>3</v>
      </c>
      <c r="C127" s="98" t="s">
        <v>6020</v>
      </c>
      <c r="D127" s="126" t="s">
        <v>6151</v>
      </c>
      <c r="E127" s="126" t="s">
        <v>24</v>
      </c>
      <c r="F127" s="127" t="s">
        <v>6352</v>
      </c>
      <c r="G127" s="128">
        <v>23.112047222222223</v>
      </c>
      <c r="H127" s="129">
        <v>77.23907777777778</v>
      </c>
      <c r="I127" s="98" t="s">
        <v>6021</v>
      </c>
      <c r="J127" s="124" t="s">
        <v>17</v>
      </c>
      <c r="K127" s="125" t="s">
        <v>17</v>
      </c>
      <c r="L127" s="88">
        <v>-2.1080000000000001E-3</v>
      </c>
      <c r="M127" s="89">
        <v>-6.2490000000000002E-3</v>
      </c>
      <c r="N127" s="90">
        <v>8.8999999999999999E-3</v>
      </c>
      <c r="O127" s="97" t="s">
        <v>17</v>
      </c>
      <c r="P127" s="90" t="s">
        <v>17</v>
      </c>
      <c r="Q127" s="93">
        <v>4.3967230099999997E-2</v>
      </c>
      <c r="R127" s="94">
        <v>0.504</v>
      </c>
      <c r="S127" s="94">
        <v>0.40899999999999997</v>
      </c>
      <c r="T127" s="94">
        <v>8.6999999999999994E-2</v>
      </c>
      <c r="U127" s="95">
        <v>2.1000000000000001E-2</v>
      </c>
      <c r="V127" s="94">
        <v>3.4000000000000002E-2</v>
      </c>
      <c r="W127" s="94">
        <v>2.1000000000000001E-2</v>
      </c>
      <c r="X127" s="95">
        <v>0.49673987951860099</v>
      </c>
      <c r="Y127" s="94">
        <v>0.42288544371880499</v>
      </c>
      <c r="Z127" s="94">
        <v>8.0404785773613194E-2</v>
      </c>
      <c r="AA127" s="93">
        <v>-0.98002136910478899</v>
      </c>
      <c r="AB127" s="95">
        <v>0.17482099400000001</v>
      </c>
      <c r="AC127" s="95">
        <v>0.48399999999999999</v>
      </c>
      <c r="AD127" s="94">
        <v>0.42699999999999999</v>
      </c>
      <c r="AE127" s="100">
        <v>0.09</v>
      </c>
      <c r="AF127" s="95">
        <v>2.1000000000000001E-2</v>
      </c>
      <c r="AG127" s="94">
        <v>3.4000000000000002E-2</v>
      </c>
      <c r="AH127" s="94">
        <v>2.1000000000000001E-2</v>
      </c>
      <c r="AI127" s="95">
        <v>0.47609996900000001</v>
      </c>
      <c r="AJ127" s="94">
        <v>0.43964125700000001</v>
      </c>
      <c r="AK127" s="100">
        <v>8.4270853000000007E-2</v>
      </c>
      <c r="AL127" s="100">
        <v>-1.1066133496461099</v>
      </c>
    </row>
    <row r="128" spans="1:38" s="16" customFormat="1" ht="13" customHeight="1" x14ac:dyDescent="0.2">
      <c r="A128" s="87" t="s">
        <v>6407</v>
      </c>
      <c r="B128" s="105">
        <v>10</v>
      </c>
      <c r="C128" s="98" t="s">
        <v>6095</v>
      </c>
      <c r="D128" s="126" t="s">
        <v>6186</v>
      </c>
      <c r="E128" s="126" t="s">
        <v>24</v>
      </c>
      <c r="F128" s="127" t="s">
        <v>6408</v>
      </c>
      <c r="G128" s="128">
        <v>11.2</v>
      </c>
      <c r="H128" s="129">
        <v>77.430000000000007</v>
      </c>
      <c r="I128" s="98" t="s">
        <v>6021</v>
      </c>
      <c r="J128" s="124" t="s">
        <v>17</v>
      </c>
      <c r="K128" s="125" t="s">
        <v>17</v>
      </c>
      <c r="L128" s="88">
        <v>-2.0370000000000002E-3</v>
      </c>
      <c r="M128" s="89">
        <v>-4.9620000000000003E-3</v>
      </c>
      <c r="N128" s="90">
        <v>2.5919999999999999E-2</v>
      </c>
      <c r="O128" s="97" t="s">
        <v>6409</v>
      </c>
      <c r="P128" s="90" t="s">
        <v>6410</v>
      </c>
      <c r="Q128" s="93">
        <v>8.6424562299999994E-2</v>
      </c>
      <c r="R128" s="94">
        <v>0.501</v>
      </c>
      <c r="S128" s="94">
        <v>0.45500000000000002</v>
      </c>
      <c r="T128" s="94">
        <v>4.2999999999999997E-2</v>
      </c>
      <c r="U128" s="95">
        <v>1.4E-2</v>
      </c>
      <c r="V128" s="94">
        <v>2.4E-2</v>
      </c>
      <c r="W128" s="94">
        <v>1.4999999999999999E-2</v>
      </c>
      <c r="X128" s="95">
        <v>0.50243157252850901</v>
      </c>
      <c r="Y128" s="94">
        <v>0.45051282043301399</v>
      </c>
      <c r="Z128" s="94">
        <v>4.70155058035885E-2</v>
      </c>
      <c r="AA128" s="93">
        <v>1.4170383032204299</v>
      </c>
      <c r="AB128" s="95">
        <v>9.35058421E-2</v>
      </c>
      <c r="AC128" s="95">
        <v>0.47799999999999998</v>
      </c>
      <c r="AD128" s="94">
        <v>0.48</v>
      </c>
      <c r="AE128" s="100">
        <v>4.2000000000000003E-2</v>
      </c>
      <c r="AF128" s="95">
        <v>1.4E-2</v>
      </c>
      <c r="AG128" s="94">
        <v>2.4E-2</v>
      </c>
      <c r="AH128" s="94">
        <v>1.4999999999999999E-2</v>
      </c>
      <c r="AI128" s="95">
        <v>0.478587129</v>
      </c>
      <c r="AJ128" s="94">
        <v>0.47639234600000002</v>
      </c>
      <c r="AK128" s="100">
        <v>4.4988121999999998E-2</v>
      </c>
      <c r="AL128" s="100">
        <v>1.9429977871033799</v>
      </c>
    </row>
    <row r="129" spans="1:38" s="16" customFormat="1" ht="13" customHeight="1" x14ac:dyDescent="0.2">
      <c r="A129" s="87" t="s">
        <v>6377</v>
      </c>
      <c r="B129" s="105">
        <v>27</v>
      </c>
      <c r="C129" s="98" t="s">
        <v>6095</v>
      </c>
      <c r="D129" s="126" t="s">
        <v>6186</v>
      </c>
      <c r="E129" s="126" t="s">
        <v>24</v>
      </c>
      <c r="F129" s="127" t="s">
        <v>6303</v>
      </c>
      <c r="G129" s="128">
        <v>10.864719444444445</v>
      </c>
      <c r="H129" s="129">
        <v>79.629155555555542</v>
      </c>
      <c r="I129" s="98" t="s">
        <v>6021</v>
      </c>
      <c r="J129" s="98">
        <v>0</v>
      </c>
      <c r="K129" s="106">
        <v>9</v>
      </c>
      <c r="L129" s="88">
        <v>-2.0730000000000002E-3</v>
      </c>
      <c r="M129" s="89">
        <v>-4.934E-3</v>
      </c>
      <c r="N129" s="90">
        <v>1.47E-2</v>
      </c>
      <c r="O129" s="97" t="s">
        <v>6378</v>
      </c>
      <c r="P129" s="90" t="s">
        <v>6379</v>
      </c>
      <c r="Q129" s="93">
        <v>7.8640716099999994E-2</v>
      </c>
      <c r="R129" s="94">
        <v>0.503</v>
      </c>
      <c r="S129" s="94">
        <v>0.434</v>
      </c>
      <c r="T129" s="94">
        <v>6.3E-2</v>
      </c>
      <c r="U129" s="95">
        <v>1.2999999999999999E-2</v>
      </c>
      <c r="V129" s="94">
        <v>2.1999999999999999E-2</v>
      </c>
      <c r="W129" s="94">
        <v>1.2999999999999999E-2</v>
      </c>
      <c r="X129" s="95">
        <v>0.50139664856586796</v>
      </c>
      <c r="Y129" s="94">
        <v>0.43558015507940201</v>
      </c>
      <c r="Z129" s="94">
        <v>6.3050356886448403E-2</v>
      </c>
      <c r="AA129" s="93">
        <v>0.22243014375089301</v>
      </c>
      <c r="AB129" s="95">
        <v>8.4617183700000001E-2</v>
      </c>
      <c r="AC129" s="95">
        <v>0.48</v>
      </c>
      <c r="AD129" s="94">
        <v>0.45400000000000001</v>
      </c>
      <c r="AE129" s="100">
        <v>6.6000000000000003E-2</v>
      </c>
      <c r="AF129" s="95">
        <v>1.2999999999999999E-2</v>
      </c>
      <c r="AG129" s="94">
        <v>2.1999999999999999E-2</v>
      </c>
      <c r="AH129" s="94">
        <v>1.2999999999999999E-2</v>
      </c>
      <c r="AI129" s="95">
        <v>0.47860650100000002</v>
      </c>
      <c r="AJ129" s="94">
        <v>0.45556075400000001</v>
      </c>
      <c r="AK129" s="100">
        <v>6.5794772000000001E-2</v>
      </c>
      <c r="AL129" s="100">
        <v>0.20349211742422599</v>
      </c>
    </row>
    <row r="130" spans="1:38" s="16" customFormat="1" ht="13" customHeight="1" x14ac:dyDescent="0.2">
      <c r="A130" s="87" t="s">
        <v>6367</v>
      </c>
      <c r="B130" s="105">
        <v>13</v>
      </c>
      <c r="C130" s="98" t="s">
        <v>6095</v>
      </c>
      <c r="D130" s="126" t="s">
        <v>6110</v>
      </c>
      <c r="E130" s="126" t="s">
        <v>24</v>
      </c>
      <c r="F130" s="127" t="s">
        <v>6361</v>
      </c>
      <c r="G130" s="128">
        <v>18.277899999999999</v>
      </c>
      <c r="H130" s="129">
        <v>83.370841670000004</v>
      </c>
      <c r="I130" s="98" t="s">
        <v>6021</v>
      </c>
      <c r="J130" s="98" t="s">
        <v>17</v>
      </c>
      <c r="K130" s="106" t="s">
        <v>17</v>
      </c>
      <c r="L130" s="88">
        <v>-1.6509999999999999E-3</v>
      </c>
      <c r="M130" s="89">
        <v>-4.5570000000000003E-3</v>
      </c>
      <c r="N130" s="90">
        <v>1.2015E-2</v>
      </c>
      <c r="O130" s="97" t="s">
        <v>6368</v>
      </c>
      <c r="P130" s="90" t="s">
        <v>6369</v>
      </c>
      <c r="Q130" s="93">
        <v>7.0300829699999998E-2</v>
      </c>
      <c r="R130" s="94">
        <v>0.503</v>
      </c>
      <c r="S130" s="94">
        <v>0.433</v>
      </c>
      <c r="T130" s="94">
        <v>6.4000000000000001E-2</v>
      </c>
      <c r="U130" s="95">
        <v>1.2999999999999999E-2</v>
      </c>
      <c r="V130" s="94">
        <v>2.3E-2</v>
      </c>
      <c r="W130" s="94">
        <v>1.4E-2</v>
      </c>
      <c r="X130" s="95">
        <v>0.50124663171832795</v>
      </c>
      <c r="Y130" s="94">
        <v>0.43489569442687798</v>
      </c>
      <c r="Z130" s="94">
        <v>6.38849675252047E-2</v>
      </c>
      <c r="AA130" s="93">
        <v>0.14639801211893799</v>
      </c>
      <c r="AB130" s="95">
        <v>8.5889813600000003E-2</v>
      </c>
      <c r="AC130" s="95">
        <v>0.48099999999999998</v>
      </c>
      <c r="AD130" s="94">
        <v>0.45300000000000001</v>
      </c>
      <c r="AE130" s="100">
        <v>6.6000000000000003E-2</v>
      </c>
      <c r="AF130" s="95">
        <v>1.2999999999999999E-2</v>
      </c>
      <c r="AG130" s="94">
        <v>2.3E-2</v>
      </c>
      <c r="AH130" s="94">
        <v>1.4E-2</v>
      </c>
      <c r="AI130" s="95">
        <v>0.47952192100000002</v>
      </c>
      <c r="AJ130" s="94">
        <v>0.45470943699999999</v>
      </c>
      <c r="AK130" s="100">
        <v>6.5730067000000003E-2</v>
      </c>
      <c r="AL130" s="100">
        <v>0.15545989210136801</v>
      </c>
    </row>
    <row r="131" spans="1:38" s="16" customFormat="1" ht="13" customHeight="1" x14ac:dyDescent="0.2">
      <c r="A131" s="87" t="s">
        <v>6384</v>
      </c>
      <c r="B131" s="105">
        <v>4</v>
      </c>
      <c r="C131" s="98" t="s">
        <v>6095</v>
      </c>
      <c r="D131" s="126" t="s">
        <v>6186</v>
      </c>
      <c r="E131" s="126" t="s">
        <v>24</v>
      </c>
      <c r="F131" s="127" t="s">
        <v>6385</v>
      </c>
      <c r="G131" s="128">
        <v>11.787263888888889</v>
      </c>
      <c r="H131" s="129">
        <v>77.800786111111108</v>
      </c>
      <c r="I131" s="98" t="s">
        <v>6021</v>
      </c>
      <c r="J131" s="124" t="s">
        <v>17</v>
      </c>
      <c r="K131" s="125" t="s">
        <v>17</v>
      </c>
      <c r="L131" s="88">
        <v>-2.5639999999999999E-3</v>
      </c>
      <c r="M131" s="89">
        <v>-5.1469999999999997E-3</v>
      </c>
      <c r="N131" s="90">
        <v>1.5375E-2</v>
      </c>
      <c r="O131" s="97" t="s">
        <v>17</v>
      </c>
      <c r="P131" s="90" t="s">
        <v>17</v>
      </c>
      <c r="Q131" s="93">
        <v>0.38345069599999998</v>
      </c>
      <c r="R131" s="94">
        <v>0.51</v>
      </c>
      <c r="S131" s="94">
        <v>0.434</v>
      </c>
      <c r="T131" s="94">
        <v>5.6000000000000001E-2</v>
      </c>
      <c r="U131" s="95">
        <v>1.7000000000000001E-2</v>
      </c>
      <c r="V131" s="94">
        <v>2.8000000000000001E-2</v>
      </c>
      <c r="W131" s="94">
        <v>1.7000000000000001E-2</v>
      </c>
      <c r="X131" s="95">
        <v>0.50801803674006596</v>
      </c>
      <c r="Y131" s="94">
        <v>0.43500892264493002</v>
      </c>
      <c r="Z131" s="94">
        <v>5.6998617108767302E-2</v>
      </c>
      <c r="AA131" s="93">
        <v>0.37480512460155802</v>
      </c>
      <c r="AB131" s="95">
        <v>0.84265837799999999</v>
      </c>
      <c r="AC131" s="95">
        <v>0.48399999999999999</v>
      </c>
      <c r="AD131" s="94">
        <v>0.46300000000000002</v>
      </c>
      <c r="AE131" s="100">
        <v>5.2999999999999999E-2</v>
      </c>
      <c r="AF131" s="95">
        <v>1.7000000000000001E-2</v>
      </c>
      <c r="AG131" s="94">
        <v>2.8000000000000001E-2</v>
      </c>
      <c r="AH131" s="94">
        <v>1.7000000000000001E-2</v>
      </c>
      <c r="AI131" s="95">
        <v>0.48294374699999998</v>
      </c>
      <c r="AJ131" s="94">
        <v>0.46240862399999999</v>
      </c>
      <c r="AK131" s="100">
        <v>5.4609709999999999E-2</v>
      </c>
      <c r="AL131" s="100">
        <v>0.82642198224922903</v>
      </c>
    </row>
    <row r="132" spans="1:38" s="16" customFormat="1" ht="13" customHeight="1" x14ac:dyDescent="0.2">
      <c r="A132" s="87" t="s">
        <v>6370</v>
      </c>
      <c r="B132" s="105">
        <v>5</v>
      </c>
      <c r="C132" s="98" t="s">
        <v>6020</v>
      </c>
      <c r="D132" s="126" t="s">
        <v>6028</v>
      </c>
      <c r="E132" s="126" t="s">
        <v>24</v>
      </c>
      <c r="F132" s="127" t="s">
        <v>6371</v>
      </c>
      <c r="G132" s="128">
        <v>20.599236111111111</v>
      </c>
      <c r="H132" s="129">
        <v>72.934244444444445</v>
      </c>
      <c r="I132" s="98" t="s">
        <v>6021</v>
      </c>
      <c r="J132" s="98" t="s">
        <v>17</v>
      </c>
      <c r="K132" s="106" t="s">
        <v>17</v>
      </c>
      <c r="L132" s="88">
        <v>-1.4959999999999999E-3</v>
      </c>
      <c r="M132" s="89">
        <v>-4.3940000000000003E-3</v>
      </c>
      <c r="N132" s="90">
        <v>1.302E-2</v>
      </c>
      <c r="O132" s="97" t="s">
        <v>6372</v>
      </c>
      <c r="P132" s="90" t="s">
        <v>6373</v>
      </c>
      <c r="Q132" s="93">
        <v>3.8031641200000001E-2</v>
      </c>
      <c r="R132" s="94">
        <v>0.51</v>
      </c>
      <c r="S132" s="94">
        <v>0.40300000000000002</v>
      </c>
      <c r="T132" s="94">
        <v>8.7999999999999995E-2</v>
      </c>
      <c r="U132" s="95">
        <v>1.7000000000000001E-2</v>
      </c>
      <c r="V132" s="94">
        <v>2.9000000000000001E-2</v>
      </c>
      <c r="W132" s="94">
        <v>1.7999999999999999E-2</v>
      </c>
      <c r="X132" s="95">
        <v>0.50286767691564305</v>
      </c>
      <c r="Y132" s="94">
        <v>0.41528041485024098</v>
      </c>
      <c r="Z132" s="94">
        <v>8.1946511362243304E-2</v>
      </c>
      <c r="AA132" s="93">
        <v>-1.33423335131614</v>
      </c>
      <c r="AB132" s="95">
        <v>7.5697217499999997E-2</v>
      </c>
      <c r="AC132" s="95">
        <v>0.48899999999999999</v>
      </c>
      <c r="AD132" s="94">
        <v>0.41699999999999998</v>
      </c>
      <c r="AE132" s="100">
        <v>9.2999999999999999E-2</v>
      </c>
      <c r="AF132" s="95">
        <v>1.7000000000000001E-2</v>
      </c>
      <c r="AG132" s="94">
        <v>2.9000000000000001E-2</v>
      </c>
      <c r="AH132" s="94">
        <v>1.7999999999999999E-2</v>
      </c>
      <c r="AI132" s="95">
        <v>0.48410821500000001</v>
      </c>
      <c r="AJ132" s="94">
        <v>0.42835967800000002</v>
      </c>
      <c r="AK132" s="100">
        <v>8.7431331000000001E-2</v>
      </c>
      <c r="AL132" s="100">
        <v>-1.78604631961338</v>
      </c>
    </row>
    <row r="133" spans="1:38" s="16" customFormat="1" ht="13" customHeight="1" x14ac:dyDescent="0.2">
      <c r="A133" s="87" t="s">
        <v>6386</v>
      </c>
      <c r="B133" s="105">
        <v>16</v>
      </c>
      <c r="C133" s="98" t="s">
        <v>6095</v>
      </c>
      <c r="D133" s="126" t="s">
        <v>6186</v>
      </c>
      <c r="E133" s="126" t="s">
        <v>24</v>
      </c>
      <c r="F133" s="127" t="s">
        <v>6287</v>
      </c>
      <c r="G133" s="128">
        <v>12.588958333333334</v>
      </c>
      <c r="H133" s="129">
        <v>78.250069444444449</v>
      </c>
      <c r="I133" s="98" t="s">
        <v>6021</v>
      </c>
      <c r="J133" s="124" t="s">
        <v>17</v>
      </c>
      <c r="K133" s="125" t="s">
        <v>17</v>
      </c>
      <c r="L133" s="88">
        <v>-2.578E-3</v>
      </c>
      <c r="M133" s="89">
        <v>-4.8809999999999999E-3</v>
      </c>
      <c r="N133" s="90">
        <v>1.5925000000000002E-2</v>
      </c>
      <c r="O133" s="97" t="s">
        <v>6387</v>
      </c>
      <c r="P133" s="90" t="s">
        <v>6388</v>
      </c>
      <c r="Q133" s="93">
        <v>2.7136504799999999E-2</v>
      </c>
      <c r="R133" s="94">
        <v>0.51100000000000001</v>
      </c>
      <c r="S133" s="94">
        <v>0.442</v>
      </c>
      <c r="T133" s="94">
        <v>4.7E-2</v>
      </c>
      <c r="U133" s="95">
        <v>1.4E-2</v>
      </c>
      <c r="V133" s="94">
        <v>2.4E-2</v>
      </c>
      <c r="W133" s="94">
        <v>1.4999999999999999E-2</v>
      </c>
      <c r="X133" s="95">
        <v>0.51036296940320203</v>
      </c>
      <c r="Y133" s="94">
        <v>0.44027939484515899</v>
      </c>
      <c r="Z133" s="94">
        <v>4.9381884732895197E-2</v>
      </c>
      <c r="AA133" s="93">
        <v>0.92692883903397905</v>
      </c>
      <c r="AB133" s="95">
        <v>4.01863638E-2</v>
      </c>
      <c r="AC133" s="95">
        <v>0.48799999999999999</v>
      </c>
      <c r="AD133" s="94">
        <v>0.46400000000000002</v>
      </c>
      <c r="AE133" s="100">
        <v>4.8000000000000001E-2</v>
      </c>
      <c r="AF133" s="95">
        <v>1.4E-2</v>
      </c>
      <c r="AG133" s="94">
        <v>2.4E-2</v>
      </c>
      <c r="AH133" s="94">
        <v>1.4999999999999999E-2</v>
      </c>
      <c r="AI133" s="95">
        <v>0.48750223599999998</v>
      </c>
      <c r="AJ133" s="94">
        <v>0.46291673900000002</v>
      </c>
      <c r="AK133" s="100">
        <v>4.9541376999999998E-2</v>
      </c>
      <c r="AL133" s="100">
        <v>1.18977987787913</v>
      </c>
    </row>
    <row r="134" spans="1:38" s="16" customFormat="1" ht="13" customHeight="1" x14ac:dyDescent="0.2">
      <c r="A134" s="87" t="s">
        <v>6400</v>
      </c>
      <c r="B134" s="105">
        <v>5</v>
      </c>
      <c r="C134" s="98" t="s">
        <v>6095</v>
      </c>
      <c r="D134" s="126" t="s">
        <v>6401</v>
      </c>
      <c r="E134" s="126" t="s">
        <v>24</v>
      </c>
      <c r="F134" s="127" t="s">
        <v>6402</v>
      </c>
      <c r="G134" s="128">
        <v>11.685358333333333</v>
      </c>
      <c r="H134" s="129">
        <v>76.131994444444445</v>
      </c>
      <c r="I134" s="98" t="s">
        <v>6021</v>
      </c>
      <c r="J134" s="98" t="s">
        <v>17</v>
      </c>
      <c r="K134" s="106" t="s">
        <v>17</v>
      </c>
      <c r="L134" s="88">
        <v>-2.5240000000000002E-3</v>
      </c>
      <c r="M134" s="89">
        <v>-5.0210000000000003E-3</v>
      </c>
      <c r="N134" s="90">
        <v>2.0119999999999999E-2</v>
      </c>
      <c r="O134" s="97" t="s">
        <v>6403</v>
      </c>
      <c r="P134" s="90" t="s">
        <v>6404</v>
      </c>
      <c r="Q134" s="93">
        <v>0.113107315</v>
      </c>
      <c r="R134" s="94">
        <v>0.51300000000000001</v>
      </c>
      <c r="S134" s="94">
        <v>0.42799999999999999</v>
      </c>
      <c r="T134" s="94">
        <v>5.8000000000000003E-2</v>
      </c>
      <c r="U134" s="95">
        <v>1.7000000000000001E-2</v>
      </c>
      <c r="V134" s="94">
        <v>2.9000000000000001E-2</v>
      </c>
      <c r="W134" s="94">
        <v>1.7999999999999999E-2</v>
      </c>
      <c r="X134" s="95">
        <v>0.51139008545579001</v>
      </c>
      <c r="Y134" s="94">
        <v>0.43066652532448602</v>
      </c>
      <c r="Z134" s="94">
        <v>5.7903800695053499E-2</v>
      </c>
      <c r="AA134" s="93">
        <v>0.13441224597718901</v>
      </c>
      <c r="AB134" s="95">
        <v>0.29430811400000001</v>
      </c>
      <c r="AC134" s="95">
        <v>0.49</v>
      </c>
      <c r="AD134" s="94">
        <v>0.45300000000000001</v>
      </c>
      <c r="AE134" s="100">
        <v>5.6000000000000001E-2</v>
      </c>
      <c r="AF134" s="95">
        <v>1.7000000000000001E-2</v>
      </c>
      <c r="AG134" s="94">
        <v>2.9000000000000001E-2</v>
      </c>
      <c r="AH134" s="94">
        <v>1.7999999999999999E-2</v>
      </c>
      <c r="AI134" s="95">
        <v>0.48904414299999999</v>
      </c>
      <c r="AJ134" s="94">
        <v>0.45438010600000001</v>
      </c>
      <c r="AK134" s="100">
        <v>5.6479889999999998E-2</v>
      </c>
      <c r="AL134" s="100">
        <v>0.41394533888034402</v>
      </c>
    </row>
    <row r="135" spans="1:38" s="16" customFormat="1" ht="13" customHeight="1" x14ac:dyDescent="0.2">
      <c r="A135" s="87" t="s">
        <v>6358</v>
      </c>
      <c r="B135" s="105">
        <v>4</v>
      </c>
      <c r="C135" s="98" t="s">
        <v>6020</v>
      </c>
      <c r="D135" s="126" t="s">
        <v>6028</v>
      </c>
      <c r="E135" s="126" t="s">
        <v>24</v>
      </c>
      <c r="F135" s="127" t="s">
        <v>6359</v>
      </c>
      <c r="G135" s="128">
        <v>22.303894444444445</v>
      </c>
      <c r="H135" s="129">
        <v>70.802161111111104</v>
      </c>
      <c r="I135" s="98" t="s">
        <v>6021</v>
      </c>
      <c r="J135" s="98" t="s">
        <v>17</v>
      </c>
      <c r="K135" s="106" t="s">
        <v>17</v>
      </c>
      <c r="L135" s="88">
        <v>-1.67E-3</v>
      </c>
      <c r="M135" s="89">
        <v>-4.8659999999999997E-3</v>
      </c>
      <c r="N135" s="90">
        <v>1.0525E-2</v>
      </c>
      <c r="O135" s="97" t="s">
        <v>17</v>
      </c>
      <c r="P135" s="90" t="s">
        <v>17</v>
      </c>
      <c r="Q135" s="93">
        <v>2.5277002E-2</v>
      </c>
      <c r="R135" s="94">
        <v>0.52100000000000002</v>
      </c>
      <c r="S135" s="94">
        <v>0.377</v>
      </c>
      <c r="T135" s="94">
        <v>0.10299999999999999</v>
      </c>
      <c r="U135" s="95">
        <v>1.7000000000000001E-2</v>
      </c>
      <c r="V135" s="94">
        <v>2.9000000000000001E-2</v>
      </c>
      <c r="W135" s="94">
        <v>1.7999999999999999E-2</v>
      </c>
      <c r="X135" s="95">
        <v>0.51115691945247299</v>
      </c>
      <c r="Y135" s="94">
        <v>0.396903020886063</v>
      </c>
      <c r="Z135" s="94">
        <v>9.2035111939858194E-2</v>
      </c>
      <c r="AA135" s="93">
        <v>-2.4061154976276802</v>
      </c>
      <c r="AB135" s="95">
        <v>4.9853780600000001E-2</v>
      </c>
      <c r="AC135" s="95">
        <v>0.501</v>
      </c>
      <c r="AD135" s="94">
        <v>0.39400000000000002</v>
      </c>
      <c r="AE135" s="100">
        <v>0.104</v>
      </c>
      <c r="AF135" s="95">
        <v>1.7000000000000001E-2</v>
      </c>
      <c r="AG135" s="94">
        <v>2.9000000000000001E-2</v>
      </c>
      <c r="AH135" s="94">
        <v>1.7999999999999999E-2</v>
      </c>
      <c r="AI135" s="95">
        <v>0.49404320099999999</v>
      </c>
      <c r="AJ135" s="94">
        <v>0.41062730400000003</v>
      </c>
      <c r="AK135" s="100">
        <v>9.5219931999999993E-2</v>
      </c>
      <c r="AL135" s="100">
        <v>-2.7087629783596299</v>
      </c>
    </row>
    <row r="136" spans="1:38" s="16" customFormat="1" ht="13" customHeight="1" x14ac:dyDescent="0.2">
      <c r="A136" s="87" t="s">
        <v>6380</v>
      </c>
      <c r="B136" s="105">
        <v>5</v>
      </c>
      <c r="C136" s="98" t="s">
        <v>6020</v>
      </c>
      <c r="D136" s="126" t="s">
        <v>6028</v>
      </c>
      <c r="E136" s="126" t="s">
        <v>24</v>
      </c>
      <c r="F136" s="127" t="s">
        <v>6381</v>
      </c>
      <c r="G136" s="128">
        <v>21.170238888888889</v>
      </c>
      <c r="H136" s="129">
        <v>72.831061111111111</v>
      </c>
      <c r="I136" s="98" t="s">
        <v>6021</v>
      </c>
      <c r="J136" s="98" t="s">
        <v>17</v>
      </c>
      <c r="K136" s="106" t="s">
        <v>17</v>
      </c>
      <c r="L136" s="88">
        <v>-2.6129999999999999E-3</v>
      </c>
      <c r="M136" s="89">
        <v>-5.3350000000000003E-3</v>
      </c>
      <c r="N136" s="90">
        <v>1.536E-2</v>
      </c>
      <c r="O136" s="97" t="s">
        <v>6382</v>
      </c>
      <c r="P136" s="90" t="s">
        <v>6383</v>
      </c>
      <c r="Q136" s="93">
        <v>8.2859822400000005E-2</v>
      </c>
      <c r="R136" s="94">
        <v>0.52800000000000002</v>
      </c>
      <c r="S136" s="94">
        <v>0.38600000000000001</v>
      </c>
      <c r="T136" s="94">
        <v>8.5000000000000006E-2</v>
      </c>
      <c r="U136" s="95">
        <v>1.7999999999999999E-2</v>
      </c>
      <c r="V136" s="94">
        <v>0.03</v>
      </c>
      <c r="W136" s="94">
        <v>1.7999999999999999E-2</v>
      </c>
      <c r="X136" s="95">
        <v>0.52049600478035396</v>
      </c>
      <c r="Y136" s="94">
        <v>0.40245335328049697</v>
      </c>
      <c r="Z136" s="94">
        <v>7.70127495494905E-2</v>
      </c>
      <c r="AA136" s="93">
        <v>-1.7830299941694701</v>
      </c>
      <c r="AB136" s="95">
        <v>9.0546602500000004E-2</v>
      </c>
      <c r="AC136" s="95">
        <v>0.51200000000000001</v>
      </c>
      <c r="AD136" s="94">
        <v>0.40400000000000003</v>
      </c>
      <c r="AE136" s="100">
        <v>8.4000000000000005E-2</v>
      </c>
      <c r="AF136" s="95">
        <v>1.7999999999999999E-2</v>
      </c>
      <c r="AG136" s="94">
        <v>0.03</v>
      </c>
      <c r="AH136" s="94">
        <v>1.7999999999999999E-2</v>
      </c>
      <c r="AI136" s="95">
        <v>0.50468716000000002</v>
      </c>
      <c r="AJ136" s="94">
        <v>0.41760439999999999</v>
      </c>
      <c r="AK136" s="100">
        <v>7.7649661999999994E-2</v>
      </c>
      <c r="AL136" s="100">
        <v>-1.8264861031181401</v>
      </c>
    </row>
    <row r="137" spans="1:38" s="16" customFormat="1" ht="13" customHeight="1" x14ac:dyDescent="0.2">
      <c r="A137" s="87" t="s">
        <v>6405</v>
      </c>
      <c r="B137" s="105">
        <v>4</v>
      </c>
      <c r="C137" s="98" t="s">
        <v>6095</v>
      </c>
      <c r="D137" s="126" t="s">
        <v>6401</v>
      </c>
      <c r="E137" s="126" t="s">
        <v>24</v>
      </c>
      <c r="F137" s="127" t="s">
        <v>6406</v>
      </c>
      <c r="G137" s="128">
        <v>11.794327777777777</v>
      </c>
      <c r="H137" s="129">
        <v>75.906605555555558</v>
      </c>
      <c r="I137" s="98" t="s">
        <v>6021</v>
      </c>
      <c r="J137" s="98" t="s">
        <v>17</v>
      </c>
      <c r="K137" s="106" t="s">
        <v>17</v>
      </c>
      <c r="L137" s="88">
        <v>-3.3010000000000001E-3</v>
      </c>
      <c r="M137" s="89">
        <v>-6.0639999999999999E-3</v>
      </c>
      <c r="N137" s="90">
        <v>2.3525000000000001E-2</v>
      </c>
      <c r="O137" s="97" t="s">
        <v>17</v>
      </c>
      <c r="P137" s="90" t="s">
        <v>17</v>
      </c>
      <c r="Q137" s="93">
        <v>8.3811651899999996E-3</v>
      </c>
      <c r="R137" s="94">
        <v>0.53900000000000003</v>
      </c>
      <c r="S137" s="94">
        <v>0.38900000000000001</v>
      </c>
      <c r="T137" s="94">
        <v>7.1999999999999995E-2</v>
      </c>
      <c r="U137" s="95">
        <v>1.7999999999999999E-2</v>
      </c>
      <c r="V137" s="94">
        <v>3.2000000000000001E-2</v>
      </c>
      <c r="W137" s="94">
        <v>1.9E-2</v>
      </c>
      <c r="X137" s="95">
        <v>0.53132918030045095</v>
      </c>
      <c r="Y137" s="94">
        <v>0.40356866395990698</v>
      </c>
      <c r="Z137" s="94">
        <v>6.5126281421367893E-2</v>
      </c>
      <c r="AA137" s="93">
        <v>-1.20149247816147</v>
      </c>
      <c r="AB137" s="95">
        <v>1.2046654E-2</v>
      </c>
      <c r="AC137" s="95">
        <v>0.52300000000000002</v>
      </c>
      <c r="AD137" s="94">
        <v>0.40400000000000003</v>
      </c>
      <c r="AE137" s="100">
        <v>7.3999999999999996E-2</v>
      </c>
      <c r="AF137" s="95">
        <v>1.7999999999999999E-2</v>
      </c>
      <c r="AG137" s="94">
        <v>3.2000000000000001E-2</v>
      </c>
      <c r="AH137" s="94">
        <v>1.9E-2</v>
      </c>
      <c r="AI137" s="95">
        <v>0.51490673899999995</v>
      </c>
      <c r="AJ137" s="94">
        <v>0.41707108100000001</v>
      </c>
      <c r="AK137" s="100">
        <v>6.8012341000000004E-2</v>
      </c>
      <c r="AL137" s="100">
        <v>-1.37989609280799</v>
      </c>
    </row>
    <row r="138" spans="1:38" s="16" customFormat="1" ht="13" customHeight="1" x14ac:dyDescent="0.2">
      <c r="A138" s="87" t="s">
        <v>6389</v>
      </c>
      <c r="B138" s="105">
        <v>3</v>
      </c>
      <c r="C138" s="98" t="s">
        <v>6020</v>
      </c>
      <c r="D138" s="126" t="s">
        <v>6341</v>
      </c>
      <c r="E138" s="126" t="s">
        <v>24</v>
      </c>
      <c r="F138" s="127" t="s">
        <v>6390</v>
      </c>
      <c r="G138" s="128">
        <v>19.152263888888889</v>
      </c>
      <c r="H138" s="129">
        <v>72.898191666666676</v>
      </c>
      <c r="I138" s="98" t="s">
        <v>6021</v>
      </c>
      <c r="J138" s="98" t="s">
        <v>17</v>
      </c>
      <c r="K138" s="106" t="s">
        <v>17</v>
      </c>
      <c r="L138" s="88">
        <v>-3.3170000000000001E-3</v>
      </c>
      <c r="M138" s="89">
        <v>-4.79E-3</v>
      </c>
      <c r="N138" s="90">
        <v>1.6032999999999999E-2</v>
      </c>
      <c r="O138" s="97" t="s">
        <v>17</v>
      </c>
      <c r="P138" s="90" t="s">
        <v>17</v>
      </c>
      <c r="Q138" s="93">
        <v>1.0255688000000001E-2</v>
      </c>
      <c r="R138" s="94">
        <v>0.55200000000000005</v>
      </c>
      <c r="S138" s="94">
        <v>0.38400000000000001</v>
      </c>
      <c r="T138" s="94">
        <v>6.4000000000000001E-2</v>
      </c>
      <c r="U138" s="95">
        <v>1.9E-2</v>
      </c>
      <c r="V138" s="94">
        <v>3.2000000000000001E-2</v>
      </c>
      <c r="W138" s="94">
        <v>0.02</v>
      </c>
      <c r="X138" s="95">
        <v>0.54396876523201398</v>
      </c>
      <c r="Y138" s="94">
        <v>0.39854278238247898</v>
      </c>
      <c r="Z138" s="94">
        <v>5.7510104852674999E-2</v>
      </c>
      <c r="AA138" s="93">
        <v>-1.11117866902703</v>
      </c>
      <c r="AB138" s="95">
        <v>2.9865369400000001E-2</v>
      </c>
      <c r="AC138" s="95">
        <v>0.53400000000000003</v>
      </c>
      <c r="AD138" s="94">
        <v>0.39900000000000002</v>
      </c>
      <c r="AE138" s="100">
        <v>6.7000000000000004E-2</v>
      </c>
      <c r="AF138" s="95">
        <v>1.9E-2</v>
      </c>
      <c r="AG138" s="94">
        <v>3.2000000000000001E-2</v>
      </c>
      <c r="AH138" s="94">
        <v>0.02</v>
      </c>
      <c r="AI138" s="95">
        <v>0.52653472499999998</v>
      </c>
      <c r="AJ138" s="94">
        <v>0.41223124999999999</v>
      </c>
      <c r="AK138" s="100">
        <v>6.1164873000000002E-2</v>
      </c>
      <c r="AL138" s="100">
        <v>-1.28155972193243</v>
      </c>
    </row>
    <row r="139" spans="1:38" s="16" customFormat="1" ht="13" customHeight="1" x14ac:dyDescent="0.2">
      <c r="A139" s="87" t="s">
        <v>6392</v>
      </c>
      <c r="B139" s="105">
        <v>5</v>
      </c>
      <c r="C139" s="98" t="s">
        <v>6020</v>
      </c>
      <c r="D139" s="126" t="s">
        <v>6028</v>
      </c>
      <c r="E139" s="126" t="s">
        <v>24</v>
      </c>
      <c r="F139" s="127" t="s">
        <v>6393</v>
      </c>
      <c r="G139" s="128">
        <v>21.445761111111111</v>
      </c>
      <c r="H139" s="129">
        <v>73.482836111111112</v>
      </c>
      <c r="I139" s="98" t="s">
        <v>6021</v>
      </c>
      <c r="J139" s="98" t="s">
        <v>17</v>
      </c>
      <c r="K139" s="106" t="s">
        <v>17</v>
      </c>
      <c r="L139" s="88">
        <v>-3.0599999999999998E-3</v>
      </c>
      <c r="M139" s="89">
        <v>-5.2009999999999999E-3</v>
      </c>
      <c r="N139" s="90">
        <v>1.7260000000000001E-2</v>
      </c>
      <c r="O139" s="97" t="s">
        <v>6394</v>
      </c>
      <c r="P139" s="90" t="s">
        <v>6395</v>
      </c>
      <c r="Q139" s="93">
        <v>8.8532351600000003E-2</v>
      </c>
      <c r="R139" s="94">
        <v>0.55400000000000005</v>
      </c>
      <c r="S139" s="94">
        <v>0.36499999999999999</v>
      </c>
      <c r="T139" s="94">
        <v>8.1000000000000003E-2</v>
      </c>
      <c r="U139" s="95">
        <v>1.6E-2</v>
      </c>
      <c r="V139" s="94">
        <v>2.7E-2</v>
      </c>
      <c r="W139" s="94">
        <v>1.7000000000000001E-2</v>
      </c>
      <c r="X139" s="95">
        <v>0.545225490663935</v>
      </c>
      <c r="Y139" s="94">
        <v>0.38313213662488499</v>
      </c>
      <c r="Z139" s="94">
        <v>7.1665868323578699E-2</v>
      </c>
      <c r="AA139" s="93">
        <v>-2.2695621344891102</v>
      </c>
      <c r="AB139" s="95">
        <v>0.218459238</v>
      </c>
      <c r="AC139" s="95">
        <v>0.53900000000000003</v>
      </c>
      <c r="AD139" s="94">
        <v>0.373</v>
      </c>
      <c r="AE139" s="100">
        <v>8.7999999999999995E-2</v>
      </c>
      <c r="AF139" s="95">
        <v>1.6E-2</v>
      </c>
      <c r="AG139" s="94">
        <v>2.7E-2</v>
      </c>
      <c r="AH139" s="94">
        <v>1.7000000000000001E-2</v>
      </c>
      <c r="AI139" s="95">
        <v>0.53086390500000002</v>
      </c>
      <c r="AJ139" s="94">
        <v>0.388978775</v>
      </c>
      <c r="AK139" s="100">
        <v>8.0080186999999997E-2</v>
      </c>
      <c r="AL139" s="100">
        <v>-2.9678330813260301</v>
      </c>
    </row>
    <row r="140" spans="1:38" s="16" customFormat="1" ht="13" customHeight="1" x14ac:dyDescent="0.2">
      <c r="A140" s="87" t="s">
        <v>6426</v>
      </c>
      <c r="B140" s="105">
        <v>45</v>
      </c>
      <c r="C140" s="98" t="s">
        <v>6095</v>
      </c>
      <c r="D140" s="126" t="s">
        <v>6186</v>
      </c>
      <c r="E140" s="126" t="s">
        <v>24</v>
      </c>
      <c r="F140" s="127" t="s">
        <v>17</v>
      </c>
      <c r="G140" s="128">
        <v>11.02</v>
      </c>
      <c r="H140" s="129">
        <v>76.98</v>
      </c>
      <c r="I140" s="98" t="s">
        <v>6021</v>
      </c>
      <c r="J140" s="98" t="s">
        <v>17</v>
      </c>
      <c r="K140" s="106" t="s">
        <v>17</v>
      </c>
      <c r="L140" s="88">
        <v>-5.1590000000000004E-3</v>
      </c>
      <c r="M140" s="89">
        <v>-4.908E-3</v>
      </c>
      <c r="N140" s="90">
        <v>7.8658000000000006E-2</v>
      </c>
      <c r="O140" s="97" t="s">
        <v>6427</v>
      </c>
      <c r="P140" s="90" t="s">
        <v>6428</v>
      </c>
      <c r="Q140" s="93">
        <v>0.331788211</v>
      </c>
      <c r="R140" s="94">
        <v>0.58199999999999996</v>
      </c>
      <c r="S140" s="94">
        <v>0.36899999999999999</v>
      </c>
      <c r="T140" s="94">
        <v>4.9000000000000002E-2</v>
      </c>
      <c r="U140" s="95">
        <v>1.6E-2</v>
      </c>
      <c r="V140" s="94">
        <v>2.7E-2</v>
      </c>
      <c r="W140" s="94">
        <v>1.7000000000000001E-2</v>
      </c>
      <c r="X140" s="95">
        <v>0.574851108206342</v>
      </c>
      <c r="Y140" s="94">
        <v>0.381570152572274</v>
      </c>
      <c r="Z140" s="94">
        <v>4.3595010222087303E-2</v>
      </c>
      <c r="AA140" s="93">
        <v>-1.2912646870490201</v>
      </c>
      <c r="AB140" s="95">
        <v>0.40585493900000003</v>
      </c>
      <c r="AC140" s="95">
        <v>0.56699999999999995</v>
      </c>
      <c r="AD140" s="94">
        <v>0.38600000000000001</v>
      </c>
      <c r="AE140" s="100">
        <v>4.5999999999999999E-2</v>
      </c>
      <c r="AF140" s="95">
        <v>1.6E-2</v>
      </c>
      <c r="AG140" s="94">
        <v>2.7E-2</v>
      </c>
      <c r="AH140" s="94">
        <v>1.7000000000000001E-2</v>
      </c>
      <c r="AI140" s="95">
        <v>0.56221133700000003</v>
      </c>
      <c r="AJ140" s="94">
        <v>0.39546879800000001</v>
      </c>
      <c r="AK140" s="100">
        <v>4.2178363000000003E-2</v>
      </c>
      <c r="AL140" s="100">
        <v>-1.2340806269917299</v>
      </c>
    </row>
    <row r="141" spans="1:38" s="16" customFormat="1" ht="13" customHeight="1" x14ac:dyDescent="0.2">
      <c r="A141" s="87" t="s">
        <v>2032</v>
      </c>
      <c r="B141" s="105">
        <v>17</v>
      </c>
      <c r="C141" s="98" t="s">
        <v>6095</v>
      </c>
      <c r="D141" s="126" t="s">
        <v>6186</v>
      </c>
      <c r="E141" s="126" t="s">
        <v>24</v>
      </c>
      <c r="F141" s="127" t="s">
        <v>6411</v>
      </c>
      <c r="G141" s="128">
        <v>13.5</v>
      </c>
      <c r="H141" s="129">
        <v>80</v>
      </c>
      <c r="I141" s="98" t="s">
        <v>6021</v>
      </c>
      <c r="J141" s="98">
        <v>0</v>
      </c>
      <c r="K141" s="106">
        <v>10</v>
      </c>
      <c r="L141" s="88">
        <v>-5.365E-3</v>
      </c>
      <c r="M141" s="89">
        <v>-4.7270000000000003E-3</v>
      </c>
      <c r="N141" s="90">
        <v>3.6158999999999997E-2</v>
      </c>
      <c r="O141" s="90" t="s">
        <v>6412</v>
      </c>
      <c r="P141" s="90" t="s">
        <v>6413</v>
      </c>
      <c r="Q141" s="93">
        <v>6.2804844499999998E-2</v>
      </c>
      <c r="R141" s="94">
        <v>0.58799999999999997</v>
      </c>
      <c r="S141" s="94">
        <v>0.377</v>
      </c>
      <c r="T141" s="94">
        <v>3.5000000000000003E-2</v>
      </c>
      <c r="U141" s="95">
        <v>1.4999999999999999E-2</v>
      </c>
      <c r="V141" s="94">
        <v>2.7E-2</v>
      </c>
      <c r="W141" s="94">
        <v>1.7000000000000001E-2</v>
      </c>
      <c r="X141" s="95">
        <v>0.58248167154179598</v>
      </c>
      <c r="Y141" s="94">
        <v>0.385895642154306</v>
      </c>
      <c r="Z141" s="94">
        <v>3.16364359700314E-2</v>
      </c>
      <c r="AA141" s="93">
        <v>-0.634751634774812</v>
      </c>
      <c r="AB141" s="95">
        <v>0.101080927</v>
      </c>
      <c r="AC141" s="95">
        <v>0.57099999999999995</v>
      </c>
      <c r="AD141" s="94">
        <v>0.39700000000000002</v>
      </c>
      <c r="AE141" s="100">
        <v>3.2000000000000001E-2</v>
      </c>
      <c r="AF141" s="95">
        <v>1.4999999999999999E-2</v>
      </c>
      <c r="AG141" s="94">
        <v>2.7E-2</v>
      </c>
      <c r="AH141" s="94">
        <v>1.7000000000000001E-2</v>
      </c>
      <c r="AI141" s="95">
        <v>0.56679395700000001</v>
      </c>
      <c r="AJ141" s="94">
        <v>0.40322725799999998</v>
      </c>
      <c r="AK141" s="100">
        <v>2.9890758E-2</v>
      </c>
      <c r="AL141" s="100">
        <v>-0.40729355523380101</v>
      </c>
    </row>
    <row r="142" spans="1:38" s="16" customFormat="1" ht="13" customHeight="1" x14ac:dyDescent="0.2">
      <c r="A142" s="87" t="s">
        <v>6414</v>
      </c>
      <c r="B142" s="105">
        <v>5</v>
      </c>
      <c r="C142" s="98" t="s">
        <v>6095</v>
      </c>
      <c r="D142" s="126" t="s">
        <v>6401</v>
      </c>
      <c r="E142" s="126" t="s">
        <v>24</v>
      </c>
      <c r="F142" s="127" t="s">
        <v>6415</v>
      </c>
      <c r="G142" s="128">
        <v>10.527641666666668</v>
      </c>
      <c r="H142" s="129">
        <v>76.214436111111112</v>
      </c>
      <c r="I142" s="98" t="s">
        <v>6021</v>
      </c>
      <c r="J142" s="98" t="s">
        <v>17</v>
      </c>
      <c r="K142" s="106" t="s">
        <v>17</v>
      </c>
      <c r="L142" s="88">
        <v>-5.6540000000000002E-3</v>
      </c>
      <c r="M142" s="89">
        <v>-5.2500000000000003E-3</v>
      </c>
      <c r="N142" s="90">
        <v>3.662E-2</v>
      </c>
      <c r="O142" s="98" t="s">
        <v>6416</v>
      </c>
      <c r="P142" s="99" t="s">
        <v>6417</v>
      </c>
      <c r="Q142" s="93">
        <v>6.0544155699999998E-2</v>
      </c>
      <c r="R142" s="94">
        <v>0.60199999999999998</v>
      </c>
      <c r="S142" s="94">
        <v>0.34899999999999998</v>
      </c>
      <c r="T142" s="94">
        <v>4.9000000000000002E-2</v>
      </c>
      <c r="U142" s="95">
        <v>1.7999999999999999E-2</v>
      </c>
      <c r="V142" s="94">
        <v>3.1E-2</v>
      </c>
      <c r="W142" s="94">
        <v>1.7999999999999999E-2</v>
      </c>
      <c r="X142" s="95">
        <v>0.59150594638065801</v>
      </c>
      <c r="Y142" s="94">
        <v>0.36829095202380802</v>
      </c>
      <c r="Z142" s="94">
        <v>4.0217046408456698E-2</v>
      </c>
      <c r="AA142" s="93">
        <v>-1.7689285630585501</v>
      </c>
      <c r="AB142" s="95">
        <v>0.19230407699999999</v>
      </c>
      <c r="AC142" s="95">
        <v>0.58899999999999997</v>
      </c>
      <c r="AD142" s="94">
        <v>0.36199999999999999</v>
      </c>
      <c r="AE142" s="100">
        <v>4.8000000000000001E-2</v>
      </c>
      <c r="AF142" s="95">
        <v>1.7999999999999999E-2</v>
      </c>
      <c r="AG142" s="94">
        <v>3.1E-2</v>
      </c>
      <c r="AH142" s="94">
        <v>1.7999999999999999E-2</v>
      </c>
      <c r="AI142" s="95">
        <v>0.58078555700000001</v>
      </c>
      <c r="AJ142" s="94">
        <v>0.37822887300000002</v>
      </c>
      <c r="AK142" s="100">
        <v>4.0831866000000001E-2</v>
      </c>
      <c r="AL142" s="100">
        <v>-1.8699307779151999</v>
      </c>
    </row>
    <row r="143" spans="1:38" s="16" customFormat="1" ht="13" customHeight="1" x14ac:dyDescent="0.2">
      <c r="A143" s="87" t="s">
        <v>6419</v>
      </c>
      <c r="B143" s="105">
        <v>20</v>
      </c>
      <c r="C143" s="98" t="s">
        <v>6095</v>
      </c>
      <c r="D143" s="126" t="s">
        <v>6401</v>
      </c>
      <c r="E143" s="126" t="s">
        <v>24</v>
      </c>
      <c r="F143" s="127" t="s">
        <v>6415</v>
      </c>
      <c r="G143" s="128">
        <v>10.527641666666668</v>
      </c>
      <c r="H143" s="129">
        <v>76.214436111111112</v>
      </c>
      <c r="I143" s="98" t="s">
        <v>6021</v>
      </c>
      <c r="J143" s="98" t="s">
        <v>17</v>
      </c>
      <c r="K143" s="106" t="s">
        <v>17</v>
      </c>
      <c r="L143" s="88">
        <v>-6.1510000000000002E-3</v>
      </c>
      <c r="M143" s="89">
        <v>-4.9909999999999998E-3</v>
      </c>
      <c r="N143" s="90">
        <v>5.2429999999999997E-2</v>
      </c>
      <c r="O143" s="99" t="s">
        <v>6420</v>
      </c>
      <c r="P143" s="99" t="s">
        <v>6421</v>
      </c>
      <c r="Q143" s="93">
        <v>0.11051124</v>
      </c>
      <c r="R143" s="94">
        <v>0.629</v>
      </c>
      <c r="S143" s="94">
        <v>0.33500000000000002</v>
      </c>
      <c r="T143" s="94">
        <v>3.5999999999999997E-2</v>
      </c>
      <c r="U143" s="95">
        <v>1.9E-2</v>
      </c>
      <c r="V143" s="94">
        <v>3.2000000000000001E-2</v>
      </c>
      <c r="W143" s="94">
        <v>0.02</v>
      </c>
      <c r="X143" s="95">
        <v>0.61656266635296297</v>
      </c>
      <c r="Y143" s="94">
        <v>0.35676630884632998</v>
      </c>
      <c r="Z143" s="94">
        <v>2.6680290580625501E-2</v>
      </c>
      <c r="AA143" s="93">
        <v>-1.6736034209177</v>
      </c>
      <c r="AB143" s="95">
        <v>0.23705806400000001</v>
      </c>
      <c r="AC143" s="95">
        <v>0.61799999999999999</v>
      </c>
      <c r="AD143" s="94">
        <v>0.34699999999999998</v>
      </c>
      <c r="AE143" s="100">
        <v>3.5000000000000003E-2</v>
      </c>
      <c r="AF143" s="95">
        <v>1.9E-2</v>
      </c>
      <c r="AG143" s="94">
        <v>3.2000000000000001E-2</v>
      </c>
      <c r="AH143" s="94">
        <v>0.02</v>
      </c>
      <c r="AI143" s="95">
        <v>0.60711468300000004</v>
      </c>
      <c r="AJ143" s="94">
        <v>0.36569805700000002</v>
      </c>
      <c r="AK143" s="100">
        <v>2.7072715000000001E-2</v>
      </c>
      <c r="AL143" s="100">
        <v>-1.7284175335690199</v>
      </c>
    </row>
    <row r="144" spans="1:38" s="16" customFormat="1" ht="13" customHeight="1" x14ac:dyDescent="0.2">
      <c r="A144" s="87" t="s">
        <v>6422</v>
      </c>
      <c r="B144" s="105">
        <v>41</v>
      </c>
      <c r="C144" s="98" t="s">
        <v>6095</v>
      </c>
      <c r="D144" s="126" t="s">
        <v>6186</v>
      </c>
      <c r="E144" s="126" t="s">
        <v>24</v>
      </c>
      <c r="F144" s="127" t="s">
        <v>6423</v>
      </c>
      <c r="G144" s="128">
        <v>11.251566666666667</v>
      </c>
      <c r="H144" s="129">
        <v>79.547077777777773</v>
      </c>
      <c r="I144" s="98" t="s">
        <v>6021</v>
      </c>
      <c r="J144" s="98" t="s">
        <v>17</v>
      </c>
      <c r="K144" s="106" t="s">
        <v>17</v>
      </c>
      <c r="L144" s="88">
        <v>-6.9719999999999999E-3</v>
      </c>
      <c r="M144" s="89">
        <v>-4.8430000000000001E-3</v>
      </c>
      <c r="N144" s="90">
        <v>7.0001999999999995E-2</v>
      </c>
      <c r="O144" s="99" t="s">
        <v>6424</v>
      </c>
      <c r="P144" s="99" t="s">
        <v>6425</v>
      </c>
      <c r="Q144" s="93">
        <v>0.31312332100000001</v>
      </c>
      <c r="R144" s="94">
        <v>0.64500000000000002</v>
      </c>
      <c r="S144" s="94">
        <v>0.31900000000000001</v>
      </c>
      <c r="T144" s="94">
        <v>3.5999999999999997E-2</v>
      </c>
      <c r="U144" s="95">
        <v>1.6E-2</v>
      </c>
      <c r="V144" s="94">
        <v>2.7E-2</v>
      </c>
      <c r="W144" s="94">
        <v>1.6E-2</v>
      </c>
      <c r="X144" s="95">
        <v>0.63383490050801405</v>
      </c>
      <c r="Y144" s="94">
        <v>0.33967000091703398</v>
      </c>
      <c r="Z144" s="94">
        <v>2.6502419871733501E-2</v>
      </c>
      <c r="AA144" s="93">
        <v>-2.4654438724412402</v>
      </c>
      <c r="AB144" s="95">
        <v>0.55580744299999996</v>
      </c>
      <c r="AC144" s="95">
        <v>0.63700000000000001</v>
      </c>
      <c r="AD144" s="94">
        <v>0.32600000000000001</v>
      </c>
      <c r="AE144" s="100">
        <v>3.6999999999999998E-2</v>
      </c>
      <c r="AF144" s="95">
        <v>1.6E-2</v>
      </c>
      <c r="AG144" s="94">
        <v>2.7E-2</v>
      </c>
      <c r="AH144" s="94">
        <v>1.6E-2</v>
      </c>
      <c r="AI144" s="95">
        <v>0.62735864600000002</v>
      </c>
      <c r="AJ144" s="94">
        <v>0.34334325599999999</v>
      </c>
      <c r="AK144" s="100">
        <v>2.9169301000000002E-2</v>
      </c>
      <c r="AL144" s="100">
        <v>-2.77125714612745</v>
      </c>
    </row>
    <row r="145" spans="1:38" s="16" customFormat="1" ht="13" customHeight="1" x14ac:dyDescent="0.2">
      <c r="A145" s="87" t="s">
        <v>6418</v>
      </c>
      <c r="B145" s="105">
        <v>3</v>
      </c>
      <c r="C145" s="98" t="s">
        <v>6095</v>
      </c>
      <c r="D145" s="126" t="s">
        <v>6401</v>
      </c>
      <c r="E145" s="126" t="s">
        <v>24</v>
      </c>
      <c r="F145" s="127" t="s">
        <v>6402</v>
      </c>
      <c r="G145" s="128">
        <v>11.685358000000001</v>
      </c>
      <c r="H145" s="129">
        <v>76.131995000000003</v>
      </c>
      <c r="I145" s="98" t="s">
        <v>6021</v>
      </c>
      <c r="J145" s="124" t="s">
        <v>17</v>
      </c>
      <c r="K145" s="125" t="s">
        <v>17</v>
      </c>
      <c r="L145" s="88">
        <v>-7.7429999999999999E-3</v>
      </c>
      <c r="M145" s="89">
        <v>-5.8250000000000003E-3</v>
      </c>
      <c r="N145" s="90">
        <v>3.9399999999999998E-2</v>
      </c>
      <c r="O145" s="97" t="s">
        <v>17</v>
      </c>
      <c r="P145" s="90" t="s">
        <v>17</v>
      </c>
      <c r="Q145" s="93">
        <v>6.7353433300000001E-2</v>
      </c>
      <c r="R145" s="94">
        <v>0.66</v>
      </c>
      <c r="S145" s="94">
        <v>0.28799999999999998</v>
      </c>
      <c r="T145" s="100">
        <v>5.0999999999999997E-2</v>
      </c>
      <c r="U145" s="95">
        <v>2.1000000000000001E-2</v>
      </c>
      <c r="V145" s="94">
        <v>3.5000000000000003E-2</v>
      </c>
      <c r="W145" s="100">
        <v>2.1000000000000001E-2</v>
      </c>
      <c r="X145" s="95">
        <v>0.63994578130200097</v>
      </c>
      <c r="Y145" s="94">
        <v>0.32748633921832598</v>
      </c>
      <c r="Z145" s="94">
        <v>3.25104460008371E-2</v>
      </c>
      <c r="AA145" s="93">
        <v>-3.1705474102659799</v>
      </c>
      <c r="AB145" s="95">
        <v>0.1311494</v>
      </c>
      <c r="AC145" s="95">
        <v>0.65400000000000003</v>
      </c>
      <c r="AD145" s="94">
        <v>0.29699999999999999</v>
      </c>
      <c r="AE145" s="100">
        <v>0.05</v>
      </c>
      <c r="AF145" s="95">
        <v>2.1000000000000001E-2</v>
      </c>
      <c r="AG145" s="94">
        <v>3.5000000000000003E-2</v>
      </c>
      <c r="AH145" s="94">
        <v>2.1000000000000001E-2</v>
      </c>
      <c r="AI145" s="95">
        <v>0.63443194700000005</v>
      </c>
      <c r="AJ145" s="94">
        <v>0.33140848699999997</v>
      </c>
      <c r="AK145" s="100">
        <v>3.4077977000000002E-2</v>
      </c>
      <c r="AL145" s="100">
        <v>-3.1716064008639502</v>
      </c>
    </row>
    <row r="146" spans="1:38" s="16" customFormat="1" ht="13" customHeight="1" x14ac:dyDescent="0.2">
      <c r="A146" s="87" t="s">
        <v>6429</v>
      </c>
      <c r="B146" s="105">
        <v>12</v>
      </c>
      <c r="C146" s="98" t="s">
        <v>6430</v>
      </c>
      <c r="D146" s="126" t="s">
        <v>6431</v>
      </c>
      <c r="E146" s="126" t="s">
        <v>24</v>
      </c>
      <c r="F146" s="127" t="s">
        <v>6432</v>
      </c>
      <c r="G146" s="128">
        <v>23.43</v>
      </c>
      <c r="H146" s="129">
        <v>84.68</v>
      </c>
      <c r="I146" s="98" t="s">
        <v>6640</v>
      </c>
      <c r="J146" s="98" t="s">
        <v>17</v>
      </c>
      <c r="K146" s="106" t="s">
        <v>17</v>
      </c>
      <c r="L146" s="88">
        <v>-8.0879999999999997E-3</v>
      </c>
      <c r="M146" s="89">
        <v>5.6119999999999998E-3</v>
      </c>
      <c r="N146" s="99" t="s">
        <v>163</v>
      </c>
      <c r="O146" s="98" t="s">
        <v>163</v>
      </c>
      <c r="P146" s="99" t="s">
        <v>163</v>
      </c>
      <c r="Q146" s="101" t="s">
        <v>163</v>
      </c>
      <c r="R146" s="102" t="s">
        <v>163</v>
      </c>
      <c r="S146" s="102" t="s">
        <v>163</v>
      </c>
      <c r="T146" s="103" t="s">
        <v>163</v>
      </c>
      <c r="U146" s="104" t="s">
        <v>163</v>
      </c>
      <c r="V146" s="102" t="s">
        <v>163</v>
      </c>
      <c r="W146" s="103" t="s">
        <v>163</v>
      </c>
      <c r="X146" s="104" t="s">
        <v>163</v>
      </c>
      <c r="Y146" s="102" t="s">
        <v>163</v>
      </c>
      <c r="Z146" s="102" t="s">
        <v>163</v>
      </c>
      <c r="AA146" s="105" t="s">
        <v>163</v>
      </c>
      <c r="AB146" s="101" t="s">
        <v>163</v>
      </c>
      <c r="AC146" s="104" t="s">
        <v>163</v>
      </c>
      <c r="AD146" s="102" t="s">
        <v>163</v>
      </c>
      <c r="AE146" s="103" t="s">
        <v>163</v>
      </c>
      <c r="AF146" s="104" t="s">
        <v>163</v>
      </c>
      <c r="AG146" s="102" t="s">
        <v>163</v>
      </c>
      <c r="AH146" s="103" t="s">
        <v>163</v>
      </c>
      <c r="AI146" s="104" t="s">
        <v>163</v>
      </c>
      <c r="AJ146" s="102" t="s">
        <v>163</v>
      </c>
      <c r="AK146" s="103" t="s">
        <v>163</v>
      </c>
      <c r="AL146" s="105" t="s">
        <v>163</v>
      </c>
    </row>
    <row r="147" spans="1:38" s="16" customFormat="1" ht="13" customHeight="1" x14ac:dyDescent="0.2">
      <c r="A147" s="87" t="s">
        <v>6433</v>
      </c>
      <c r="B147" s="105">
        <v>4</v>
      </c>
      <c r="C147" s="98" t="s">
        <v>6430</v>
      </c>
      <c r="D147" s="126" t="s">
        <v>6431</v>
      </c>
      <c r="E147" s="126" t="s">
        <v>24</v>
      </c>
      <c r="F147" s="127" t="s">
        <v>6434</v>
      </c>
      <c r="G147" s="128">
        <v>22.619591666666668</v>
      </c>
      <c r="H147" s="129">
        <v>85.919594444444442</v>
      </c>
      <c r="I147" s="98" t="s">
        <v>6640</v>
      </c>
      <c r="J147" s="98" t="s">
        <v>17</v>
      </c>
      <c r="K147" s="106" t="s">
        <v>17</v>
      </c>
      <c r="L147" s="88">
        <v>-7.6649999999999999E-3</v>
      </c>
      <c r="M147" s="89">
        <v>4.6290000000000003E-3</v>
      </c>
      <c r="N147" s="99" t="s">
        <v>163</v>
      </c>
      <c r="O147" s="98" t="s">
        <v>163</v>
      </c>
      <c r="P147" s="106" t="s">
        <v>163</v>
      </c>
      <c r="Q147" s="104" t="s">
        <v>163</v>
      </c>
      <c r="R147" s="104" t="s">
        <v>163</v>
      </c>
      <c r="S147" s="102" t="s">
        <v>163</v>
      </c>
      <c r="T147" s="103" t="s">
        <v>163</v>
      </c>
      <c r="U147" s="102" t="s">
        <v>163</v>
      </c>
      <c r="V147" s="102" t="s">
        <v>163</v>
      </c>
      <c r="W147" s="103" t="s">
        <v>163</v>
      </c>
      <c r="X147" s="102" t="s">
        <v>163</v>
      </c>
      <c r="Y147" s="102" t="s">
        <v>163</v>
      </c>
      <c r="Z147" s="102" t="s">
        <v>163</v>
      </c>
      <c r="AA147" s="105" t="s">
        <v>163</v>
      </c>
      <c r="AB147" s="104" t="s">
        <v>163</v>
      </c>
      <c r="AC147" s="104" t="s">
        <v>163</v>
      </c>
      <c r="AD147" s="102" t="s">
        <v>163</v>
      </c>
      <c r="AE147" s="103" t="s">
        <v>163</v>
      </c>
      <c r="AF147" s="104" t="s">
        <v>163</v>
      </c>
      <c r="AG147" s="102" t="s">
        <v>163</v>
      </c>
      <c r="AH147" s="103" t="s">
        <v>163</v>
      </c>
      <c r="AI147" s="104" t="s">
        <v>163</v>
      </c>
      <c r="AJ147" s="102" t="s">
        <v>163</v>
      </c>
      <c r="AK147" s="103" t="s">
        <v>163</v>
      </c>
      <c r="AL147" s="105" t="s">
        <v>163</v>
      </c>
    </row>
    <row r="148" spans="1:38" s="16" customFormat="1" ht="13" customHeight="1" x14ac:dyDescent="0.2">
      <c r="A148" s="87" t="s">
        <v>6435</v>
      </c>
      <c r="B148" s="105">
        <v>8</v>
      </c>
      <c r="C148" s="98" t="s">
        <v>6430</v>
      </c>
      <c r="D148" s="126" t="s">
        <v>6436</v>
      </c>
      <c r="E148" s="126" t="s">
        <v>24</v>
      </c>
      <c r="F148" s="127" t="s">
        <v>6437</v>
      </c>
      <c r="G148" s="128">
        <v>22.008697222222221</v>
      </c>
      <c r="H148" s="129">
        <v>86.418730555555555</v>
      </c>
      <c r="I148" s="98" t="s">
        <v>6640</v>
      </c>
      <c r="J148" s="98" t="s">
        <v>17</v>
      </c>
      <c r="K148" s="106" t="s">
        <v>17</v>
      </c>
      <c r="L148" s="88">
        <v>-8.1099999999999992E-3</v>
      </c>
      <c r="M148" s="89">
        <v>6.6519999999999999E-3</v>
      </c>
      <c r="N148" s="99" t="s">
        <v>163</v>
      </c>
      <c r="O148" s="98" t="s">
        <v>163</v>
      </c>
      <c r="P148" s="106" t="s">
        <v>163</v>
      </c>
      <c r="Q148" s="104" t="s">
        <v>163</v>
      </c>
      <c r="R148" s="104" t="s">
        <v>163</v>
      </c>
      <c r="S148" s="102" t="s">
        <v>163</v>
      </c>
      <c r="T148" s="103" t="s">
        <v>163</v>
      </c>
      <c r="U148" s="102" t="s">
        <v>163</v>
      </c>
      <c r="V148" s="102" t="s">
        <v>163</v>
      </c>
      <c r="W148" s="103" t="s">
        <v>163</v>
      </c>
      <c r="X148" s="102" t="s">
        <v>163</v>
      </c>
      <c r="Y148" s="102" t="s">
        <v>163</v>
      </c>
      <c r="Z148" s="102" t="s">
        <v>163</v>
      </c>
      <c r="AA148" s="105" t="s">
        <v>163</v>
      </c>
      <c r="AB148" s="104" t="s">
        <v>163</v>
      </c>
      <c r="AC148" s="104" t="s">
        <v>163</v>
      </c>
      <c r="AD148" s="102" t="s">
        <v>163</v>
      </c>
      <c r="AE148" s="103" t="s">
        <v>163</v>
      </c>
      <c r="AF148" s="104" t="s">
        <v>163</v>
      </c>
      <c r="AG148" s="102" t="s">
        <v>163</v>
      </c>
      <c r="AH148" s="103" t="s">
        <v>163</v>
      </c>
      <c r="AI148" s="104" t="s">
        <v>163</v>
      </c>
      <c r="AJ148" s="102" t="s">
        <v>163</v>
      </c>
      <c r="AK148" s="103" t="s">
        <v>163</v>
      </c>
      <c r="AL148" s="105" t="s">
        <v>163</v>
      </c>
    </row>
    <row r="149" spans="1:38" s="16" customFormat="1" ht="13" customHeight="1" x14ac:dyDescent="0.2">
      <c r="A149" s="87" t="s">
        <v>840</v>
      </c>
      <c r="B149" s="105">
        <v>4</v>
      </c>
      <c r="C149" s="98" t="s">
        <v>6430</v>
      </c>
      <c r="D149" s="126" t="s">
        <v>6431</v>
      </c>
      <c r="E149" s="126" t="s">
        <v>24</v>
      </c>
      <c r="F149" s="127" t="s">
        <v>6438</v>
      </c>
      <c r="G149" s="128">
        <v>23.996622222222221</v>
      </c>
      <c r="H149" s="129">
        <v>85.369105555555549</v>
      </c>
      <c r="I149" s="98" t="s">
        <v>6640</v>
      </c>
      <c r="J149" s="98" t="s">
        <v>17</v>
      </c>
      <c r="K149" s="106" t="s">
        <v>17</v>
      </c>
      <c r="L149" s="88">
        <v>-7.4970000000000002E-3</v>
      </c>
      <c r="M149" s="89">
        <v>4.0140000000000002E-3</v>
      </c>
      <c r="N149" s="99" t="s">
        <v>163</v>
      </c>
      <c r="O149" s="98" t="s">
        <v>163</v>
      </c>
      <c r="P149" s="106" t="s">
        <v>163</v>
      </c>
      <c r="Q149" s="104" t="s">
        <v>163</v>
      </c>
      <c r="R149" s="104" t="s">
        <v>163</v>
      </c>
      <c r="S149" s="102" t="s">
        <v>163</v>
      </c>
      <c r="T149" s="103" t="s">
        <v>163</v>
      </c>
      <c r="U149" s="102" t="s">
        <v>163</v>
      </c>
      <c r="V149" s="102" t="s">
        <v>163</v>
      </c>
      <c r="W149" s="103" t="s">
        <v>163</v>
      </c>
      <c r="X149" s="102" t="s">
        <v>163</v>
      </c>
      <c r="Y149" s="102" t="s">
        <v>163</v>
      </c>
      <c r="Z149" s="102" t="s">
        <v>163</v>
      </c>
      <c r="AA149" s="105" t="s">
        <v>163</v>
      </c>
      <c r="AB149" s="104" t="s">
        <v>163</v>
      </c>
      <c r="AC149" s="104" t="s">
        <v>163</v>
      </c>
      <c r="AD149" s="102" t="s">
        <v>163</v>
      </c>
      <c r="AE149" s="103" t="s">
        <v>163</v>
      </c>
      <c r="AF149" s="104" t="s">
        <v>163</v>
      </c>
      <c r="AG149" s="102" t="s">
        <v>163</v>
      </c>
      <c r="AH149" s="103" t="s">
        <v>163</v>
      </c>
      <c r="AI149" s="104" t="s">
        <v>163</v>
      </c>
      <c r="AJ149" s="102" t="s">
        <v>163</v>
      </c>
      <c r="AK149" s="103" t="s">
        <v>163</v>
      </c>
      <c r="AL149" s="105" t="s">
        <v>163</v>
      </c>
    </row>
    <row r="150" spans="1:38" s="16" customFormat="1" ht="13" customHeight="1" x14ac:dyDescent="0.2">
      <c r="A150" s="87" t="s">
        <v>6439</v>
      </c>
      <c r="B150" s="105">
        <v>2</v>
      </c>
      <c r="C150" s="98" t="s">
        <v>6430</v>
      </c>
      <c r="D150" s="126" t="s">
        <v>6436</v>
      </c>
      <c r="E150" s="126" t="s">
        <v>24</v>
      </c>
      <c r="F150" s="127" t="s">
        <v>6440</v>
      </c>
      <c r="G150" s="128">
        <v>19.04483888888889</v>
      </c>
      <c r="H150" s="129">
        <v>82.546080555555548</v>
      </c>
      <c r="I150" s="98" t="s">
        <v>6640</v>
      </c>
      <c r="J150" s="98" t="s">
        <v>17</v>
      </c>
      <c r="K150" s="106" t="s">
        <v>17</v>
      </c>
      <c r="L150" s="88">
        <v>-8.404E-3</v>
      </c>
      <c r="M150" s="89">
        <v>1.2622E-2</v>
      </c>
      <c r="N150" s="99" t="s">
        <v>163</v>
      </c>
      <c r="O150" s="98" t="s">
        <v>163</v>
      </c>
      <c r="P150" s="106" t="s">
        <v>163</v>
      </c>
      <c r="Q150" s="104" t="s">
        <v>163</v>
      </c>
      <c r="R150" s="104" t="s">
        <v>163</v>
      </c>
      <c r="S150" s="102" t="s">
        <v>163</v>
      </c>
      <c r="T150" s="103" t="s">
        <v>163</v>
      </c>
      <c r="U150" s="102" t="s">
        <v>163</v>
      </c>
      <c r="V150" s="102" t="s">
        <v>163</v>
      </c>
      <c r="W150" s="103" t="s">
        <v>163</v>
      </c>
      <c r="X150" s="102" t="s">
        <v>163</v>
      </c>
      <c r="Y150" s="102" t="s">
        <v>163</v>
      </c>
      <c r="Z150" s="102" t="s">
        <v>163</v>
      </c>
      <c r="AA150" s="105" t="s">
        <v>163</v>
      </c>
      <c r="AB150" s="104" t="s">
        <v>163</v>
      </c>
      <c r="AC150" s="104" t="s">
        <v>163</v>
      </c>
      <c r="AD150" s="102" t="s">
        <v>163</v>
      </c>
      <c r="AE150" s="103" t="s">
        <v>163</v>
      </c>
      <c r="AF150" s="104" t="s">
        <v>163</v>
      </c>
      <c r="AG150" s="102" t="s">
        <v>163</v>
      </c>
      <c r="AH150" s="103" t="s">
        <v>163</v>
      </c>
      <c r="AI150" s="104" t="s">
        <v>163</v>
      </c>
      <c r="AJ150" s="102" t="s">
        <v>163</v>
      </c>
      <c r="AK150" s="103" t="s">
        <v>163</v>
      </c>
      <c r="AL150" s="105" t="s">
        <v>163</v>
      </c>
    </row>
    <row r="151" spans="1:38" s="16" customFormat="1" ht="13" customHeight="1" x14ac:dyDescent="0.2">
      <c r="A151" s="87" t="s">
        <v>6441</v>
      </c>
      <c r="B151" s="105">
        <v>3</v>
      </c>
      <c r="C151" s="98" t="s">
        <v>6430</v>
      </c>
      <c r="D151" s="126" t="s">
        <v>6436</v>
      </c>
      <c r="E151" s="126" t="s">
        <v>24</v>
      </c>
      <c r="F151" s="127" t="s">
        <v>6442</v>
      </c>
      <c r="G151" s="128">
        <v>21.763666666666666</v>
      </c>
      <c r="H151" s="129">
        <v>86.017897222222217</v>
      </c>
      <c r="I151" s="98" t="s">
        <v>6640</v>
      </c>
      <c r="J151" s="98" t="s">
        <v>17</v>
      </c>
      <c r="K151" s="106" t="s">
        <v>17</v>
      </c>
      <c r="L151" s="88">
        <v>-8.4370000000000001E-3</v>
      </c>
      <c r="M151" s="89">
        <v>9.6780000000000008E-3</v>
      </c>
      <c r="N151" s="99" t="s">
        <v>163</v>
      </c>
      <c r="O151" s="98" t="s">
        <v>163</v>
      </c>
      <c r="P151" s="106" t="s">
        <v>163</v>
      </c>
      <c r="Q151" s="104" t="s">
        <v>163</v>
      </c>
      <c r="R151" s="104" t="s">
        <v>163</v>
      </c>
      <c r="S151" s="102" t="s">
        <v>163</v>
      </c>
      <c r="T151" s="103" t="s">
        <v>163</v>
      </c>
      <c r="U151" s="102" t="s">
        <v>163</v>
      </c>
      <c r="V151" s="102" t="s">
        <v>163</v>
      </c>
      <c r="W151" s="103" t="s">
        <v>163</v>
      </c>
      <c r="X151" s="102" t="s">
        <v>163</v>
      </c>
      <c r="Y151" s="102" t="s">
        <v>163</v>
      </c>
      <c r="Z151" s="102" t="s">
        <v>163</v>
      </c>
      <c r="AA151" s="105" t="s">
        <v>163</v>
      </c>
      <c r="AB151" s="104" t="s">
        <v>163</v>
      </c>
      <c r="AC151" s="104" t="s">
        <v>163</v>
      </c>
      <c r="AD151" s="102" t="s">
        <v>163</v>
      </c>
      <c r="AE151" s="103" t="s">
        <v>163</v>
      </c>
      <c r="AF151" s="104" t="s">
        <v>163</v>
      </c>
      <c r="AG151" s="102" t="s">
        <v>163</v>
      </c>
      <c r="AH151" s="103" t="s">
        <v>163</v>
      </c>
      <c r="AI151" s="104" t="s">
        <v>163</v>
      </c>
      <c r="AJ151" s="102" t="s">
        <v>163</v>
      </c>
      <c r="AK151" s="103" t="s">
        <v>163</v>
      </c>
      <c r="AL151" s="105" t="s">
        <v>163</v>
      </c>
    </row>
    <row r="152" spans="1:38" s="16" customFormat="1" ht="13" customHeight="1" x14ac:dyDescent="0.2">
      <c r="A152" s="87" t="s">
        <v>6443</v>
      </c>
      <c r="B152" s="105">
        <v>22</v>
      </c>
      <c r="C152" s="98" t="s">
        <v>6430</v>
      </c>
      <c r="D152" s="126" t="s">
        <v>6436</v>
      </c>
      <c r="E152" s="126" t="s">
        <v>24</v>
      </c>
      <c r="F152" s="127" t="s">
        <v>6437</v>
      </c>
      <c r="G152" s="128">
        <v>22.008697222222221</v>
      </c>
      <c r="H152" s="129">
        <v>86.418730555555555</v>
      </c>
      <c r="I152" s="98" t="s">
        <v>6640</v>
      </c>
      <c r="J152" s="98" t="s">
        <v>17</v>
      </c>
      <c r="K152" s="106" t="s">
        <v>17</v>
      </c>
      <c r="L152" s="88">
        <v>-8.182E-3</v>
      </c>
      <c r="M152" s="89">
        <v>6.7060000000000002E-3</v>
      </c>
      <c r="N152" s="99" t="s">
        <v>163</v>
      </c>
      <c r="O152" s="98" t="s">
        <v>163</v>
      </c>
      <c r="P152" s="106" t="s">
        <v>163</v>
      </c>
      <c r="Q152" s="104" t="s">
        <v>163</v>
      </c>
      <c r="R152" s="104" t="s">
        <v>163</v>
      </c>
      <c r="S152" s="102" t="s">
        <v>163</v>
      </c>
      <c r="T152" s="103" t="s">
        <v>163</v>
      </c>
      <c r="U152" s="102" t="s">
        <v>163</v>
      </c>
      <c r="V152" s="102" t="s">
        <v>163</v>
      </c>
      <c r="W152" s="103" t="s">
        <v>163</v>
      </c>
      <c r="X152" s="102" t="s">
        <v>163</v>
      </c>
      <c r="Y152" s="102" t="s">
        <v>163</v>
      </c>
      <c r="Z152" s="102" t="s">
        <v>163</v>
      </c>
      <c r="AA152" s="105" t="s">
        <v>163</v>
      </c>
      <c r="AB152" s="104" t="s">
        <v>163</v>
      </c>
      <c r="AC152" s="104" t="s">
        <v>163</v>
      </c>
      <c r="AD152" s="102" t="s">
        <v>163</v>
      </c>
      <c r="AE152" s="103" t="s">
        <v>163</v>
      </c>
      <c r="AF152" s="104" t="s">
        <v>163</v>
      </c>
      <c r="AG152" s="102" t="s">
        <v>163</v>
      </c>
      <c r="AH152" s="103" t="s">
        <v>163</v>
      </c>
      <c r="AI152" s="104" t="s">
        <v>163</v>
      </c>
      <c r="AJ152" s="102" t="s">
        <v>163</v>
      </c>
      <c r="AK152" s="103" t="s">
        <v>163</v>
      </c>
      <c r="AL152" s="105" t="s">
        <v>163</v>
      </c>
    </row>
    <row r="153" spans="1:38" s="16" customFormat="1" ht="13" customHeight="1" x14ac:dyDescent="0.2">
      <c r="A153" s="87" t="s">
        <v>6444</v>
      </c>
      <c r="B153" s="105">
        <v>26</v>
      </c>
      <c r="C153" s="98" t="s">
        <v>6430</v>
      </c>
      <c r="D153" s="126" t="s">
        <v>6436</v>
      </c>
      <c r="E153" s="126" t="s">
        <v>24</v>
      </c>
      <c r="F153" s="127" t="s">
        <v>6445</v>
      </c>
      <c r="G153" s="128">
        <v>21.628933333333332</v>
      </c>
      <c r="H153" s="129">
        <v>85.581686111111111</v>
      </c>
      <c r="I153" s="98" t="s">
        <v>6640</v>
      </c>
      <c r="J153" s="98" t="s">
        <v>17</v>
      </c>
      <c r="K153" s="106" t="s">
        <v>17</v>
      </c>
      <c r="L153" s="88">
        <v>-9.606E-3</v>
      </c>
      <c r="M153" s="89">
        <v>1.1476E-2</v>
      </c>
      <c r="N153" s="99" t="s">
        <v>163</v>
      </c>
      <c r="O153" s="98" t="s">
        <v>163</v>
      </c>
      <c r="P153" s="106" t="s">
        <v>163</v>
      </c>
      <c r="Q153" s="104" t="s">
        <v>163</v>
      </c>
      <c r="R153" s="104" t="s">
        <v>163</v>
      </c>
      <c r="S153" s="102" t="s">
        <v>163</v>
      </c>
      <c r="T153" s="103" t="s">
        <v>163</v>
      </c>
      <c r="U153" s="102" t="s">
        <v>163</v>
      </c>
      <c r="V153" s="102" t="s">
        <v>163</v>
      </c>
      <c r="W153" s="103" t="s">
        <v>163</v>
      </c>
      <c r="X153" s="102" t="s">
        <v>163</v>
      </c>
      <c r="Y153" s="102" t="s">
        <v>163</v>
      </c>
      <c r="Z153" s="102" t="s">
        <v>163</v>
      </c>
      <c r="AA153" s="105" t="s">
        <v>163</v>
      </c>
      <c r="AB153" s="104" t="s">
        <v>163</v>
      </c>
      <c r="AC153" s="104" t="s">
        <v>163</v>
      </c>
      <c r="AD153" s="102" t="s">
        <v>163</v>
      </c>
      <c r="AE153" s="103" t="s">
        <v>163</v>
      </c>
      <c r="AF153" s="104" t="s">
        <v>163</v>
      </c>
      <c r="AG153" s="102" t="s">
        <v>163</v>
      </c>
      <c r="AH153" s="103" t="s">
        <v>163</v>
      </c>
      <c r="AI153" s="104" t="s">
        <v>163</v>
      </c>
      <c r="AJ153" s="102" t="s">
        <v>163</v>
      </c>
      <c r="AK153" s="103" t="s">
        <v>163</v>
      </c>
      <c r="AL153" s="105" t="s">
        <v>163</v>
      </c>
    </row>
    <row r="154" spans="1:38" s="16" customFormat="1" ht="13" customHeight="1" x14ac:dyDescent="0.2">
      <c r="A154" s="87" t="s">
        <v>6446</v>
      </c>
      <c r="B154" s="105">
        <v>15</v>
      </c>
      <c r="C154" s="98" t="s">
        <v>6430</v>
      </c>
      <c r="D154" s="126" t="s">
        <v>6061</v>
      </c>
      <c r="E154" s="126" t="s">
        <v>24</v>
      </c>
      <c r="F154" s="127" t="s">
        <v>6447</v>
      </c>
      <c r="G154" s="128">
        <v>22.887419444444443</v>
      </c>
      <c r="H154" s="129">
        <v>84.138236111111112</v>
      </c>
      <c r="I154" s="98" t="s">
        <v>6640</v>
      </c>
      <c r="J154" s="98" t="s">
        <v>17</v>
      </c>
      <c r="K154" s="106" t="s">
        <v>17</v>
      </c>
      <c r="L154" s="88">
        <v>-8.3649999999999992E-3</v>
      </c>
      <c r="M154" s="89">
        <v>7.9070000000000008E-3</v>
      </c>
      <c r="N154" s="99" t="s">
        <v>163</v>
      </c>
      <c r="O154" s="98" t="s">
        <v>163</v>
      </c>
      <c r="P154" s="106" t="s">
        <v>163</v>
      </c>
      <c r="Q154" s="104" t="s">
        <v>163</v>
      </c>
      <c r="R154" s="104" t="s">
        <v>163</v>
      </c>
      <c r="S154" s="102" t="s">
        <v>163</v>
      </c>
      <c r="T154" s="103" t="s">
        <v>163</v>
      </c>
      <c r="U154" s="102" t="s">
        <v>163</v>
      </c>
      <c r="V154" s="102" t="s">
        <v>163</v>
      </c>
      <c r="W154" s="103" t="s">
        <v>163</v>
      </c>
      <c r="X154" s="102" t="s">
        <v>163</v>
      </c>
      <c r="Y154" s="102" t="s">
        <v>163</v>
      </c>
      <c r="Z154" s="102" t="s">
        <v>163</v>
      </c>
      <c r="AA154" s="105" t="s">
        <v>163</v>
      </c>
      <c r="AB154" s="104" t="s">
        <v>163</v>
      </c>
      <c r="AC154" s="104" t="s">
        <v>163</v>
      </c>
      <c r="AD154" s="102" t="s">
        <v>163</v>
      </c>
      <c r="AE154" s="103" t="s">
        <v>163</v>
      </c>
      <c r="AF154" s="104" t="s">
        <v>163</v>
      </c>
      <c r="AG154" s="102" t="s">
        <v>163</v>
      </c>
      <c r="AH154" s="103" t="s">
        <v>163</v>
      </c>
      <c r="AI154" s="104" t="s">
        <v>163</v>
      </c>
      <c r="AJ154" s="102" t="s">
        <v>163</v>
      </c>
      <c r="AK154" s="103" t="s">
        <v>163</v>
      </c>
      <c r="AL154" s="105" t="s">
        <v>163</v>
      </c>
    </row>
    <row r="155" spans="1:38" s="16" customFormat="1" ht="13" customHeight="1" x14ac:dyDescent="0.2">
      <c r="A155" s="87" t="s">
        <v>6448</v>
      </c>
      <c r="B155" s="105">
        <v>2</v>
      </c>
      <c r="C155" s="98" t="s">
        <v>6430</v>
      </c>
      <c r="D155" s="126" t="s">
        <v>6151</v>
      </c>
      <c r="E155" s="126" t="s">
        <v>24</v>
      </c>
      <c r="F155" s="127" t="s">
        <v>6449</v>
      </c>
      <c r="G155" s="128">
        <v>21.910802777777775</v>
      </c>
      <c r="H155" s="129">
        <v>78.130799999999994</v>
      </c>
      <c r="I155" s="98" t="s">
        <v>6640</v>
      </c>
      <c r="J155" s="98" t="s">
        <v>17</v>
      </c>
      <c r="K155" s="106" t="s">
        <v>17</v>
      </c>
      <c r="L155" s="88">
        <v>-6.6709999999999998E-3</v>
      </c>
      <c r="M155" s="89">
        <v>5.2230000000000002E-3</v>
      </c>
      <c r="N155" s="99" t="s">
        <v>163</v>
      </c>
      <c r="O155" s="98" t="s">
        <v>163</v>
      </c>
      <c r="P155" s="106" t="s">
        <v>163</v>
      </c>
      <c r="Q155" s="104" t="s">
        <v>163</v>
      </c>
      <c r="R155" s="104" t="s">
        <v>163</v>
      </c>
      <c r="S155" s="102" t="s">
        <v>163</v>
      </c>
      <c r="T155" s="103" t="s">
        <v>163</v>
      </c>
      <c r="U155" s="102" t="s">
        <v>163</v>
      </c>
      <c r="V155" s="102" t="s">
        <v>163</v>
      </c>
      <c r="W155" s="103" t="s">
        <v>163</v>
      </c>
      <c r="X155" s="102" t="s">
        <v>163</v>
      </c>
      <c r="Y155" s="102" t="s">
        <v>163</v>
      </c>
      <c r="Z155" s="102" t="s">
        <v>163</v>
      </c>
      <c r="AA155" s="105" t="s">
        <v>163</v>
      </c>
      <c r="AB155" s="104" t="s">
        <v>163</v>
      </c>
      <c r="AC155" s="104" t="s">
        <v>163</v>
      </c>
      <c r="AD155" s="102" t="s">
        <v>163</v>
      </c>
      <c r="AE155" s="103" t="s">
        <v>163</v>
      </c>
      <c r="AF155" s="104" t="s">
        <v>163</v>
      </c>
      <c r="AG155" s="102" t="s">
        <v>163</v>
      </c>
      <c r="AH155" s="103" t="s">
        <v>163</v>
      </c>
      <c r="AI155" s="104" t="s">
        <v>163</v>
      </c>
      <c r="AJ155" s="102" t="s">
        <v>163</v>
      </c>
      <c r="AK155" s="103" t="s">
        <v>163</v>
      </c>
      <c r="AL155" s="105" t="s">
        <v>163</v>
      </c>
    </row>
    <row r="156" spans="1:38" s="16" customFormat="1" ht="13" customHeight="1" x14ac:dyDescent="0.2">
      <c r="A156" s="87" t="s">
        <v>6450</v>
      </c>
      <c r="B156" s="105">
        <v>4</v>
      </c>
      <c r="C156" s="98" t="s">
        <v>6430</v>
      </c>
      <c r="D156" s="126" t="s">
        <v>6151</v>
      </c>
      <c r="E156" s="126" t="s">
        <v>24</v>
      </c>
      <c r="F156" s="127" t="s">
        <v>6451</v>
      </c>
      <c r="G156" s="128">
        <v>23.019424999999998</v>
      </c>
      <c r="H156" s="129">
        <v>79.829449999999994</v>
      </c>
      <c r="I156" s="98" t="s">
        <v>6640</v>
      </c>
      <c r="J156" s="98" t="s">
        <v>17</v>
      </c>
      <c r="K156" s="106" t="s">
        <v>17</v>
      </c>
      <c r="L156" s="88">
        <v>-6.7289999999999997E-3</v>
      </c>
      <c r="M156" s="89">
        <v>6.6759999999999996E-3</v>
      </c>
      <c r="N156" s="99" t="s">
        <v>163</v>
      </c>
      <c r="O156" s="98" t="s">
        <v>163</v>
      </c>
      <c r="P156" s="106" t="s">
        <v>163</v>
      </c>
      <c r="Q156" s="104" t="s">
        <v>163</v>
      </c>
      <c r="R156" s="104" t="s">
        <v>163</v>
      </c>
      <c r="S156" s="102" t="s">
        <v>163</v>
      </c>
      <c r="T156" s="103" t="s">
        <v>163</v>
      </c>
      <c r="U156" s="102" t="s">
        <v>163</v>
      </c>
      <c r="V156" s="102" t="s">
        <v>163</v>
      </c>
      <c r="W156" s="103" t="s">
        <v>163</v>
      </c>
      <c r="X156" s="102" t="s">
        <v>163</v>
      </c>
      <c r="Y156" s="102" t="s">
        <v>163</v>
      </c>
      <c r="Z156" s="102" t="s">
        <v>163</v>
      </c>
      <c r="AA156" s="105" t="s">
        <v>163</v>
      </c>
      <c r="AB156" s="104" t="s">
        <v>163</v>
      </c>
      <c r="AC156" s="104" t="s">
        <v>163</v>
      </c>
      <c r="AD156" s="102" t="s">
        <v>163</v>
      </c>
      <c r="AE156" s="103" t="s">
        <v>163</v>
      </c>
      <c r="AF156" s="104" t="s">
        <v>163</v>
      </c>
      <c r="AG156" s="102" t="s">
        <v>163</v>
      </c>
      <c r="AH156" s="103" t="s">
        <v>163</v>
      </c>
      <c r="AI156" s="104" t="s">
        <v>163</v>
      </c>
      <c r="AJ156" s="102" t="s">
        <v>163</v>
      </c>
      <c r="AK156" s="103" t="s">
        <v>163</v>
      </c>
      <c r="AL156" s="105" t="s">
        <v>163</v>
      </c>
    </row>
    <row r="157" spans="1:38" s="16" customFormat="1" ht="13" customHeight="1" x14ac:dyDescent="0.2">
      <c r="A157" s="87" t="s">
        <v>6452</v>
      </c>
      <c r="B157" s="105">
        <v>3</v>
      </c>
      <c r="C157" s="98" t="s">
        <v>6430</v>
      </c>
      <c r="D157" s="126" t="s">
        <v>6431</v>
      </c>
      <c r="E157" s="126" t="s">
        <v>24</v>
      </c>
      <c r="F157" s="127" t="s">
        <v>6453</v>
      </c>
      <c r="G157" s="128">
        <v>23.344099999999997</v>
      </c>
      <c r="H157" s="129">
        <v>85.309561111111108</v>
      </c>
      <c r="I157" s="98" t="s">
        <v>6640</v>
      </c>
      <c r="J157" s="98" t="s">
        <v>17</v>
      </c>
      <c r="K157" s="106" t="s">
        <v>17</v>
      </c>
      <c r="L157" s="88">
        <v>-7.5100000000000002E-3</v>
      </c>
      <c r="M157" s="89">
        <v>8.1729999999999997E-3</v>
      </c>
      <c r="N157" s="99" t="s">
        <v>163</v>
      </c>
      <c r="O157" s="98" t="s">
        <v>163</v>
      </c>
      <c r="P157" s="106" t="s">
        <v>163</v>
      </c>
      <c r="Q157" s="104" t="s">
        <v>163</v>
      </c>
      <c r="R157" s="104" t="s">
        <v>163</v>
      </c>
      <c r="S157" s="102" t="s">
        <v>163</v>
      </c>
      <c r="T157" s="103" t="s">
        <v>163</v>
      </c>
      <c r="U157" s="102" t="s">
        <v>163</v>
      </c>
      <c r="V157" s="102" t="s">
        <v>163</v>
      </c>
      <c r="W157" s="103" t="s">
        <v>163</v>
      </c>
      <c r="X157" s="102" t="s">
        <v>163</v>
      </c>
      <c r="Y157" s="102" t="s">
        <v>163</v>
      </c>
      <c r="Z157" s="102" t="s">
        <v>163</v>
      </c>
      <c r="AA157" s="105" t="s">
        <v>163</v>
      </c>
      <c r="AB157" s="104" t="s">
        <v>163</v>
      </c>
      <c r="AC157" s="104" t="s">
        <v>163</v>
      </c>
      <c r="AD157" s="102" t="s">
        <v>163</v>
      </c>
      <c r="AE157" s="103" t="s">
        <v>163</v>
      </c>
      <c r="AF157" s="104" t="s">
        <v>163</v>
      </c>
      <c r="AG157" s="102" t="s">
        <v>163</v>
      </c>
      <c r="AH157" s="103" t="s">
        <v>163</v>
      </c>
      <c r="AI157" s="104" t="s">
        <v>163</v>
      </c>
      <c r="AJ157" s="102" t="s">
        <v>163</v>
      </c>
      <c r="AK157" s="103" t="s">
        <v>163</v>
      </c>
      <c r="AL157" s="105" t="s">
        <v>163</v>
      </c>
    </row>
    <row r="158" spans="1:38" s="16" customFormat="1" ht="13" customHeight="1" x14ac:dyDescent="0.2">
      <c r="A158" s="87" t="s">
        <v>6454</v>
      </c>
      <c r="B158" s="105">
        <v>8</v>
      </c>
      <c r="C158" s="98" t="s">
        <v>6430</v>
      </c>
      <c r="D158" s="126" t="s">
        <v>6151</v>
      </c>
      <c r="E158" s="126" t="s">
        <v>24</v>
      </c>
      <c r="F158" s="127" t="s">
        <v>17</v>
      </c>
      <c r="G158" s="128">
        <v>25.43</v>
      </c>
      <c r="H158" s="129">
        <v>77.650000000000006</v>
      </c>
      <c r="I158" s="98" t="s">
        <v>6640</v>
      </c>
      <c r="J158" s="98" t="s">
        <v>17</v>
      </c>
      <c r="K158" s="106" t="s">
        <v>17</v>
      </c>
      <c r="L158" s="88">
        <v>-4.4990000000000004E-3</v>
      </c>
      <c r="M158" s="89">
        <v>3.3029999999999999E-3</v>
      </c>
      <c r="N158" s="99" t="s">
        <v>163</v>
      </c>
      <c r="O158" s="98" t="s">
        <v>163</v>
      </c>
      <c r="P158" s="106" t="s">
        <v>163</v>
      </c>
      <c r="Q158" s="104" t="s">
        <v>163</v>
      </c>
      <c r="R158" s="104" t="s">
        <v>163</v>
      </c>
      <c r="S158" s="102" t="s">
        <v>163</v>
      </c>
      <c r="T158" s="103" t="s">
        <v>163</v>
      </c>
      <c r="U158" s="102" t="s">
        <v>163</v>
      </c>
      <c r="V158" s="102" t="s">
        <v>163</v>
      </c>
      <c r="W158" s="103" t="s">
        <v>163</v>
      </c>
      <c r="X158" s="102" t="s">
        <v>163</v>
      </c>
      <c r="Y158" s="102" t="s">
        <v>163</v>
      </c>
      <c r="Z158" s="102" t="s">
        <v>163</v>
      </c>
      <c r="AA158" s="105" t="s">
        <v>163</v>
      </c>
      <c r="AB158" s="104" t="s">
        <v>163</v>
      </c>
      <c r="AC158" s="104" t="s">
        <v>163</v>
      </c>
      <c r="AD158" s="102" t="s">
        <v>163</v>
      </c>
      <c r="AE158" s="103" t="s">
        <v>163</v>
      </c>
      <c r="AF158" s="104" t="s">
        <v>163</v>
      </c>
      <c r="AG158" s="102" t="s">
        <v>163</v>
      </c>
      <c r="AH158" s="103" t="s">
        <v>163</v>
      </c>
      <c r="AI158" s="104" t="s">
        <v>163</v>
      </c>
      <c r="AJ158" s="102" t="s">
        <v>163</v>
      </c>
      <c r="AK158" s="103" t="s">
        <v>163</v>
      </c>
      <c r="AL158" s="105" t="s">
        <v>163</v>
      </c>
    </row>
    <row r="159" spans="1:38" s="16" customFormat="1" ht="13" customHeight="1" x14ac:dyDescent="0.2">
      <c r="A159" s="87" t="s">
        <v>6455</v>
      </c>
      <c r="B159" s="105">
        <v>2</v>
      </c>
      <c r="C159" s="98" t="s">
        <v>6430</v>
      </c>
      <c r="D159" s="126" t="s">
        <v>6066</v>
      </c>
      <c r="E159" s="126" t="s">
        <v>24</v>
      </c>
      <c r="F159" s="127" t="s">
        <v>6456</v>
      </c>
      <c r="G159" s="128">
        <v>22.485858333333333</v>
      </c>
      <c r="H159" s="129">
        <v>75.557511111111111</v>
      </c>
      <c r="I159" s="98" t="s">
        <v>6640</v>
      </c>
      <c r="J159" s="98" t="s">
        <v>17</v>
      </c>
      <c r="K159" s="106" t="s">
        <v>17</v>
      </c>
      <c r="L159" s="88">
        <v>-4.7660000000000003E-3</v>
      </c>
      <c r="M159" s="89">
        <v>1.9840000000000001E-3</v>
      </c>
      <c r="N159" s="99" t="s">
        <v>163</v>
      </c>
      <c r="O159" s="98" t="s">
        <v>163</v>
      </c>
      <c r="P159" s="106" t="s">
        <v>163</v>
      </c>
      <c r="Q159" s="104" t="s">
        <v>163</v>
      </c>
      <c r="R159" s="104" t="s">
        <v>163</v>
      </c>
      <c r="S159" s="102" t="s">
        <v>163</v>
      </c>
      <c r="T159" s="103" t="s">
        <v>163</v>
      </c>
      <c r="U159" s="102" t="s">
        <v>163</v>
      </c>
      <c r="V159" s="102" t="s">
        <v>163</v>
      </c>
      <c r="W159" s="103" t="s">
        <v>163</v>
      </c>
      <c r="X159" s="102" t="s">
        <v>163</v>
      </c>
      <c r="Y159" s="102" t="s">
        <v>163</v>
      </c>
      <c r="Z159" s="102" t="s">
        <v>163</v>
      </c>
      <c r="AA159" s="105" t="s">
        <v>163</v>
      </c>
      <c r="AB159" s="104" t="s">
        <v>163</v>
      </c>
      <c r="AC159" s="104" t="s">
        <v>163</v>
      </c>
      <c r="AD159" s="102" t="s">
        <v>163</v>
      </c>
      <c r="AE159" s="103" t="s">
        <v>163</v>
      </c>
      <c r="AF159" s="104" t="s">
        <v>163</v>
      </c>
      <c r="AG159" s="102" t="s">
        <v>163</v>
      </c>
      <c r="AH159" s="103" t="s">
        <v>163</v>
      </c>
      <c r="AI159" s="104" t="s">
        <v>163</v>
      </c>
      <c r="AJ159" s="102" t="s">
        <v>163</v>
      </c>
      <c r="AK159" s="103" t="s">
        <v>163</v>
      </c>
      <c r="AL159" s="105" t="s">
        <v>163</v>
      </c>
    </row>
    <row r="160" spans="1:38" s="16" customFormat="1" ht="13" customHeight="1" x14ac:dyDescent="0.2">
      <c r="A160" s="87" t="s">
        <v>6457</v>
      </c>
      <c r="B160" s="105">
        <v>8</v>
      </c>
      <c r="C160" s="98" t="s">
        <v>6430</v>
      </c>
      <c r="D160" s="126" t="s">
        <v>6431</v>
      </c>
      <c r="E160" s="126" t="s">
        <v>24</v>
      </c>
      <c r="F160" s="127" t="s">
        <v>6458</v>
      </c>
      <c r="G160" s="128">
        <v>22.587305555555599</v>
      </c>
      <c r="H160" s="129">
        <v>86.474380555555555</v>
      </c>
      <c r="I160" s="98" t="s">
        <v>6640</v>
      </c>
      <c r="J160" s="98" t="s">
        <v>17</v>
      </c>
      <c r="K160" s="106" t="s">
        <v>17</v>
      </c>
      <c r="L160" s="88">
        <v>-8.1469999999999997E-3</v>
      </c>
      <c r="M160" s="89">
        <v>5.1200000000000004E-3</v>
      </c>
      <c r="N160" s="99" t="s">
        <v>163</v>
      </c>
      <c r="O160" s="98" t="s">
        <v>163</v>
      </c>
      <c r="P160" s="106" t="s">
        <v>163</v>
      </c>
      <c r="Q160" s="104" t="s">
        <v>163</v>
      </c>
      <c r="R160" s="104" t="s">
        <v>163</v>
      </c>
      <c r="S160" s="102" t="s">
        <v>163</v>
      </c>
      <c r="T160" s="103" t="s">
        <v>163</v>
      </c>
      <c r="U160" s="102" t="s">
        <v>163</v>
      </c>
      <c r="V160" s="102" t="s">
        <v>163</v>
      </c>
      <c r="W160" s="103" t="s">
        <v>163</v>
      </c>
      <c r="X160" s="102" t="s">
        <v>163</v>
      </c>
      <c r="Y160" s="102" t="s">
        <v>163</v>
      </c>
      <c r="Z160" s="102" t="s">
        <v>163</v>
      </c>
      <c r="AA160" s="105" t="s">
        <v>163</v>
      </c>
      <c r="AB160" s="104" t="s">
        <v>163</v>
      </c>
      <c r="AC160" s="104" t="s">
        <v>163</v>
      </c>
      <c r="AD160" s="102" t="s">
        <v>163</v>
      </c>
      <c r="AE160" s="103" t="s">
        <v>163</v>
      </c>
      <c r="AF160" s="104" t="s">
        <v>163</v>
      </c>
      <c r="AG160" s="102" t="s">
        <v>163</v>
      </c>
      <c r="AH160" s="103" t="s">
        <v>163</v>
      </c>
      <c r="AI160" s="104" t="s">
        <v>163</v>
      </c>
      <c r="AJ160" s="102" t="s">
        <v>163</v>
      </c>
      <c r="AK160" s="103" t="s">
        <v>163</v>
      </c>
      <c r="AL160" s="105" t="s">
        <v>163</v>
      </c>
    </row>
    <row r="161" spans="1:38" s="16" customFormat="1" ht="13" customHeight="1" x14ac:dyDescent="0.2">
      <c r="A161" s="87" t="s">
        <v>6459</v>
      </c>
      <c r="B161" s="105">
        <v>7</v>
      </c>
      <c r="C161" s="98" t="s">
        <v>6430</v>
      </c>
      <c r="D161" s="126" t="s">
        <v>6436</v>
      </c>
      <c r="E161" s="126" t="s">
        <v>24</v>
      </c>
      <c r="F161" s="127" t="s">
        <v>6460</v>
      </c>
      <c r="G161" s="128">
        <v>19.585971000000001</v>
      </c>
      <c r="H161" s="129">
        <v>84.689750000000004</v>
      </c>
      <c r="I161" s="98" t="s">
        <v>6640</v>
      </c>
      <c r="J161" s="98" t="s">
        <v>17</v>
      </c>
      <c r="K161" s="106" t="s">
        <v>17</v>
      </c>
      <c r="L161" s="88">
        <v>-8.0350000000000005E-3</v>
      </c>
      <c r="M161" s="89">
        <v>7.1630000000000001E-3</v>
      </c>
      <c r="N161" s="99" t="s">
        <v>163</v>
      </c>
      <c r="O161" s="98" t="s">
        <v>163</v>
      </c>
      <c r="P161" s="106" t="s">
        <v>163</v>
      </c>
      <c r="Q161" s="104" t="s">
        <v>163</v>
      </c>
      <c r="R161" s="104" t="s">
        <v>163</v>
      </c>
      <c r="S161" s="102" t="s">
        <v>163</v>
      </c>
      <c r="T161" s="103" t="s">
        <v>163</v>
      </c>
      <c r="U161" s="102" t="s">
        <v>163</v>
      </c>
      <c r="V161" s="102" t="s">
        <v>163</v>
      </c>
      <c r="W161" s="103" t="s">
        <v>163</v>
      </c>
      <c r="X161" s="102" t="s">
        <v>163</v>
      </c>
      <c r="Y161" s="102" t="s">
        <v>163</v>
      </c>
      <c r="Z161" s="102" t="s">
        <v>163</v>
      </c>
      <c r="AA161" s="105" t="s">
        <v>163</v>
      </c>
      <c r="AB161" s="104" t="s">
        <v>163</v>
      </c>
      <c r="AC161" s="104" t="s">
        <v>163</v>
      </c>
      <c r="AD161" s="102" t="s">
        <v>163</v>
      </c>
      <c r="AE161" s="103" t="s">
        <v>163</v>
      </c>
      <c r="AF161" s="104" t="s">
        <v>163</v>
      </c>
      <c r="AG161" s="102" t="s">
        <v>163</v>
      </c>
      <c r="AH161" s="103" t="s">
        <v>163</v>
      </c>
      <c r="AI161" s="104" t="s">
        <v>163</v>
      </c>
      <c r="AJ161" s="102" t="s">
        <v>163</v>
      </c>
      <c r="AK161" s="103" t="s">
        <v>163</v>
      </c>
      <c r="AL161" s="105" t="s">
        <v>163</v>
      </c>
    </row>
    <row r="162" spans="1:38" s="16" customFormat="1" ht="13" customHeight="1" x14ac:dyDescent="0.2">
      <c r="A162" s="87" t="s">
        <v>6461</v>
      </c>
      <c r="B162" s="105">
        <v>3</v>
      </c>
      <c r="C162" s="98" t="s">
        <v>6430</v>
      </c>
      <c r="D162" s="126" t="s">
        <v>6431</v>
      </c>
      <c r="E162" s="126" t="s">
        <v>24</v>
      </c>
      <c r="F162" s="127" t="s">
        <v>6462</v>
      </c>
      <c r="G162" s="128">
        <v>23.610181000000001</v>
      </c>
      <c r="H162" s="129">
        <v>85.279934999999995</v>
      </c>
      <c r="I162" s="98" t="s">
        <v>6640</v>
      </c>
      <c r="J162" s="98" t="s">
        <v>17</v>
      </c>
      <c r="K162" s="106" t="s">
        <v>17</v>
      </c>
      <c r="L162" s="88">
        <v>-7.6280000000000002E-3</v>
      </c>
      <c r="M162" s="89">
        <v>7.3379999999999999E-3</v>
      </c>
      <c r="N162" s="99" t="s">
        <v>163</v>
      </c>
      <c r="O162" s="98" t="s">
        <v>163</v>
      </c>
      <c r="P162" s="106" t="s">
        <v>163</v>
      </c>
      <c r="Q162" s="104" t="s">
        <v>163</v>
      </c>
      <c r="R162" s="104" t="s">
        <v>163</v>
      </c>
      <c r="S162" s="102" t="s">
        <v>163</v>
      </c>
      <c r="T162" s="103" t="s">
        <v>163</v>
      </c>
      <c r="U162" s="102" t="s">
        <v>163</v>
      </c>
      <c r="V162" s="102" t="s">
        <v>163</v>
      </c>
      <c r="W162" s="103" t="s">
        <v>163</v>
      </c>
      <c r="X162" s="102" t="s">
        <v>163</v>
      </c>
      <c r="Y162" s="102" t="s">
        <v>163</v>
      </c>
      <c r="Z162" s="102" t="s">
        <v>163</v>
      </c>
      <c r="AA162" s="105" t="s">
        <v>163</v>
      </c>
      <c r="AB162" s="104" t="s">
        <v>163</v>
      </c>
      <c r="AC162" s="104" t="s">
        <v>163</v>
      </c>
      <c r="AD162" s="102" t="s">
        <v>163</v>
      </c>
      <c r="AE162" s="103" t="s">
        <v>163</v>
      </c>
      <c r="AF162" s="104" t="s">
        <v>163</v>
      </c>
      <c r="AG162" s="102" t="s">
        <v>163</v>
      </c>
      <c r="AH162" s="103" t="s">
        <v>163</v>
      </c>
      <c r="AI162" s="104" t="s">
        <v>163</v>
      </c>
      <c r="AJ162" s="102" t="s">
        <v>163</v>
      </c>
      <c r="AK162" s="103" t="s">
        <v>163</v>
      </c>
      <c r="AL162" s="105" t="s">
        <v>163</v>
      </c>
    </row>
    <row r="163" spans="1:38" s="16" customFormat="1" ht="13" customHeight="1" x14ac:dyDescent="0.2">
      <c r="A163" s="87" t="s">
        <v>6463</v>
      </c>
      <c r="B163" s="105">
        <v>19</v>
      </c>
      <c r="C163" s="98" t="s">
        <v>6430</v>
      </c>
      <c r="D163" s="126" t="s">
        <v>6436</v>
      </c>
      <c r="E163" s="126" t="s">
        <v>24</v>
      </c>
      <c r="F163" s="127" t="s">
        <v>6464</v>
      </c>
      <c r="G163" s="128">
        <v>20.950102999999999</v>
      </c>
      <c r="H163" s="129">
        <v>85.216815999999994</v>
      </c>
      <c r="I163" s="98" t="s">
        <v>6640</v>
      </c>
      <c r="J163" s="98" t="s">
        <v>17</v>
      </c>
      <c r="K163" s="106" t="s">
        <v>17</v>
      </c>
      <c r="L163" s="88">
        <v>-6.2969999999999996E-3</v>
      </c>
      <c r="M163" s="89">
        <v>2.1020000000000001E-3</v>
      </c>
      <c r="N163" s="99" t="s">
        <v>163</v>
      </c>
      <c r="O163" s="98" t="s">
        <v>163</v>
      </c>
      <c r="P163" s="106" t="s">
        <v>163</v>
      </c>
      <c r="Q163" s="104" t="s">
        <v>163</v>
      </c>
      <c r="R163" s="104" t="s">
        <v>163</v>
      </c>
      <c r="S163" s="102" t="s">
        <v>163</v>
      </c>
      <c r="T163" s="103" t="s">
        <v>163</v>
      </c>
      <c r="U163" s="102" t="s">
        <v>163</v>
      </c>
      <c r="V163" s="102" t="s">
        <v>163</v>
      </c>
      <c r="W163" s="103" t="s">
        <v>163</v>
      </c>
      <c r="X163" s="102" t="s">
        <v>163</v>
      </c>
      <c r="Y163" s="102" t="s">
        <v>163</v>
      </c>
      <c r="Z163" s="102" t="s">
        <v>163</v>
      </c>
      <c r="AA163" s="105" t="s">
        <v>163</v>
      </c>
      <c r="AB163" s="104" t="s">
        <v>163</v>
      </c>
      <c r="AC163" s="104" t="s">
        <v>163</v>
      </c>
      <c r="AD163" s="102" t="s">
        <v>163</v>
      </c>
      <c r="AE163" s="103" t="s">
        <v>163</v>
      </c>
      <c r="AF163" s="104" t="s">
        <v>163</v>
      </c>
      <c r="AG163" s="102" t="s">
        <v>163</v>
      </c>
      <c r="AH163" s="103" t="s">
        <v>163</v>
      </c>
      <c r="AI163" s="104" t="s">
        <v>163</v>
      </c>
      <c r="AJ163" s="102" t="s">
        <v>163</v>
      </c>
      <c r="AK163" s="103" t="s">
        <v>163</v>
      </c>
      <c r="AL163" s="105" t="s">
        <v>163</v>
      </c>
    </row>
    <row r="164" spans="1:38" s="16" customFormat="1" ht="13" customHeight="1" x14ac:dyDescent="0.2">
      <c r="A164" s="87" t="s">
        <v>6465</v>
      </c>
      <c r="B164" s="105">
        <v>8</v>
      </c>
      <c r="C164" s="98" t="s">
        <v>6095</v>
      </c>
      <c r="D164" s="126" t="s">
        <v>6151</v>
      </c>
      <c r="E164" s="126" t="s">
        <v>24</v>
      </c>
      <c r="F164" s="127" t="s">
        <v>6451</v>
      </c>
      <c r="G164" s="128">
        <v>23.019424999999998</v>
      </c>
      <c r="H164" s="129">
        <v>79.829449999999994</v>
      </c>
      <c r="I164" s="98" t="s">
        <v>6640</v>
      </c>
      <c r="J164" s="98" t="s">
        <v>17</v>
      </c>
      <c r="K164" s="106" t="s">
        <v>17</v>
      </c>
      <c r="L164" s="88">
        <v>-7.5319999999999996E-3</v>
      </c>
      <c r="M164" s="89">
        <v>5.5399999999999998E-3</v>
      </c>
      <c r="N164" s="99" t="s">
        <v>163</v>
      </c>
      <c r="O164" s="98" t="s">
        <v>163</v>
      </c>
      <c r="P164" s="106" t="s">
        <v>163</v>
      </c>
      <c r="Q164" s="104" t="s">
        <v>163</v>
      </c>
      <c r="R164" s="104" t="s">
        <v>163</v>
      </c>
      <c r="S164" s="102" t="s">
        <v>163</v>
      </c>
      <c r="T164" s="103" t="s">
        <v>163</v>
      </c>
      <c r="U164" s="102" t="s">
        <v>163</v>
      </c>
      <c r="V164" s="102" t="s">
        <v>163</v>
      </c>
      <c r="W164" s="103" t="s">
        <v>163</v>
      </c>
      <c r="X164" s="102" t="s">
        <v>163</v>
      </c>
      <c r="Y164" s="102" t="s">
        <v>163</v>
      </c>
      <c r="Z164" s="102" t="s">
        <v>163</v>
      </c>
      <c r="AA164" s="105" t="s">
        <v>163</v>
      </c>
      <c r="AB164" s="104" t="s">
        <v>163</v>
      </c>
      <c r="AC164" s="104" t="s">
        <v>163</v>
      </c>
      <c r="AD164" s="102" t="s">
        <v>163</v>
      </c>
      <c r="AE164" s="103" t="s">
        <v>163</v>
      </c>
      <c r="AF164" s="104" t="s">
        <v>163</v>
      </c>
      <c r="AG164" s="102" t="s">
        <v>163</v>
      </c>
      <c r="AH164" s="103" t="s">
        <v>163</v>
      </c>
      <c r="AI164" s="104" t="s">
        <v>163</v>
      </c>
      <c r="AJ164" s="102" t="s">
        <v>163</v>
      </c>
      <c r="AK164" s="103" t="s">
        <v>163</v>
      </c>
      <c r="AL164" s="105" t="s">
        <v>163</v>
      </c>
    </row>
    <row r="165" spans="1:38" s="16" customFormat="1" ht="13" customHeight="1" x14ac:dyDescent="0.2">
      <c r="A165" s="87" t="s">
        <v>6466</v>
      </c>
      <c r="B165" s="105">
        <v>5</v>
      </c>
      <c r="C165" s="98" t="s">
        <v>6095</v>
      </c>
      <c r="D165" s="126" t="s">
        <v>6061</v>
      </c>
      <c r="E165" s="126" t="s">
        <v>24</v>
      </c>
      <c r="F165" s="127" t="s">
        <v>6467</v>
      </c>
      <c r="G165" s="128">
        <v>19.203677777777777</v>
      </c>
      <c r="H165" s="129">
        <v>81.93438611111111</v>
      </c>
      <c r="I165" s="98" t="s">
        <v>6640</v>
      </c>
      <c r="J165" s="98" t="s">
        <v>17</v>
      </c>
      <c r="K165" s="106" t="s">
        <v>17</v>
      </c>
      <c r="L165" s="88">
        <v>-7.6660000000000001E-3</v>
      </c>
      <c r="M165" s="89">
        <v>5.3399999999999997E-4</v>
      </c>
      <c r="N165" s="99" t="s">
        <v>163</v>
      </c>
      <c r="O165" s="98" t="s">
        <v>163</v>
      </c>
      <c r="P165" s="106" t="s">
        <v>163</v>
      </c>
      <c r="Q165" s="104" t="s">
        <v>163</v>
      </c>
      <c r="R165" s="104" t="s">
        <v>163</v>
      </c>
      <c r="S165" s="102" t="s">
        <v>163</v>
      </c>
      <c r="T165" s="103" t="s">
        <v>163</v>
      </c>
      <c r="U165" s="102" t="s">
        <v>163</v>
      </c>
      <c r="V165" s="102" t="s">
        <v>163</v>
      </c>
      <c r="W165" s="103" t="s">
        <v>163</v>
      </c>
      <c r="X165" s="102" t="s">
        <v>163</v>
      </c>
      <c r="Y165" s="102" t="s">
        <v>163</v>
      </c>
      <c r="Z165" s="102" t="s">
        <v>163</v>
      </c>
      <c r="AA165" s="105" t="s">
        <v>163</v>
      </c>
      <c r="AB165" s="104" t="s">
        <v>163</v>
      </c>
      <c r="AC165" s="104" t="s">
        <v>163</v>
      </c>
      <c r="AD165" s="102" t="s">
        <v>163</v>
      </c>
      <c r="AE165" s="103" t="s">
        <v>163</v>
      </c>
      <c r="AF165" s="104" t="s">
        <v>163</v>
      </c>
      <c r="AG165" s="102" t="s">
        <v>163</v>
      </c>
      <c r="AH165" s="103" t="s">
        <v>163</v>
      </c>
      <c r="AI165" s="104" t="s">
        <v>163</v>
      </c>
      <c r="AJ165" s="102" t="s">
        <v>163</v>
      </c>
      <c r="AK165" s="103" t="s">
        <v>163</v>
      </c>
      <c r="AL165" s="105" t="s">
        <v>163</v>
      </c>
    </row>
    <row r="166" spans="1:38" s="16" customFormat="1" ht="13" customHeight="1" x14ac:dyDescent="0.2">
      <c r="A166" s="87" t="s">
        <v>6468</v>
      </c>
      <c r="B166" s="105">
        <v>16</v>
      </c>
      <c r="C166" s="98" t="s">
        <v>6095</v>
      </c>
      <c r="D166" s="126" t="s">
        <v>6151</v>
      </c>
      <c r="E166" s="126" t="s">
        <v>24</v>
      </c>
      <c r="F166" s="127" t="s">
        <v>6336</v>
      </c>
      <c r="G166" s="128">
        <v>23.861836111111113</v>
      </c>
      <c r="H166" s="129">
        <v>76.493899999999996</v>
      </c>
      <c r="I166" s="98" t="s">
        <v>6640</v>
      </c>
      <c r="J166" s="98" t="s">
        <v>17</v>
      </c>
      <c r="K166" s="106" t="s">
        <v>17</v>
      </c>
      <c r="L166" s="88">
        <v>-4.7320000000000001E-3</v>
      </c>
      <c r="M166" s="89">
        <v>-1.07E-4</v>
      </c>
      <c r="N166" s="99" t="s">
        <v>163</v>
      </c>
      <c r="O166" s="98" t="s">
        <v>163</v>
      </c>
      <c r="P166" s="106" t="s">
        <v>163</v>
      </c>
      <c r="Q166" s="104" t="s">
        <v>163</v>
      </c>
      <c r="R166" s="104" t="s">
        <v>163</v>
      </c>
      <c r="S166" s="102" t="s">
        <v>163</v>
      </c>
      <c r="T166" s="103" t="s">
        <v>163</v>
      </c>
      <c r="U166" s="102" t="s">
        <v>163</v>
      </c>
      <c r="V166" s="102" t="s">
        <v>163</v>
      </c>
      <c r="W166" s="103" t="s">
        <v>163</v>
      </c>
      <c r="X166" s="102" t="s">
        <v>163</v>
      </c>
      <c r="Y166" s="102" t="s">
        <v>163</v>
      </c>
      <c r="Z166" s="102" t="s">
        <v>163</v>
      </c>
      <c r="AA166" s="105" t="s">
        <v>163</v>
      </c>
      <c r="AB166" s="104" t="s">
        <v>163</v>
      </c>
      <c r="AC166" s="104" t="s">
        <v>163</v>
      </c>
      <c r="AD166" s="102" t="s">
        <v>163</v>
      </c>
      <c r="AE166" s="103" t="s">
        <v>163</v>
      </c>
      <c r="AF166" s="104" t="s">
        <v>163</v>
      </c>
      <c r="AG166" s="102" t="s">
        <v>163</v>
      </c>
      <c r="AH166" s="103" t="s">
        <v>163</v>
      </c>
      <c r="AI166" s="104" t="s">
        <v>163</v>
      </c>
      <c r="AJ166" s="102" t="s">
        <v>163</v>
      </c>
      <c r="AK166" s="103" t="s">
        <v>163</v>
      </c>
      <c r="AL166" s="105" t="s">
        <v>163</v>
      </c>
    </row>
    <row r="167" spans="1:38" s="16" customFormat="1" ht="13" customHeight="1" x14ac:dyDescent="0.2">
      <c r="A167" s="87" t="s">
        <v>6469</v>
      </c>
      <c r="B167" s="105">
        <v>6</v>
      </c>
      <c r="C167" s="98" t="s">
        <v>6095</v>
      </c>
      <c r="D167" s="126" t="s">
        <v>6436</v>
      </c>
      <c r="E167" s="126" t="s">
        <v>24</v>
      </c>
      <c r="F167" s="127" t="s">
        <v>6470</v>
      </c>
      <c r="G167" s="128">
        <v>19.171199999999999</v>
      </c>
      <c r="H167" s="129">
        <v>83.416300000000007</v>
      </c>
      <c r="I167" s="98" t="s">
        <v>6640</v>
      </c>
      <c r="J167" s="98" t="s">
        <v>17</v>
      </c>
      <c r="K167" s="106" t="s">
        <v>17</v>
      </c>
      <c r="L167" s="88">
        <v>-8.6529999999999992E-3</v>
      </c>
      <c r="M167" s="89">
        <v>9.8790000000000006E-3</v>
      </c>
      <c r="N167" s="99" t="s">
        <v>163</v>
      </c>
      <c r="O167" s="98" t="s">
        <v>163</v>
      </c>
      <c r="P167" s="106" t="s">
        <v>163</v>
      </c>
      <c r="Q167" s="104" t="s">
        <v>163</v>
      </c>
      <c r="R167" s="104" t="s">
        <v>163</v>
      </c>
      <c r="S167" s="102" t="s">
        <v>163</v>
      </c>
      <c r="T167" s="103" t="s">
        <v>163</v>
      </c>
      <c r="U167" s="102" t="s">
        <v>163</v>
      </c>
      <c r="V167" s="102" t="s">
        <v>163</v>
      </c>
      <c r="W167" s="103" t="s">
        <v>163</v>
      </c>
      <c r="X167" s="102" t="s">
        <v>163</v>
      </c>
      <c r="Y167" s="102" t="s">
        <v>163</v>
      </c>
      <c r="Z167" s="102" t="s">
        <v>163</v>
      </c>
      <c r="AA167" s="105" t="s">
        <v>163</v>
      </c>
      <c r="AB167" s="104" t="s">
        <v>163</v>
      </c>
      <c r="AC167" s="104" t="s">
        <v>163</v>
      </c>
      <c r="AD167" s="102" t="s">
        <v>163</v>
      </c>
      <c r="AE167" s="103" t="s">
        <v>163</v>
      </c>
      <c r="AF167" s="104" t="s">
        <v>163</v>
      </c>
      <c r="AG167" s="102" t="s">
        <v>163</v>
      </c>
      <c r="AH167" s="103" t="s">
        <v>163</v>
      </c>
      <c r="AI167" s="104" t="s">
        <v>163</v>
      </c>
      <c r="AJ167" s="102" t="s">
        <v>163</v>
      </c>
      <c r="AK167" s="103" t="s">
        <v>163</v>
      </c>
      <c r="AL167" s="105" t="s">
        <v>163</v>
      </c>
    </row>
    <row r="168" spans="1:38" s="16" customFormat="1" ht="13" customHeight="1" x14ac:dyDescent="0.2">
      <c r="A168" s="87" t="s">
        <v>6471</v>
      </c>
      <c r="B168" s="105">
        <v>2</v>
      </c>
      <c r="C168" s="98" t="s">
        <v>6095</v>
      </c>
      <c r="D168" s="126" t="s">
        <v>6472</v>
      </c>
      <c r="E168" s="126" t="s">
        <v>24</v>
      </c>
      <c r="F168" s="127" t="s">
        <v>1168</v>
      </c>
      <c r="G168" s="128">
        <v>17.686800000000002</v>
      </c>
      <c r="H168" s="129">
        <v>83.218500000000006</v>
      </c>
      <c r="I168" s="98" t="s">
        <v>6640</v>
      </c>
      <c r="J168" s="98" t="s">
        <v>17</v>
      </c>
      <c r="K168" s="106" t="s">
        <v>17</v>
      </c>
      <c r="L168" s="88">
        <v>-7.1869999999999998E-3</v>
      </c>
      <c r="M168" s="89">
        <v>6.4289999999999998E-3</v>
      </c>
      <c r="N168" s="99" t="s">
        <v>163</v>
      </c>
      <c r="O168" s="98" t="s">
        <v>163</v>
      </c>
      <c r="P168" s="106" t="s">
        <v>163</v>
      </c>
      <c r="Q168" s="104" t="s">
        <v>163</v>
      </c>
      <c r="R168" s="104" t="s">
        <v>163</v>
      </c>
      <c r="S168" s="102" t="s">
        <v>163</v>
      </c>
      <c r="T168" s="103" t="s">
        <v>163</v>
      </c>
      <c r="U168" s="102" t="s">
        <v>163</v>
      </c>
      <c r="V168" s="102" t="s">
        <v>163</v>
      </c>
      <c r="W168" s="103" t="s">
        <v>163</v>
      </c>
      <c r="X168" s="102" t="s">
        <v>163</v>
      </c>
      <c r="Y168" s="102" t="s">
        <v>163</v>
      </c>
      <c r="Z168" s="102" t="s">
        <v>163</v>
      </c>
      <c r="AA168" s="105" t="s">
        <v>163</v>
      </c>
      <c r="AB168" s="104" t="s">
        <v>163</v>
      </c>
      <c r="AC168" s="104" t="s">
        <v>163</v>
      </c>
      <c r="AD168" s="102" t="s">
        <v>163</v>
      </c>
      <c r="AE168" s="103" t="s">
        <v>163</v>
      </c>
      <c r="AF168" s="104" t="s">
        <v>163</v>
      </c>
      <c r="AG168" s="102" t="s">
        <v>163</v>
      </c>
      <c r="AH168" s="103" t="s">
        <v>163</v>
      </c>
      <c r="AI168" s="104" t="s">
        <v>163</v>
      </c>
      <c r="AJ168" s="102" t="s">
        <v>163</v>
      </c>
      <c r="AK168" s="103" t="s">
        <v>163</v>
      </c>
      <c r="AL168" s="105" t="s">
        <v>163</v>
      </c>
    </row>
    <row r="169" spans="1:38" s="16" customFormat="1" ht="13" customHeight="1" x14ac:dyDescent="0.2">
      <c r="A169" s="87" t="s">
        <v>6473</v>
      </c>
      <c r="B169" s="105">
        <v>17</v>
      </c>
      <c r="C169" s="98" t="s">
        <v>6095</v>
      </c>
      <c r="D169" s="126" t="s">
        <v>6472</v>
      </c>
      <c r="E169" s="126" t="s">
        <v>24</v>
      </c>
      <c r="F169" s="127" t="s">
        <v>1168</v>
      </c>
      <c r="G169" s="128">
        <v>17.686800000000002</v>
      </c>
      <c r="H169" s="129">
        <v>83.218500000000006</v>
      </c>
      <c r="I169" s="98" t="s">
        <v>6640</v>
      </c>
      <c r="J169" s="98" t="s">
        <v>17</v>
      </c>
      <c r="K169" s="106" t="s">
        <v>17</v>
      </c>
      <c r="L169" s="88">
        <v>-6.6540000000000002E-3</v>
      </c>
      <c r="M169" s="89">
        <v>4.5440000000000003E-3</v>
      </c>
      <c r="N169" s="99" t="s">
        <v>163</v>
      </c>
      <c r="O169" s="98" t="s">
        <v>163</v>
      </c>
      <c r="P169" s="106" t="s">
        <v>163</v>
      </c>
      <c r="Q169" s="104" t="s">
        <v>163</v>
      </c>
      <c r="R169" s="104" t="s">
        <v>163</v>
      </c>
      <c r="S169" s="102" t="s">
        <v>163</v>
      </c>
      <c r="T169" s="103" t="s">
        <v>163</v>
      </c>
      <c r="U169" s="102" t="s">
        <v>163</v>
      </c>
      <c r="V169" s="102" t="s">
        <v>163</v>
      </c>
      <c r="W169" s="103" t="s">
        <v>163</v>
      </c>
      <c r="X169" s="102" t="s">
        <v>163</v>
      </c>
      <c r="Y169" s="102" t="s">
        <v>163</v>
      </c>
      <c r="Z169" s="102" t="s">
        <v>163</v>
      </c>
      <c r="AA169" s="105" t="s">
        <v>163</v>
      </c>
      <c r="AB169" s="104" t="s">
        <v>163</v>
      </c>
      <c r="AC169" s="104" t="s">
        <v>163</v>
      </c>
      <c r="AD169" s="102" t="s">
        <v>163</v>
      </c>
      <c r="AE169" s="103" t="s">
        <v>163</v>
      </c>
      <c r="AF169" s="104" t="s">
        <v>163</v>
      </c>
      <c r="AG169" s="102" t="s">
        <v>163</v>
      </c>
      <c r="AH169" s="103" t="s">
        <v>163</v>
      </c>
      <c r="AI169" s="104" t="s">
        <v>163</v>
      </c>
      <c r="AJ169" s="102" t="s">
        <v>163</v>
      </c>
      <c r="AK169" s="103" t="s">
        <v>163</v>
      </c>
      <c r="AL169" s="105" t="s">
        <v>163</v>
      </c>
    </row>
    <row r="170" spans="1:38" s="16" customFormat="1" ht="13" customHeight="1" x14ac:dyDescent="0.2">
      <c r="A170" s="87" t="s">
        <v>6474</v>
      </c>
      <c r="B170" s="105">
        <v>5</v>
      </c>
      <c r="C170" s="98" t="s">
        <v>6095</v>
      </c>
      <c r="D170" s="126" t="s">
        <v>6186</v>
      </c>
      <c r="E170" s="126" t="s">
        <v>24</v>
      </c>
      <c r="F170" s="127" t="s">
        <v>6475</v>
      </c>
      <c r="G170" s="128">
        <v>12.279316666666668</v>
      </c>
      <c r="H170" s="129">
        <v>75.207099999999997</v>
      </c>
      <c r="I170" s="98" t="s">
        <v>6640</v>
      </c>
      <c r="J170" s="98" t="s">
        <v>17</v>
      </c>
      <c r="K170" s="106" t="s">
        <v>17</v>
      </c>
      <c r="L170" s="88">
        <v>-8.1720000000000004E-3</v>
      </c>
      <c r="M170" s="89">
        <v>1.0194E-2</v>
      </c>
      <c r="N170" s="99" t="s">
        <v>163</v>
      </c>
      <c r="O170" s="98" t="s">
        <v>163</v>
      </c>
      <c r="P170" s="106" t="s">
        <v>163</v>
      </c>
      <c r="Q170" s="104" t="s">
        <v>163</v>
      </c>
      <c r="R170" s="104" t="s">
        <v>163</v>
      </c>
      <c r="S170" s="102" t="s">
        <v>163</v>
      </c>
      <c r="T170" s="103" t="s">
        <v>163</v>
      </c>
      <c r="U170" s="102" t="s">
        <v>163</v>
      </c>
      <c r="V170" s="102" t="s">
        <v>163</v>
      </c>
      <c r="W170" s="103" t="s">
        <v>163</v>
      </c>
      <c r="X170" s="102" t="s">
        <v>163</v>
      </c>
      <c r="Y170" s="102" t="s">
        <v>163</v>
      </c>
      <c r="Z170" s="102" t="s">
        <v>163</v>
      </c>
      <c r="AA170" s="105" t="s">
        <v>163</v>
      </c>
      <c r="AB170" s="104" t="s">
        <v>163</v>
      </c>
      <c r="AC170" s="104" t="s">
        <v>163</v>
      </c>
      <c r="AD170" s="102" t="s">
        <v>163</v>
      </c>
      <c r="AE170" s="103" t="s">
        <v>163</v>
      </c>
      <c r="AF170" s="104" t="s">
        <v>163</v>
      </c>
      <c r="AG170" s="102" t="s">
        <v>163</v>
      </c>
      <c r="AH170" s="103" t="s">
        <v>163</v>
      </c>
      <c r="AI170" s="104" t="s">
        <v>163</v>
      </c>
      <c r="AJ170" s="102" t="s">
        <v>163</v>
      </c>
      <c r="AK170" s="103" t="s">
        <v>163</v>
      </c>
      <c r="AL170" s="105" t="s">
        <v>163</v>
      </c>
    </row>
    <row r="171" spans="1:38" s="16" customFormat="1" ht="13" customHeight="1" x14ac:dyDescent="0.2">
      <c r="A171" s="87" t="s">
        <v>6476</v>
      </c>
      <c r="B171" s="105">
        <v>11</v>
      </c>
      <c r="C171" s="98" t="s">
        <v>6095</v>
      </c>
      <c r="D171" s="126" t="s">
        <v>6431</v>
      </c>
      <c r="E171" s="126" t="s">
        <v>24</v>
      </c>
      <c r="F171" s="127" t="s">
        <v>6462</v>
      </c>
      <c r="G171" s="128">
        <v>23.344099999999997</v>
      </c>
      <c r="H171" s="129">
        <v>85.309561111111108</v>
      </c>
      <c r="I171" s="98" t="s">
        <v>6640</v>
      </c>
      <c r="J171" s="98" t="s">
        <v>17</v>
      </c>
      <c r="K171" s="106" t="s">
        <v>17</v>
      </c>
      <c r="L171" s="88">
        <v>-6.8110000000000002E-3</v>
      </c>
      <c r="M171" s="89">
        <v>3.3930000000000002E-3</v>
      </c>
      <c r="N171" s="99" t="s">
        <v>163</v>
      </c>
      <c r="O171" s="98" t="s">
        <v>163</v>
      </c>
      <c r="P171" s="106" t="s">
        <v>163</v>
      </c>
      <c r="Q171" s="104" t="s">
        <v>163</v>
      </c>
      <c r="R171" s="104" t="s">
        <v>163</v>
      </c>
      <c r="S171" s="102" t="s">
        <v>163</v>
      </c>
      <c r="T171" s="103" t="s">
        <v>163</v>
      </c>
      <c r="U171" s="102" t="s">
        <v>163</v>
      </c>
      <c r="V171" s="102" t="s">
        <v>163</v>
      </c>
      <c r="W171" s="103" t="s">
        <v>163</v>
      </c>
      <c r="X171" s="102" t="s">
        <v>163</v>
      </c>
      <c r="Y171" s="102" t="s">
        <v>163</v>
      </c>
      <c r="Z171" s="102" t="s">
        <v>163</v>
      </c>
      <c r="AA171" s="105" t="s">
        <v>163</v>
      </c>
      <c r="AB171" s="104" t="s">
        <v>163</v>
      </c>
      <c r="AC171" s="104" t="s">
        <v>163</v>
      </c>
      <c r="AD171" s="102" t="s">
        <v>163</v>
      </c>
      <c r="AE171" s="103" t="s">
        <v>163</v>
      </c>
      <c r="AF171" s="104" t="s">
        <v>163</v>
      </c>
      <c r="AG171" s="102" t="s">
        <v>163</v>
      </c>
      <c r="AH171" s="103" t="s">
        <v>163</v>
      </c>
      <c r="AI171" s="104" t="s">
        <v>163</v>
      </c>
      <c r="AJ171" s="102" t="s">
        <v>163</v>
      </c>
      <c r="AK171" s="103" t="s">
        <v>163</v>
      </c>
      <c r="AL171" s="105" t="s">
        <v>163</v>
      </c>
    </row>
    <row r="172" spans="1:38" s="16" customFormat="1" ht="13" customHeight="1" x14ac:dyDescent="0.2">
      <c r="A172" s="87" t="s">
        <v>6477</v>
      </c>
      <c r="B172" s="105">
        <v>5</v>
      </c>
      <c r="C172" s="98" t="s">
        <v>6095</v>
      </c>
      <c r="D172" s="126" t="s">
        <v>6431</v>
      </c>
      <c r="E172" s="126" t="s">
        <v>24</v>
      </c>
      <c r="F172" s="127" t="s">
        <v>6478</v>
      </c>
      <c r="G172" s="128">
        <v>23.755577777777777</v>
      </c>
      <c r="H172" s="129">
        <v>84.354205555555552</v>
      </c>
      <c r="I172" s="98" t="s">
        <v>6640</v>
      </c>
      <c r="J172" s="98" t="s">
        <v>17</v>
      </c>
      <c r="K172" s="106" t="s">
        <v>17</v>
      </c>
      <c r="L172" s="88">
        <v>-7.5690000000000002E-3</v>
      </c>
      <c r="M172" s="89">
        <v>1.671E-3</v>
      </c>
      <c r="N172" s="99" t="s">
        <v>163</v>
      </c>
      <c r="O172" s="98" t="s">
        <v>163</v>
      </c>
      <c r="P172" s="106" t="s">
        <v>163</v>
      </c>
      <c r="Q172" s="104" t="s">
        <v>163</v>
      </c>
      <c r="R172" s="104" t="s">
        <v>163</v>
      </c>
      <c r="S172" s="102" t="s">
        <v>163</v>
      </c>
      <c r="T172" s="103" t="s">
        <v>163</v>
      </c>
      <c r="U172" s="102" t="s">
        <v>163</v>
      </c>
      <c r="V172" s="102" t="s">
        <v>163</v>
      </c>
      <c r="W172" s="103" t="s">
        <v>163</v>
      </c>
      <c r="X172" s="102" t="s">
        <v>163</v>
      </c>
      <c r="Y172" s="102" t="s">
        <v>163</v>
      </c>
      <c r="Z172" s="102" t="s">
        <v>163</v>
      </c>
      <c r="AA172" s="105" t="s">
        <v>163</v>
      </c>
      <c r="AB172" s="104" t="s">
        <v>163</v>
      </c>
      <c r="AC172" s="104" t="s">
        <v>163</v>
      </c>
      <c r="AD172" s="102" t="s">
        <v>163</v>
      </c>
      <c r="AE172" s="103" t="s">
        <v>163</v>
      </c>
      <c r="AF172" s="104" t="s">
        <v>163</v>
      </c>
      <c r="AG172" s="102" t="s">
        <v>163</v>
      </c>
      <c r="AH172" s="103" t="s">
        <v>163</v>
      </c>
      <c r="AI172" s="104" t="s">
        <v>163</v>
      </c>
      <c r="AJ172" s="102" t="s">
        <v>163</v>
      </c>
      <c r="AK172" s="103" t="s">
        <v>163</v>
      </c>
      <c r="AL172" s="105" t="s">
        <v>163</v>
      </c>
    </row>
    <row r="173" spans="1:38" s="16" customFormat="1" ht="13" customHeight="1" x14ac:dyDescent="0.2">
      <c r="A173" s="87" t="s">
        <v>6479</v>
      </c>
      <c r="B173" s="105">
        <v>3</v>
      </c>
      <c r="C173" s="98" t="s">
        <v>6095</v>
      </c>
      <c r="D173" s="126" t="s">
        <v>6110</v>
      </c>
      <c r="E173" s="126" t="s">
        <v>24</v>
      </c>
      <c r="F173" s="127" t="s">
        <v>6257</v>
      </c>
      <c r="G173" s="128">
        <v>14.670986111111111</v>
      </c>
      <c r="H173" s="129">
        <v>77.590744444444439</v>
      </c>
      <c r="I173" s="98" t="s">
        <v>6640</v>
      </c>
      <c r="J173" s="98" t="s">
        <v>17</v>
      </c>
      <c r="K173" s="106" t="s">
        <v>17</v>
      </c>
      <c r="L173" s="88">
        <v>-8.8240000000000002E-3</v>
      </c>
      <c r="M173" s="89">
        <v>9.5720000000000006E-3</v>
      </c>
      <c r="N173" s="99" t="s">
        <v>163</v>
      </c>
      <c r="O173" s="98" t="s">
        <v>163</v>
      </c>
      <c r="P173" s="106" t="s">
        <v>163</v>
      </c>
      <c r="Q173" s="104" t="s">
        <v>163</v>
      </c>
      <c r="R173" s="104" t="s">
        <v>163</v>
      </c>
      <c r="S173" s="102" t="s">
        <v>163</v>
      </c>
      <c r="T173" s="103" t="s">
        <v>163</v>
      </c>
      <c r="U173" s="102" t="s">
        <v>163</v>
      </c>
      <c r="V173" s="102" t="s">
        <v>163</v>
      </c>
      <c r="W173" s="103" t="s">
        <v>163</v>
      </c>
      <c r="X173" s="102" t="s">
        <v>163</v>
      </c>
      <c r="Y173" s="102" t="s">
        <v>163</v>
      </c>
      <c r="Z173" s="102" t="s">
        <v>163</v>
      </c>
      <c r="AA173" s="105" t="s">
        <v>163</v>
      </c>
      <c r="AB173" s="104" t="s">
        <v>163</v>
      </c>
      <c r="AC173" s="104" t="s">
        <v>163</v>
      </c>
      <c r="AD173" s="102" t="s">
        <v>163</v>
      </c>
      <c r="AE173" s="103" t="s">
        <v>163</v>
      </c>
      <c r="AF173" s="104" t="s">
        <v>163</v>
      </c>
      <c r="AG173" s="102" t="s">
        <v>163</v>
      </c>
      <c r="AH173" s="103" t="s">
        <v>163</v>
      </c>
      <c r="AI173" s="104" t="s">
        <v>163</v>
      </c>
      <c r="AJ173" s="102" t="s">
        <v>163</v>
      </c>
      <c r="AK173" s="103" t="s">
        <v>163</v>
      </c>
      <c r="AL173" s="105" t="s">
        <v>163</v>
      </c>
    </row>
    <row r="174" spans="1:38" s="16" customFormat="1" ht="13" customHeight="1" x14ac:dyDescent="0.2">
      <c r="A174" s="87" t="s">
        <v>6480</v>
      </c>
      <c r="B174" s="105">
        <v>9</v>
      </c>
      <c r="C174" s="98" t="s">
        <v>6095</v>
      </c>
      <c r="D174" s="126" t="s">
        <v>6110</v>
      </c>
      <c r="E174" s="126" t="s">
        <v>24</v>
      </c>
      <c r="F174" s="127" t="s">
        <v>6481</v>
      </c>
      <c r="G174" s="128">
        <v>17.247253000000001</v>
      </c>
      <c r="H174" s="129">
        <v>80.151444999999995</v>
      </c>
      <c r="I174" s="98" t="s">
        <v>6640</v>
      </c>
      <c r="J174" s="98" t="s">
        <v>17</v>
      </c>
      <c r="K174" s="106" t="s">
        <v>17</v>
      </c>
      <c r="L174" s="88">
        <v>-7.8059999999999996E-3</v>
      </c>
      <c r="M174" s="89">
        <v>3.3930000000000002E-3</v>
      </c>
      <c r="N174" s="99" t="s">
        <v>163</v>
      </c>
      <c r="O174" s="98" t="s">
        <v>163</v>
      </c>
      <c r="P174" s="106" t="s">
        <v>163</v>
      </c>
      <c r="Q174" s="104" t="s">
        <v>163</v>
      </c>
      <c r="R174" s="104" t="s">
        <v>163</v>
      </c>
      <c r="S174" s="102" t="s">
        <v>163</v>
      </c>
      <c r="T174" s="103" t="s">
        <v>163</v>
      </c>
      <c r="U174" s="102" t="s">
        <v>163</v>
      </c>
      <c r="V174" s="102" t="s">
        <v>163</v>
      </c>
      <c r="W174" s="103" t="s">
        <v>163</v>
      </c>
      <c r="X174" s="102" t="s">
        <v>163</v>
      </c>
      <c r="Y174" s="102" t="s">
        <v>163</v>
      </c>
      <c r="Z174" s="102" t="s">
        <v>163</v>
      </c>
      <c r="AA174" s="105" t="s">
        <v>163</v>
      </c>
      <c r="AB174" s="104" t="s">
        <v>163</v>
      </c>
      <c r="AC174" s="104" t="s">
        <v>163</v>
      </c>
      <c r="AD174" s="102" t="s">
        <v>163</v>
      </c>
      <c r="AE174" s="103" t="s">
        <v>163</v>
      </c>
      <c r="AF174" s="104" t="s">
        <v>163</v>
      </c>
      <c r="AG174" s="102" t="s">
        <v>163</v>
      </c>
      <c r="AH174" s="103" t="s">
        <v>163</v>
      </c>
      <c r="AI174" s="104" t="s">
        <v>163</v>
      </c>
      <c r="AJ174" s="102" t="s">
        <v>163</v>
      </c>
      <c r="AK174" s="103" t="s">
        <v>163</v>
      </c>
      <c r="AL174" s="105" t="s">
        <v>163</v>
      </c>
    </row>
    <row r="175" spans="1:38" s="16" customFormat="1" ht="13" customHeight="1" x14ac:dyDescent="0.2">
      <c r="A175" s="87" t="s">
        <v>6482</v>
      </c>
      <c r="B175" s="105">
        <v>3</v>
      </c>
      <c r="C175" s="98" t="s">
        <v>6020</v>
      </c>
      <c r="D175" s="126" t="s">
        <v>6151</v>
      </c>
      <c r="E175" s="126" t="s">
        <v>24</v>
      </c>
      <c r="F175" s="127" t="s">
        <v>6483</v>
      </c>
      <c r="G175" s="128">
        <v>21.860344444444447</v>
      </c>
      <c r="H175" s="129">
        <v>80.365863888888882</v>
      </c>
      <c r="I175" s="98" t="s">
        <v>6640</v>
      </c>
      <c r="J175" s="98" t="s">
        <v>17</v>
      </c>
      <c r="K175" s="106" t="s">
        <v>17</v>
      </c>
      <c r="L175" s="88">
        <v>-8.0000000000000002E-3</v>
      </c>
      <c r="M175" s="89">
        <v>6.6670000000000002E-3</v>
      </c>
      <c r="N175" s="99" t="s">
        <v>163</v>
      </c>
      <c r="O175" s="98" t="s">
        <v>163</v>
      </c>
      <c r="P175" s="106" t="s">
        <v>163</v>
      </c>
      <c r="Q175" s="104" t="s">
        <v>163</v>
      </c>
      <c r="R175" s="104" t="s">
        <v>163</v>
      </c>
      <c r="S175" s="102" t="s">
        <v>163</v>
      </c>
      <c r="T175" s="103" t="s">
        <v>163</v>
      </c>
      <c r="U175" s="102" t="s">
        <v>163</v>
      </c>
      <c r="V175" s="102" t="s">
        <v>163</v>
      </c>
      <c r="W175" s="103" t="s">
        <v>163</v>
      </c>
      <c r="X175" s="102" t="s">
        <v>163</v>
      </c>
      <c r="Y175" s="102" t="s">
        <v>163</v>
      </c>
      <c r="Z175" s="102" t="s">
        <v>163</v>
      </c>
      <c r="AA175" s="105" t="s">
        <v>163</v>
      </c>
      <c r="AB175" s="104" t="s">
        <v>163</v>
      </c>
      <c r="AC175" s="104" t="s">
        <v>163</v>
      </c>
      <c r="AD175" s="102" t="s">
        <v>163</v>
      </c>
      <c r="AE175" s="103" t="s">
        <v>163</v>
      </c>
      <c r="AF175" s="104" t="s">
        <v>163</v>
      </c>
      <c r="AG175" s="102" t="s">
        <v>163</v>
      </c>
      <c r="AH175" s="103" t="s">
        <v>163</v>
      </c>
      <c r="AI175" s="104" t="s">
        <v>163</v>
      </c>
      <c r="AJ175" s="102" t="s">
        <v>163</v>
      </c>
      <c r="AK175" s="103" t="s">
        <v>163</v>
      </c>
      <c r="AL175" s="105" t="s">
        <v>163</v>
      </c>
    </row>
    <row r="176" spans="1:38" s="16" customFormat="1" ht="13" customHeight="1" x14ac:dyDescent="0.2">
      <c r="A176" s="87" t="s">
        <v>6484</v>
      </c>
      <c r="B176" s="105">
        <v>5</v>
      </c>
      <c r="C176" s="98" t="s">
        <v>6020</v>
      </c>
      <c r="D176" s="126" t="s">
        <v>6061</v>
      </c>
      <c r="E176" s="126" t="s">
        <v>24</v>
      </c>
      <c r="F176" s="127" t="s">
        <v>6291</v>
      </c>
      <c r="G176" s="128">
        <v>22.079625</v>
      </c>
      <c r="H176" s="129">
        <v>82.139141666666674</v>
      </c>
      <c r="I176" s="98" t="s">
        <v>6640</v>
      </c>
      <c r="J176" s="98" t="s">
        <v>17</v>
      </c>
      <c r="K176" s="106" t="s">
        <v>17</v>
      </c>
      <c r="L176" s="88">
        <v>-7.7629999999999999E-3</v>
      </c>
      <c r="M176" s="89">
        <v>5.3200000000000001E-3</v>
      </c>
      <c r="N176" s="99" t="s">
        <v>163</v>
      </c>
      <c r="O176" s="98" t="s">
        <v>163</v>
      </c>
      <c r="P176" s="106" t="s">
        <v>163</v>
      </c>
      <c r="Q176" s="104" t="s">
        <v>163</v>
      </c>
      <c r="R176" s="104" t="s">
        <v>163</v>
      </c>
      <c r="S176" s="102" t="s">
        <v>163</v>
      </c>
      <c r="T176" s="103" t="s">
        <v>163</v>
      </c>
      <c r="U176" s="102" t="s">
        <v>163</v>
      </c>
      <c r="V176" s="102" t="s">
        <v>163</v>
      </c>
      <c r="W176" s="103" t="s">
        <v>163</v>
      </c>
      <c r="X176" s="102" t="s">
        <v>163</v>
      </c>
      <c r="Y176" s="102" t="s">
        <v>163</v>
      </c>
      <c r="Z176" s="102" t="s">
        <v>163</v>
      </c>
      <c r="AA176" s="105" t="s">
        <v>163</v>
      </c>
      <c r="AB176" s="104" t="s">
        <v>163</v>
      </c>
      <c r="AC176" s="104" t="s">
        <v>163</v>
      </c>
      <c r="AD176" s="102" t="s">
        <v>163</v>
      </c>
      <c r="AE176" s="103" t="s">
        <v>163</v>
      </c>
      <c r="AF176" s="104" t="s">
        <v>163</v>
      </c>
      <c r="AG176" s="102" t="s">
        <v>163</v>
      </c>
      <c r="AH176" s="103" t="s">
        <v>163</v>
      </c>
      <c r="AI176" s="104" t="s">
        <v>163</v>
      </c>
      <c r="AJ176" s="102" t="s">
        <v>163</v>
      </c>
      <c r="AK176" s="103" t="s">
        <v>163</v>
      </c>
      <c r="AL176" s="105" t="s">
        <v>163</v>
      </c>
    </row>
    <row r="177" spans="1:38" s="16" customFormat="1" ht="13" customHeight="1" x14ac:dyDescent="0.2">
      <c r="A177" s="87" t="s">
        <v>6485</v>
      </c>
      <c r="B177" s="105">
        <v>9</v>
      </c>
      <c r="C177" s="98" t="s">
        <v>6020</v>
      </c>
      <c r="D177" s="126" t="s">
        <v>6431</v>
      </c>
      <c r="E177" s="126" t="s">
        <v>24</v>
      </c>
      <c r="F177" s="127" t="s">
        <v>6453</v>
      </c>
      <c r="G177" s="128">
        <v>23.344099999999997</v>
      </c>
      <c r="H177" s="129">
        <v>85.309561111111108</v>
      </c>
      <c r="I177" s="98" t="s">
        <v>6640</v>
      </c>
      <c r="J177" s="98" t="s">
        <v>17</v>
      </c>
      <c r="K177" s="106" t="s">
        <v>17</v>
      </c>
      <c r="L177" s="88">
        <v>-4.555E-3</v>
      </c>
      <c r="M177" s="89">
        <v>2.0460000000000001E-3</v>
      </c>
      <c r="N177" s="99" t="s">
        <v>163</v>
      </c>
      <c r="O177" s="98" t="s">
        <v>163</v>
      </c>
      <c r="P177" s="106" t="s">
        <v>163</v>
      </c>
      <c r="Q177" s="104" t="s">
        <v>163</v>
      </c>
      <c r="R177" s="104" t="s">
        <v>163</v>
      </c>
      <c r="S177" s="102" t="s">
        <v>163</v>
      </c>
      <c r="T177" s="103" t="s">
        <v>163</v>
      </c>
      <c r="U177" s="102" t="s">
        <v>163</v>
      </c>
      <c r="V177" s="102" t="s">
        <v>163</v>
      </c>
      <c r="W177" s="103" t="s">
        <v>163</v>
      </c>
      <c r="X177" s="102" t="s">
        <v>163</v>
      </c>
      <c r="Y177" s="102" t="s">
        <v>163</v>
      </c>
      <c r="Z177" s="102" t="s">
        <v>163</v>
      </c>
      <c r="AA177" s="105" t="s">
        <v>163</v>
      </c>
      <c r="AB177" s="104" t="s">
        <v>163</v>
      </c>
      <c r="AC177" s="104" t="s">
        <v>163</v>
      </c>
      <c r="AD177" s="102" t="s">
        <v>163</v>
      </c>
      <c r="AE177" s="103" t="s">
        <v>163</v>
      </c>
      <c r="AF177" s="104" t="s">
        <v>163</v>
      </c>
      <c r="AG177" s="102" t="s">
        <v>163</v>
      </c>
      <c r="AH177" s="103" t="s">
        <v>163</v>
      </c>
      <c r="AI177" s="104" t="s">
        <v>163</v>
      </c>
      <c r="AJ177" s="102" t="s">
        <v>163</v>
      </c>
      <c r="AK177" s="103" t="s">
        <v>163</v>
      </c>
      <c r="AL177" s="105" t="s">
        <v>163</v>
      </c>
    </row>
    <row r="178" spans="1:38" s="16" customFormat="1" ht="13" customHeight="1" x14ac:dyDescent="0.2">
      <c r="A178" s="87" t="s">
        <v>6486</v>
      </c>
      <c r="B178" s="105">
        <v>5</v>
      </c>
      <c r="C178" s="98" t="s">
        <v>6020</v>
      </c>
      <c r="D178" s="126" t="s">
        <v>6061</v>
      </c>
      <c r="E178" s="126" t="s">
        <v>24</v>
      </c>
      <c r="F178" s="127" t="s">
        <v>6487</v>
      </c>
      <c r="G178" s="128">
        <v>14.793705555555555</v>
      </c>
      <c r="H178" s="129">
        <v>74.686880555555561</v>
      </c>
      <c r="I178" s="98" t="s">
        <v>6640</v>
      </c>
      <c r="J178" s="98" t="s">
        <v>17</v>
      </c>
      <c r="K178" s="106" t="s">
        <v>17</v>
      </c>
      <c r="L178" s="88">
        <v>-5.5449999999999996E-3</v>
      </c>
      <c r="M178" s="89">
        <v>-2.7599999999999999E-4</v>
      </c>
      <c r="N178" s="99" t="s">
        <v>163</v>
      </c>
      <c r="O178" s="98" t="s">
        <v>163</v>
      </c>
      <c r="P178" s="106" t="s">
        <v>163</v>
      </c>
      <c r="Q178" s="104" t="s">
        <v>163</v>
      </c>
      <c r="R178" s="104" t="s">
        <v>163</v>
      </c>
      <c r="S178" s="102" t="s">
        <v>163</v>
      </c>
      <c r="T178" s="103" t="s">
        <v>163</v>
      </c>
      <c r="U178" s="102" t="s">
        <v>163</v>
      </c>
      <c r="V178" s="102" t="s">
        <v>163</v>
      </c>
      <c r="W178" s="103" t="s">
        <v>163</v>
      </c>
      <c r="X178" s="102" t="s">
        <v>163</v>
      </c>
      <c r="Y178" s="102" t="s">
        <v>163</v>
      </c>
      <c r="Z178" s="102" t="s">
        <v>163</v>
      </c>
      <c r="AA178" s="105" t="s">
        <v>163</v>
      </c>
      <c r="AB178" s="104" t="s">
        <v>163</v>
      </c>
      <c r="AC178" s="104" t="s">
        <v>163</v>
      </c>
      <c r="AD178" s="102" t="s">
        <v>163</v>
      </c>
      <c r="AE178" s="103" t="s">
        <v>163</v>
      </c>
      <c r="AF178" s="104" t="s">
        <v>163</v>
      </c>
      <c r="AG178" s="102" t="s">
        <v>163</v>
      </c>
      <c r="AH178" s="103" t="s">
        <v>163</v>
      </c>
      <c r="AI178" s="104" t="s">
        <v>163</v>
      </c>
      <c r="AJ178" s="102" t="s">
        <v>163</v>
      </c>
      <c r="AK178" s="103" t="s">
        <v>163</v>
      </c>
      <c r="AL178" s="105" t="s">
        <v>163</v>
      </c>
    </row>
    <row r="179" spans="1:38" s="16" customFormat="1" ht="13" customHeight="1" x14ac:dyDescent="0.2">
      <c r="A179" s="87" t="s">
        <v>6488</v>
      </c>
      <c r="B179" s="105">
        <v>4</v>
      </c>
      <c r="C179" s="98" t="s">
        <v>6020</v>
      </c>
      <c r="D179" s="126" t="s">
        <v>6061</v>
      </c>
      <c r="E179" s="126" t="s">
        <v>24</v>
      </c>
      <c r="F179" s="127" t="s">
        <v>6291</v>
      </c>
      <c r="G179" s="128">
        <v>22.079625</v>
      </c>
      <c r="H179" s="129">
        <v>82.139141666666674</v>
      </c>
      <c r="I179" s="98" t="s">
        <v>6640</v>
      </c>
      <c r="J179" s="98" t="s">
        <v>17</v>
      </c>
      <c r="K179" s="106" t="s">
        <v>17</v>
      </c>
      <c r="L179" s="88">
        <v>-7.7819999999999999E-3</v>
      </c>
      <c r="M179" s="89">
        <v>8.2059999999999998E-3</v>
      </c>
      <c r="N179" s="99" t="s">
        <v>163</v>
      </c>
      <c r="O179" s="98" t="s">
        <v>163</v>
      </c>
      <c r="P179" s="106" t="s">
        <v>163</v>
      </c>
      <c r="Q179" s="104" t="s">
        <v>163</v>
      </c>
      <c r="R179" s="104" t="s">
        <v>163</v>
      </c>
      <c r="S179" s="102" t="s">
        <v>163</v>
      </c>
      <c r="T179" s="103" t="s">
        <v>163</v>
      </c>
      <c r="U179" s="102" t="s">
        <v>163</v>
      </c>
      <c r="V179" s="102" t="s">
        <v>163</v>
      </c>
      <c r="W179" s="103" t="s">
        <v>163</v>
      </c>
      <c r="X179" s="102" t="s">
        <v>163</v>
      </c>
      <c r="Y179" s="102" t="s">
        <v>163</v>
      </c>
      <c r="Z179" s="102" t="s">
        <v>163</v>
      </c>
      <c r="AA179" s="105" t="s">
        <v>163</v>
      </c>
      <c r="AB179" s="104" t="s">
        <v>163</v>
      </c>
      <c r="AC179" s="104" t="s">
        <v>163</v>
      </c>
      <c r="AD179" s="102" t="s">
        <v>163</v>
      </c>
      <c r="AE179" s="103" t="s">
        <v>163</v>
      </c>
      <c r="AF179" s="104" t="s">
        <v>163</v>
      </c>
      <c r="AG179" s="102" t="s">
        <v>163</v>
      </c>
      <c r="AH179" s="103" t="s">
        <v>163</v>
      </c>
      <c r="AI179" s="104" t="s">
        <v>163</v>
      </c>
      <c r="AJ179" s="102" t="s">
        <v>163</v>
      </c>
      <c r="AK179" s="103" t="s">
        <v>163</v>
      </c>
      <c r="AL179" s="105" t="s">
        <v>163</v>
      </c>
    </row>
    <row r="180" spans="1:38" s="16" customFormat="1" ht="13" customHeight="1" x14ac:dyDescent="0.2">
      <c r="A180" s="87" t="s">
        <v>6489</v>
      </c>
      <c r="B180" s="105">
        <v>7</v>
      </c>
      <c r="C180" s="98" t="s">
        <v>6020</v>
      </c>
      <c r="D180" s="126" t="s">
        <v>6061</v>
      </c>
      <c r="E180" s="126" t="s">
        <v>24</v>
      </c>
      <c r="F180" s="127" t="s">
        <v>6490</v>
      </c>
      <c r="G180" s="128">
        <v>22.07</v>
      </c>
      <c r="H180" s="129">
        <v>81.680000000000007</v>
      </c>
      <c r="I180" s="98" t="s">
        <v>6640</v>
      </c>
      <c r="J180" s="98" t="s">
        <v>17</v>
      </c>
      <c r="K180" s="106" t="s">
        <v>17</v>
      </c>
      <c r="L180" s="88">
        <v>-7.5570000000000003E-3</v>
      </c>
      <c r="M180" s="89">
        <v>3.8289999999999999E-3</v>
      </c>
      <c r="N180" s="99" t="s">
        <v>163</v>
      </c>
      <c r="O180" s="98" t="s">
        <v>163</v>
      </c>
      <c r="P180" s="106" t="s">
        <v>163</v>
      </c>
      <c r="Q180" s="104" t="s">
        <v>163</v>
      </c>
      <c r="R180" s="104" t="s">
        <v>163</v>
      </c>
      <c r="S180" s="102" t="s">
        <v>163</v>
      </c>
      <c r="T180" s="103" t="s">
        <v>163</v>
      </c>
      <c r="U180" s="102" t="s">
        <v>163</v>
      </c>
      <c r="V180" s="102" t="s">
        <v>163</v>
      </c>
      <c r="W180" s="103" t="s">
        <v>163</v>
      </c>
      <c r="X180" s="102" t="s">
        <v>163</v>
      </c>
      <c r="Y180" s="102" t="s">
        <v>163</v>
      </c>
      <c r="Z180" s="102" t="s">
        <v>163</v>
      </c>
      <c r="AA180" s="105" t="s">
        <v>163</v>
      </c>
      <c r="AB180" s="104" t="s">
        <v>163</v>
      </c>
      <c r="AC180" s="104" t="s">
        <v>163</v>
      </c>
      <c r="AD180" s="102" t="s">
        <v>163</v>
      </c>
      <c r="AE180" s="103" t="s">
        <v>163</v>
      </c>
      <c r="AF180" s="104" t="s">
        <v>163</v>
      </c>
      <c r="AG180" s="102" t="s">
        <v>163</v>
      </c>
      <c r="AH180" s="103" t="s">
        <v>163</v>
      </c>
      <c r="AI180" s="104" t="s">
        <v>163</v>
      </c>
      <c r="AJ180" s="102" t="s">
        <v>163</v>
      </c>
      <c r="AK180" s="103" t="s">
        <v>163</v>
      </c>
      <c r="AL180" s="105" t="s">
        <v>163</v>
      </c>
    </row>
    <row r="181" spans="1:38" s="16" customFormat="1" ht="13" customHeight="1" x14ac:dyDescent="0.2">
      <c r="A181" s="87" t="s">
        <v>6491</v>
      </c>
      <c r="B181" s="105">
        <v>5</v>
      </c>
      <c r="C181" s="98" t="s">
        <v>6020</v>
      </c>
      <c r="D181" s="126" t="s">
        <v>6151</v>
      </c>
      <c r="E181" s="126" t="s">
        <v>24</v>
      </c>
      <c r="F181" s="127" t="s">
        <v>6492</v>
      </c>
      <c r="G181" s="128">
        <v>23.000288888888889</v>
      </c>
      <c r="H181" s="129">
        <v>81.803305555555553</v>
      </c>
      <c r="I181" s="98" t="s">
        <v>6640</v>
      </c>
      <c r="J181" s="98" t="s">
        <v>17</v>
      </c>
      <c r="K181" s="106" t="s">
        <v>17</v>
      </c>
      <c r="L181" s="88">
        <v>-4.2630000000000003E-3</v>
      </c>
      <c r="M181" s="89">
        <v>3.777E-3</v>
      </c>
      <c r="N181" s="99" t="s">
        <v>163</v>
      </c>
      <c r="O181" s="98" t="s">
        <v>163</v>
      </c>
      <c r="P181" s="106" t="s">
        <v>163</v>
      </c>
      <c r="Q181" s="104" t="s">
        <v>163</v>
      </c>
      <c r="R181" s="104" t="s">
        <v>163</v>
      </c>
      <c r="S181" s="102" t="s">
        <v>163</v>
      </c>
      <c r="T181" s="103" t="s">
        <v>163</v>
      </c>
      <c r="U181" s="102" t="s">
        <v>163</v>
      </c>
      <c r="V181" s="102" t="s">
        <v>163</v>
      </c>
      <c r="W181" s="103" t="s">
        <v>163</v>
      </c>
      <c r="X181" s="102" t="s">
        <v>163</v>
      </c>
      <c r="Y181" s="102" t="s">
        <v>163</v>
      </c>
      <c r="Z181" s="102" t="s">
        <v>163</v>
      </c>
      <c r="AA181" s="105" t="s">
        <v>163</v>
      </c>
      <c r="AB181" s="104" t="s">
        <v>163</v>
      </c>
      <c r="AC181" s="104" t="s">
        <v>163</v>
      </c>
      <c r="AD181" s="102" t="s">
        <v>163</v>
      </c>
      <c r="AE181" s="103" t="s">
        <v>163</v>
      </c>
      <c r="AF181" s="104" t="s">
        <v>163</v>
      </c>
      <c r="AG181" s="102" t="s">
        <v>163</v>
      </c>
      <c r="AH181" s="103" t="s">
        <v>163</v>
      </c>
      <c r="AI181" s="104" t="s">
        <v>163</v>
      </c>
      <c r="AJ181" s="102" t="s">
        <v>163</v>
      </c>
      <c r="AK181" s="103" t="s">
        <v>163</v>
      </c>
      <c r="AL181" s="105" t="s">
        <v>163</v>
      </c>
    </row>
    <row r="182" spans="1:38" s="16" customFormat="1" ht="13" customHeight="1" x14ac:dyDescent="0.2">
      <c r="A182" s="107" t="s">
        <v>6493</v>
      </c>
      <c r="B182" s="105">
        <v>5</v>
      </c>
      <c r="C182" s="98" t="s">
        <v>6020</v>
      </c>
      <c r="D182" s="126" t="s">
        <v>6431</v>
      </c>
      <c r="E182" s="126" t="s">
        <v>24</v>
      </c>
      <c r="F182" s="127" t="s">
        <v>6453</v>
      </c>
      <c r="G182" s="128">
        <v>23.344099999999997</v>
      </c>
      <c r="H182" s="129">
        <v>85.309561111111108</v>
      </c>
      <c r="I182" s="98" t="s">
        <v>6640</v>
      </c>
      <c r="J182" s="98" t="s">
        <v>17</v>
      </c>
      <c r="K182" s="106" t="s">
        <v>17</v>
      </c>
      <c r="L182" s="88">
        <v>-6.3109999999999998E-3</v>
      </c>
      <c r="M182" s="89">
        <v>3.434E-3</v>
      </c>
      <c r="N182" s="99" t="s">
        <v>163</v>
      </c>
      <c r="O182" s="98" t="s">
        <v>163</v>
      </c>
      <c r="P182" s="106" t="s">
        <v>163</v>
      </c>
      <c r="Q182" s="104" t="s">
        <v>163</v>
      </c>
      <c r="R182" s="104" t="s">
        <v>163</v>
      </c>
      <c r="S182" s="102" t="s">
        <v>163</v>
      </c>
      <c r="T182" s="103" t="s">
        <v>163</v>
      </c>
      <c r="U182" s="102" t="s">
        <v>163</v>
      </c>
      <c r="V182" s="102" t="s">
        <v>163</v>
      </c>
      <c r="W182" s="103" t="s">
        <v>163</v>
      </c>
      <c r="X182" s="102" t="s">
        <v>163</v>
      </c>
      <c r="Y182" s="102" t="s">
        <v>163</v>
      </c>
      <c r="Z182" s="102" t="s">
        <v>163</v>
      </c>
      <c r="AA182" s="105" t="s">
        <v>163</v>
      </c>
      <c r="AB182" s="104" t="s">
        <v>163</v>
      </c>
      <c r="AC182" s="104" t="s">
        <v>163</v>
      </c>
      <c r="AD182" s="102" t="s">
        <v>163</v>
      </c>
      <c r="AE182" s="103" t="s">
        <v>163</v>
      </c>
      <c r="AF182" s="104" t="s">
        <v>163</v>
      </c>
      <c r="AG182" s="102" t="s">
        <v>163</v>
      </c>
      <c r="AH182" s="103" t="s">
        <v>163</v>
      </c>
      <c r="AI182" s="104" t="s">
        <v>163</v>
      </c>
      <c r="AJ182" s="102" t="s">
        <v>163</v>
      </c>
      <c r="AK182" s="103" t="s">
        <v>163</v>
      </c>
      <c r="AL182" s="105" t="s">
        <v>163</v>
      </c>
    </row>
    <row r="183" spans="1:38" s="16" customFormat="1" ht="13" customHeight="1" x14ac:dyDescent="0.2">
      <c r="A183" s="87" t="s">
        <v>6494</v>
      </c>
      <c r="B183" s="105">
        <v>5</v>
      </c>
      <c r="C183" s="98" t="s">
        <v>6020</v>
      </c>
      <c r="D183" s="126" t="s">
        <v>6431</v>
      </c>
      <c r="E183" s="126" t="s">
        <v>24</v>
      </c>
      <c r="F183" s="127" t="s">
        <v>6495</v>
      </c>
      <c r="G183" s="128">
        <v>23.755466666666667</v>
      </c>
      <c r="H183" s="129">
        <v>86.262838888888894</v>
      </c>
      <c r="I183" s="98" t="s">
        <v>6640</v>
      </c>
      <c r="J183" s="98" t="s">
        <v>17</v>
      </c>
      <c r="K183" s="106" t="s">
        <v>17</v>
      </c>
      <c r="L183" s="88">
        <v>-6.7499999999999999E-3</v>
      </c>
      <c r="M183" s="89">
        <v>4.3020000000000003E-3</v>
      </c>
      <c r="N183" s="99" t="s">
        <v>163</v>
      </c>
      <c r="O183" s="98" t="s">
        <v>163</v>
      </c>
      <c r="P183" s="106" t="s">
        <v>163</v>
      </c>
      <c r="Q183" s="104" t="s">
        <v>163</v>
      </c>
      <c r="R183" s="104" t="s">
        <v>163</v>
      </c>
      <c r="S183" s="102" t="s">
        <v>163</v>
      </c>
      <c r="T183" s="103" t="s">
        <v>163</v>
      </c>
      <c r="U183" s="102" t="s">
        <v>163</v>
      </c>
      <c r="V183" s="102" t="s">
        <v>163</v>
      </c>
      <c r="W183" s="103" t="s">
        <v>163</v>
      </c>
      <c r="X183" s="102" t="s">
        <v>163</v>
      </c>
      <c r="Y183" s="102" t="s">
        <v>163</v>
      </c>
      <c r="Z183" s="102" t="s">
        <v>163</v>
      </c>
      <c r="AA183" s="105" t="s">
        <v>163</v>
      </c>
      <c r="AB183" s="104" t="s">
        <v>163</v>
      </c>
      <c r="AC183" s="104" t="s">
        <v>163</v>
      </c>
      <c r="AD183" s="102" t="s">
        <v>163</v>
      </c>
      <c r="AE183" s="103" t="s">
        <v>163</v>
      </c>
      <c r="AF183" s="104" t="s">
        <v>163</v>
      </c>
      <c r="AG183" s="102" t="s">
        <v>163</v>
      </c>
      <c r="AH183" s="103" t="s">
        <v>163</v>
      </c>
      <c r="AI183" s="104" t="s">
        <v>163</v>
      </c>
      <c r="AJ183" s="102" t="s">
        <v>163</v>
      </c>
      <c r="AK183" s="103" t="s">
        <v>163</v>
      </c>
      <c r="AL183" s="105" t="s">
        <v>163</v>
      </c>
    </row>
    <row r="184" spans="1:38" s="16" customFormat="1" ht="13" customHeight="1" x14ac:dyDescent="0.2">
      <c r="A184" s="87" t="s">
        <v>6496</v>
      </c>
      <c r="B184" s="105">
        <v>5</v>
      </c>
      <c r="C184" s="98" t="s">
        <v>6020</v>
      </c>
      <c r="D184" s="126" t="s">
        <v>6431</v>
      </c>
      <c r="E184" s="126" t="s">
        <v>24</v>
      </c>
      <c r="F184" s="127" t="s">
        <v>6497</v>
      </c>
      <c r="G184" s="128">
        <v>23.669297222222223</v>
      </c>
      <c r="H184" s="129">
        <v>86.151111111111121</v>
      </c>
      <c r="I184" s="98" t="s">
        <v>6640</v>
      </c>
      <c r="J184" s="98" t="s">
        <v>17</v>
      </c>
      <c r="K184" s="106" t="s">
        <v>17</v>
      </c>
      <c r="L184" s="88">
        <v>-5.3429999999999997E-3</v>
      </c>
      <c r="M184" s="89">
        <v>2.0140000000000002E-3</v>
      </c>
      <c r="N184" s="99" t="s">
        <v>163</v>
      </c>
      <c r="O184" s="98" t="s">
        <v>163</v>
      </c>
      <c r="P184" s="106" t="s">
        <v>163</v>
      </c>
      <c r="Q184" s="104" t="s">
        <v>163</v>
      </c>
      <c r="R184" s="104" t="s">
        <v>163</v>
      </c>
      <c r="S184" s="102" t="s">
        <v>163</v>
      </c>
      <c r="T184" s="103" t="s">
        <v>163</v>
      </c>
      <c r="U184" s="102" t="s">
        <v>163</v>
      </c>
      <c r="V184" s="102" t="s">
        <v>163</v>
      </c>
      <c r="W184" s="103" t="s">
        <v>163</v>
      </c>
      <c r="X184" s="102" t="s">
        <v>163</v>
      </c>
      <c r="Y184" s="102" t="s">
        <v>163</v>
      </c>
      <c r="Z184" s="102" t="s">
        <v>163</v>
      </c>
      <c r="AA184" s="105" t="s">
        <v>163</v>
      </c>
      <c r="AB184" s="104" t="s">
        <v>163</v>
      </c>
      <c r="AC184" s="104" t="s">
        <v>163</v>
      </c>
      <c r="AD184" s="102" t="s">
        <v>163</v>
      </c>
      <c r="AE184" s="103" t="s">
        <v>163</v>
      </c>
      <c r="AF184" s="104" t="s">
        <v>163</v>
      </c>
      <c r="AG184" s="102" t="s">
        <v>163</v>
      </c>
      <c r="AH184" s="103" t="s">
        <v>163</v>
      </c>
      <c r="AI184" s="104" t="s">
        <v>163</v>
      </c>
      <c r="AJ184" s="102" t="s">
        <v>163</v>
      </c>
      <c r="AK184" s="103" t="s">
        <v>163</v>
      </c>
      <c r="AL184" s="105" t="s">
        <v>163</v>
      </c>
    </row>
    <row r="185" spans="1:38" s="16" customFormat="1" ht="13" customHeight="1" x14ac:dyDescent="0.2">
      <c r="A185" s="87" t="s">
        <v>6498</v>
      </c>
      <c r="B185" s="105">
        <v>4</v>
      </c>
      <c r="C185" s="98" t="s">
        <v>6020</v>
      </c>
      <c r="D185" s="126" t="s">
        <v>6431</v>
      </c>
      <c r="E185" s="126" t="s">
        <v>24</v>
      </c>
      <c r="F185" s="127" t="s">
        <v>6499</v>
      </c>
      <c r="G185" s="128">
        <v>23.810000000000002</v>
      </c>
      <c r="H185" s="129">
        <v>87.44361111111111</v>
      </c>
      <c r="I185" s="98" t="s">
        <v>6640</v>
      </c>
      <c r="J185" s="98" t="s">
        <v>17</v>
      </c>
      <c r="K185" s="106" t="s">
        <v>17</v>
      </c>
      <c r="L185" s="88">
        <v>-3.421E-3</v>
      </c>
      <c r="M185" s="89">
        <v>-3.0699999999999998E-4</v>
      </c>
      <c r="N185" s="99" t="s">
        <v>163</v>
      </c>
      <c r="O185" s="98" t="s">
        <v>163</v>
      </c>
      <c r="P185" s="106" t="s">
        <v>163</v>
      </c>
      <c r="Q185" s="104" t="s">
        <v>163</v>
      </c>
      <c r="R185" s="104" t="s">
        <v>163</v>
      </c>
      <c r="S185" s="102" t="s">
        <v>163</v>
      </c>
      <c r="T185" s="103" t="s">
        <v>163</v>
      </c>
      <c r="U185" s="102" t="s">
        <v>163</v>
      </c>
      <c r="V185" s="102" t="s">
        <v>163</v>
      </c>
      <c r="W185" s="103" t="s">
        <v>163</v>
      </c>
      <c r="X185" s="102" t="s">
        <v>163</v>
      </c>
      <c r="Y185" s="102" t="s">
        <v>163</v>
      </c>
      <c r="Z185" s="102" t="s">
        <v>163</v>
      </c>
      <c r="AA185" s="105" t="s">
        <v>163</v>
      </c>
      <c r="AB185" s="104" t="s">
        <v>163</v>
      </c>
      <c r="AC185" s="104" t="s">
        <v>163</v>
      </c>
      <c r="AD185" s="102" t="s">
        <v>163</v>
      </c>
      <c r="AE185" s="103" t="s">
        <v>163</v>
      </c>
      <c r="AF185" s="104" t="s">
        <v>163</v>
      </c>
      <c r="AG185" s="102" t="s">
        <v>163</v>
      </c>
      <c r="AH185" s="103" t="s">
        <v>163</v>
      </c>
      <c r="AI185" s="104" t="s">
        <v>163</v>
      </c>
      <c r="AJ185" s="102" t="s">
        <v>163</v>
      </c>
      <c r="AK185" s="103" t="s">
        <v>163</v>
      </c>
      <c r="AL185" s="105" t="s">
        <v>163</v>
      </c>
    </row>
    <row r="186" spans="1:38" s="16" customFormat="1" ht="13" customHeight="1" x14ac:dyDescent="0.2">
      <c r="A186" s="87" t="s">
        <v>6500</v>
      </c>
      <c r="B186" s="105">
        <v>2</v>
      </c>
      <c r="C186" s="98" t="s">
        <v>6020</v>
      </c>
      <c r="D186" s="126" t="s">
        <v>6151</v>
      </c>
      <c r="E186" s="126" t="s">
        <v>24</v>
      </c>
      <c r="F186" s="127" t="s">
        <v>6501</v>
      </c>
      <c r="G186" s="128">
        <v>24.537292999999998</v>
      </c>
      <c r="H186" s="129">
        <v>81.304180000000002</v>
      </c>
      <c r="I186" s="98" t="s">
        <v>6640</v>
      </c>
      <c r="J186" s="98" t="s">
        <v>17</v>
      </c>
      <c r="K186" s="106" t="s">
        <v>17</v>
      </c>
      <c r="L186" s="88">
        <v>-3.5990000000000002E-3</v>
      </c>
      <c r="M186" s="89">
        <v>-6.0899999999999995E-4</v>
      </c>
      <c r="N186" s="99" t="s">
        <v>163</v>
      </c>
      <c r="O186" s="98" t="s">
        <v>163</v>
      </c>
      <c r="P186" s="106" t="s">
        <v>163</v>
      </c>
      <c r="Q186" s="104" t="s">
        <v>163</v>
      </c>
      <c r="R186" s="104" t="s">
        <v>163</v>
      </c>
      <c r="S186" s="102" t="s">
        <v>163</v>
      </c>
      <c r="T186" s="103" t="s">
        <v>163</v>
      </c>
      <c r="U186" s="102" t="s">
        <v>163</v>
      </c>
      <c r="V186" s="102" t="s">
        <v>163</v>
      </c>
      <c r="W186" s="103" t="s">
        <v>163</v>
      </c>
      <c r="X186" s="102" t="s">
        <v>163</v>
      </c>
      <c r="Y186" s="102" t="s">
        <v>163</v>
      </c>
      <c r="Z186" s="102" t="s">
        <v>163</v>
      </c>
      <c r="AA186" s="105" t="s">
        <v>163</v>
      </c>
      <c r="AB186" s="104" t="s">
        <v>163</v>
      </c>
      <c r="AC186" s="104" t="s">
        <v>163</v>
      </c>
      <c r="AD186" s="102" t="s">
        <v>163</v>
      </c>
      <c r="AE186" s="103" t="s">
        <v>163</v>
      </c>
      <c r="AF186" s="104" t="s">
        <v>163</v>
      </c>
      <c r="AG186" s="102" t="s">
        <v>163</v>
      </c>
      <c r="AH186" s="103" t="s">
        <v>163</v>
      </c>
      <c r="AI186" s="104" t="s">
        <v>163</v>
      </c>
      <c r="AJ186" s="102" t="s">
        <v>163</v>
      </c>
      <c r="AK186" s="103" t="s">
        <v>163</v>
      </c>
      <c r="AL186" s="105" t="s">
        <v>163</v>
      </c>
    </row>
    <row r="187" spans="1:38" s="16" customFormat="1" ht="13" customHeight="1" x14ac:dyDescent="0.2">
      <c r="A187" s="87" t="s">
        <v>6502</v>
      </c>
      <c r="B187" s="105">
        <v>2</v>
      </c>
      <c r="C187" s="98" t="s">
        <v>6430</v>
      </c>
      <c r="D187" s="126" t="s">
        <v>6503</v>
      </c>
      <c r="E187" s="126" t="s">
        <v>24</v>
      </c>
      <c r="F187" s="127" t="s">
        <v>6504</v>
      </c>
      <c r="G187" s="128">
        <v>25.276513888888889</v>
      </c>
      <c r="H187" s="129">
        <v>94.028677777777773</v>
      </c>
      <c r="I187" s="98" t="s">
        <v>6641</v>
      </c>
      <c r="J187" s="98" t="s">
        <v>17</v>
      </c>
      <c r="K187" s="106" t="s">
        <v>17</v>
      </c>
      <c r="L187" s="88">
        <v>-3.5860000000000002E-3</v>
      </c>
      <c r="M187" s="89">
        <v>3.6197E-2</v>
      </c>
      <c r="N187" s="99" t="s">
        <v>163</v>
      </c>
      <c r="O187" s="98" t="s">
        <v>163</v>
      </c>
      <c r="P187" s="106" t="s">
        <v>163</v>
      </c>
      <c r="Q187" s="104" t="s">
        <v>163</v>
      </c>
      <c r="R187" s="104" t="s">
        <v>163</v>
      </c>
      <c r="S187" s="102" t="s">
        <v>163</v>
      </c>
      <c r="T187" s="103" t="s">
        <v>163</v>
      </c>
      <c r="U187" s="102" t="s">
        <v>163</v>
      </c>
      <c r="V187" s="102" t="s">
        <v>163</v>
      </c>
      <c r="W187" s="103" t="s">
        <v>163</v>
      </c>
      <c r="X187" s="102" t="s">
        <v>163</v>
      </c>
      <c r="Y187" s="102" t="s">
        <v>163</v>
      </c>
      <c r="Z187" s="102" t="s">
        <v>163</v>
      </c>
      <c r="AA187" s="105" t="s">
        <v>163</v>
      </c>
      <c r="AB187" s="104" t="s">
        <v>163</v>
      </c>
      <c r="AC187" s="104" t="s">
        <v>163</v>
      </c>
      <c r="AD187" s="102" t="s">
        <v>163</v>
      </c>
      <c r="AE187" s="103" t="s">
        <v>163</v>
      </c>
      <c r="AF187" s="104" t="s">
        <v>163</v>
      </c>
      <c r="AG187" s="102" t="s">
        <v>163</v>
      </c>
      <c r="AH187" s="103" t="s">
        <v>163</v>
      </c>
      <c r="AI187" s="104" t="s">
        <v>163</v>
      </c>
      <c r="AJ187" s="102" t="s">
        <v>163</v>
      </c>
      <c r="AK187" s="103" t="s">
        <v>163</v>
      </c>
      <c r="AL187" s="105" t="s">
        <v>163</v>
      </c>
    </row>
    <row r="188" spans="1:38" s="16" customFormat="1" ht="13" customHeight="1" x14ac:dyDescent="0.2">
      <c r="A188" s="87" t="s">
        <v>6505</v>
      </c>
      <c r="B188" s="105">
        <v>10</v>
      </c>
      <c r="C188" s="98" t="s">
        <v>6506</v>
      </c>
      <c r="D188" s="126" t="s">
        <v>2604</v>
      </c>
      <c r="E188" s="126" t="s">
        <v>24</v>
      </c>
      <c r="F188" s="127" t="s">
        <v>6507</v>
      </c>
      <c r="G188" s="128">
        <v>28.072452866666666</v>
      </c>
      <c r="H188" s="129">
        <v>82.542991466666678</v>
      </c>
      <c r="I188" s="98" t="s">
        <v>6641</v>
      </c>
      <c r="J188" s="98" t="s">
        <v>17</v>
      </c>
      <c r="K188" s="106" t="s">
        <v>17</v>
      </c>
      <c r="L188" s="88">
        <v>-2.3890000000000001E-3</v>
      </c>
      <c r="M188" s="89">
        <v>3.4674000000000003E-2</v>
      </c>
      <c r="N188" s="99" t="s">
        <v>163</v>
      </c>
      <c r="O188" s="98" t="s">
        <v>163</v>
      </c>
      <c r="P188" s="106" t="s">
        <v>163</v>
      </c>
      <c r="Q188" s="104" t="s">
        <v>163</v>
      </c>
      <c r="R188" s="104" t="s">
        <v>163</v>
      </c>
      <c r="S188" s="102" t="s">
        <v>163</v>
      </c>
      <c r="T188" s="103" t="s">
        <v>163</v>
      </c>
      <c r="U188" s="102" t="s">
        <v>163</v>
      </c>
      <c r="V188" s="102" t="s">
        <v>163</v>
      </c>
      <c r="W188" s="103" t="s">
        <v>163</v>
      </c>
      <c r="X188" s="102" t="s">
        <v>163</v>
      </c>
      <c r="Y188" s="102" t="s">
        <v>163</v>
      </c>
      <c r="Z188" s="102" t="s">
        <v>163</v>
      </c>
      <c r="AA188" s="105" t="s">
        <v>163</v>
      </c>
      <c r="AB188" s="104" t="s">
        <v>163</v>
      </c>
      <c r="AC188" s="104" t="s">
        <v>163</v>
      </c>
      <c r="AD188" s="102" t="s">
        <v>163</v>
      </c>
      <c r="AE188" s="103" t="s">
        <v>163</v>
      </c>
      <c r="AF188" s="104" t="s">
        <v>163</v>
      </c>
      <c r="AG188" s="102" t="s">
        <v>163</v>
      </c>
      <c r="AH188" s="103" t="s">
        <v>163</v>
      </c>
      <c r="AI188" s="104" t="s">
        <v>163</v>
      </c>
      <c r="AJ188" s="102" t="s">
        <v>163</v>
      </c>
      <c r="AK188" s="103" t="s">
        <v>163</v>
      </c>
      <c r="AL188" s="105" t="s">
        <v>163</v>
      </c>
    </row>
    <row r="189" spans="1:38" s="16" customFormat="1" ht="13" customHeight="1" x14ac:dyDescent="0.2">
      <c r="A189" s="87" t="s">
        <v>6508</v>
      </c>
      <c r="B189" s="105">
        <v>27</v>
      </c>
      <c r="C189" s="98" t="s">
        <v>6375</v>
      </c>
      <c r="D189" s="126" t="s">
        <v>2604</v>
      </c>
      <c r="E189" s="126" t="s">
        <v>24</v>
      </c>
      <c r="F189" s="127" t="s">
        <v>6509</v>
      </c>
      <c r="G189" s="128">
        <v>27.4</v>
      </c>
      <c r="H189" s="129">
        <v>86.2</v>
      </c>
      <c r="I189" s="98" t="s">
        <v>6641</v>
      </c>
      <c r="J189" s="98" t="s">
        <v>17</v>
      </c>
      <c r="K189" s="106" t="s">
        <v>17</v>
      </c>
      <c r="L189" s="88">
        <v>-1.6100000000000001E-4</v>
      </c>
      <c r="M189" s="89">
        <v>3.1171999999999998E-2</v>
      </c>
      <c r="N189" s="99" t="s">
        <v>163</v>
      </c>
      <c r="O189" s="98" t="s">
        <v>163</v>
      </c>
      <c r="P189" s="106" t="s">
        <v>163</v>
      </c>
      <c r="Q189" s="104" t="s">
        <v>163</v>
      </c>
      <c r="R189" s="104" t="s">
        <v>163</v>
      </c>
      <c r="S189" s="102" t="s">
        <v>163</v>
      </c>
      <c r="T189" s="103" t="s">
        <v>163</v>
      </c>
      <c r="U189" s="102" t="s">
        <v>163</v>
      </c>
      <c r="V189" s="102" t="s">
        <v>163</v>
      </c>
      <c r="W189" s="103" t="s">
        <v>163</v>
      </c>
      <c r="X189" s="102" t="s">
        <v>163</v>
      </c>
      <c r="Y189" s="102" t="s">
        <v>163</v>
      </c>
      <c r="Z189" s="102" t="s">
        <v>163</v>
      </c>
      <c r="AA189" s="105" t="s">
        <v>163</v>
      </c>
      <c r="AB189" s="104" t="s">
        <v>163</v>
      </c>
      <c r="AC189" s="104" t="s">
        <v>163</v>
      </c>
      <c r="AD189" s="102" t="s">
        <v>163</v>
      </c>
      <c r="AE189" s="103" t="s">
        <v>163</v>
      </c>
      <c r="AF189" s="104" t="s">
        <v>163</v>
      </c>
      <c r="AG189" s="102" t="s">
        <v>163</v>
      </c>
      <c r="AH189" s="103" t="s">
        <v>163</v>
      </c>
      <c r="AI189" s="104" t="s">
        <v>163</v>
      </c>
      <c r="AJ189" s="102" t="s">
        <v>163</v>
      </c>
      <c r="AK189" s="103" t="s">
        <v>163</v>
      </c>
      <c r="AL189" s="105" t="s">
        <v>163</v>
      </c>
    </row>
    <row r="190" spans="1:38" s="16" customFormat="1" ht="13" customHeight="1" x14ac:dyDescent="0.2">
      <c r="A190" s="87" t="s">
        <v>6510</v>
      </c>
      <c r="B190" s="105">
        <v>3</v>
      </c>
      <c r="C190" s="98" t="s">
        <v>6375</v>
      </c>
      <c r="D190" s="126" t="s">
        <v>6511</v>
      </c>
      <c r="E190" s="126" t="s">
        <v>24</v>
      </c>
      <c r="F190" s="127" t="s">
        <v>6512</v>
      </c>
      <c r="G190" s="128">
        <v>25.670100000000001</v>
      </c>
      <c r="H190" s="129">
        <v>94.107699999999994</v>
      </c>
      <c r="I190" s="98" t="s">
        <v>6641</v>
      </c>
      <c r="J190" s="98" t="s">
        <v>17</v>
      </c>
      <c r="K190" s="106" t="s">
        <v>17</v>
      </c>
      <c r="L190" s="88">
        <v>-2.3990000000000001E-3</v>
      </c>
      <c r="M190" s="89">
        <v>6.0519999999999997E-2</v>
      </c>
      <c r="N190" s="99" t="s">
        <v>163</v>
      </c>
      <c r="O190" s="98" t="s">
        <v>163</v>
      </c>
      <c r="P190" s="106" t="s">
        <v>163</v>
      </c>
      <c r="Q190" s="104" t="s">
        <v>163</v>
      </c>
      <c r="R190" s="104" t="s">
        <v>163</v>
      </c>
      <c r="S190" s="102" t="s">
        <v>163</v>
      </c>
      <c r="T190" s="103" t="s">
        <v>163</v>
      </c>
      <c r="U190" s="102" t="s">
        <v>163</v>
      </c>
      <c r="V190" s="102" t="s">
        <v>163</v>
      </c>
      <c r="W190" s="103" t="s">
        <v>163</v>
      </c>
      <c r="X190" s="102" t="s">
        <v>163</v>
      </c>
      <c r="Y190" s="102" t="s">
        <v>163</v>
      </c>
      <c r="Z190" s="102" t="s">
        <v>163</v>
      </c>
      <c r="AA190" s="105" t="s">
        <v>163</v>
      </c>
      <c r="AB190" s="104" t="s">
        <v>163</v>
      </c>
      <c r="AC190" s="104" t="s">
        <v>163</v>
      </c>
      <c r="AD190" s="102" t="s">
        <v>163</v>
      </c>
      <c r="AE190" s="103" t="s">
        <v>163</v>
      </c>
      <c r="AF190" s="104" t="s">
        <v>163</v>
      </c>
      <c r="AG190" s="102" t="s">
        <v>163</v>
      </c>
      <c r="AH190" s="103" t="s">
        <v>163</v>
      </c>
      <c r="AI190" s="104" t="s">
        <v>163</v>
      </c>
      <c r="AJ190" s="102" t="s">
        <v>163</v>
      </c>
      <c r="AK190" s="103" t="s">
        <v>163</v>
      </c>
      <c r="AL190" s="105" t="s">
        <v>163</v>
      </c>
    </row>
    <row r="191" spans="1:38" s="16" customFormat="1" ht="13" customHeight="1" x14ac:dyDescent="0.2">
      <c r="A191" s="87" t="s">
        <v>6513</v>
      </c>
      <c r="B191" s="105">
        <v>5</v>
      </c>
      <c r="C191" s="98" t="s">
        <v>6375</v>
      </c>
      <c r="D191" s="126" t="s">
        <v>6514</v>
      </c>
      <c r="E191" s="126" t="s">
        <v>24</v>
      </c>
      <c r="F191" s="127" t="s">
        <v>6515</v>
      </c>
      <c r="G191" s="128">
        <v>27.084369444444444</v>
      </c>
      <c r="H191" s="129">
        <v>93.605316666666667</v>
      </c>
      <c r="I191" s="98" t="s">
        <v>6641</v>
      </c>
      <c r="J191" s="98" t="s">
        <v>17</v>
      </c>
      <c r="K191" s="106" t="s">
        <v>17</v>
      </c>
      <c r="L191" s="88">
        <v>-2.1419999999999998E-3</v>
      </c>
      <c r="M191" s="89">
        <v>5.8133999999999998E-2</v>
      </c>
      <c r="N191" s="99" t="s">
        <v>163</v>
      </c>
      <c r="O191" s="98" t="s">
        <v>163</v>
      </c>
      <c r="P191" s="106" t="s">
        <v>163</v>
      </c>
      <c r="Q191" s="104" t="s">
        <v>163</v>
      </c>
      <c r="R191" s="104" t="s">
        <v>163</v>
      </c>
      <c r="S191" s="102" t="s">
        <v>163</v>
      </c>
      <c r="T191" s="103" t="s">
        <v>163</v>
      </c>
      <c r="U191" s="102" t="s">
        <v>163</v>
      </c>
      <c r="V191" s="102" t="s">
        <v>163</v>
      </c>
      <c r="W191" s="103" t="s">
        <v>163</v>
      </c>
      <c r="X191" s="102" t="s">
        <v>163</v>
      </c>
      <c r="Y191" s="102" t="s">
        <v>163</v>
      </c>
      <c r="Z191" s="102" t="s">
        <v>163</v>
      </c>
      <c r="AA191" s="105" t="s">
        <v>163</v>
      </c>
      <c r="AB191" s="104" t="s">
        <v>163</v>
      </c>
      <c r="AC191" s="104" t="s">
        <v>163</v>
      </c>
      <c r="AD191" s="102" t="s">
        <v>163</v>
      </c>
      <c r="AE191" s="103" t="s">
        <v>163</v>
      </c>
      <c r="AF191" s="104" t="s">
        <v>163</v>
      </c>
      <c r="AG191" s="102" t="s">
        <v>163</v>
      </c>
      <c r="AH191" s="103" t="s">
        <v>163</v>
      </c>
      <c r="AI191" s="104" t="s">
        <v>163</v>
      </c>
      <c r="AJ191" s="102" t="s">
        <v>163</v>
      </c>
      <c r="AK191" s="103" t="s">
        <v>163</v>
      </c>
      <c r="AL191" s="105" t="s">
        <v>163</v>
      </c>
    </row>
    <row r="192" spans="1:38" s="16" customFormat="1" ht="13" customHeight="1" x14ac:dyDescent="0.2">
      <c r="A192" s="87" t="s">
        <v>6516</v>
      </c>
      <c r="B192" s="105">
        <v>3</v>
      </c>
      <c r="C192" s="98" t="s">
        <v>6375</v>
      </c>
      <c r="D192" s="126" t="s">
        <v>6517</v>
      </c>
      <c r="E192" s="126" t="s">
        <v>24</v>
      </c>
      <c r="F192" s="127" t="s">
        <v>6517</v>
      </c>
      <c r="G192" s="128">
        <v>24.663880555555554</v>
      </c>
      <c r="H192" s="129">
        <v>93.906802777777784</v>
      </c>
      <c r="I192" s="98" t="s">
        <v>6641</v>
      </c>
      <c r="J192" s="98" t="s">
        <v>17</v>
      </c>
      <c r="K192" s="106" t="s">
        <v>17</v>
      </c>
      <c r="L192" s="88">
        <v>-2.6679999999999998E-3</v>
      </c>
      <c r="M192" s="89">
        <v>6.0877000000000001E-2</v>
      </c>
      <c r="N192" s="99" t="s">
        <v>163</v>
      </c>
      <c r="O192" s="98" t="s">
        <v>163</v>
      </c>
      <c r="P192" s="106" t="s">
        <v>163</v>
      </c>
      <c r="Q192" s="104" t="s">
        <v>163</v>
      </c>
      <c r="R192" s="104" t="s">
        <v>163</v>
      </c>
      <c r="S192" s="102" t="s">
        <v>163</v>
      </c>
      <c r="T192" s="103" t="s">
        <v>163</v>
      </c>
      <c r="U192" s="102" t="s">
        <v>163</v>
      </c>
      <c r="V192" s="102" t="s">
        <v>163</v>
      </c>
      <c r="W192" s="103" t="s">
        <v>163</v>
      </c>
      <c r="X192" s="102" t="s">
        <v>163</v>
      </c>
      <c r="Y192" s="102" t="s">
        <v>163</v>
      </c>
      <c r="Z192" s="102" t="s">
        <v>163</v>
      </c>
      <c r="AA192" s="105" t="s">
        <v>163</v>
      </c>
      <c r="AB192" s="104" t="s">
        <v>163</v>
      </c>
      <c r="AC192" s="104" t="s">
        <v>163</v>
      </c>
      <c r="AD192" s="102" t="s">
        <v>163</v>
      </c>
      <c r="AE192" s="103" t="s">
        <v>163</v>
      </c>
      <c r="AF192" s="104" t="s">
        <v>163</v>
      </c>
      <c r="AG192" s="102" t="s">
        <v>163</v>
      </c>
      <c r="AH192" s="103" t="s">
        <v>163</v>
      </c>
      <c r="AI192" s="104" t="s">
        <v>163</v>
      </c>
      <c r="AJ192" s="102" t="s">
        <v>163</v>
      </c>
      <c r="AK192" s="103" t="s">
        <v>163</v>
      </c>
      <c r="AL192" s="105" t="s">
        <v>163</v>
      </c>
    </row>
    <row r="193" spans="1:38" s="16" customFormat="1" ht="13" customHeight="1" x14ac:dyDescent="0.2">
      <c r="A193" s="87" t="s">
        <v>6518</v>
      </c>
      <c r="B193" s="105">
        <v>17</v>
      </c>
      <c r="C193" s="98" t="s">
        <v>6375</v>
      </c>
      <c r="D193" s="126" t="s">
        <v>6519</v>
      </c>
      <c r="E193" s="126" t="s">
        <v>24</v>
      </c>
      <c r="F193" s="127" t="s">
        <v>6520</v>
      </c>
      <c r="G193" s="128">
        <v>22.572647222222223</v>
      </c>
      <c r="H193" s="129">
        <v>88.363894444444441</v>
      </c>
      <c r="I193" s="98" t="s">
        <v>6641</v>
      </c>
      <c r="J193" s="98" t="s">
        <v>17</v>
      </c>
      <c r="K193" s="106" t="s">
        <v>17</v>
      </c>
      <c r="L193" s="88">
        <v>-1.8760000000000001E-3</v>
      </c>
      <c r="M193" s="89">
        <v>2.7484999999999999E-2</v>
      </c>
      <c r="N193" s="99" t="s">
        <v>163</v>
      </c>
      <c r="O193" s="98" t="s">
        <v>163</v>
      </c>
      <c r="P193" s="106" t="s">
        <v>163</v>
      </c>
      <c r="Q193" s="104" t="s">
        <v>163</v>
      </c>
      <c r="R193" s="104" t="s">
        <v>163</v>
      </c>
      <c r="S193" s="102" t="s">
        <v>163</v>
      </c>
      <c r="T193" s="103" t="s">
        <v>163</v>
      </c>
      <c r="U193" s="102" t="s">
        <v>163</v>
      </c>
      <c r="V193" s="102" t="s">
        <v>163</v>
      </c>
      <c r="W193" s="103" t="s">
        <v>163</v>
      </c>
      <c r="X193" s="102" t="s">
        <v>163</v>
      </c>
      <c r="Y193" s="102" t="s">
        <v>163</v>
      </c>
      <c r="Z193" s="102" t="s">
        <v>163</v>
      </c>
      <c r="AA193" s="105" t="s">
        <v>163</v>
      </c>
      <c r="AB193" s="104" t="s">
        <v>163</v>
      </c>
      <c r="AC193" s="104" t="s">
        <v>163</v>
      </c>
      <c r="AD193" s="102" t="s">
        <v>163</v>
      </c>
      <c r="AE193" s="103" t="s">
        <v>163</v>
      </c>
      <c r="AF193" s="104" t="s">
        <v>163</v>
      </c>
      <c r="AG193" s="102" t="s">
        <v>163</v>
      </c>
      <c r="AH193" s="103" t="s">
        <v>163</v>
      </c>
      <c r="AI193" s="104" t="s">
        <v>163</v>
      </c>
      <c r="AJ193" s="102" t="s">
        <v>163</v>
      </c>
      <c r="AK193" s="103" t="s">
        <v>163</v>
      </c>
      <c r="AL193" s="105" t="s">
        <v>163</v>
      </c>
    </row>
    <row r="194" spans="1:38" ht="13" customHeight="1" x14ac:dyDescent="0.2">
      <c r="A194" s="87" t="s">
        <v>6521</v>
      </c>
      <c r="B194" s="105">
        <v>3</v>
      </c>
      <c r="C194" s="98" t="s">
        <v>6375</v>
      </c>
      <c r="D194" s="126" t="s">
        <v>6519</v>
      </c>
      <c r="E194" s="126" t="s">
        <v>24</v>
      </c>
      <c r="F194" s="127" t="s">
        <v>6522</v>
      </c>
      <c r="G194" s="128">
        <v>27.2</v>
      </c>
      <c r="H194" s="129">
        <v>88.15</v>
      </c>
      <c r="I194" s="98" t="s">
        <v>6641</v>
      </c>
      <c r="J194" s="98" t="s">
        <v>17</v>
      </c>
      <c r="K194" s="106" t="s">
        <v>17</v>
      </c>
      <c r="L194" s="88">
        <v>-1.83E-3</v>
      </c>
      <c r="M194" s="89">
        <v>4.8729000000000001E-2</v>
      </c>
      <c r="N194" s="99" t="s">
        <v>163</v>
      </c>
      <c r="O194" s="98" t="s">
        <v>163</v>
      </c>
      <c r="P194" s="106" t="s">
        <v>163</v>
      </c>
      <c r="Q194" s="104" t="s">
        <v>163</v>
      </c>
      <c r="R194" s="104" t="s">
        <v>163</v>
      </c>
      <c r="S194" s="102" t="s">
        <v>163</v>
      </c>
      <c r="T194" s="103" t="s">
        <v>163</v>
      </c>
      <c r="U194" s="102" t="s">
        <v>163</v>
      </c>
      <c r="V194" s="102" t="s">
        <v>163</v>
      </c>
      <c r="W194" s="103" t="s">
        <v>163</v>
      </c>
      <c r="X194" s="102" t="s">
        <v>163</v>
      </c>
      <c r="Y194" s="102" t="s">
        <v>163</v>
      </c>
      <c r="Z194" s="102" t="s">
        <v>163</v>
      </c>
      <c r="AA194" s="105" t="s">
        <v>163</v>
      </c>
      <c r="AB194" s="104" t="s">
        <v>163</v>
      </c>
      <c r="AC194" s="104" t="s">
        <v>163</v>
      </c>
      <c r="AD194" s="102" t="s">
        <v>163</v>
      </c>
      <c r="AE194" s="103" t="s">
        <v>163</v>
      </c>
      <c r="AF194" s="104" t="s">
        <v>163</v>
      </c>
      <c r="AG194" s="102" t="s">
        <v>163</v>
      </c>
      <c r="AH194" s="103" t="s">
        <v>163</v>
      </c>
      <c r="AI194" s="104" t="s">
        <v>163</v>
      </c>
      <c r="AJ194" s="102" t="s">
        <v>163</v>
      </c>
      <c r="AK194" s="103" t="s">
        <v>163</v>
      </c>
      <c r="AL194" s="105" t="s">
        <v>163</v>
      </c>
    </row>
    <row r="195" spans="1:38" ht="13" customHeight="1" x14ac:dyDescent="0.2">
      <c r="A195" s="87" t="s">
        <v>6523</v>
      </c>
      <c r="B195" s="105">
        <v>10</v>
      </c>
      <c r="C195" s="98" t="s">
        <v>6375</v>
      </c>
      <c r="D195" s="126" t="s">
        <v>6524</v>
      </c>
      <c r="E195" s="126" t="s">
        <v>24</v>
      </c>
      <c r="F195" s="127" t="s">
        <v>17</v>
      </c>
      <c r="G195" s="128" t="s">
        <v>17</v>
      </c>
      <c r="H195" s="129" t="s">
        <v>17</v>
      </c>
      <c r="I195" s="98" t="s">
        <v>6641</v>
      </c>
      <c r="J195" s="98" t="s">
        <v>17</v>
      </c>
      <c r="K195" s="106" t="s">
        <v>17</v>
      </c>
      <c r="L195" s="88">
        <v>-2.7139999999999998E-3</v>
      </c>
      <c r="M195" s="89">
        <v>4.5414999999999997E-2</v>
      </c>
      <c r="N195" s="99" t="s">
        <v>163</v>
      </c>
      <c r="O195" s="98" t="s">
        <v>163</v>
      </c>
      <c r="P195" s="106" t="s">
        <v>163</v>
      </c>
      <c r="Q195" s="104" t="s">
        <v>163</v>
      </c>
      <c r="R195" s="104" t="s">
        <v>163</v>
      </c>
      <c r="S195" s="102" t="s">
        <v>163</v>
      </c>
      <c r="T195" s="103" t="s">
        <v>163</v>
      </c>
      <c r="U195" s="102" t="s">
        <v>163</v>
      </c>
      <c r="V195" s="102" t="s">
        <v>163</v>
      </c>
      <c r="W195" s="103" t="s">
        <v>163</v>
      </c>
      <c r="X195" s="102" t="s">
        <v>163</v>
      </c>
      <c r="Y195" s="102" t="s">
        <v>163</v>
      </c>
      <c r="Z195" s="102" t="s">
        <v>163</v>
      </c>
      <c r="AA195" s="105" t="s">
        <v>163</v>
      </c>
      <c r="AB195" s="104" t="s">
        <v>163</v>
      </c>
      <c r="AC195" s="104" t="s">
        <v>163</v>
      </c>
      <c r="AD195" s="102" t="s">
        <v>163</v>
      </c>
      <c r="AE195" s="103" t="s">
        <v>163</v>
      </c>
      <c r="AF195" s="104" t="s">
        <v>163</v>
      </c>
      <c r="AG195" s="102" t="s">
        <v>163</v>
      </c>
      <c r="AH195" s="103" t="s">
        <v>163</v>
      </c>
      <c r="AI195" s="104" t="s">
        <v>163</v>
      </c>
      <c r="AJ195" s="102" t="s">
        <v>163</v>
      </c>
      <c r="AK195" s="103" t="s">
        <v>163</v>
      </c>
      <c r="AL195" s="105" t="s">
        <v>163</v>
      </c>
    </row>
    <row r="196" spans="1:38" ht="13" customHeight="1" x14ac:dyDescent="0.2">
      <c r="A196" s="87" t="s">
        <v>6525</v>
      </c>
      <c r="B196" s="105">
        <v>3</v>
      </c>
      <c r="C196" s="98" t="s">
        <v>6375</v>
      </c>
      <c r="D196" s="126" t="s">
        <v>6511</v>
      </c>
      <c r="E196" s="126" t="s">
        <v>24</v>
      </c>
      <c r="F196" s="127" t="s">
        <v>6512</v>
      </c>
      <c r="G196" s="128">
        <v>25.670100000000001</v>
      </c>
      <c r="H196" s="129">
        <v>94.107699999999994</v>
      </c>
      <c r="I196" s="98" t="s">
        <v>6641</v>
      </c>
      <c r="J196" s="98" t="s">
        <v>17</v>
      </c>
      <c r="K196" s="106" t="s">
        <v>17</v>
      </c>
      <c r="L196" s="88">
        <v>-2.977E-3</v>
      </c>
      <c r="M196" s="89">
        <v>5.8685000000000001E-2</v>
      </c>
      <c r="N196" s="99" t="s">
        <v>163</v>
      </c>
      <c r="O196" s="98" t="s">
        <v>163</v>
      </c>
      <c r="P196" s="106" t="s">
        <v>163</v>
      </c>
      <c r="Q196" s="104" t="s">
        <v>163</v>
      </c>
      <c r="R196" s="104" t="s">
        <v>163</v>
      </c>
      <c r="S196" s="102" t="s">
        <v>163</v>
      </c>
      <c r="T196" s="103" t="s">
        <v>163</v>
      </c>
      <c r="U196" s="102" t="s">
        <v>163</v>
      </c>
      <c r="V196" s="102" t="s">
        <v>163</v>
      </c>
      <c r="W196" s="103" t="s">
        <v>163</v>
      </c>
      <c r="X196" s="102" t="s">
        <v>163</v>
      </c>
      <c r="Y196" s="102" t="s">
        <v>163</v>
      </c>
      <c r="Z196" s="102" t="s">
        <v>163</v>
      </c>
      <c r="AA196" s="105" t="s">
        <v>163</v>
      </c>
      <c r="AB196" s="104" t="s">
        <v>163</v>
      </c>
      <c r="AC196" s="104" t="s">
        <v>163</v>
      </c>
      <c r="AD196" s="102" t="s">
        <v>163</v>
      </c>
      <c r="AE196" s="103" t="s">
        <v>163</v>
      </c>
      <c r="AF196" s="104" t="s">
        <v>163</v>
      </c>
      <c r="AG196" s="102" t="s">
        <v>163</v>
      </c>
      <c r="AH196" s="103" t="s">
        <v>163</v>
      </c>
      <c r="AI196" s="104" t="s">
        <v>163</v>
      </c>
      <c r="AJ196" s="102" t="s">
        <v>163</v>
      </c>
      <c r="AK196" s="103" t="s">
        <v>163</v>
      </c>
      <c r="AL196" s="105" t="s">
        <v>163</v>
      </c>
    </row>
    <row r="197" spans="1:38" ht="13" customHeight="1" x14ac:dyDescent="0.2">
      <c r="A197" s="87" t="s">
        <v>6526</v>
      </c>
      <c r="B197" s="105">
        <v>1</v>
      </c>
      <c r="C197" s="98" t="s">
        <v>6430</v>
      </c>
      <c r="D197" s="126" t="s">
        <v>6110</v>
      </c>
      <c r="E197" s="126" t="s">
        <v>24</v>
      </c>
      <c r="F197" s="127" t="s">
        <v>6361</v>
      </c>
      <c r="G197" s="128">
        <v>18.277899999999999</v>
      </c>
      <c r="H197" s="129">
        <v>83.370841666666664</v>
      </c>
      <c r="I197" s="98" t="s">
        <v>6527</v>
      </c>
      <c r="J197" s="98" t="s">
        <v>17</v>
      </c>
      <c r="K197" s="106" t="s">
        <v>17</v>
      </c>
      <c r="L197" s="88" t="s">
        <v>163</v>
      </c>
      <c r="M197" s="89" t="s">
        <v>163</v>
      </c>
      <c r="N197" s="99" t="s">
        <v>163</v>
      </c>
      <c r="O197" s="98" t="s">
        <v>163</v>
      </c>
      <c r="P197" s="106" t="s">
        <v>163</v>
      </c>
      <c r="Q197" s="104" t="s">
        <v>163</v>
      </c>
      <c r="R197" s="104" t="s">
        <v>163</v>
      </c>
      <c r="S197" s="102" t="s">
        <v>163</v>
      </c>
      <c r="T197" s="103" t="s">
        <v>163</v>
      </c>
      <c r="U197" s="102" t="s">
        <v>163</v>
      </c>
      <c r="V197" s="102" t="s">
        <v>163</v>
      </c>
      <c r="W197" s="103" t="s">
        <v>163</v>
      </c>
      <c r="X197" s="102" t="s">
        <v>163</v>
      </c>
      <c r="Y197" s="102" t="s">
        <v>163</v>
      </c>
      <c r="Z197" s="102" t="s">
        <v>163</v>
      </c>
      <c r="AA197" s="105" t="s">
        <v>163</v>
      </c>
      <c r="AB197" s="104" t="s">
        <v>163</v>
      </c>
      <c r="AC197" s="104" t="s">
        <v>163</v>
      </c>
      <c r="AD197" s="102" t="s">
        <v>163</v>
      </c>
      <c r="AE197" s="103" t="s">
        <v>163</v>
      </c>
      <c r="AF197" s="104" t="s">
        <v>163</v>
      </c>
      <c r="AG197" s="102" t="s">
        <v>163</v>
      </c>
      <c r="AH197" s="103" t="s">
        <v>163</v>
      </c>
      <c r="AI197" s="104" t="s">
        <v>163</v>
      </c>
      <c r="AJ197" s="102" t="s">
        <v>163</v>
      </c>
      <c r="AK197" s="103" t="s">
        <v>163</v>
      </c>
      <c r="AL197" s="105" t="s">
        <v>163</v>
      </c>
    </row>
    <row r="198" spans="1:38" ht="13" customHeight="1" x14ac:dyDescent="0.2">
      <c r="A198" s="87" t="s">
        <v>6528</v>
      </c>
      <c r="B198" s="105">
        <v>1</v>
      </c>
      <c r="C198" s="98" t="s">
        <v>6095</v>
      </c>
      <c r="D198" s="126" t="s">
        <v>6186</v>
      </c>
      <c r="E198" s="126" t="s">
        <v>24</v>
      </c>
      <c r="F198" s="127" t="s">
        <v>6529</v>
      </c>
      <c r="G198" s="128">
        <v>11.108525</v>
      </c>
      <c r="H198" s="129">
        <v>77.341066666666663</v>
      </c>
      <c r="I198" s="98" t="s">
        <v>6527</v>
      </c>
      <c r="J198" s="98" t="s">
        <v>17</v>
      </c>
      <c r="K198" s="106" t="s">
        <v>17</v>
      </c>
      <c r="L198" s="88" t="s">
        <v>163</v>
      </c>
      <c r="M198" s="89" t="s">
        <v>163</v>
      </c>
      <c r="N198" s="99" t="s">
        <v>163</v>
      </c>
      <c r="O198" s="98" t="s">
        <v>163</v>
      </c>
      <c r="P198" s="106" t="s">
        <v>163</v>
      </c>
      <c r="Q198" s="104" t="s">
        <v>163</v>
      </c>
      <c r="R198" s="104" t="s">
        <v>163</v>
      </c>
      <c r="S198" s="102" t="s">
        <v>163</v>
      </c>
      <c r="T198" s="103" t="s">
        <v>163</v>
      </c>
      <c r="U198" s="102" t="s">
        <v>163</v>
      </c>
      <c r="V198" s="102" t="s">
        <v>163</v>
      </c>
      <c r="W198" s="103" t="s">
        <v>163</v>
      </c>
      <c r="X198" s="102" t="s">
        <v>163</v>
      </c>
      <c r="Y198" s="102" t="s">
        <v>163</v>
      </c>
      <c r="Z198" s="102" t="s">
        <v>163</v>
      </c>
      <c r="AA198" s="105" t="s">
        <v>163</v>
      </c>
      <c r="AB198" s="104" t="s">
        <v>163</v>
      </c>
      <c r="AC198" s="104" t="s">
        <v>163</v>
      </c>
      <c r="AD198" s="102" t="s">
        <v>163</v>
      </c>
      <c r="AE198" s="103" t="s">
        <v>163</v>
      </c>
      <c r="AF198" s="104" t="s">
        <v>163</v>
      </c>
      <c r="AG198" s="102" t="s">
        <v>163</v>
      </c>
      <c r="AH198" s="103" t="s">
        <v>163</v>
      </c>
      <c r="AI198" s="104" t="s">
        <v>163</v>
      </c>
      <c r="AJ198" s="102" t="s">
        <v>163</v>
      </c>
      <c r="AK198" s="103" t="s">
        <v>163</v>
      </c>
      <c r="AL198" s="105" t="s">
        <v>163</v>
      </c>
    </row>
    <row r="199" spans="1:38" ht="13" customHeight="1" x14ac:dyDescent="0.2">
      <c r="A199" s="87" t="s">
        <v>6530</v>
      </c>
      <c r="B199" s="105">
        <v>1</v>
      </c>
      <c r="C199" s="98" t="s">
        <v>6020</v>
      </c>
      <c r="D199" s="126" t="s">
        <v>6096</v>
      </c>
      <c r="E199" s="126" t="s">
        <v>24</v>
      </c>
      <c r="F199" s="127" t="s">
        <v>6531</v>
      </c>
      <c r="G199" s="128">
        <v>14.11676388888889</v>
      </c>
      <c r="H199" s="129">
        <v>75.719702777777783</v>
      </c>
      <c r="I199" s="98" t="s">
        <v>6527</v>
      </c>
      <c r="J199" s="98" t="s">
        <v>17</v>
      </c>
      <c r="K199" s="106" t="s">
        <v>17</v>
      </c>
      <c r="L199" s="88" t="s">
        <v>163</v>
      </c>
      <c r="M199" s="89" t="s">
        <v>163</v>
      </c>
      <c r="N199" s="99" t="s">
        <v>163</v>
      </c>
      <c r="O199" s="98" t="s">
        <v>163</v>
      </c>
      <c r="P199" s="106" t="s">
        <v>163</v>
      </c>
      <c r="Q199" s="104" t="s">
        <v>163</v>
      </c>
      <c r="R199" s="104" t="s">
        <v>163</v>
      </c>
      <c r="S199" s="102" t="s">
        <v>163</v>
      </c>
      <c r="T199" s="103" t="s">
        <v>163</v>
      </c>
      <c r="U199" s="102" t="s">
        <v>163</v>
      </c>
      <c r="V199" s="102" t="s">
        <v>163</v>
      </c>
      <c r="W199" s="103" t="s">
        <v>163</v>
      </c>
      <c r="X199" s="102" t="s">
        <v>163</v>
      </c>
      <c r="Y199" s="102" t="s">
        <v>163</v>
      </c>
      <c r="Z199" s="102" t="s">
        <v>163</v>
      </c>
      <c r="AA199" s="105" t="s">
        <v>163</v>
      </c>
      <c r="AB199" s="104" t="s">
        <v>163</v>
      </c>
      <c r="AC199" s="104" t="s">
        <v>163</v>
      </c>
      <c r="AD199" s="102" t="s">
        <v>163</v>
      </c>
      <c r="AE199" s="103" t="s">
        <v>163</v>
      </c>
      <c r="AF199" s="104" t="s">
        <v>163</v>
      </c>
      <c r="AG199" s="102" t="s">
        <v>163</v>
      </c>
      <c r="AH199" s="103" t="s">
        <v>163</v>
      </c>
      <c r="AI199" s="104" t="s">
        <v>163</v>
      </c>
      <c r="AJ199" s="102" t="s">
        <v>163</v>
      </c>
      <c r="AK199" s="103" t="s">
        <v>163</v>
      </c>
      <c r="AL199" s="105" t="s">
        <v>163</v>
      </c>
    </row>
    <row r="200" spans="1:38" ht="13" customHeight="1" x14ac:dyDescent="0.2">
      <c r="A200" s="87" t="s">
        <v>6532</v>
      </c>
      <c r="B200" s="105">
        <v>1</v>
      </c>
      <c r="C200" s="98" t="s">
        <v>6430</v>
      </c>
      <c r="D200" s="126" t="s">
        <v>6431</v>
      </c>
      <c r="E200" s="126" t="s">
        <v>24</v>
      </c>
      <c r="F200" s="127" t="s">
        <v>6497</v>
      </c>
      <c r="G200" s="128">
        <v>23.669297222222223</v>
      </c>
      <c r="H200" s="129">
        <v>86.151111111111121</v>
      </c>
      <c r="I200" s="98" t="s">
        <v>6527</v>
      </c>
      <c r="J200" s="98" t="s">
        <v>17</v>
      </c>
      <c r="K200" s="106" t="s">
        <v>17</v>
      </c>
      <c r="L200" s="88" t="s">
        <v>163</v>
      </c>
      <c r="M200" s="89" t="s">
        <v>163</v>
      </c>
      <c r="N200" s="99" t="s">
        <v>163</v>
      </c>
      <c r="O200" s="98" t="s">
        <v>163</v>
      </c>
      <c r="P200" s="106" t="s">
        <v>163</v>
      </c>
      <c r="Q200" s="104" t="s">
        <v>163</v>
      </c>
      <c r="R200" s="104" t="s">
        <v>163</v>
      </c>
      <c r="S200" s="102" t="s">
        <v>163</v>
      </c>
      <c r="T200" s="103" t="s">
        <v>163</v>
      </c>
      <c r="U200" s="102" t="s">
        <v>163</v>
      </c>
      <c r="V200" s="102" t="s">
        <v>163</v>
      </c>
      <c r="W200" s="103" t="s">
        <v>163</v>
      </c>
      <c r="X200" s="102" t="s">
        <v>163</v>
      </c>
      <c r="Y200" s="102" t="s">
        <v>163</v>
      </c>
      <c r="Z200" s="102" t="s">
        <v>163</v>
      </c>
      <c r="AA200" s="105" t="s">
        <v>163</v>
      </c>
      <c r="AB200" s="104" t="s">
        <v>163</v>
      </c>
      <c r="AC200" s="104" t="s">
        <v>163</v>
      </c>
      <c r="AD200" s="102" t="s">
        <v>163</v>
      </c>
      <c r="AE200" s="103" t="s">
        <v>163</v>
      </c>
      <c r="AF200" s="104" t="s">
        <v>163</v>
      </c>
      <c r="AG200" s="102" t="s">
        <v>163</v>
      </c>
      <c r="AH200" s="103" t="s">
        <v>163</v>
      </c>
      <c r="AI200" s="104" t="s">
        <v>163</v>
      </c>
      <c r="AJ200" s="102" t="s">
        <v>163</v>
      </c>
      <c r="AK200" s="103" t="s">
        <v>163</v>
      </c>
      <c r="AL200" s="105" t="s">
        <v>163</v>
      </c>
    </row>
    <row r="201" spans="1:38" ht="13" customHeight="1" x14ac:dyDescent="0.2">
      <c r="A201" s="87" t="s">
        <v>6533</v>
      </c>
      <c r="B201" s="105">
        <v>1</v>
      </c>
      <c r="C201" s="98" t="s">
        <v>6095</v>
      </c>
      <c r="D201" s="126" t="s">
        <v>6436</v>
      </c>
      <c r="E201" s="126" t="s">
        <v>24</v>
      </c>
      <c r="F201" s="127" t="s">
        <v>6534</v>
      </c>
      <c r="G201" s="128">
        <v>22.260422222222221</v>
      </c>
      <c r="H201" s="129">
        <v>84.853583333333333</v>
      </c>
      <c r="I201" s="98" t="s">
        <v>6527</v>
      </c>
      <c r="J201" s="98" t="s">
        <v>17</v>
      </c>
      <c r="K201" s="106" t="s">
        <v>17</v>
      </c>
      <c r="L201" s="88" t="s">
        <v>163</v>
      </c>
      <c r="M201" s="89" t="s">
        <v>163</v>
      </c>
      <c r="N201" s="99" t="s">
        <v>163</v>
      </c>
      <c r="O201" s="98" t="s">
        <v>163</v>
      </c>
      <c r="P201" s="106" t="s">
        <v>163</v>
      </c>
      <c r="Q201" s="104" t="s">
        <v>163</v>
      </c>
      <c r="R201" s="104" t="s">
        <v>163</v>
      </c>
      <c r="S201" s="102" t="s">
        <v>163</v>
      </c>
      <c r="T201" s="103" t="s">
        <v>163</v>
      </c>
      <c r="U201" s="102" t="s">
        <v>163</v>
      </c>
      <c r="V201" s="102" t="s">
        <v>163</v>
      </c>
      <c r="W201" s="103" t="s">
        <v>163</v>
      </c>
      <c r="X201" s="102" t="s">
        <v>163</v>
      </c>
      <c r="Y201" s="102" t="s">
        <v>163</v>
      </c>
      <c r="Z201" s="102" t="s">
        <v>163</v>
      </c>
      <c r="AA201" s="105" t="s">
        <v>163</v>
      </c>
      <c r="AB201" s="104" t="s">
        <v>163</v>
      </c>
      <c r="AC201" s="104" t="s">
        <v>163</v>
      </c>
      <c r="AD201" s="102" t="s">
        <v>163</v>
      </c>
      <c r="AE201" s="103" t="s">
        <v>163</v>
      </c>
      <c r="AF201" s="104" t="s">
        <v>163</v>
      </c>
      <c r="AG201" s="102" t="s">
        <v>163</v>
      </c>
      <c r="AH201" s="103" t="s">
        <v>163</v>
      </c>
      <c r="AI201" s="104" t="s">
        <v>163</v>
      </c>
      <c r="AJ201" s="102" t="s">
        <v>163</v>
      </c>
      <c r="AK201" s="103" t="s">
        <v>163</v>
      </c>
      <c r="AL201" s="105" t="s">
        <v>163</v>
      </c>
    </row>
    <row r="202" spans="1:38" ht="13" customHeight="1" x14ac:dyDescent="0.2">
      <c r="A202" s="87" t="s">
        <v>6535</v>
      </c>
      <c r="B202" s="105">
        <v>1</v>
      </c>
      <c r="C202" s="98" t="s">
        <v>6095</v>
      </c>
      <c r="D202" s="126" t="s">
        <v>6110</v>
      </c>
      <c r="E202" s="126" t="s">
        <v>24</v>
      </c>
      <c r="F202" s="127" t="s">
        <v>6361</v>
      </c>
      <c r="G202" s="128">
        <v>18.277899999999999</v>
      </c>
      <c r="H202" s="129">
        <v>83.370841666666664</v>
      </c>
      <c r="I202" s="98" t="s">
        <v>6527</v>
      </c>
      <c r="J202" s="98" t="s">
        <v>17</v>
      </c>
      <c r="K202" s="106" t="s">
        <v>17</v>
      </c>
      <c r="L202" s="88" t="s">
        <v>163</v>
      </c>
      <c r="M202" s="89" t="s">
        <v>163</v>
      </c>
      <c r="N202" s="99" t="s">
        <v>163</v>
      </c>
      <c r="O202" s="98" t="s">
        <v>163</v>
      </c>
      <c r="P202" s="106" t="s">
        <v>163</v>
      </c>
      <c r="Q202" s="104" t="s">
        <v>163</v>
      </c>
      <c r="R202" s="104" t="s">
        <v>163</v>
      </c>
      <c r="S202" s="102" t="s">
        <v>163</v>
      </c>
      <c r="T202" s="103" t="s">
        <v>163</v>
      </c>
      <c r="U202" s="102" t="s">
        <v>163</v>
      </c>
      <c r="V202" s="102" t="s">
        <v>163</v>
      </c>
      <c r="W202" s="103" t="s">
        <v>163</v>
      </c>
      <c r="X202" s="102" t="s">
        <v>163</v>
      </c>
      <c r="Y202" s="102" t="s">
        <v>163</v>
      </c>
      <c r="Z202" s="102" t="s">
        <v>163</v>
      </c>
      <c r="AA202" s="105" t="s">
        <v>163</v>
      </c>
      <c r="AB202" s="104" t="s">
        <v>163</v>
      </c>
      <c r="AC202" s="104" t="s">
        <v>163</v>
      </c>
      <c r="AD202" s="102" t="s">
        <v>163</v>
      </c>
      <c r="AE202" s="103" t="s">
        <v>163</v>
      </c>
      <c r="AF202" s="104" t="s">
        <v>163</v>
      </c>
      <c r="AG202" s="102" t="s">
        <v>163</v>
      </c>
      <c r="AH202" s="103" t="s">
        <v>163</v>
      </c>
      <c r="AI202" s="104" t="s">
        <v>163</v>
      </c>
      <c r="AJ202" s="102" t="s">
        <v>163</v>
      </c>
      <c r="AK202" s="103" t="s">
        <v>163</v>
      </c>
      <c r="AL202" s="105" t="s">
        <v>163</v>
      </c>
    </row>
    <row r="203" spans="1:38" ht="13" customHeight="1" x14ac:dyDescent="0.2">
      <c r="A203" s="87" t="s">
        <v>6536</v>
      </c>
      <c r="B203" s="105">
        <v>1</v>
      </c>
      <c r="C203" s="98" t="s">
        <v>6095</v>
      </c>
      <c r="D203" s="126" t="s">
        <v>6537</v>
      </c>
      <c r="E203" s="126" t="s">
        <v>24</v>
      </c>
      <c r="F203" s="127" t="s">
        <v>6538</v>
      </c>
      <c r="G203" s="128">
        <v>11.114152777777777</v>
      </c>
      <c r="H203" s="129">
        <v>72.720377777777784</v>
      </c>
      <c r="I203" s="98" t="s">
        <v>6527</v>
      </c>
      <c r="J203" s="98" t="s">
        <v>17</v>
      </c>
      <c r="K203" s="106" t="s">
        <v>17</v>
      </c>
      <c r="L203" s="88" t="s">
        <v>163</v>
      </c>
      <c r="M203" s="89" t="s">
        <v>163</v>
      </c>
      <c r="N203" s="99" t="s">
        <v>163</v>
      </c>
      <c r="O203" s="98" t="s">
        <v>163</v>
      </c>
      <c r="P203" s="106" t="s">
        <v>163</v>
      </c>
      <c r="Q203" s="104" t="s">
        <v>163</v>
      </c>
      <c r="R203" s="104" t="s">
        <v>163</v>
      </c>
      <c r="S203" s="102" t="s">
        <v>163</v>
      </c>
      <c r="T203" s="103" t="s">
        <v>163</v>
      </c>
      <c r="U203" s="102" t="s">
        <v>163</v>
      </c>
      <c r="V203" s="102" t="s">
        <v>163</v>
      </c>
      <c r="W203" s="103" t="s">
        <v>163</v>
      </c>
      <c r="X203" s="102" t="s">
        <v>163</v>
      </c>
      <c r="Y203" s="102" t="s">
        <v>163</v>
      </c>
      <c r="Z203" s="102" t="s">
        <v>163</v>
      </c>
      <c r="AA203" s="105" t="s">
        <v>163</v>
      </c>
      <c r="AB203" s="104" t="s">
        <v>163</v>
      </c>
      <c r="AC203" s="104" t="s">
        <v>163</v>
      </c>
      <c r="AD203" s="102" t="s">
        <v>163</v>
      </c>
      <c r="AE203" s="103" t="s">
        <v>163</v>
      </c>
      <c r="AF203" s="104" t="s">
        <v>163</v>
      </c>
      <c r="AG203" s="102" t="s">
        <v>163</v>
      </c>
      <c r="AH203" s="103" t="s">
        <v>163</v>
      </c>
      <c r="AI203" s="104" t="s">
        <v>163</v>
      </c>
      <c r="AJ203" s="102" t="s">
        <v>163</v>
      </c>
      <c r="AK203" s="103" t="s">
        <v>163</v>
      </c>
      <c r="AL203" s="105" t="s">
        <v>163</v>
      </c>
    </row>
    <row r="204" spans="1:38" ht="13" customHeight="1" x14ac:dyDescent="0.2">
      <c r="A204" s="87" t="s">
        <v>6539</v>
      </c>
      <c r="B204" s="105">
        <v>1</v>
      </c>
      <c r="C204" s="98" t="s">
        <v>6095</v>
      </c>
      <c r="D204" s="126" t="s">
        <v>6186</v>
      </c>
      <c r="E204" s="126" t="s">
        <v>24</v>
      </c>
      <c r="F204" s="127" t="s">
        <v>17</v>
      </c>
      <c r="G204" s="128">
        <v>12.097225</v>
      </c>
      <c r="H204" s="129">
        <v>79.801677777777769</v>
      </c>
      <c r="I204" s="98" t="s">
        <v>6527</v>
      </c>
      <c r="J204" s="98" t="s">
        <v>17</v>
      </c>
      <c r="K204" s="106" t="s">
        <v>17</v>
      </c>
      <c r="L204" s="88" t="s">
        <v>163</v>
      </c>
      <c r="M204" s="89" t="s">
        <v>163</v>
      </c>
      <c r="N204" s="99" t="s">
        <v>163</v>
      </c>
      <c r="O204" s="98" t="s">
        <v>163</v>
      </c>
      <c r="P204" s="106" t="s">
        <v>163</v>
      </c>
      <c r="Q204" s="104" t="s">
        <v>163</v>
      </c>
      <c r="R204" s="104" t="s">
        <v>163</v>
      </c>
      <c r="S204" s="102" t="s">
        <v>163</v>
      </c>
      <c r="T204" s="103" t="s">
        <v>163</v>
      </c>
      <c r="U204" s="102" t="s">
        <v>163</v>
      </c>
      <c r="V204" s="102" t="s">
        <v>163</v>
      </c>
      <c r="W204" s="103" t="s">
        <v>163</v>
      </c>
      <c r="X204" s="102" t="s">
        <v>163</v>
      </c>
      <c r="Y204" s="102" t="s">
        <v>163</v>
      </c>
      <c r="Z204" s="102" t="s">
        <v>163</v>
      </c>
      <c r="AA204" s="105" t="s">
        <v>163</v>
      </c>
      <c r="AB204" s="104" t="s">
        <v>163</v>
      </c>
      <c r="AC204" s="104" t="s">
        <v>163</v>
      </c>
      <c r="AD204" s="102" t="s">
        <v>163</v>
      </c>
      <c r="AE204" s="103" t="s">
        <v>163</v>
      </c>
      <c r="AF204" s="104" t="s">
        <v>163</v>
      </c>
      <c r="AG204" s="102" t="s">
        <v>163</v>
      </c>
      <c r="AH204" s="103" t="s">
        <v>163</v>
      </c>
      <c r="AI204" s="104" t="s">
        <v>163</v>
      </c>
      <c r="AJ204" s="102" t="s">
        <v>163</v>
      </c>
      <c r="AK204" s="103" t="s">
        <v>163</v>
      </c>
      <c r="AL204" s="105" t="s">
        <v>163</v>
      </c>
    </row>
    <row r="205" spans="1:38" ht="13" customHeight="1" x14ac:dyDescent="0.2">
      <c r="A205" s="87" t="s">
        <v>6540</v>
      </c>
      <c r="B205" s="105">
        <v>1</v>
      </c>
      <c r="C205" s="98" t="s">
        <v>6020</v>
      </c>
      <c r="D205" s="126" t="s">
        <v>6541</v>
      </c>
      <c r="E205" s="126" t="s">
        <v>24</v>
      </c>
      <c r="F205" s="127" t="s">
        <v>6542</v>
      </c>
      <c r="G205" s="128">
        <v>29.380302777777779</v>
      </c>
      <c r="H205" s="129">
        <v>79.463566666666665</v>
      </c>
      <c r="I205" s="98" t="s">
        <v>6527</v>
      </c>
      <c r="J205" s="98" t="s">
        <v>17</v>
      </c>
      <c r="K205" s="106" t="s">
        <v>17</v>
      </c>
      <c r="L205" s="88" t="s">
        <v>163</v>
      </c>
      <c r="M205" s="89" t="s">
        <v>163</v>
      </c>
      <c r="N205" s="99" t="s">
        <v>163</v>
      </c>
      <c r="O205" s="98" t="s">
        <v>163</v>
      </c>
      <c r="P205" s="106" t="s">
        <v>163</v>
      </c>
      <c r="Q205" s="104" t="s">
        <v>163</v>
      </c>
      <c r="R205" s="104" t="s">
        <v>163</v>
      </c>
      <c r="S205" s="102" t="s">
        <v>163</v>
      </c>
      <c r="T205" s="103" t="s">
        <v>163</v>
      </c>
      <c r="U205" s="102" t="s">
        <v>163</v>
      </c>
      <c r="V205" s="102" t="s">
        <v>163</v>
      </c>
      <c r="W205" s="103" t="s">
        <v>163</v>
      </c>
      <c r="X205" s="102" t="s">
        <v>163</v>
      </c>
      <c r="Y205" s="102" t="s">
        <v>163</v>
      </c>
      <c r="Z205" s="102" t="s">
        <v>163</v>
      </c>
      <c r="AA205" s="105" t="s">
        <v>163</v>
      </c>
      <c r="AB205" s="104" t="s">
        <v>163</v>
      </c>
      <c r="AC205" s="104" t="s">
        <v>163</v>
      </c>
      <c r="AD205" s="102" t="s">
        <v>163</v>
      </c>
      <c r="AE205" s="103" t="s">
        <v>163</v>
      </c>
      <c r="AF205" s="104" t="s">
        <v>163</v>
      </c>
      <c r="AG205" s="102" t="s">
        <v>163</v>
      </c>
      <c r="AH205" s="103" t="s">
        <v>163</v>
      </c>
      <c r="AI205" s="104" t="s">
        <v>163</v>
      </c>
      <c r="AJ205" s="102" t="s">
        <v>163</v>
      </c>
      <c r="AK205" s="103" t="s">
        <v>163</v>
      </c>
      <c r="AL205" s="105" t="s">
        <v>163</v>
      </c>
    </row>
    <row r="206" spans="1:38" ht="13" customHeight="1" x14ac:dyDescent="0.2">
      <c r="A206" s="87" t="s">
        <v>6543</v>
      </c>
      <c r="B206" s="105">
        <v>1</v>
      </c>
      <c r="C206" s="98" t="s">
        <v>6095</v>
      </c>
      <c r="D206" s="126" t="s">
        <v>6186</v>
      </c>
      <c r="E206" s="126" t="s">
        <v>24</v>
      </c>
      <c r="F206" s="127" t="s">
        <v>6364</v>
      </c>
      <c r="G206" s="128">
        <v>11.93689</v>
      </c>
      <c r="H206" s="129">
        <v>79.487262000000001</v>
      </c>
      <c r="I206" s="98" t="s">
        <v>6527</v>
      </c>
      <c r="J206" s="98" t="s">
        <v>17</v>
      </c>
      <c r="K206" s="106" t="s">
        <v>17</v>
      </c>
      <c r="L206" s="88" t="s">
        <v>163</v>
      </c>
      <c r="M206" s="89" t="s">
        <v>163</v>
      </c>
      <c r="N206" s="99" t="s">
        <v>163</v>
      </c>
      <c r="O206" s="98" t="s">
        <v>163</v>
      </c>
      <c r="P206" s="106" t="s">
        <v>163</v>
      </c>
      <c r="Q206" s="104" t="s">
        <v>163</v>
      </c>
      <c r="R206" s="104" t="s">
        <v>163</v>
      </c>
      <c r="S206" s="102" t="s">
        <v>163</v>
      </c>
      <c r="T206" s="103" t="s">
        <v>163</v>
      </c>
      <c r="U206" s="102" t="s">
        <v>163</v>
      </c>
      <c r="V206" s="102" t="s">
        <v>163</v>
      </c>
      <c r="W206" s="103" t="s">
        <v>163</v>
      </c>
      <c r="X206" s="102" t="s">
        <v>163</v>
      </c>
      <c r="Y206" s="102" t="s">
        <v>163</v>
      </c>
      <c r="Z206" s="102" t="s">
        <v>163</v>
      </c>
      <c r="AA206" s="105" t="s">
        <v>163</v>
      </c>
      <c r="AB206" s="104" t="s">
        <v>163</v>
      </c>
      <c r="AC206" s="104" t="s">
        <v>163</v>
      </c>
      <c r="AD206" s="102" t="s">
        <v>163</v>
      </c>
      <c r="AE206" s="103" t="s">
        <v>163</v>
      </c>
      <c r="AF206" s="104" t="s">
        <v>163</v>
      </c>
      <c r="AG206" s="102" t="s">
        <v>163</v>
      </c>
      <c r="AH206" s="103" t="s">
        <v>163</v>
      </c>
      <c r="AI206" s="104" t="s">
        <v>163</v>
      </c>
      <c r="AJ206" s="102" t="s">
        <v>163</v>
      </c>
      <c r="AK206" s="103" t="s">
        <v>163</v>
      </c>
      <c r="AL206" s="105" t="s">
        <v>163</v>
      </c>
    </row>
    <row r="207" spans="1:38" ht="13" customHeight="1" x14ac:dyDescent="0.2">
      <c r="A207" s="87" t="s">
        <v>6544</v>
      </c>
      <c r="B207" s="105">
        <v>1</v>
      </c>
      <c r="C207" s="98" t="s">
        <v>6095</v>
      </c>
      <c r="D207" s="126" t="s">
        <v>6186</v>
      </c>
      <c r="E207" s="126" t="s">
        <v>24</v>
      </c>
      <c r="F207" s="127" t="s">
        <v>6545</v>
      </c>
      <c r="G207" s="128">
        <v>11.016844000000001</v>
      </c>
      <c r="H207" s="129">
        <v>76.955832000000001</v>
      </c>
      <c r="I207" s="98" t="s">
        <v>6527</v>
      </c>
      <c r="J207" s="98" t="s">
        <v>17</v>
      </c>
      <c r="K207" s="106" t="s">
        <v>17</v>
      </c>
      <c r="L207" s="88" t="s">
        <v>163</v>
      </c>
      <c r="M207" s="89" t="s">
        <v>163</v>
      </c>
      <c r="N207" s="99" t="s">
        <v>163</v>
      </c>
      <c r="O207" s="98" t="s">
        <v>163</v>
      </c>
      <c r="P207" s="106" t="s">
        <v>163</v>
      </c>
      <c r="Q207" s="104" t="s">
        <v>163</v>
      </c>
      <c r="R207" s="104" t="s">
        <v>163</v>
      </c>
      <c r="S207" s="102" t="s">
        <v>163</v>
      </c>
      <c r="T207" s="103" t="s">
        <v>163</v>
      </c>
      <c r="U207" s="102" t="s">
        <v>163</v>
      </c>
      <c r="V207" s="102" t="s">
        <v>163</v>
      </c>
      <c r="W207" s="103" t="s">
        <v>163</v>
      </c>
      <c r="X207" s="102" t="s">
        <v>163</v>
      </c>
      <c r="Y207" s="102" t="s">
        <v>163</v>
      </c>
      <c r="Z207" s="102" t="s">
        <v>163</v>
      </c>
      <c r="AA207" s="105" t="s">
        <v>163</v>
      </c>
      <c r="AB207" s="104" t="s">
        <v>163</v>
      </c>
      <c r="AC207" s="104" t="s">
        <v>163</v>
      </c>
      <c r="AD207" s="102" t="s">
        <v>163</v>
      </c>
      <c r="AE207" s="103" t="s">
        <v>163</v>
      </c>
      <c r="AF207" s="104" t="s">
        <v>163</v>
      </c>
      <c r="AG207" s="102" t="s">
        <v>163</v>
      </c>
      <c r="AH207" s="103" t="s">
        <v>163</v>
      </c>
      <c r="AI207" s="104" t="s">
        <v>163</v>
      </c>
      <c r="AJ207" s="102" t="s">
        <v>163</v>
      </c>
      <c r="AK207" s="103" t="s">
        <v>163</v>
      </c>
      <c r="AL207" s="105" t="s">
        <v>163</v>
      </c>
    </row>
    <row r="208" spans="1:38" ht="13" customHeight="1" x14ac:dyDescent="0.2">
      <c r="A208" s="87" t="s">
        <v>6546</v>
      </c>
      <c r="B208" s="105">
        <v>1</v>
      </c>
      <c r="C208" s="98" t="s">
        <v>6095</v>
      </c>
      <c r="D208" s="126" t="s">
        <v>6186</v>
      </c>
      <c r="E208" s="126" t="s">
        <v>24</v>
      </c>
      <c r="F208" s="127" t="s">
        <v>6545</v>
      </c>
      <c r="G208" s="128">
        <v>11.016844000000001</v>
      </c>
      <c r="H208" s="129">
        <v>76.955832000000001</v>
      </c>
      <c r="I208" s="98" t="s">
        <v>6527</v>
      </c>
      <c r="J208" s="98" t="s">
        <v>17</v>
      </c>
      <c r="K208" s="106" t="s">
        <v>17</v>
      </c>
      <c r="L208" s="88" t="s">
        <v>163</v>
      </c>
      <c r="M208" s="89" t="s">
        <v>163</v>
      </c>
      <c r="N208" s="99" t="s">
        <v>163</v>
      </c>
      <c r="O208" s="98" t="s">
        <v>163</v>
      </c>
      <c r="P208" s="106" t="s">
        <v>163</v>
      </c>
      <c r="Q208" s="104" t="s">
        <v>163</v>
      </c>
      <c r="R208" s="104" t="s">
        <v>163</v>
      </c>
      <c r="S208" s="102" t="s">
        <v>163</v>
      </c>
      <c r="T208" s="103" t="s">
        <v>163</v>
      </c>
      <c r="U208" s="102" t="s">
        <v>163</v>
      </c>
      <c r="V208" s="102" t="s">
        <v>163</v>
      </c>
      <c r="W208" s="103" t="s">
        <v>163</v>
      </c>
      <c r="X208" s="102" t="s">
        <v>163</v>
      </c>
      <c r="Y208" s="102" t="s">
        <v>163</v>
      </c>
      <c r="Z208" s="102" t="s">
        <v>163</v>
      </c>
      <c r="AA208" s="105" t="s">
        <v>163</v>
      </c>
      <c r="AB208" s="104" t="s">
        <v>163</v>
      </c>
      <c r="AC208" s="104" t="s">
        <v>163</v>
      </c>
      <c r="AD208" s="102" t="s">
        <v>163</v>
      </c>
      <c r="AE208" s="103" t="s">
        <v>163</v>
      </c>
      <c r="AF208" s="104" t="s">
        <v>163</v>
      </c>
      <c r="AG208" s="102" t="s">
        <v>163</v>
      </c>
      <c r="AH208" s="103" t="s">
        <v>163</v>
      </c>
      <c r="AI208" s="104" t="s">
        <v>163</v>
      </c>
      <c r="AJ208" s="102" t="s">
        <v>163</v>
      </c>
      <c r="AK208" s="103" t="s">
        <v>163</v>
      </c>
      <c r="AL208" s="105" t="s">
        <v>163</v>
      </c>
    </row>
    <row r="209" spans="1:38" ht="13" customHeight="1" x14ac:dyDescent="0.2">
      <c r="A209" s="87" t="s">
        <v>6547</v>
      </c>
      <c r="B209" s="105">
        <v>1</v>
      </c>
      <c r="C209" s="98" t="s">
        <v>6095</v>
      </c>
      <c r="D209" s="126" t="s">
        <v>6110</v>
      </c>
      <c r="E209" s="126" t="s">
        <v>24</v>
      </c>
      <c r="F209" s="127" t="s">
        <v>6548</v>
      </c>
      <c r="G209" s="128">
        <v>15.49</v>
      </c>
      <c r="H209" s="129">
        <v>78.02</v>
      </c>
      <c r="I209" s="98" t="s">
        <v>6527</v>
      </c>
      <c r="J209" s="98" t="s">
        <v>17</v>
      </c>
      <c r="K209" s="106" t="s">
        <v>17</v>
      </c>
      <c r="L209" s="88" t="s">
        <v>163</v>
      </c>
      <c r="M209" s="89" t="s">
        <v>163</v>
      </c>
      <c r="N209" s="99" t="s">
        <v>163</v>
      </c>
      <c r="O209" s="98" t="s">
        <v>163</v>
      </c>
      <c r="P209" s="106" t="s">
        <v>163</v>
      </c>
      <c r="Q209" s="104" t="s">
        <v>163</v>
      </c>
      <c r="R209" s="104" t="s">
        <v>163</v>
      </c>
      <c r="S209" s="102" t="s">
        <v>163</v>
      </c>
      <c r="T209" s="103" t="s">
        <v>163</v>
      </c>
      <c r="U209" s="102" t="s">
        <v>163</v>
      </c>
      <c r="V209" s="102" t="s">
        <v>163</v>
      </c>
      <c r="W209" s="103" t="s">
        <v>163</v>
      </c>
      <c r="X209" s="102" t="s">
        <v>163</v>
      </c>
      <c r="Y209" s="102" t="s">
        <v>163</v>
      </c>
      <c r="Z209" s="102" t="s">
        <v>163</v>
      </c>
      <c r="AA209" s="105" t="s">
        <v>163</v>
      </c>
      <c r="AB209" s="104" t="s">
        <v>163</v>
      </c>
      <c r="AC209" s="104" t="s">
        <v>163</v>
      </c>
      <c r="AD209" s="102" t="s">
        <v>163</v>
      </c>
      <c r="AE209" s="103" t="s">
        <v>163</v>
      </c>
      <c r="AF209" s="104" t="s">
        <v>163</v>
      </c>
      <c r="AG209" s="102" t="s">
        <v>163</v>
      </c>
      <c r="AH209" s="103" t="s">
        <v>163</v>
      </c>
      <c r="AI209" s="104" t="s">
        <v>163</v>
      </c>
      <c r="AJ209" s="102" t="s">
        <v>163</v>
      </c>
      <c r="AK209" s="103" t="s">
        <v>163</v>
      </c>
      <c r="AL209" s="105" t="s">
        <v>163</v>
      </c>
    </row>
    <row r="210" spans="1:38" ht="13" customHeight="1" x14ac:dyDescent="0.2">
      <c r="A210" s="87" t="s">
        <v>6549</v>
      </c>
      <c r="B210" s="105">
        <v>1</v>
      </c>
      <c r="C210" s="98" t="s">
        <v>6095</v>
      </c>
      <c r="D210" s="126" t="s">
        <v>6235</v>
      </c>
      <c r="E210" s="126" t="s">
        <v>24</v>
      </c>
      <c r="F210" s="127" t="s">
        <v>6550</v>
      </c>
      <c r="G210" s="128">
        <v>17.37295277777778</v>
      </c>
      <c r="H210" s="129">
        <v>78.524822222222227</v>
      </c>
      <c r="I210" s="98" t="s">
        <v>6527</v>
      </c>
      <c r="J210" s="98" t="s">
        <v>17</v>
      </c>
      <c r="K210" s="106" t="s">
        <v>17</v>
      </c>
      <c r="L210" s="88" t="s">
        <v>163</v>
      </c>
      <c r="M210" s="89" t="s">
        <v>163</v>
      </c>
      <c r="N210" s="99" t="s">
        <v>163</v>
      </c>
      <c r="O210" s="98" t="s">
        <v>163</v>
      </c>
      <c r="P210" s="106" t="s">
        <v>163</v>
      </c>
      <c r="Q210" s="104" t="s">
        <v>163</v>
      </c>
      <c r="R210" s="104" t="s">
        <v>163</v>
      </c>
      <c r="S210" s="102" t="s">
        <v>163</v>
      </c>
      <c r="T210" s="103" t="s">
        <v>163</v>
      </c>
      <c r="U210" s="102" t="s">
        <v>163</v>
      </c>
      <c r="V210" s="102" t="s">
        <v>163</v>
      </c>
      <c r="W210" s="103" t="s">
        <v>163</v>
      </c>
      <c r="X210" s="102" t="s">
        <v>163</v>
      </c>
      <c r="Y210" s="102" t="s">
        <v>163</v>
      </c>
      <c r="Z210" s="102" t="s">
        <v>163</v>
      </c>
      <c r="AA210" s="105" t="s">
        <v>163</v>
      </c>
      <c r="AB210" s="104" t="s">
        <v>163</v>
      </c>
      <c r="AC210" s="104" t="s">
        <v>163</v>
      </c>
      <c r="AD210" s="102" t="s">
        <v>163</v>
      </c>
      <c r="AE210" s="103" t="s">
        <v>163</v>
      </c>
      <c r="AF210" s="104" t="s">
        <v>163</v>
      </c>
      <c r="AG210" s="102" t="s">
        <v>163</v>
      </c>
      <c r="AH210" s="103" t="s">
        <v>163</v>
      </c>
      <c r="AI210" s="104" t="s">
        <v>163</v>
      </c>
      <c r="AJ210" s="102" t="s">
        <v>163</v>
      </c>
      <c r="AK210" s="103" t="s">
        <v>163</v>
      </c>
      <c r="AL210" s="105" t="s">
        <v>163</v>
      </c>
    </row>
    <row r="211" spans="1:38" ht="13" customHeight="1" x14ac:dyDescent="0.2">
      <c r="A211" s="87" t="s">
        <v>6551</v>
      </c>
      <c r="B211" s="105">
        <v>1</v>
      </c>
      <c r="C211" s="98" t="s">
        <v>6020</v>
      </c>
      <c r="D211" s="126" t="s">
        <v>6151</v>
      </c>
      <c r="E211" s="126" t="s">
        <v>24</v>
      </c>
      <c r="F211" s="127" t="s">
        <v>6211</v>
      </c>
      <c r="G211" s="128">
        <v>23.259933</v>
      </c>
      <c r="H211" s="129">
        <v>77.412615000000002</v>
      </c>
      <c r="I211" s="98" t="s">
        <v>6527</v>
      </c>
      <c r="J211" s="98" t="s">
        <v>17</v>
      </c>
      <c r="K211" s="106" t="s">
        <v>17</v>
      </c>
      <c r="L211" s="88" t="s">
        <v>163</v>
      </c>
      <c r="M211" s="89" t="s">
        <v>163</v>
      </c>
      <c r="N211" s="99" t="s">
        <v>163</v>
      </c>
      <c r="O211" s="98" t="s">
        <v>163</v>
      </c>
      <c r="P211" s="106" t="s">
        <v>163</v>
      </c>
      <c r="Q211" s="104" t="s">
        <v>163</v>
      </c>
      <c r="R211" s="104" t="s">
        <v>163</v>
      </c>
      <c r="S211" s="102" t="s">
        <v>163</v>
      </c>
      <c r="T211" s="103" t="s">
        <v>163</v>
      </c>
      <c r="U211" s="102" t="s">
        <v>163</v>
      </c>
      <c r="V211" s="102" t="s">
        <v>163</v>
      </c>
      <c r="W211" s="103" t="s">
        <v>163</v>
      </c>
      <c r="X211" s="102" t="s">
        <v>163</v>
      </c>
      <c r="Y211" s="102" t="s">
        <v>163</v>
      </c>
      <c r="Z211" s="102" t="s">
        <v>163</v>
      </c>
      <c r="AA211" s="105" t="s">
        <v>163</v>
      </c>
      <c r="AB211" s="104" t="s">
        <v>163</v>
      </c>
      <c r="AC211" s="104" t="s">
        <v>163</v>
      </c>
      <c r="AD211" s="102" t="s">
        <v>163</v>
      </c>
      <c r="AE211" s="103" t="s">
        <v>163</v>
      </c>
      <c r="AF211" s="104" t="s">
        <v>163</v>
      </c>
      <c r="AG211" s="102" t="s">
        <v>163</v>
      </c>
      <c r="AH211" s="103" t="s">
        <v>163</v>
      </c>
      <c r="AI211" s="104" t="s">
        <v>163</v>
      </c>
      <c r="AJ211" s="102" t="s">
        <v>163</v>
      </c>
      <c r="AK211" s="103" t="s">
        <v>163</v>
      </c>
      <c r="AL211" s="105" t="s">
        <v>163</v>
      </c>
    </row>
    <row r="212" spans="1:38" ht="13" customHeight="1" x14ac:dyDescent="0.2">
      <c r="A212" s="87" t="s">
        <v>6552</v>
      </c>
      <c r="B212" s="105">
        <v>1</v>
      </c>
      <c r="C212" s="98" t="s">
        <v>6020</v>
      </c>
      <c r="D212" s="126" t="s">
        <v>6110</v>
      </c>
      <c r="E212" s="126" t="s">
        <v>24</v>
      </c>
      <c r="F212" s="127" t="s">
        <v>6236</v>
      </c>
      <c r="G212" s="128">
        <v>17.385044000000001</v>
      </c>
      <c r="H212" s="129">
        <v>78.486671000000001</v>
      </c>
      <c r="I212" s="98" t="s">
        <v>6527</v>
      </c>
      <c r="J212" s="98" t="s">
        <v>17</v>
      </c>
      <c r="K212" s="106" t="s">
        <v>17</v>
      </c>
      <c r="L212" s="88" t="s">
        <v>163</v>
      </c>
      <c r="M212" s="89" t="s">
        <v>163</v>
      </c>
      <c r="N212" s="99" t="s">
        <v>163</v>
      </c>
      <c r="O212" s="98" t="s">
        <v>163</v>
      </c>
      <c r="P212" s="106" t="s">
        <v>163</v>
      </c>
      <c r="Q212" s="104" t="s">
        <v>163</v>
      </c>
      <c r="R212" s="104" t="s">
        <v>163</v>
      </c>
      <c r="S212" s="102" t="s">
        <v>163</v>
      </c>
      <c r="T212" s="103" t="s">
        <v>163</v>
      </c>
      <c r="U212" s="102" t="s">
        <v>163</v>
      </c>
      <c r="V212" s="102" t="s">
        <v>163</v>
      </c>
      <c r="W212" s="103" t="s">
        <v>163</v>
      </c>
      <c r="X212" s="102" t="s">
        <v>163</v>
      </c>
      <c r="Y212" s="102" t="s">
        <v>163</v>
      </c>
      <c r="Z212" s="102" t="s">
        <v>163</v>
      </c>
      <c r="AA212" s="105" t="s">
        <v>163</v>
      </c>
      <c r="AB212" s="104" t="s">
        <v>163</v>
      </c>
      <c r="AC212" s="104" t="s">
        <v>163</v>
      </c>
      <c r="AD212" s="102" t="s">
        <v>163</v>
      </c>
      <c r="AE212" s="103" t="s">
        <v>163</v>
      </c>
      <c r="AF212" s="104" t="s">
        <v>163</v>
      </c>
      <c r="AG212" s="102" t="s">
        <v>163</v>
      </c>
      <c r="AH212" s="103" t="s">
        <v>163</v>
      </c>
      <c r="AI212" s="104" t="s">
        <v>163</v>
      </c>
      <c r="AJ212" s="102" t="s">
        <v>163</v>
      </c>
      <c r="AK212" s="103" t="s">
        <v>163</v>
      </c>
      <c r="AL212" s="105" t="s">
        <v>163</v>
      </c>
    </row>
    <row r="213" spans="1:38" ht="13" customHeight="1" x14ac:dyDescent="0.2">
      <c r="A213" s="87" t="s">
        <v>6553</v>
      </c>
      <c r="B213" s="105">
        <v>2</v>
      </c>
      <c r="C213" s="98" t="s">
        <v>6095</v>
      </c>
      <c r="D213" s="126" t="s">
        <v>6110</v>
      </c>
      <c r="E213" s="126" t="s">
        <v>24</v>
      </c>
      <c r="F213" s="127" t="s">
        <v>6361</v>
      </c>
      <c r="G213" s="128">
        <v>18.277899999999999</v>
      </c>
      <c r="H213" s="129">
        <v>83.370841666666664</v>
      </c>
      <c r="I213" s="98" t="s">
        <v>6554</v>
      </c>
      <c r="J213" s="98" t="s">
        <v>17</v>
      </c>
      <c r="K213" s="106" t="s">
        <v>17</v>
      </c>
      <c r="L213" s="88" t="s">
        <v>163</v>
      </c>
      <c r="M213" s="89" t="s">
        <v>163</v>
      </c>
      <c r="N213" s="99" t="s">
        <v>163</v>
      </c>
      <c r="O213" s="98" t="s">
        <v>163</v>
      </c>
      <c r="P213" s="106" t="s">
        <v>163</v>
      </c>
      <c r="Q213" s="104" t="s">
        <v>163</v>
      </c>
      <c r="R213" s="104" t="s">
        <v>163</v>
      </c>
      <c r="S213" s="102" t="s">
        <v>163</v>
      </c>
      <c r="T213" s="103" t="s">
        <v>163</v>
      </c>
      <c r="U213" s="102" t="s">
        <v>163</v>
      </c>
      <c r="V213" s="102" t="s">
        <v>163</v>
      </c>
      <c r="W213" s="103" t="s">
        <v>163</v>
      </c>
      <c r="X213" s="102" t="s">
        <v>163</v>
      </c>
      <c r="Y213" s="102" t="s">
        <v>163</v>
      </c>
      <c r="Z213" s="102" t="s">
        <v>163</v>
      </c>
      <c r="AA213" s="105" t="s">
        <v>163</v>
      </c>
      <c r="AB213" s="104" t="s">
        <v>163</v>
      </c>
      <c r="AC213" s="104" t="s">
        <v>163</v>
      </c>
      <c r="AD213" s="102" t="s">
        <v>163</v>
      </c>
      <c r="AE213" s="103" t="s">
        <v>163</v>
      </c>
      <c r="AF213" s="104" t="s">
        <v>163</v>
      </c>
      <c r="AG213" s="102" t="s">
        <v>163</v>
      </c>
      <c r="AH213" s="103" t="s">
        <v>163</v>
      </c>
      <c r="AI213" s="104" t="s">
        <v>163</v>
      </c>
      <c r="AJ213" s="102" t="s">
        <v>163</v>
      </c>
      <c r="AK213" s="103" t="s">
        <v>163</v>
      </c>
      <c r="AL213" s="105" t="s">
        <v>163</v>
      </c>
    </row>
    <row r="214" spans="1:38" ht="13" customHeight="1" x14ac:dyDescent="0.25">
      <c r="A214" s="87" t="s">
        <v>6555</v>
      </c>
      <c r="B214" s="105">
        <v>2</v>
      </c>
      <c r="C214" s="98" t="s">
        <v>6020</v>
      </c>
      <c r="D214" s="126" t="s">
        <v>6028</v>
      </c>
      <c r="E214" s="126" t="s">
        <v>24</v>
      </c>
      <c r="F214" s="127" t="s">
        <v>6556</v>
      </c>
      <c r="G214" s="128">
        <v>22.307158333333334</v>
      </c>
      <c r="H214" s="129">
        <v>73.181219444444451</v>
      </c>
      <c r="I214" s="98" t="s">
        <v>6557</v>
      </c>
      <c r="J214" s="98" t="s">
        <v>17</v>
      </c>
      <c r="K214" s="106" t="s">
        <v>17</v>
      </c>
      <c r="L214" s="88" t="s">
        <v>163</v>
      </c>
      <c r="M214" s="89" t="s">
        <v>163</v>
      </c>
      <c r="N214" s="99" t="s">
        <v>163</v>
      </c>
      <c r="O214" s="98" t="s">
        <v>163</v>
      </c>
      <c r="P214" s="106" t="s">
        <v>163</v>
      </c>
      <c r="Q214" s="104" t="s">
        <v>163</v>
      </c>
      <c r="R214" s="104" t="s">
        <v>163</v>
      </c>
      <c r="S214" s="102" t="s">
        <v>163</v>
      </c>
      <c r="T214" s="103" t="s">
        <v>163</v>
      </c>
      <c r="U214" s="102" t="s">
        <v>163</v>
      </c>
      <c r="V214" s="102" t="s">
        <v>163</v>
      </c>
      <c r="W214" s="103" t="s">
        <v>163</v>
      </c>
      <c r="X214" s="102" t="s">
        <v>163</v>
      </c>
      <c r="Y214" s="102" t="s">
        <v>163</v>
      </c>
      <c r="Z214" s="102" t="s">
        <v>163</v>
      </c>
      <c r="AA214" s="105" t="s">
        <v>163</v>
      </c>
      <c r="AB214" s="104" t="s">
        <v>163</v>
      </c>
      <c r="AC214" s="104" t="s">
        <v>163</v>
      </c>
      <c r="AD214" s="102" t="s">
        <v>163</v>
      </c>
      <c r="AE214" s="103" t="s">
        <v>163</v>
      </c>
      <c r="AF214" s="104" t="s">
        <v>163</v>
      </c>
      <c r="AG214" s="102" t="s">
        <v>163</v>
      </c>
      <c r="AH214" s="103" t="s">
        <v>163</v>
      </c>
      <c r="AI214" s="104" t="s">
        <v>163</v>
      </c>
      <c r="AJ214" s="102" t="s">
        <v>163</v>
      </c>
      <c r="AK214" s="103" t="s">
        <v>163</v>
      </c>
      <c r="AL214" s="105" t="s">
        <v>163</v>
      </c>
    </row>
    <row r="215" spans="1:38" ht="13" customHeight="1" x14ac:dyDescent="0.25">
      <c r="A215" s="87" t="s">
        <v>6558</v>
      </c>
      <c r="B215" s="130">
        <v>4</v>
      </c>
      <c r="C215" s="98" t="s">
        <v>6095</v>
      </c>
      <c r="D215" s="126" t="s">
        <v>6186</v>
      </c>
      <c r="E215" s="126" t="s">
        <v>24</v>
      </c>
      <c r="F215" s="127" t="s">
        <v>17</v>
      </c>
      <c r="G215" s="128">
        <v>11.02</v>
      </c>
      <c r="H215" s="129">
        <v>76.98</v>
      </c>
      <c r="I215" s="98" t="s">
        <v>6557</v>
      </c>
      <c r="J215" s="98" t="s">
        <v>17</v>
      </c>
      <c r="K215" s="106" t="s">
        <v>17</v>
      </c>
      <c r="L215" s="88" t="s">
        <v>163</v>
      </c>
      <c r="M215" s="89" t="s">
        <v>163</v>
      </c>
      <c r="N215" s="99" t="s">
        <v>163</v>
      </c>
      <c r="O215" s="98" t="s">
        <v>163</v>
      </c>
      <c r="P215" s="106" t="s">
        <v>163</v>
      </c>
      <c r="Q215" s="104" t="s">
        <v>163</v>
      </c>
      <c r="R215" s="104" t="s">
        <v>163</v>
      </c>
      <c r="S215" s="102" t="s">
        <v>163</v>
      </c>
      <c r="T215" s="103" t="s">
        <v>163</v>
      </c>
      <c r="U215" s="102" t="s">
        <v>163</v>
      </c>
      <c r="V215" s="102" t="s">
        <v>163</v>
      </c>
      <c r="W215" s="103" t="s">
        <v>163</v>
      </c>
      <c r="X215" s="102" t="s">
        <v>163</v>
      </c>
      <c r="Y215" s="102" t="s">
        <v>163</v>
      </c>
      <c r="Z215" s="102" t="s">
        <v>163</v>
      </c>
      <c r="AA215" s="105" t="s">
        <v>163</v>
      </c>
      <c r="AB215" s="104" t="s">
        <v>163</v>
      </c>
      <c r="AC215" s="104" t="s">
        <v>163</v>
      </c>
      <c r="AD215" s="102" t="s">
        <v>163</v>
      </c>
      <c r="AE215" s="103" t="s">
        <v>163</v>
      </c>
      <c r="AF215" s="104" t="s">
        <v>163</v>
      </c>
      <c r="AG215" s="102" t="s">
        <v>163</v>
      </c>
      <c r="AH215" s="103" t="s">
        <v>163</v>
      </c>
      <c r="AI215" s="104" t="s">
        <v>163</v>
      </c>
      <c r="AJ215" s="102" t="s">
        <v>163</v>
      </c>
      <c r="AK215" s="103" t="s">
        <v>163</v>
      </c>
      <c r="AL215" s="105" t="s">
        <v>163</v>
      </c>
    </row>
    <row r="216" spans="1:38" ht="13" customHeight="1" x14ac:dyDescent="0.25">
      <c r="A216" s="87" t="s">
        <v>6559</v>
      </c>
      <c r="B216" s="105">
        <v>6</v>
      </c>
      <c r="C216" s="98" t="s">
        <v>6095</v>
      </c>
      <c r="D216" s="126" t="s">
        <v>6560</v>
      </c>
      <c r="E216" s="126" t="s">
        <v>24</v>
      </c>
      <c r="F216" s="127" t="s">
        <v>6104</v>
      </c>
      <c r="G216" s="128">
        <v>12.914142</v>
      </c>
      <c r="H216" s="129">
        <v>74.855957000000004</v>
      </c>
      <c r="I216" s="98" t="s">
        <v>6557</v>
      </c>
      <c r="J216" s="98" t="s">
        <v>17</v>
      </c>
      <c r="K216" s="106" t="s">
        <v>17</v>
      </c>
      <c r="L216" s="88" t="s">
        <v>163</v>
      </c>
      <c r="M216" s="89" t="s">
        <v>163</v>
      </c>
      <c r="N216" s="99" t="s">
        <v>163</v>
      </c>
      <c r="O216" s="98" t="s">
        <v>163</v>
      </c>
      <c r="P216" s="106" t="s">
        <v>163</v>
      </c>
      <c r="Q216" s="104" t="s">
        <v>163</v>
      </c>
      <c r="R216" s="104" t="s">
        <v>163</v>
      </c>
      <c r="S216" s="102" t="s">
        <v>163</v>
      </c>
      <c r="T216" s="103" t="s">
        <v>163</v>
      </c>
      <c r="U216" s="102" t="s">
        <v>163</v>
      </c>
      <c r="V216" s="102" t="s">
        <v>163</v>
      </c>
      <c r="W216" s="103" t="s">
        <v>163</v>
      </c>
      <c r="X216" s="102" t="s">
        <v>163</v>
      </c>
      <c r="Y216" s="102" t="s">
        <v>163</v>
      </c>
      <c r="Z216" s="102" t="s">
        <v>163</v>
      </c>
      <c r="AA216" s="105" t="s">
        <v>163</v>
      </c>
      <c r="AB216" s="104" t="s">
        <v>163</v>
      </c>
      <c r="AC216" s="104" t="s">
        <v>163</v>
      </c>
      <c r="AD216" s="102" t="s">
        <v>163</v>
      </c>
      <c r="AE216" s="103" t="s">
        <v>163</v>
      </c>
      <c r="AF216" s="104" t="s">
        <v>163</v>
      </c>
      <c r="AG216" s="102" t="s">
        <v>163</v>
      </c>
      <c r="AH216" s="103" t="s">
        <v>163</v>
      </c>
      <c r="AI216" s="104" t="s">
        <v>163</v>
      </c>
      <c r="AJ216" s="102" t="s">
        <v>163</v>
      </c>
      <c r="AK216" s="103" t="s">
        <v>163</v>
      </c>
      <c r="AL216" s="105" t="s">
        <v>163</v>
      </c>
    </row>
    <row r="217" spans="1:38" ht="13" customHeight="1" x14ac:dyDescent="0.25">
      <c r="A217" s="87" t="s">
        <v>6561</v>
      </c>
      <c r="B217" s="105">
        <v>4</v>
      </c>
      <c r="C217" s="98" t="s">
        <v>6020</v>
      </c>
      <c r="D217" s="126" t="s">
        <v>6034</v>
      </c>
      <c r="E217" s="126" t="s">
        <v>24</v>
      </c>
      <c r="F217" s="127" t="s">
        <v>6049</v>
      </c>
      <c r="G217" s="128">
        <v>33.879802777777776</v>
      </c>
      <c r="H217" s="129">
        <v>74.927888888888887</v>
      </c>
      <c r="I217" s="98" t="s">
        <v>6557</v>
      </c>
      <c r="J217" s="98" t="s">
        <v>17</v>
      </c>
      <c r="K217" s="106" t="s">
        <v>17</v>
      </c>
      <c r="L217" s="88" t="s">
        <v>163</v>
      </c>
      <c r="M217" s="89" t="s">
        <v>163</v>
      </c>
      <c r="N217" s="99" t="s">
        <v>163</v>
      </c>
      <c r="O217" s="98" t="s">
        <v>163</v>
      </c>
      <c r="P217" s="106" t="s">
        <v>163</v>
      </c>
      <c r="Q217" s="104" t="s">
        <v>163</v>
      </c>
      <c r="R217" s="104" t="s">
        <v>163</v>
      </c>
      <c r="S217" s="102" t="s">
        <v>163</v>
      </c>
      <c r="T217" s="103" t="s">
        <v>163</v>
      </c>
      <c r="U217" s="102" t="s">
        <v>163</v>
      </c>
      <c r="V217" s="102" t="s">
        <v>163</v>
      </c>
      <c r="W217" s="103" t="s">
        <v>163</v>
      </c>
      <c r="X217" s="102" t="s">
        <v>163</v>
      </c>
      <c r="Y217" s="102" t="s">
        <v>163</v>
      </c>
      <c r="Z217" s="102" t="s">
        <v>163</v>
      </c>
      <c r="AA217" s="105" t="s">
        <v>163</v>
      </c>
      <c r="AB217" s="104" t="s">
        <v>163</v>
      </c>
      <c r="AC217" s="104" t="s">
        <v>163</v>
      </c>
      <c r="AD217" s="102" t="s">
        <v>163</v>
      </c>
      <c r="AE217" s="103" t="s">
        <v>163</v>
      </c>
      <c r="AF217" s="104" t="s">
        <v>163</v>
      </c>
      <c r="AG217" s="102" t="s">
        <v>163</v>
      </c>
      <c r="AH217" s="103" t="s">
        <v>163</v>
      </c>
      <c r="AI217" s="104" t="s">
        <v>163</v>
      </c>
      <c r="AJ217" s="102" t="s">
        <v>163</v>
      </c>
      <c r="AK217" s="103" t="s">
        <v>163</v>
      </c>
      <c r="AL217" s="105" t="s">
        <v>163</v>
      </c>
    </row>
    <row r="218" spans="1:38" ht="13" customHeight="1" x14ac:dyDescent="0.25">
      <c r="A218" s="87" t="s">
        <v>6562</v>
      </c>
      <c r="B218" s="105">
        <v>31</v>
      </c>
      <c r="C218" s="98" t="s">
        <v>6020</v>
      </c>
      <c r="D218" s="126" t="s">
        <v>6046</v>
      </c>
      <c r="E218" s="126" t="s">
        <v>24</v>
      </c>
      <c r="F218" s="127" t="s">
        <v>6047</v>
      </c>
      <c r="G218" s="128">
        <v>30.129308333333334</v>
      </c>
      <c r="H218" s="129">
        <v>77.26925</v>
      </c>
      <c r="I218" s="98" t="s">
        <v>6557</v>
      </c>
      <c r="J218" s="98" t="s">
        <v>17</v>
      </c>
      <c r="K218" s="106" t="s">
        <v>17</v>
      </c>
      <c r="L218" s="88" t="s">
        <v>163</v>
      </c>
      <c r="M218" s="89" t="s">
        <v>163</v>
      </c>
      <c r="N218" s="99" t="s">
        <v>163</v>
      </c>
      <c r="O218" s="98" t="s">
        <v>163</v>
      </c>
      <c r="P218" s="106" t="s">
        <v>163</v>
      </c>
      <c r="Q218" s="104" t="s">
        <v>163</v>
      </c>
      <c r="R218" s="104" t="s">
        <v>163</v>
      </c>
      <c r="S218" s="102" t="s">
        <v>163</v>
      </c>
      <c r="T218" s="103" t="s">
        <v>163</v>
      </c>
      <c r="U218" s="102" t="s">
        <v>163</v>
      </c>
      <c r="V218" s="102" t="s">
        <v>163</v>
      </c>
      <c r="W218" s="103" t="s">
        <v>163</v>
      </c>
      <c r="X218" s="102" t="s">
        <v>163</v>
      </c>
      <c r="Y218" s="102" t="s">
        <v>163</v>
      </c>
      <c r="Z218" s="102" t="s">
        <v>163</v>
      </c>
      <c r="AA218" s="105" t="s">
        <v>163</v>
      </c>
      <c r="AB218" s="104" t="s">
        <v>163</v>
      </c>
      <c r="AC218" s="104" t="s">
        <v>163</v>
      </c>
      <c r="AD218" s="102" t="s">
        <v>163</v>
      </c>
      <c r="AE218" s="103" t="s">
        <v>163</v>
      </c>
      <c r="AF218" s="104" t="s">
        <v>163</v>
      </c>
      <c r="AG218" s="102" t="s">
        <v>163</v>
      </c>
      <c r="AH218" s="103" t="s">
        <v>163</v>
      </c>
      <c r="AI218" s="104" t="s">
        <v>163</v>
      </c>
      <c r="AJ218" s="102" t="s">
        <v>163</v>
      </c>
      <c r="AK218" s="103" t="s">
        <v>163</v>
      </c>
      <c r="AL218" s="105" t="s">
        <v>163</v>
      </c>
    </row>
    <row r="219" spans="1:38" ht="13" customHeight="1" x14ac:dyDescent="0.25">
      <c r="A219" s="87" t="s">
        <v>6563</v>
      </c>
      <c r="B219" s="105">
        <v>14</v>
      </c>
      <c r="C219" s="98" t="s">
        <v>6020</v>
      </c>
      <c r="D219" s="126" t="s">
        <v>6031</v>
      </c>
      <c r="E219" s="126" t="s">
        <v>24</v>
      </c>
      <c r="F219" s="127" t="s">
        <v>6031</v>
      </c>
      <c r="G219" s="128">
        <v>24.27</v>
      </c>
      <c r="H219" s="129">
        <v>68.7</v>
      </c>
      <c r="I219" s="98" t="s">
        <v>6557</v>
      </c>
      <c r="J219" s="98" t="s">
        <v>17</v>
      </c>
      <c r="K219" s="106" t="s">
        <v>17</v>
      </c>
      <c r="L219" s="88" t="s">
        <v>163</v>
      </c>
      <c r="M219" s="89" t="s">
        <v>163</v>
      </c>
      <c r="N219" s="99" t="s">
        <v>163</v>
      </c>
      <c r="O219" s="98" t="s">
        <v>163</v>
      </c>
      <c r="P219" s="106" t="s">
        <v>163</v>
      </c>
      <c r="Q219" s="104" t="s">
        <v>163</v>
      </c>
      <c r="R219" s="104" t="s">
        <v>163</v>
      </c>
      <c r="S219" s="102" t="s">
        <v>163</v>
      </c>
      <c r="T219" s="103" t="s">
        <v>163</v>
      </c>
      <c r="U219" s="102" t="s">
        <v>163</v>
      </c>
      <c r="V219" s="102" t="s">
        <v>163</v>
      </c>
      <c r="W219" s="103" t="s">
        <v>163</v>
      </c>
      <c r="X219" s="102" t="s">
        <v>163</v>
      </c>
      <c r="Y219" s="102" t="s">
        <v>163</v>
      </c>
      <c r="Z219" s="102" t="s">
        <v>163</v>
      </c>
      <c r="AA219" s="105" t="s">
        <v>163</v>
      </c>
      <c r="AB219" s="104" t="s">
        <v>163</v>
      </c>
      <c r="AC219" s="104" t="s">
        <v>163</v>
      </c>
      <c r="AD219" s="102" t="s">
        <v>163</v>
      </c>
      <c r="AE219" s="103" t="s">
        <v>163</v>
      </c>
      <c r="AF219" s="104" t="s">
        <v>163</v>
      </c>
      <c r="AG219" s="102" t="s">
        <v>163</v>
      </c>
      <c r="AH219" s="103" t="s">
        <v>163</v>
      </c>
      <c r="AI219" s="104" t="s">
        <v>163</v>
      </c>
      <c r="AJ219" s="102" t="s">
        <v>163</v>
      </c>
      <c r="AK219" s="103" t="s">
        <v>163</v>
      </c>
      <c r="AL219" s="105" t="s">
        <v>163</v>
      </c>
    </row>
    <row r="220" spans="1:38" ht="13" customHeight="1" x14ac:dyDescent="0.25">
      <c r="A220" s="87" t="s">
        <v>6564</v>
      </c>
      <c r="B220" s="105">
        <v>4</v>
      </c>
      <c r="C220" s="98" t="s">
        <v>6095</v>
      </c>
      <c r="D220" s="126" t="s">
        <v>6186</v>
      </c>
      <c r="E220" s="126" t="s">
        <v>24</v>
      </c>
      <c r="F220" s="127" t="s">
        <v>17</v>
      </c>
      <c r="G220" s="128">
        <v>12.097225</v>
      </c>
      <c r="H220" s="129">
        <v>79.801677777777769</v>
      </c>
      <c r="I220" s="98" t="s">
        <v>6557</v>
      </c>
      <c r="J220" s="98" t="s">
        <v>17</v>
      </c>
      <c r="K220" s="106" t="s">
        <v>17</v>
      </c>
      <c r="L220" s="88" t="s">
        <v>163</v>
      </c>
      <c r="M220" s="89" t="s">
        <v>163</v>
      </c>
      <c r="N220" s="99" t="s">
        <v>163</v>
      </c>
      <c r="O220" s="98" t="s">
        <v>163</v>
      </c>
      <c r="P220" s="106" t="s">
        <v>163</v>
      </c>
      <c r="Q220" s="104" t="s">
        <v>163</v>
      </c>
      <c r="R220" s="104" t="s">
        <v>163</v>
      </c>
      <c r="S220" s="102" t="s">
        <v>163</v>
      </c>
      <c r="T220" s="103" t="s">
        <v>163</v>
      </c>
      <c r="U220" s="102" t="s">
        <v>163</v>
      </c>
      <c r="V220" s="102" t="s">
        <v>163</v>
      </c>
      <c r="W220" s="103" t="s">
        <v>163</v>
      </c>
      <c r="X220" s="102" t="s">
        <v>163</v>
      </c>
      <c r="Y220" s="102" t="s">
        <v>163</v>
      </c>
      <c r="Z220" s="102" t="s">
        <v>163</v>
      </c>
      <c r="AA220" s="105" t="s">
        <v>163</v>
      </c>
      <c r="AB220" s="104" t="s">
        <v>163</v>
      </c>
      <c r="AC220" s="104" t="s">
        <v>163</v>
      </c>
      <c r="AD220" s="102" t="s">
        <v>163</v>
      </c>
      <c r="AE220" s="103" t="s">
        <v>163</v>
      </c>
      <c r="AF220" s="104" t="s">
        <v>163</v>
      </c>
      <c r="AG220" s="102" t="s">
        <v>163</v>
      </c>
      <c r="AH220" s="103" t="s">
        <v>163</v>
      </c>
      <c r="AI220" s="104" t="s">
        <v>163</v>
      </c>
      <c r="AJ220" s="102" t="s">
        <v>163</v>
      </c>
      <c r="AK220" s="103" t="s">
        <v>163</v>
      </c>
      <c r="AL220" s="105" t="s">
        <v>163</v>
      </c>
    </row>
    <row r="221" spans="1:38" ht="13" customHeight="1" x14ac:dyDescent="0.2">
      <c r="A221" s="87" t="s">
        <v>6565</v>
      </c>
      <c r="B221" s="105">
        <v>20</v>
      </c>
      <c r="C221" s="98" t="s">
        <v>6020</v>
      </c>
      <c r="D221" s="126" t="s">
        <v>173</v>
      </c>
      <c r="E221" s="126" t="s">
        <v>24</v>
      </c>
      <c r="F221" s="127" t="s">
        <v>173</v>
      </c>
      <c r="G221" s="128">
        <v>30.498714920000001</v>
      </c>
      <c r="H221" s="129">
        <v>66.5</v>
      </c>
      <c r="I221" s="98" t="s">
        <v>6566</v>
      </c>
      <c r="J221" s="98" t="s">
        <v>17</v>
      </c>
      <c r="K221" s="106" t="s">
        <v>17</v>
      </c>
      <c r="L221" s="88" t="s">
        <v>163</v>
      </c>
      <c r="M221" s="89" t="s">
        <v>163</v>
      </c>
      <c r="N221" s="99" t="s">
        <v>163</v>
      </c>
      <c r="O221" s="98" t="s">
        <v>163</v>
      </c>
      <c r="P221" s="106" t="s">
        <v>163</v>
      </c>
      <c r="Q221" s="104" t="s">
        <v>163</v>
      </c>
      <c r="R221" s="104" t="s">
        <v>163</v>
      </c>
      <c r="S221" s="102" t="s">
        <v>163</v>
      </c>
      <c r="T221" s="103" t="s">
        <v>163</v>
      </c>
      <c r="U221" s="102" t="s">
        <v>163</v>
      </c>
      <c r="V221" s="102" t="s">
        <v>163</v>
      </c>
      <c r="W221" s="103" t="s">
        <v>163</v>
      </c>
      <c r="X221" s="102" t="s">
        <v>163</v>
      </c>
      <c r="Y221" s="102" t="s">
        <v>163</v>
      </c>
      <c r="Z221" s="102" t="s">
        <v>163</v>
      </c>
      <c r="AA221" s="105" t="s">
        <v>163</v>
      </c>
      <c r="AB221" s="104" t="s">
        <v>163</v>
      </c>
      <c r="AC221" s="104" t="s">
        <v>163</v>
      </c>
      <c r="AD221" s="102" t="s">
        <v>163</v>
      </c>
      <c r="AE221" s="103" t="s">
        <v>163</v>
      </c>
      <c r="AF221" s="104" t="s">
        <v>163</v>
      </c>
      <c r="AG221" s="102" t="s">
        <v>163</v>
      </c>
      <c r="AH221" s="103" t="s">
        <v>163</v>
      </c>
      <c r="AI221" s="104" t="s">
        <v>163</v>
      </c>
      <c r="AJ221" s="102" t="s">
        <v>163</v>
      </c>
      <c r="AK221" s="103" t="s">
        <v>163</v>
      </c>
      <c r="AL221" s="105" t="s">
        <v>163</v>
      </c>
    </row>
    <row r="222" spans="1:38" ht="13" customHeight="1" x14ac:dyDescent="0.2">
      <c r="A222" s="87" t="s">
        <v>6567</v>
      </c>
      <c r="B222" s="105">
        <v>21</v>
      </c>
      <c r="C222" s="98" t="s">
        <v>6095</v>
      </c>
      <c r="D222" s="126" t="s">
        <v>173</v>
      </c>
      <c r="E222" s="126" t="s">
        <v>24</v>
      </c>
      <c r="F222" s="127" t="s">
        <v>173</v>
      </c>
      <c r="G222" s="128">
        <v>30.498714920000001</v>
      </c>
      <c r="H222" s="129">
        <v>66.5</v>
      </c>
      <c r="I222" s="98" t="s">
        <v>6566</v>
      </c>
      <c r="J222" s="98" t="s">
        <v>17</v>
      </c>
      <c r="K222" s="106" t="s">
        <v>17</v>
      </c>
      <c r="L222" s="88" t="s">
        <v>163</v>
      </c>
      <c r="M222" s="89" t="s">
        <v>163</v>
      </c>
      <c r="N222" s="99" t="s">
        <v>163</v>
      </c>
      <c r="O222" s="98" t="s">
        <v>163</v>
      </c>
      <c r="P222" s="106" t="s">
        <v>163</v>
      </c>
      <c r="Q222" s="104" t="s">
        <v>163</v>
      </c>
      <c r="R222" s="104" t="s">
        <v>163</v>
      </c>
      <c r="S222" s="102" t="s">
        <v>163</v>
      </c>
      <c r="T222" s="103" t="s">
        <v>163</v>
      </c>
      <c r="U222" s="102" t="s">
        <v>163</v>
      </c>
      <c r="V222" s="102" t="s">
        <v>163</v>
      </c>
      <c r="W222" s="103" t="s">
        <v>163</v>
      </c>
      <c r="X222" s="102" t="s">
        <v>163</v>
      </c>
      <c r="Y222" s="102" t="s">
        <v>163</v>
      </c>
      <c r="Z222" s="102" t="s">
        <v>163</v>
      </c>
      <c r="AA222" s="105" t="s">
        <v>163</v>
      </c>
      <c r="AB222" s="104" t="s">
        <v>163</v>
      </c>
      <c r="AC222" s="104" t="s">
        <v>163</v>
      </c>
      <c r="AD222" s="102" t="s">
        <v>163</v>
      </c>
      <c r="AE222" s="103" t="s">
        <v>163</v>
      </c>
      <c r="AF222" s="104" t="s">
        <v>163</v>
      </c>
      <c r="AG222" s="102" t="s">
        <v>163</v>
      </c>
      <c r="AH222" s="103" t="s">
        <v>163</v>
      </c>
      <c r="AI222" s="104" t="s">
        <v>163</v>
      </c>
      <c r="AJ222" s="102" t="s">
        <v>163</v>
      </c>
      <c r="AK222" s="103" t="s">
        <v>163</v>
      </c>
      <c r="AL222" s="105" t="s">
        <v>163</v>
      </c>
    </row>
    <row r="223" spans="1:38" ht="13" customHeight="1" x14ac:dyDescent="0.2">
      <c r="A223" s="87" t="s">
        <v>6568</v>
      </c>
      <c r="B223" s="105">
        <v>23</v>
      </c>
      <c r="C223" s="98" t="s">
        <v>6506</v>
      </c>
      <c r="D223" s="126" t="s">
        <v>173</v>
      </c>
      <c r="E223" s="126" t="s">
        <v>24</v>
      </c>
      <c r="F223" s="127" t="s">
        <v>173</v>
      </c>
      <c r="G223" s="128">
        <v>36.498385679999998</v>
      </c>
      <c r="H223" s="129">
        <v>74</v>
      </c>
      <c r="I223" s="98" t="s">
        <v>6566</v>
      </c>
      <c r="J223" s="98" t="s">
        <v>17</v>
      </c>
      <c r="K223" s="106" t="s">
        <v>17</v>
      </c>
      <c r="L223" s="88" t="s">
        <v>163</v>
      </c>
      <c r="M223" s="89" t="s">
        <v>163</v>
      </c>
      <c r="N223" s="99" t="s">
        <v>163</v>
      </c>
      <c r="O223" s="98" t="s">
        <v>163</v>
      </c>
      <c r="P223" s="106" t="s">
        <v>163</v>
      </c>
      <c r="Q223" s="104" t="s">
        <v>163</v>
      </c>
      <c r="R223" s="104" t="s">
        <v>163</v>
      </c>
      <c r="S223" s="102" t="s">
        <v>163</v>
      </c>
      <c r="T223" s="103" t="s">
        <v>163</v>
      </c>
      <c r="U223" s="102" t="s">
        <v>163</v>
      </c>
      <c r="V223" s="102" t="s">
        <v>163</v>
      </c>
      <c r="W223" s="103" t="s">
        <v>163</v>
      </c>
      <c r="X223" s="102" t="s">
        <v>163</v>
      </c>
      <c r="Y223" s="102" t="s">
        <v>163</v>
      </c>
      <c r="Z223" s="102" t="s">
        <v>163</v>
      </c>
      <c r="AA223" s="105" t="s">
        <v>163</v>
      </c>
      <c r="AB223" s="104" t="s">
        <v>163</v>
      </c>
      <c r="AC223" s="104" t="s">
        <v>163</v>
      </c>
      <c r="AD223" s="102" t="s">
        <v>163</v>
      </c>
      <c r="AE223" s="103" t="s">
        <v>163</v>
      </c>
      <c r="AF223" s="104" t="s">
        <v>163</v>
      </c>
      <c r="AG223" s="102" t="s">
        <v>163</v>
      </c>
      <c r="AH223" s="103" t="s">
        <v>163</v>
      </c>
      <c r="AI223" s="104" t="s">
        <v>163</v>
      </c>
      <c r="AJ223" s="102" t="s">
        <v>163</v>
      </c>
      <c r="AK223" s="103" t="s">
        <v>163</v>
      </c>
      <c r="AL223" s="105" t="s">
        <v>163</v>
      </c>
    </row>
    <row r="224" spans="1:38" ht="13" customHeight="1" x14ac:dyDescent="0.2">
      <c r="A224" s="87" t="s">
        <v>6569</v>
      </c>
      <c r="B224" s="105">
        <v>3</v>
      </c>
      <c r="C224" s="98" t="s">
        <v>6095</v>
      </c>
      <c r="D224" s="126" t="s">
        <v>6110</v>
      </c>
      <c r="E224" s="126" t="s">
        <v>24</v>
      </c>
      <c r="F224" s="127" t="s">
        <v>6324</v>
      </c>
      <c r="G224" s="128">
        <v>16.390569444444445</v>
      </c>
      <c r="H224" s="129">
        <v>80.008775</v>
      </c>
      <c r="I224" s="98" t="s">
        <v>6566</v>
      </c>
      <c r="J224" s="98" t="s">
        <v>17</v>
      </c>
      <c r="K224" s="106" t="s">
        <v>17</v>
      </c>
      <c r="L224" s="88" t="s">
        <v>163</v>
      </c>
      <c r="M224" s="89" t="s">
        <v>163</v>
      </c>
      <c r="N224" s="99" t="s">
        <v>163</v>
      </c>
      <c r="O224" s="98" t="s">
        <v>163</v>
      </c>
      <c r="P224" s="106" t="s">
        <v>163</v>
      </c>
      <c r="Q224" s="104" t="s">
        <v>163</v>
      </c>
      <c r="R224" s="104" t="s">
        <v>163</v>
      </c>
      <c r="S224" s="102" t="s">
        <v>163</v>
      </c>
      <c r="T224" s="103" t="s">
        <v>163</v>
      </c>
      <c r="U224" s="102" t="s">
        <v>163</v>
      </c>
      <c r="V224" s="102" t="s">
        <v>163</v>
      </c>
      <c r="W224" s="103" t="s">
        <v>163</v>
      </c>
      <c r="X224" s="102" t="s">
        <v>163</v>
      </c>
      <c r="Y224" s="102" t="s">
        <v>163</v>
      </c>
      <c r="Z224" s="102" t="s">
        <v>163</v>
      </c>
      <c r="AA224" s="105" t="s">
        <v>163</v>
      </c>
      <c r="AB224" s="104" t="s">
        <v>163</v>
      </c>
      <c r="AC224" s="104" t="s">
        <v>163</v>
      </c>
      <c r="AD224" s="102" t="s">
        <v>163</v>
      </c>
      <c r="AE224" s="103" t="s">
        <v>163</v>
      </c>
      <c r="AF224" s="104" t="s">
        <v>163</v>
      </c>
      <c r="AG224" s="102" t="s">
        <v>163</v>
      </c>
      <c r="AH224" s="103" t="s">
        <v>163</v>
      </c>
      <c r="AI224" s="104" t="s">
        <v>163</v>
      </c>
      <c r="AJ224" s="102" t="s">
        <v>163</v>
      </c>
      <c r="AK224" s="103" t="s">
        <v>163</v>
      </c>
      <c r="AL224" s="105" t="s">
        <v>163</v>
      </c>
    </row>
    <row r="225" spans="1:38" ht="13" customHeight="1" x14ac:dyDescent="0.2">
      <c r="A225" s="87" t="s">
        <v>6570</v>
      </c>
      <c r="B225" s="105">
        <v>15</v>
      </c>
      <c r="C225" s="98" t="s">
        <v>6095</v>
      </c>
      <c r="D225" s="126" t="s">
        <v>6401</v>
      </c>
      <c r="E225" s="126" t="s">
        <v>24</v>
      </c>
      <c r="F225" s="127" t="s">
        <v>6571</v>
      </c>
      <c r="G225" s="128">
        <v>9.9700000000000006</v>
      </c>
      <c r="H225" s="129">
        <v>76.28</v>
      </c>
      <c r="I225" s="98" t="s">
        <v>6566</v>
      </c>
      <c r="J225" s="98" t="s">
        <v>17</v>
      </c>
      <c r="K225" s="106" t="s">
        <v>17</v>
      </c>
      <c r="L225" s="88" t="s">
        <v>163</v>
      </c>
      <c r="M225" s="89" t="s">
        <v>163</v>
      </c>
      <c r="N225" s="99" t="s">
        <v>163</v>
      </c>
      <c r="O225" s="98" t="s">
        <v>163</v>
      </c>
      <c r="P225" s="106" t="s">
        <v>163</v>
      </c>
      <c r="Q225" s="104" t="s">
        <v>163</v>
      </c>
      <c r="R225" s="104" t="s">
        <v>163</v>
      </c>
      <c r="S225" s="102" t="s">
        <v>163</v>
      </c>
      <c r="T225" s="103" t="s">
        <v>163</v>
      </c>
      <c r="U225" s="102" t="s">
        <v>163</v>
      </c>
      <c r="V225" s="102" t="s">
        <v>163</v>
      </c>
      <c r="W225" s="103" t="s">
        <v>163</v>
      </c>
      <c r="X225" s="102" t="s">
        <v>163</v>
      </c>
      <c r="Y225" s="102" t="s">
        <v>163</v>
      </c>
      <c r="Z225" s="102" t="s">
        <v>163</v>
      </c>
      <c r="AA225" s="105" t="s">
        <v>163</v>
      </c>
      <c r="AB225" s="104" t="s">
        <v>163</v>
      </c>
      <c r="AC225" s="104" t="s">
        <v>163</v>
      </c>
      <c r="AD225" s="102" t="s">
        <v>163</v>
      </c>
      <c r="AE225" s="103" t="s">
        <v>163</v>
      </c>
      <c r="AF225" s="104" t="s">
        <v>163</v>
      </c>
      <c r="AG225" s="102" t="s">
        <v>163</v>
      </c>
      <c r="AH225" s="103" t="s">
        <v>163</v>
      </c>
      <c r="AI225" s="104" t="s">
        <v>163</v>
      </c>
      <c r="AJ225" s="102" t="s">
        <v>163</v>
      </c>
      <c r="AK225" s="103" t="s">
        <v>163</v>
      </c>
      <c r="AL225" s="105" t="s">
        <v>163</v>
      </c>
    </row>
    <row r="226" spans="1:38" ht="13" customHeight="1" x14ac:dyDescent="0.2">
      <c r="A226" s="87" t="s">
        <v>6572</v>
      </c>
      <c r="B226" s="105">
        <v>3</v>
      </c>
      <c r="C226" s="98" t="s">
        <v>6430</v>
      </c>
      <c r="D226" s="126" t="s">
        <v>6573</v>
      </c>
      <c r="E226" s="126" t="s">
        <v>24</v>
      </c>
      <c r="F226" s="127" t="s">
        <v>6574</v>
      </c>
      <c r="G226" s="128">
        <v>11.740086111111109</v>
      </c>
      <c r="H226" s="129">
        <v>92.658638888888888</v>
      </c>
      <c r="I226" s="98" t="s">
        <v>6566</v>
      </c>
      <c r="J226" s="98" t="s">
        <v>17</v>
      </c>
      <c r="K226" s="106" t="s">
        <v>17</v>
      </c>
      <c r="L226" s="88" t="s">
        <v>163</v>
      </c>
      <c r="M226" s="89" t="s">
        <v>163</v>
      </c>
      <c r="N226" s="99" t="s">
        <v>163</v>
      </c>
      <c r="O226" s="98" t="s">
        <v>163</v>
      </c>
      <c r="P226" s="106" t="s">
        <v>163</v>
      </c>
      <c r="Q226" s="104" t="s">
        <v>163</v>
      </c>
      <c r="R226" s="104" t="s">
        <v>163</v>
      </c>
      <c r="S226" s="102" t="s">
        <v>163</v>
      </c>
      <c r="T226" s="103" t="s">
        <v>163</v>
      </c>
      <c r="U226" s="102" t="s">
        <v>163</v>
      </c>
      <c r="V226" s="102" t="s">
        <v>163</v>
      </c>
      <c r="W226" s="103" t="s">
        <v>163</v>
      </c>
      <c r="X226" s="102" t="s">
        <v>163</v>
      </c>
      <c r="Y226" s="102" t="s">
        <v>163</v>
      </c>
      <c r="Z226" s="102" t="s">
        <v>163</v>
      </c>
      <c r="AA226" s="105" t="s">
        <v>163</v>
      </c>
      <c r="AB226" s="104" t="s">
        <v>163</v>
      </c>
      <c r="AC226" s="104" t="s">
        <v>163</v>
      </c>
      <c r="AD226" s="102" t="s">
        <v>163</v>
      </c>
      <c r="AE226" s="103" t="s">
        <v>163</v>
      </c>
      <c r="AF226" s="104" t="s">
        <v>163</v>
      </c>
      <c r="AG226" s="102" t="s">
        <v>163</v>
      </c>
      <c r="AH226" s="103" t="s">
        <v>163</v>
      </c>
      <c r="AI226" s="104" t="s">
        <v>163</v>
      </c>
      <c r="AJ226" s="102" t="s">
        <v>163</v>
      </c>
      <c r="AK226" s="103" t="s">
        <v>163</v>
      </c>
      <c r="AL226" s="105" t="s">
        <v>163</v>
      </c>
    </row>
    <row r="227" spans="1:38" ht="13" customHeight="1" x14ac:dyDescent="0.2">
      <c r="A227" s="87" t="s">
        <v>6575</v>
      </c>
      <c r="B227" s="105">
        <v>4</v>
      </c>
      <c r="C227" s="98" t="s">
        <v>6020</v>
      </c>
      <c r="D227" s="126" t="s">
        <v>6028</v>
      </c>
      <c r="E227" s="126" t="s">
        <v>24</v>
      </c>
      <c r="F227" s="127" t="s">
        <v>6576</v>
      </c>
      <c r="G227" s="128">
        <v>21.028519444444445</v>
      </c>
      <c r="H227" s="129">
        <v>70.605691666666658</v>
      </c>
      <c r="I227" s="98" t="s">
        <v>6566</v>
      </c>
      <c r="J227" s="98" t="s">
        <v>17</v>
      </c>
      <c r="K227" s="106" t="s">
        <v>17</v>
      </c>
      <c r="L227" s="88" t="s">
        <v>163</v>
      </c>
      <c r="M227" s="89" t="s">
        <v>163</v>
      </c>
      <c r="N227" s="99" t="s">
        <v>163</v>
      </c>
      <c r="O227" s="98" t="s">
        <v>163</v>
      </c>
      <c r="P227" s="106" t="s">
        <v>163</v>
      </c>
      <c r="Q227" s="104" t="s">
        <v>163</v>
      </c>
      <c r="R227" s="104" t="s">
        <v>163</v>
      </c>
      <c r="S227" s="102" t="s">
        <v>163</v>
      </c>
      <c r="T227" s="103" t="s">
        <v>163</v>
      </c>
      <c r="U227" s="102" t="s">
        <v>163</v>
      </c>
      <c r="V227" s="102" t="s">
        <v>163</v>
      </c>
      <c r="W227" s="103" t="s">
        <v>163</v>
      </c>
      <c r="X227" s="102" t="s">
        <v>163</v>
      </c>
      <c r="Y227" s="102" t="s">
        <v>163</v>
      </c>
      <c r="Z227" s="102" t="s">
        <v>163</v>
      </c>
      <c r="AA227" s="105" t="s">
        <v>163</v>
      </c>
      <c r="AB227" s="104" t="s">
        <v>163</v>
      </c>
      <c r="AC227" s="104" t="s">
        <v>163</v>
      </c>
      <c r="AD227" s="102" t="s">
        <v>163</v>
      </c>
      <c r="AE227" s="103" t="s">
        <v>163</v>
      </c>
      <c r="AF227" s="104" t="s">
        <v>163</v>
      </c>
      <c r="AG227" s="102" t="s">
        <v>163</v>
      </c>
      <c r="AH227" s="103" t="s">
        <v>163</v>
      </c>
      <c r="AI227" s="104" t="s">
        <v>163</v>
      </c>
      <c r="AJ227" s="102" t="s">
        <v>163</v>
      </c>
      <c r="AK227" s="103" t="s">
        <v>163</v>
      </c>
      <c r="AL227" s="105" t="s">
        <v>163</v>
      </c>
    </row>
    <row r="228" spans="1:38" ht="13" customHeight="1" x14ac:dyDescent="0.2">
      <c r="A228" s="87" t="s">
        <v>6577</v>
      </c>
      <c r="B228" s="105">
        <v>3</v>
      </c>
      <c r="C228" s="98" t="s">
        <v>6095</v>
      </c>
      <c r="D228" s="126" t="s">
        <v>6096</v>
      </c>
      <c r="E228" s="126" t="s">
        <v>24</v>
      </c>
      <c r="F228" s="127" t="s">
        <v>6578</v>
      </c>
      <c r="G228" s="128">
        <v>15.267000000000001</v>
      </c>
      <c r="H228" s="129">
        <v>74.61699999999999</v>
      </c>
      <c r="I228" s="98" t="s">
        <v>6566</v>
      </c>
      <c r="J228" s="98" t="s">
        <v>17</v>
      </c>
      <c r="K228" s="106" t="s">
        <v>17</v>
      </c>
      <c r="L228" s="88" t="s">
        <v>163</v>
      </c>
      <c r="M228" s="89" t="s">
        <v>163</v>
      </c>
      <c r="N228" s="99" t="s">
        <v>163</v>
      </c>
      <c r="O228" s="98" t="s">
        <v>163</v>
      </c>
      <c r="P228" s="106" t="s">
        <v>163</v>
      </c>
      <c r="Q228" s="104" t="s">
        <v>163</v>
      </c>
      <c r="R228" s="104" t="s">
        <v>163</v>
      </c>
      <c r="S228" s="102" t="s">
        <v>163</v>
      </c>
      <c r="T228" s="103" t="s">
        <v>163</v>
      </c>
      <c r="U228" s="102" t="s">
        <v>163</v>
      </c>
      <c r="V228" s="102" t="s">
        <v>163</v>
      </c>
      <c r="W228" s="103" t="s">
        <v>163</v>
      </c>
      <c r="X228" s="102" t="s">
        <v>163</v>
      </c>
      <c r="Y228" s="102" t="s">
        <v>163</v>
      </c>
      <c r="Z228" s="102" t="s">
        <v>163</v>
      </c>
      <c r="AA228" s="105" t="s">
        <v>163</v>
      </c>
      <c r="AB228" s="104" t="s">
        <v>163</v>
      </c>
      <c r="AC228" s="104" t="s">
        <v>163</v>
      </c>
      <c r="AD228" s="102" t="s">
        <v>163</v>
      </c>
      <c r="AE228" s="103" t="s">
        <v>163</v>
      </c>
      <c r="AF228" s="104" t="s">
        <v>163</v>
      </c>
      <c r="AG228" s="102" t="s">
        <v>163</v>
      </c>
      <c r="AH228" s="103" t="s">
        <v>163</v>
      </c>
      <c r="AI228" s="104" t="s">
        <v>163</v>
      </c>
      <c r="AJ228" s="102" t="s">
        <v>163</v>
      </c>
      <c r="AK228" s="103" t="s">
        <v>163</v>
      </c>
      <c r="AL228" s="105" t="s">
        <v>163</v>
      </c>
    </row>
    <row r="229" spans="1:38" ht="13" customHeight="1" x14ac:dyDescent="0.2">
      <c r="A229" s="87" t="s">
        <v>6579</v>
      </c>
      <c r="B229" s="105">
        <v>4</v>
      </c>
      <c r="C229" s="98" t="s">
        <v>6020</v>
      </c>
      <c r="D229" s="126" t="s">
        <v>826</v>
      </c>
      <c r="E229" s="126" t="s">
        <v>24</v>
      </c>
      <c r="F229" s="127" t="s">
        <v>6236</v>
      </c>
      <c r="G229" s="128">
        <v>17.385044444444443</v>
      </c>
      <c r="H229" s="129">
        <v>78.486672222222225</v>
      </c>
      <c r="I229" s="98" t="s">
        <v>6566</v>
      </c>
      <c r="J229" s="98" t="s">
        <v>17</v>
      </c>
      <c r="K229" s="106" t="s">
        <v>17</v>
      </c>
      <c r="L229" s="88" t="s">
        <v>163</v>
      </c>
      <c r="M229" s="89" t="s">
        <v>163</v>
      </c>
      <c r="N229" s="99" t="s">
        <v>163</v>
      </c>
      <c r="O229" s="98" t="s">
        <v>163</v>
      </c>
      <c r="P229" s="106" t="s">
        <v>163</v>
      </c>
      <c r="Q229" s="104" t="s">
        <v>163</v>
      </c>
      <c r="R229" s="104" t="s">
        <v>163</v>
      </c>
      <c r="S229" s="102" t="s">
        <v>163</v>
      </c>
      <c r="T229" s="103" t="s">
        <v>163</v>
      </c>
      <c r="U229" s="102" t="s">
        <v>163</v>
      </c>
      <c r="V229" s="102" t="s">
        <v>163</v>
      </c>
      <c r="W229" s="103" t="s">
        <v>163</v>
      </c>
      <c r="X229" s="102" t="s">
        <v>163</v>
      </c>
      <c r="Y229" s="102" t="s">
        <v>163</v>
      </c>
      <c r="Z229" s="102" t="s">
        <v>163</v>
      </c>
      <c r="AA229" s="105" t="s">
        <v>163</v>
      </c>
      <c r="AB229" s="104" t="s">
        <v>163</v>
      </c>
      <c r="AC229" s="104" t="s">
        <v>163</v>
      </c>
      <c r="AD229" s="102" t="s">
        <v>163</v>
      </c>
      <c r="AE229" s="103" t="s">
        <v>163</v>
      </c>
      <c r="AF229" s="104" t="s">
        <v>163</v>
      </c>
      <c r="AG229" s="102" t="s">
        <v>163</v>
      </c>
      <c r="AH229" s="103" t="s">
        <v>163</v>
      </c>
      <c r="AI229" s="104" t="s">
        <v>163</v>
      </c>
      <c r="AJ229" s="102" t="s">
        <v>163</v>
      </c>
      <c r="AK229" s="103" t="s">
        <v>163</v>
      </c>
      <c r="AL229" s="105" t="s">
        <v>163</v>
      </c>
    </row>
    <row r="230" spans="1:38" ht="13" customHeight="1" x14ac:dyDescent="0.2">
      <c r="A230" s="87" t="s">
        <v>3131</v>
      </c>
      <c r="B230" s="105">
        <v>16</v>
      </c>
      <c r="C230" s="98" t="s">
        <v>6506</v>
      </c>
      <c r="D230" s="126" t="s">
        <v>6573</v>
      </c>
      <c r="E230" s="126" t="s">
        <v>24</v>
      </c>
      <c r="F230" s="127" t="s">
        <v>6574</v>
      </c>
      <c r="G230" s="128">
        <v>10.75</v>
      </c>
      <c r="H230" s="129">
        <v>92.5</v>
      </c>
      <c r="I230" s="98" t="s">
        <v>6580</v>
      </c>
      <c r="J230" s="98" t="s">
        <v>17</v>
      </c>
      <c r="K230" s="106" t="s">
        <v>17</v>
      </c>
      <c r="L230" s="88" t="s">
        <v>163</v>
      </c>
      <c r="M230" s="89" t="s">
        <v>163</v>
      </c>
      <c r="N230" s="99" t="s">
        <v>163</v>
      </c>
      <c r="O230" s="98" t="s">
        <v>163</v>
      </c>
      <c r="P230" s="106" t="s">
        <v>163</v>
      </c>
      <c r="Q230" s="104" t="s">
        <v>163</v>
      </c>
      <c r="R230" s="104" t="s">
        <v>163</v>
      </c>
      <c r="S230" s="102" t="s">
        <v>163</v>
      </c>
      <c r="T230" s="103" t="s">
        <v>163</v>
      </c>
      <c r="U230" s="102" t="s">
        <v>163</v>
      </c>
      <c r="V230" s="102" t="s">
        <v>163</v>
      </c>
      <c r="W230" s="103" t="s">
        <v>163</v>
      </c>
      <c r="X230" s="102" t="s">
        <v>163</v>
      </c>
      <c r="Y230" s="102" t="s">
        <v>163</v>
      </c>
      <c r="Z230" s="102" t="s">
        <v>163</v>
      </c>
      <c r="AA230" s="105" t="s">
        <v>163</v>
      </c>
      <c r="AB230" s="104" t="s">
        <v>163</v>
      </c>
      <c r="AC230" s="104" t="s">
        <v>163</v>
      </c>
      <c r="AD230" s="102" t="s">
        <v>163</v>
      </c>
      <c r="AE230" s="103" t="s">
        <v>163</v>
      </c>
      <c r="AF230" s="104" t="s">
        <v>163</v>
      </c>
      <c r="AG230" s="102" t="s">
        <v>163</v>
      </c>
      <c r="AH230" s="103" t="s">
        <v>163</v>
      </c>
      <c r="AI230" s="104" t="s">
        <v>163</v>
      </c>
      <c r="AJ230" s="102" t="s">
        <v>163</v>
      </c>
      <c r="AK230" s="103" t="s">
        <v>163</v>
      </c>
      <c r="AL230" s="105" t="s">
        <v>163</v>
      </c>
    </row>
    <row r="231" spans="1:38" ht="13" customHeight="1" x14ac:dyDescent="0.2">
      <c r="A231" s="87" t="s">
        <v>6581</v>
      </c>
      <c r="B231" s="105">
        <v>14</v>
      </c>
      <c r="C231" s="98" t="s">
        <v>6020</v>
      </c>
      <c r="D231" s="126" t="s">
        <v>173</v>
      </c>
      <c r="E231" s="126" t="s">
        <v>24</v>
      </c>
      <c r="F231" s="127" t="s">
        <v>173</v>
      </c>
      <c r="G231" s="128">
        <v>33.498556010000001</v>
      </c>
      <c r="H231" s="129">
        <v>70</v>
      </c>
      <c r="I231" s="98" t="s">
        <v>6582</v>
      </c>
      <c r="J231" s="98" t="s">
        <v>17</v>
      </c>
      <c r="K231" s="106" t="s">
        <v>17</v>
      </c>
      <c r="L231" s="88">
        <v>9.0550000000000005E-3</v>
      </c>
      <c r="M231" s="89">
        <v>2.4743999999999999E-2</v>
      </c>
      <c r="N231" s="99" t="s">
        <v>163</v>
      </c>
      <c r="O231" s="98" t="s">
        <v>163</v>
      </c>
      <c r="P231" s="106" t="s">
        <v>163</v>
      </c>
      <c r="Q231" s="104" t="s">
        <v>163</v>
      </c>
      <c r="R231" s="104" t="s">
        <v>163</v>
      </c>
      <c r="S231" s="102" t="s">
        <v>163</v>
      </c>
      <c r="T231" s="103" t="s">
        <v>163</v>
      </c>
      <c r="U231" s="102" t="s">
        <v>163</v>
      </c>
      <c r="V231" s="102" t="s">
        <v>163</v>
      </c>
      <c r="W231" s="103" t="s">
        <v>163</v>
      </c>
      <c r="X231" s="102" t="s">
        <v>163</v>
      </c>
      <c r="Y231" s="102" t="s">
        <v>163</v>
      </c>
      <c r="Z231" s="102" t="s">
        <v>163</v>
      </c>
      <c r="AA231" s="105" t="s">
        <v>163</v>
      </c>
      <c r="AB231" s="104" t="s">
        <v>163</v>
      </c>
      <c r="AC231" s="104" t="s">
        <v>163</v>
      </c>
      <c r="AD231" s="102" t="s">
        <v>163</v>
      </c>
      <c r="AE231" s="103" t="s">
        <v>163</v>
      </c>
      <c r="AF231" s="104" t="s">
        <v>163</v>
      </c>
      <c r="AG231" s="102" t="s">
        <v>163</v>
      </c>
      <c r="AH231" s="103" t="s">
        <v>163</v>
      </c>
      <c r="AI231" s="104" t="s">
        <v>163</v>
      </c>
      <c r="AJ231" s="102" t="s">
        <v>163</v>
      </c>
      <c r="AK231" s="103" t="s">
        <v>163</v>
      </c>
      <c r="AL231" s="105" t="s">
        <v>163</v>
      </c>
    </row>
    <row r="232" spans="1:38" ht="13" customHeight="1" x14ac:dyDescent="0.2">
      <c r="A232" s="87" t="s">
        <v>6583</v>
      </c>
      <c r="B232" s="105">
        <v>20</v>
      </c>
      <c r="C232" s="98" t="s">
        <v>6020</v>
      </c>
      <c r="D232" s="126" t="s">
        <v>173</v>
      </c>
      <c r="E232" s="126" t="s">
        <v>24</v>
      </c>
      <c r="F232" s="127" t="s">
        <v>173</v>
      </c>
      <c r="G232" s="128">
        <v>33.487005619999998</v>
      </c>
      <c r="H232" s="129">
        <v>70.5</v>
      </c>
      <c r="I232" s="98" t="s">
        <v>6582</v>
      </c>
      <c r="J232" s="98" t="s">
        <v>17</v>
      </c>
      <c r="K232" s="106" t="s">
        <v>17</v>
      </c>
      <c r="L232" s="88">
        <v>1.6131E-2</v>
      </c>
      <c r="M232" s="89">
        <v>-9.2320000000000006E-3</v>
      </c>
      <c r="N232" s="99" t="s">
        <v>163</v>
      </c>
      <c r="O232" s="98" t="s">
        <v>163</v>
      </c>
      <c r="P232" s="106" t="s">
        <v>163</v>
      </c>
      <c r="Q232" s="104" t="s">
        <v>163</v>
      </c>
      <c r="R232" s="104" t="s">
        <v>163</v>
      </c>
      <c r="S232" s="102" t="s">
        <v>163</v>
      </c>
      <c r="T232" s="103" t="s">
        <v>163</v>
      </c>
      <c r="U232" s="102" t="s">
        <v>163</v>
      </c>
      <c r="V232" s="102" t="s">
        <v>163</v>
      </c>
      <c r="W232" s="103" t="s">
        <v>163</v>
      </c>
      <c r="X232" s="102" t="s">
        <v>163</v>
      </c>
      <c r="Y232" s="102" t="s">
        <v>163</v>
      </c>
      <c r="Z232" s="102" t="s">
        <v>163</v>
      </c>
      <c r="AA232" s="105" t="s">
        <v>163</v>
      </c>
      <c r="AB232" s="104" t="s">
        <v>163</v>
      </c>
      <c r="AC232" s="104" t="s">
        <v>163</v>
      </c>
      <c r="AD232" s="102" t="s">
        <v>163</v>
      </c>
      <c r="AE232" s="103" t="s">
        <v>163</v>
      </c>
      <c r="AF232" s="104" t="s">
        <v>163</v>
      </c>
      <c r="AG232" s="102" t="s">
        <v>163</v>
      </c>
      <c r="AH232" s="103" t="s">
        <v>163</v>
      </c>
      <c r="AI232" s="104" t="s">
        <v>163</v>
      </c>
      <c r="AJ232" s="102" t="s">
        <v>163</v>
      </c>
      <c r="AK232" s="103" t="s">
        <v>163</v>
      </c>
      <c r="AL232" s="105" t="s">
        <v>163</v>
      </c>
    </row>
    <row r="233" spans="1:38" ht="13" customHeight="1" x14ac:dyDescent="0.2">
      <c r="A233" s="87" t="s">
        <v>6584</v>
      </c>
      <c r="B233" s="105">
        <v>4</v>
      </c>
      <c r="C233" s="98" t="s">
        <v>6020</v>
      </c>
      <c r="D233" s="126" t="s">
        <v>6028</v>
      </c>
      <c r="E233" s="126" t="s">
        <v>24</v>
      </c>
      <c r="F233" s="127" t="s">
        <v>6585</v>
      </c>
      <c r="G233" s="128">
        <v>23.733733333333333</v>
      </c>
      <c r="H233" s="129">
        <v>69.859741666666665</v>
      </c>
      <c r="I233" s="98" t="s">
        <v>6582</v>
      </c>
      <c r="J233" s="98" t="s">
        <v>17</v>
      </c>
      <c r="K233" s="106" t="s">
        <v>17</v>
      </c>
      <c r="L233" s="88">
        <v>1.3339E-2</v>
      </c>
      <c r="M233" s="89">
        <v>-8.2649999999999998E-3</v>
      </c>
      <c r="N233" s="99" t="s">
        <v>163</v>
      </c>
      <c r="O233" s="98" t="s">
        <v>163</v>
      </c>
      <c r="P233" s="106" t="s">
        <v>163</v>
      </c>
      <c r="Q233" s="104" t="s">
        <v>163</v>
      </c>
      <c r="R233" s="104" t="s">
        <v>163</v>
      </c>
      <c r="S233" s="102" t="s">
        <v>163</v>
      </c>
      <c r="T233" s="103" t="s">
        <v>163</v>
      </c>
      <c r="U233" s="102" t="s">
        <v>163</v>
      </c>
      <c r="V233" s="102" t="s">
        <v>163</v>
      </c>
      <c r="W233" s="103" t="s">
        <v>163</v>
      </c>
      <c r="X233" s="102" t="s">
        <v>163</v>
      </c>
      <c r="Y233" s="102" t="s">
        <v>163</v>
      </c>
      <c r="Z233" s="102" t="s">
        <v>163</v>
      </c>
      <c r="AA233" s="105" t="s">
        <v>163</v>
      </c>
      <c r="AB233" s="104" t="s">
        <v>163</v>
      </c>
      <c r="AC233" s="104" t="s">
        <v>163</v>
      </c>
      <c r="AD233" s="102" t="s">
        <v>163</v>
      </c>
      <c r="AE233" s="103" t="s">
        <v>163</v>
      </c>
      <c r="AF233" s="104" t="s">
        <v>163</v>
      </c>
      <c r="AG233" s="102" t="s">
        <v>163</v>
      </c>
      <c r="AH233" s="103" t="s">
        <v>163</v>
      </c>
      <c r="AI233" s="104" t="s">
        <v>163</v>
      </c>
      <c r="AJ233" s="102" t="s">
        <v>163</v>
      </c>
      <c r="AK233" s="103" t="s">
        <v>163</v>
      </c>
      <c r="AL233" s="105" t="s">
        <v>163</v>
      </c>
    </row>
    <row r="234" spans="1:38" ht="13" customHeight="1" x14ac:dyDescent="0.2">
      <c r="A234" s="87" t="s">
        <v>833</v>
      </c>
      <c r="B234" s="105">
        <v>7</v>
      </c>
      <c r="C234" s="98" t="s">
        <v>6020</v>
      </c>
      <c r="D234" s="126" t="s">
        <v>618</v>
      </c>
      <c r="E234" s="126" t="s">
        <v>24</v>
      </c>
      <c r="F234" s="127" t="s">
        <v>6586</v>
      </c>
      <c r="G234" s="128">
        <v>23.7</v>
      </c>
      <c r="H234" s="129">
        <v>90.4</v>
      </c>
      <c r="I234" s="98" t="s">
        <v>6582</v>
      </c>
      <c r="J234" s="98" t="s">
        <v>17</v>
      </c>
      <c r="K234" s="106" t="s">
        <v>17</v>
      </c>
      <c r="L234" s="88">
        <v>1.2470000000000001E-3</v>
      </c>
      <c r="M234" s="89">
        <v>-6.3699999999999998E-4</v>
      </c>
      <c r="N234" s="99" t="s">
        <v>163</v>
      </c>
      <c r="O234" s="98" t="s">
        <v>163</v>
      </c>
      <c r="P234" s="106" t="s">
        <v>163</v>
      </c>
      <c r="Q234" s="104" t="s">
        <v>163</v>
      </c>
      <c r="R234" s="104" t="s">
        <v>163</v>
      </c>
      <c r="S234" s="102" t="s">
        <v>163</v>
      </c>
      <c r="T234" s="103" t="s">
        <v>163</v>
      </c>
      <c r="U234" s="102" t="s">
        <v>163</v>
      </c>
      <c r="V234" s="102" t="s">
        <v>163</v>
      </c>
      <c r="W234" s="103" t="s">
        <v>163</v>
      </c>
      <c r="X234" s="102" t="s">
        <v>163</v>
      </c>
      <c r="Y234" s="102" t="s">
        <v>163</v>
      </c>
      <c r="Z234" s="102" t="s">
        <v>163</v>
      </c>
      <c r="AA234" s="105" t="s">
        <v>163</v>
      </c>
      <c r="AB234" s="104" t="s">
        <v>163</v>
      </c>
      <c r="AC234" s="104" t="s">
        <v>163</v>
      </c>
      <c r="AD234" s="102" t="s">
        <v>163</v>
      </c>
      <c r="AE234" s="103" t="s">
        <v>163</v>
      </c>
      <c r="AF234" s="104" t="s">
        <v>163</v>
      </c>
      <c r="AG234" s="102" t="s">
        <v>163</v>
      </c>
      <c r="AH234" s="103" t="s">
        <v>163</v>
      </c>
      <c r="AI234" s="104" t="s">
        <v>163</v>
      </c>
      <c r="AJ234" s="102" t="s">
        <v>163</v>
      </c>
      <c r="AK234" s="103" t="s">
        <v>163</v>
      </c>
      <c r="AL234" s="105" t="s">
        <v>163</v>
      </c>
    </row>
    <row r="235" spans="1:38" ht="13" customHeight="1" x14ac:dyDescent="0.2">
      <c r="A235" s="87" t="s">
        <v>6587</v>
      </c>
      <c r="B235" s="105">
        <v>3</v>
      </c>
      <c r="C235" s="98" t="s">
        <v>6020</v>
      </c>
      <c r="D235" s="126" t="s">
        <v>6541</v>
      </c>
      <c r="E235" s="126" t="s">
        <v>24</v>
      </c>
      <c r="F235" s="127" t="s">
        <v>6588</v>
      </c>
      <c r="G235" s="128">
        <v>30.29</v>
      </c>
      <c r="H235" s="129">
        <v>78.524000000000001</v>
      </c>
      <c r="I235" s="98" t="s">
        <v>6582</v>
      </c>
      <c r="J235" s="98" t="s">
        <v>17</v>
      </c>
      <c r="K235" s="106" t="s">
        <v>17</v>
      </c>
      <c r="L235" s="88">
        <v>6.267E-3</v>
      </c>
      <c r="M235" s="89">
        <v>6.3E-3</v>
      </c>
      <c r="N235" s="99" t="s">
        <v>163</v>
      </c>
      <c r="O235" s="98" t="s">
        <v>163</v>
      </c>
      <c r="P235" s="106" t="s">
        <v>163</v>
      </c>
      <c r="Q235" s="104" t="s">
        <v>163</v>
      </c>
      <c r="R235" s="104" t="s">
        <v>163</v>
      </c>
      <c r="S235" s="102" t="s">
        <v>163</v>
      </c>
      <c r="T235" s="103" t="s">
        <v>163</v>
      </c>
      <c r="U235" s="102" t="s">
        <v>163</v>
      </c>
      <c r="V235" s="102" t="s">
        <v>163</v>
      </c>
      <c r="W235" s="103" t="s">
        <v>163</v>
      </c>
      <c r="X235" s="102" t="s">
        <v>163</v>
      </c>
      <c r="Y235" s="102" t="s">
        <v>163</v>
      </c>
      <c r="Z235" s="102" t="s">
        <v>163</v>
      </c>
      <c r="AA235" s="105" t="s">
        <v>163</v>
      </c>
      <c r="AB235" s="104" t="s">
        <v>163</v>
      </c>
      <c r="AC235" s="104" t="s">
        <v>163</v>
      </c>
      <c r="AD235" s="102" t="s">
        <v>163</v>
      </c>
      <c r="AE235" s="103" t="s">
        <v>163</v>
      </c>
      <c r="AF235" s="104" t="s">
        <v>163</v>
      </c>
      <c r="AG235" s="102" t="s">
        <v>163</v>
      </c>
      <c r="AH235" s="103" t="s">
        <v>163</v>
      </c>
      <c r="AI235" s="104" t="s">
        <v>163</v>
      </c>
      <c r="AJ235" s="102" t="s">
        <v>163</v>
      </c>
      <c r="AK235" s="103" t="s">
        <v>163</v>
      </c>
      <c r="AL235" s="105" t="s">
        <v>163</v>
      </c>
    </row>
    <row r="236" spans="1:38" ht="13" customHeight="1" x14ac:dyDescent="0.2">
      <c r="A236" s="87" t="s">
        <v>6589</v>
      </c>
      <c r="B236" s="105">
        <v>6</v>
      </c>
      <c r="C236" s="98" t="s">
        <v>6020</v>
      </c>
      <c r="D236" s="126" t="s">
        <v>6541</v>
      </c>
      <c r="E236" s="126" t="s">
        <v>5785</v>
      </c>
      <c r="F236" s="127" t="s">
        <v>6542</v>
      </c>
      <c r="G236" s="128">
        <v>29.380302777777779</v>
      </c>
      <c r="H236" s="129">
        <v>79.463566666666665</v>
      </c>
      <c r="I236" s="98" t="s">
        <v>6582</v>
      </c>
      <c r="J236" s="98" t="s">
        <v>17</v>
      </c>
      <c r="K236" s="106" t="s">
        <v>17</v>
      </c>
      <c r="L236" s="88">
        <v>8.2609999999999992E-3</v>
      </c>
      <c r="M236" s="89">
        <v>-1.807E-3</v>
      </c>
      <c r="N236" s="99" t="s">
        <v>163</v>
      </c>
      <c r="O236" s="98" t="s">
        <v>163</v>
      </c>
      <c r="P236" s="106" t="s">
        <v>163</v>
      </c>
      <c r="Q236" s="104" t="s">
        <v>163</v>
      </c>
      <c r="R236" s="104" t="s">
        <v>163</v>
      </c>
      <c r="S236" s="102" t="s">
        <v>163</v>
      </c>
      <c r="T236" s="103" t="s">
        <v>163</v>
      </c>
      <c r="U236" s="102" t="s">
        <v>163</v>
      </c>
      <c r="V236" s="102" t="s">
        <v>163</v>
      </c>
      <c r="W236" s="103" t="s">
        <v>163</v>
      </c>
      <c r="X236" s="102" t="s">
        <v>163</v>
      </c>
      <c r="Y236" s="102" t="s">
        <v>163</v>
      </c>
      <c r="Z236" s="102" t="s">
        <v>163</v>
      </c>
      <c r="AA236" s="105" t="s">
        <v>163</v>
      </c>
      <c r="AB236" s="104" t="s">
        <v>163</v>
      </c>
      <c r="AC236" s="104" t="s">
        <v>163</v>
      </c>
      <c r="AD236" s="102" t="s">
        <v>163</v>
      </c>
      <c r="AE236" s="103" t="s">
        <v>163</v>
      </c>
      <c r="AF236" s="104" t="s">
        <v>163</v>
      </c>
      <c r="AG236" s="102" t="s">
        <v>163</v>
      </c>
      <c r="AH236" s="103" t="s">
        <v>163</v>
      </c>
      <c r="AI236" s="104" t="s">
        <v>163</v>
      </c>
      <c r="AJ236" s="102" t="s">
        <v>163</v>
      </c>
      <c r="AK236" s="103" t="s">
        <v>163</v>
      </c>
      <c r="AL236" s="105" t="s">
        <v>163</v>
      </c>
    </row>
    <row r="237" spans="1:38" ht="13" customHeight="1" x14ac:dyDescent="0.2">
      <c r="A237" s="87" t="s">
        <v>6590</v>
      </c>
      <c r="B237" s="105">
        <v>4</v>
      </c>
      <c r="C237" s="98" t="s">
        <v>6020</v>
      </c>
      <c r="D237" s="126" t="s">
        <v>6061</v>
      </c>
      <c r="E237" s="126" t="s">
        <v>24</v>
      </c>
      <c r="F237" s="127" t="s">
        <v>6591</v>
      </c>
      <c r="G237" s="128">
        <v>21.587694444444445</v>
      </c>
      <c r="H237" s="129">
        <v>83.073719444444436</v>
      </c>
      <c r="I237" s="98" t="s">
        <v>6582</v>
      </c>
      <c r="J237" s="98" t="s">
        <v>17</v>
      </c>
      <c r="K237" s="106" t="s">
        <v>17</v>
      </c>
      <c r="L237" s="88">
        <v>-2.258E-3</v>
      </c>
      <c r="M237" s="89">
        <v>-3.8299999999999999E-4</v>
      </c>
      <c r="N237" s="99" t="s">
        <v>163</v>
      </c>
      <c r="O237" s="98" t="s">
        <v>163</v>
      </c>
      <c r="P237" s="106" t="s">
        <v>163</v>
      </c>
      <c r="Q237" s="104" t="s">
        <v>163</v>
      </c>
      <c r="R237" s="104" t="s">
        <v>163</v>
      </c>
      <c r="S237" s="102" t="s">
        <v>163</v>
      </c>
      <c r="T237" s="103" t="s">
        <v>163</v>
      </c>
      <c r="U237" s="102" t="s">
        <v>163</v>
      </c>
      <c r="V237" s="102" t="s">
        <v>163</v>
      </c>
      <c r="W237" s="103" t="s">
        <v>163</v>
      </c>
      <c r="X237" s="102" t="s">
        <v>163</v>
      </c>
      <c r="Y237" s="102" t="s">
        <v>163</v>
      </c>
      <c r="Z237" s="102" t="s">
        <v>163</v>
      </c>
      <c r="AA237" s="105" t="s">
        <v>163</v>
      </c>
      <c r="AB237" s="104" t="s">
        <v>163</v>
      </c>
      <c r="AC237" s="104" t="s">
        <v>163</v>
      </c>
      <c r="AD237" s="102" t="s">
        <v>163</v>
      </c>
      <c r="AE237" s="103" t="s">
        <v>163</v>
      </c>
      <c r="AF237" s="104" t="s">
        <v>163</v>
      </c>
      <c r="AG237" s="102" t="s">
        <v>163</v>
      </c>
      <c r="AH237" s="103" t="s">
        <v>163</v>
      </c>
      <c r="AI237" s="104" t="s">
        <v>163</v>
      </c>
      <c r="AJ237" s="102" t="s">
        <v>163</v>
      </c>
      <c r="AK237" s="103" t="s">
        <v>163</v>
      </c>
      <c r="AL237" s="105" t="s">
        <v>163</v>
      </c>
    </row>
    <row r="238" spans="1:38" ht="13" customHeight="1" x14ac:dyDescent="0.2">
      <c r="A238" s="87" t="s">
        <v>6592</v>
      </c>
      <c r="B238" s="105">
        <v>4</v>
      </c>
      <c r="C238" s="98" t="s">
        <v>6020</v>
      </c>
      <c r="D238" s="126" t="s">
        <v>6066</v>
      </c>
      <c r="E238" s="126" t="s">
        <v>24</v>
      </c>
      <c r="F238" s="127" t="s">
        <v>6593</v>
      </c>
      <c r="G238" s="128">
        <v>28.367036111111112</v>
      </c>
      <c r="H238" s="129">
        <v>79.430438888888887</v>
      </c>
      <c r="I238" s="98" t="s">
        <v>6582</v>
      </c>
      <c r="J238" s="98" t="s">
        <v>17</v>
      </c>
      <c r="K238" s="106" t="s">
        <v>17</v>
      </c>
      <c r="L238" s="88">
        <v>-6.2699999999999995E-4</v>
      </c>
      <c r="M238" s="89">
        <v>4.8000000000000001E-4</v>
      </c>
      <c r="N238" s="99" t="s">
        <v>163</v>
      </c>
      <c r="O238" s="98" t="s">
        <v>163</v>
      </c>
      <c r="P238" s="106" t="s">
        <v>163</v>
      </c>
      <c r="Q238" s="104" t="s">
        <v>163</v>
      </c>
      <c r="R238" s="104" t="s">
        <v>163</v>
      </c>
      <c r="S238" s="102" t="s">
        <v>163</v>
      </c>
      <c r="T238" s="103" t="s">
        <v>163</v>
      </c>
      <c r="U238" s="102" t="s">
        <v>163</v>
      </c>
      <c r="V238" s="102" t="s">
        <v>163</v>
      </c>
      <c r="W238" s="103" t="s">
        <v>163</v>
      </c>
      <c r="X238" s="102" t="s">
        <v>163</v>
      </c>
      <c r="Y238" s="102" t="s">
        <v>163</v>
      </c>
      <c r="Z238" s="102" t="s">
        <v>163</v>
      </c>
      <c r="AA238" s="105" t="s">
        <v>163</v>
      </c>
      <c r="AB238" s="104" t="s">
        <v>163</v>
      </c>
      <c r="AC238" s="104" t="s">
        <v>163</v>
      </c>
      <c r="AD238" s="102" t="s">
        <v>163</v>
      </c>
      <c r="AE238" s="103" t="s">
        <v>163</v>
      </c>
      <c r="AF238" s="104" t="s">
        <v>163</v>
      </c>
      <c r="AG238" s="102" t="s">
        <v>163</v>
      </c>
      <c r="AH238" s="103" t="s">
        <v>163</v>
      </c>
      <c r="AI238" s="104" t="s">
        <v>163</v>
      </c>
      <c r="AJ238" s="102" t="s">
        <v>163</v>
      </c>
      <c r="AK238" s="103" t="s">
        <v>163</v>
      </c>
      <c r="AL238" s="105" t="s">
        <v>163</v>
      </c>
    </row>
    <row r="239" spans="1:38" ht="13" customHeight="1" x14ac:dyDescent="0.2">
      <c r="A239" s="87" t="s">
        <v>6594</v>
      </c>
      <c r="B239" s="105">
        <v>4</v>
      </c>
      <c r="C239" s="98" t="s">
        <v>6020</v>
      </c>
      <c r="D239" s="126" t="s">
        <v>6061</v>
      </c>
      <c r="E239" s="126" t="s">
        <v>24</v>
      </c>
      <c r="F239" s="127" t="s">
        <v>6595</v>
      </c>
      <c r="G239" s="128">
        <v>24.457024999999998</v>
      </c>
      <c r="H239" s="129">
        <v>82.993161111111107</v>
      </c>
      <c r="I239" s="98" t="s">
        <v>6582</v>
      </c>
      <c r="J239" s="98" t="s">
        <v>17</v>
      </c>
      <c r="K239" s="106" t="s">
        <v>17</v>
      </c>
      <c r="L239" s="88">
        <v>-2.761E-3</v>
      </c>
      <c r="M239" s="89">
        <v>-2.1599999999999999E-4</v>
      </c>
      <c r="N239" s="99" t="s">
        <v>163</v>
      </c>
      <c r="O239" s="98" t="s">
        <v>163</v>
      </c>
      <c r="P239" s="106" t="s">
        <v>163</v>
      </c>
      <c r="Q239" s="104" t="s">
        <v>163</v>
      </c>
      <c r="R239" s="104" t="s">
        <v>163</v>
      </c>
      <c r="S239" s="102" t="s">
        <v>163</v>
      </c>
      <c r="T239" s="103" t="s">
        <v>163</v>
      </c>
      <c r="U239" s="102" t="s">
        <v>163</v>
      </c>
      <c r="V239" s="102" t="s">
        <v>163</v>
      </c>
      <c r="W239" s="103" t="s">
        <v>163</v>
      </c>
      <c r="X239" s="102" t="s">
        <v>163</v>
      </c>
      <c r="Y239" s="102" t="s">
        <v>163</v>
      </c>
      <c r="Z239" s="102" t="s">
        <v>163</v>
      </c>
      <c r="AA239" s="105" t="s">
        <v>163</v>
      </c>
      <c r="AB239" s="104" t="s">
        <v>163</v>
      </c>
      <c r="AC239" s="104" t="s">
        <v>163</v>
      </c>
      <c r="AD239" s="102" t="s">
        <v>163</v>
      </c>
      <c r="AE239" s="103" t="s">
        <v>163</v>
      </c>
      <c r="AF239" s="104" t="s">
        <v>163</v>
      </c>
      <c r="AG239" s="102" t="s">
        <v>163</v>
      </c>
      <c r="AH239" s="103" t="s">
        <v>163</v>
      </c>
      <c r="AI239" s="104" t="s">
        <v>163</v>
      </c>
      <c r="AJ239" s="102" t="s">
        <v>163</v>
      </c>
      <c r="AK239" s="103" t="s">
        <v>163</v>
      </c>
      <c r="AL239" s="105" t="s">
        <v>163</v>
      </c>
    </row>
    <row r="240" spans="1:38" ht="13" customHeight="1" x14ac:dyDescent="0.2">
      <c r="A240" s="87" t="s">
        <v>6596</v>
      </c>
      <c r="B240" s="105">
        <v>18</v>
      </c>
      <c r="C240" s="98" t="s">
        <v>6020</v>
      </c>
      <c r="D240" s="126" t="s">
        <v>6034</v>
      </c>
      <c r="E240" s="126" t="s">
        <v>24</v>
      </c>
      <c r="F240" s="127" t="s">
        <v>6376</v>
      </c>
      <c r="G240" s="128">
        <v>34</v>
      </c>
      <c r="H240" s="129">
        <v>78</v>
      </c>
      <c r="I240" s="98" t="s">
        <v>6582</v>
      </c>
      <c r="J240" s="98" t="s">
        <v>17</v>
      </c>
      <c r="K240" s="106" t="s">
        <v>17</v>
      </c>
      <c r="L240" s="88">
        <v>6.9150000000000001E-3</v>
      </c>
      <c r="M240" s="89">
        <v>1.1315E-2</v>
      </c>
      <c r="N240" s="99" t="s">
        <v>163</v>
      </c>
      <c r="O240" s="98" t="s">
        <v>163</v>
      </c>
      <c r="P240" s="106" t="s">
        <v>163</v>
      </c>
      <c r="Q240" s="104" t="s">
        <v>163</v>
      </c>
      <c r="R240" s="104" t="s">
        <v>163</v>
      </c>
      <c r="S240" s="102" t="s">
        <v>163</v>
      </c>
      <c r="T240" s="103" t="s">
        <v>163</v>
      </c>
      <c r="U240" s="102" t="s">
        <v>163</v>
      </c>
      <c r="V240" s="102" t="s">
        <v>163</v>
      </c>
      <c r="W240" s="103" t="s">
        <v>163</v>
      </c>
      <c r="X240" s="102" t="s">
        <v>163</v>
      </c>
      <c r="Y240" s="102" t="s">
        <v>163</v>
      </c>
      <c r="Z240" s="102" t="s">
        <v>163</v>
      </c>
      <c r="AA240" s="105" t="s">
        <v>163</v>
      </c>
      <c r="AB240" s="104" t="s">
        <v>163</v>
      </c>
      <c r="AC240" s="104" t="s">
        <v>163</v>
      </c>
      <c r="AD240" s="102" t="s">
        <v>163</v>
      </c>
      <c r="AE240" s="103" t="s">
        <v>163</v>
      </c>
      <c r="AF240" s="104" t="s">
        <v>163</v>
      </c>
      <c r="AG240" s="102" t="s">
        <v>163</v>
      </c>
      <c r="AH240" s="103" t="s">
        <v>163</v>
      </c>
      <c r="AI240" s="104" t="s">
        <v>163</v>
      </c>
      <c r="AJ240" s="102" t="s">
        <v>163</v>
      </c>
      <c r="AK240" s="103" t="s">
        <v>163</v>
      </c>
      <c r="AL240" s="105" t="s">
        <v>163</v>
      </c>
    </row>
    <row r="241" spans="1:38" ht="13" customHeight="1" x14ac:dyDescent="0.2">
      <c r="A241" s="87" t="s">
        <v>6597</v>
      </c>
      <c r="B241" s="105">
        <v>6</v>
      </c>
      <c r="C241" s="98" t="s">
        <v>6375</v>
      </c>
      <c r="D241" s="126" t="s">
        <v>2604</v>
      </c>
      <c r="E241" s="126" t="s">
        <v>24</v>
      </c>
      <c r="F241" s="127" t="s">
        <v>6053</v>
      </c>
      <c r="G241" s="128">
        <v>27.7</v>
      </c>
      <c r="H241" s="128">
        <v>85.333333333333329</v>
      </c>
      <c r="I241" s="98" t="s">
        <v>6582</v>
      </c>
      <c r="J241" s="98" t="s">
        <v>17</v>
      </c>
      <c r="K241" s="106" t="s">
        <v>17</v>
      </c>
      <c r="L241" s="88">
        <v>1.042E-3</v>
      </c>
      <c r="M241" s="89">
        <v>2.6313E-2</v>
      </c>
      <c r="N241" s="99" t="s">
        <v>163</v>
      </c>
      <c r="O241" s="98" t="s">
        <v>163</v>
      </c>
      <c r="P241" s="106" t="s">
        <v>163</v>
      </c>
      <c r="Q241" s="104" t="s">
        <v>163</v>
      </c>
      <c r="R241" s="104" t="s">
        <v>163</v>
      </c>
      <c r="S241" s="102" t="s">
        <v>163</v>
      </c>
      <c r="T241" s="103" t="s">
        <v>163</v>
      </c>
      <c r="U241" s="102" t="s">
        <v>163</v>
      </c>
      <c r="V241" s="102" t="s">
        <v>163</v>
      </c>
      <c r="W241" s="103" t="s">
        <v>163</v>
      </c>
      <c r="X241" s="102" t="s">
        <v>163</v>
      </c>
      <c r="Y241" s="102" t="s">
        <v>163</v>
      </c>
      <c r="Z241" s="102" t="s">
        <v>163</v>
      </c>
      <c r="AA241" s="105" t="s">
        <v>163</v>
      </c>
      <c r="AB241" s="104" t="s">
        <v>163</v>
      </c>
      <c r="AC241" s="104" t="s">
        <v>163</v>
      </c>
      <c r="AD241" s="102" t="s">
        <v>163</v>
      </c>
      <c r="AE241" s="103" t="s">
        <v>163</v>
      </c>
      <c r="AF241" s="104" t="s">
        <v>163</v>
      </c>
      <c r="AG241" s="102" t="s">
        <v>163</v>
      </c>
      <c r="AH241" s="103" t="s">
        <v>163</v>
      </c>
      <c r="AI241" s="104" t="s">
        <v>163</v>
      </c>
      <c r="AJ241" s="102" t="s">
        <v>163</v>
      </c>
      <c r="AK241" s="103" t="s">
        <v>163</v>
      </c>
      <c r="AL241" s="105" t="s">
        <v>163</v>
      </c>
    </row>
    <row r="242" spans="1:38" ht="13" customHeight="1" x14ac:dyDescent="0.2">
      <c r="A242" s="87" t="s">
        <v>6598</v>
      </c>
      <c r="B242" s="105">
        <v>5</v>
      </c>
      <c r="C242" s="98" t="s">
        <v>6020</v>
      </c>
      <c r="D242" s="126" t="s">
        <v>6151</v>
      </c>
      <c r="E242" s="126" t="s">
        <v>24</v>
      </c>
      <c r="F242" s="127" t="s">
        <v>6599</v>
      </c>
      <c r="G242" s="128">
        <v>22.941794444444444</v>
      </c>
      <c r="H242" s="129">
        <v>81.91017777777779</v>
      </c>
      <c r="I242" s="98" t="s">
        <v>6582</v>
      </c>
      <c r="J242" s="98" t="s">
        <v>17</v>
      </c>
      <c r="K242" s="106" t="s">
        <v>17</v>
      </c>
      <c r="L242" s="88">
        <v>-3.333E-3</v>
      </c>
      <c r="M242" s="89">
        <v>-1.8469999999999999E-3</v>
      </c>
      <c r="N242" s="99" t="s">
        <v>163</v>
      </c>
      <c r="O242" s="98" t="s">
        <v>163</v>
      </c>
      <c r="P242" s="106" t="s">
        <v>163</v>
      </c>
      <c r="Q242" s="104" t="s">
        <v>163</v>
      </c>
      <c r="R242" s="104" t="s">
        <v>163</v>
      </c>
      <c r="S242" s="102" t="s">
        <v>163</v>
      </c>
      <c r="T242" s="103" t="s">
        <v>163</v>
      </c>
      <c r="U242" s="102" t="s">
        <v>163</v>
      </c>
      <c r="V242" s="102" t="s">
        <v>163</v>
      </c>
      <c r="W242" s="103" t="s">
        <v>163</v>
      </c>
      <c r="X242" s="102" t="s">
        <v>163</v>
      </c>
      <c r="Y242" s="102" t="s">
        <v>163</v>
      </c>
      <c r="Z242" s="102" t="s">
        <v>163</v>
      </c>
      <c r="AA242" s="105" t="s">
        <v>163</v>
      </c>
      <c r="AB242" s="104" t="s">
        <v>163</v>
      </c>
      <c r="AC242" s="104" t="s">
        <v>163</v>
      </c>
      <c r="AD242" s="102" t="s">
        <v>163</v>
      </c>
      <c r="AE242" s="103" t="s">
        <v>163</v>
      </c>
      <c r="AF242" s="104" t="s">
        <v>163</v>
      </c>
      <c r="AG242" s="102" t="s">
        <v>163</v>
      </c>
      <c r="AH242" s="103" t="s">
        <v>163</v>
      </c>
      <c r="AI242" s="104" t="s">
        <v>163</v>
      </c>
      <c r="AJ242" s="102" t="s">
        <v>163</v>
      </c>
      <c r="AK242" s="103" t="s">
        <v>163</v>
      </c>
      <c r="AL242" s="105" t="s">
        <v>163</v>
      </c>
    </row>
    <row r="243" spans="1:38" ht="13" customHeight="1" x14ac:dyDescent="0.2">
      <c r="A243" s="87" t="s">
        <v>6600</v>
      </c>
      <c r="B243" s="105">
        <v>4</v>
      </c>
      <c r="C243" s="98" t="s">
        <v>6020</v>
      </c>
      <c r="D243" s="126" t="s">
        <v>6541</v>
      </c>
      <c r="E243" s="126" t="s">
        <v>24</v>
      </c>
      <c r="F243" s="127" t="s">
        <v>6542</v>
      </c>
      <c r="G243" s="128">
        <v>29.380302777777779</v>
      </c>
      <c r="H243" s="129">
        <v>79.463566666666665</v>
      </c>
      <c r="I243" s="98" t="s">
        <v>6582</v>
      </c>
      <c r="J243" s="98" t="s">
        <v>17</v>
      </c>
      <c r="K243" s="106" t="s">
        <v>17</v>
      </c>
      <c r="L243" s="88">
        <v>2.6740000000000002E-3</v>
      </c>
      <c r="M243" s="89">
        <v>-1.0250000000000001E-3</v>
      </c>
      <c r="N243" s="99" t="s">
        <v>163</v>
      </c>
      <c r="O243" s="98" t="s">
        <v>163</v>
      </c>
      <c r="P243" s="106" t="s">
        <v>163</v>
      </c>
      <c r="Q243" s="104" t="s">
        <v>163</v>
      </c>
      <c r="R243" s="104" t="s">
        <v>163</v>
      </c>
      <c r="S243" s="102" t="s">
        <v>163</v>
      </c>
      <c r="T243" s="103" t="s">
        <v>163</v>
      </c>
      <c r="U243" s="102" t="s">
        <v>163</v>
      </c>
      <c r="V243" s="102" t="s">
        <v>163</v>
      </c>
      <c r="W243" s="103" t="s">
        <v>163</v>
      </c>
      <c r="X243" s="102" t="s">
        <v>163</v>
      </c>
      <c r="Y243" s="102" t="s">
        <v>163</v>
      </c>
      <c r="Z243" s="102" t="s">
        <v>163</v>
      </c>
      <c r="AA243" s="105" t="s">
        <v>163</v>
      </c>
      <c r="AB243" s="104" t="s">
        <v>163</v>
      </c>
      <c r="AC243" s="104" t="s">
        <v>163</v>
      </c>
      <c r="AD243" s="102" t="s">
        <v>163</v>
      </c>
      <c r="AE243" s="103" t="s">
        <v>163</v>
      </c>
      <c r="AF243" s="104" t="s">
        <v>163</v>
      </c>
      <c r="AG243" s="102" t="s">
        <v>163</v>
      </c>
      <c r="AH243" s="103" t="s">
        <v>163</v>
      </c>
      <c r="AI243" s="104" t="s">
        <v>163</v>
      </c>
      <c r="AJ243" s="102" t="s">
        <v>163</v>
      </c>
      <c r="AK243" s="103" t="s">
        <v>163</v>
      </c>
      <c r="AL243" s="105" t="s">
        <v>163</v>
      </c>
    </row>
    <row r="244" spans="1:38" ht="13" customHeight="1" x14ac:dyDescent="0.2">
      <c r="A244" s="87" t="s">
        <v>6601</v>
      </c>
      <c r="B244" s="105">
        <v>4</v>
      </c>
      <c r="C244" s="98" t="s">
        <v>6020</v>
      </c>
      <c r="D244" s="126" t="s">
        <v>6541</v>
      </c>
      <c r="E244" s="126" t="s">
        <v>24</v>
      </c>
      <c r="F244" s="127" t="s">
        <v>6542</v>
      </c>
      <c r="G244" s="128">
        <v>29.380302777777779</v>
      </c>
      <c r="H244" s="129">
        <v>79.463566666666665</v>
      </c>
      <c r="I244" s="98" t="s">
        <v>6582</v>
      </c>
      <c r="J244" s="98" t="s">
        <v>17</v>
      </c>
      <c r="K244" s="106" t="s">
        <v>17</v>
      </c>
      <c r="L244" s="88">
        <v>4.4149999999999997E-3</v>
      </c>
      <c r="M244" s="89">
        <v>8.9169999999999996E-3</v>
      </c>
      <c r="N244" s="99" t="s">
        <v>163</v>
      </c>
      <c r="O244" s="98" t="s">
        <v>163</v>
      </c>
      <c r="P244" s="106" t="s">
        <v>163</v>
      </c>
      <c r="Q244" s="104" t="s">
        <v>163</v>
      </c>
      <c r="R244" s="104" t="s">
        <v>163</v>
      </c>
      <c r="S244" s="102" t="s">
        <v>163</v>
      </c>
      <c r="T244" s="103" t="s">
        <v>163</v>
      </c>
      <c r="U244" s="102" t="s">
        <v>163</v>
      </c>
      <c r="V244" s="102" t="s">
        <v>163</v>
      </c>
      <c r="W244" s="103" t="s">
        <v>163</v>
      </c>
      <c r="X244" s="102" t="s">
        <v>163</v>
      </c>
      <c r="Y244" s="102" t="s">
        <v>163</v>
      </c>
      <c r="Z244" s="102" t="s">
        <v>163</v>
      </c>
      <c r="AA244" s="105" t="s">
        <v>163</v>
      </c>
      <c r="AB244" s="104" t="s">
        <v>163</v>
      </c>
      <c r="AC244" s="104" t="s">
        <v>163</v>
      </c>
      <c r="AD244" s="102" t="s">
        <v>163</v>
      </c>
      <c r="AE244" s="103" t="s">
        <v>163</v>
      </c>
      <c r="AF244" s="104" t="s">
        <v>163</v>
      </c>
      <c r="AG244" s="102" t="s">
        <v>163</v>
      </c>
      <c r="AH244" s="103" t="s">
        <v>163</v>
      </c>
      <c r="AI244" s="104" t="s">
        <v>163</v>
      </c>
      <c r="AJ244" s="102" t="s">
        <v>163</v>
      </c>
      <c r="AK244" s="103" t="s">
        <v>163</v>
      </c>
      <c r="AL244" s="105" t="s">
        <v>163</v>
      </c>
    </row>
    <row r="245" spans="1:38" ht="13" customHeight="1" x14ac:dyDescent="0.2">
      <c r="A245" s="87" t="s">
        <v>6602</v>
      </c>
      <c r="B245" s="105">
        <v>3</v>
      </c>
      <c r="C245" s="98" t="s">
        <v>6020</v>
      </c>
      <c r="D245" s="126" t="s">
        <v>6055</v>
      </c>
      <c r="E245" s="126" t="s">
        <v>24</v>
      </c>
      <c r="F245" s="127" t="s">
        <v>6056</v>
      </c>
      <c r="G245" s="128">
        <v>26.120888888888889</v>
      </c>
      <c r="H245" s="129">
        <v>85.364719444444432</v>
      </c>
      <c r="I245" s="98" t="s">
        <v>6582</v>
      </c>
      <c r="J245" s="98" t="s">
        <v>17</v>
      </c>
      <c r="K245" s="106" t="s">
        <v>17</v>
      </c>
      <c r="L245" s="88">
        <v>1.3749999999999999E-3</v>
      </c>
      <c r="M245" s="89">
        <v>-2.398E-3</v>
      </c>
      <c r="N245" s="99" t="s">
        <v>163</v>
      </c>
      <c r="O245" s="98" t="s">
        <v>163</v>
      </c>
      <c r="P245" s="106" t="s">
        <v>163</v>
      </c>
      <c r="Q245" s="104" t="s">
        <v>163</v>
      </c>
      <c r="R245" s="104" t="s">
        <v>163</v>
      </c>
      <c r="S245" s="102" t="s">
        <v>163</v>
      </c>
      <c r="T245" s="103" t="s">
        <v>163</v>
      </c>
      <c r="U245" s="102" t="s">
        <v>163</v>
      </c>
      <c r="V245" s="102" t="s">
        <v>163</v>
      </c>
      <c r="W245" s="103" t="s">
        <v>163</v>
      </c>
      <c r="X245" s="102" t="s">
        <v>163</v>
      </c>
      <c r="Y245" s="102" t="s">
        <v>163</v>
      </c>
      <c r="Z245" s="102" t="s">
        <v>163</v>
      </c>
      <c r="AA245" s="105" t="s">
        <v>163</v>
      </c>
      <c r="AB245" s="104" t="s">
        <v>163</v>
      </c>
      <c r="AC245" s="104" t="s">
        <v>163</v>
      </c>
      <c r="AD245" s="102" t="s">
        <v>163</v>
      </c>
      <c r="AE245" s="103" t="s">
        <v>163</v>
      </c>
      <c r="AF245" s="104" t="s">
        <v>163</v>
      </c>
      <c r="AG245" s="102" t="s">
        <v>163</v>
      </c>
      <c r="AH245" s="103" t="s">
        <v>163</v>
      </c>
      <c r="AI245" s="104" t="s">
        <v>163</v>
      </c>
      <c r="AJ245" s="102" t="s">
        <v>163</v>
      </c>
      <c r="AK245" s="103" t="s">
        <v>163</v>
      </c>
      <c r="AL245" s="105" t="s">
        <v>163</v>
      </c>
    </row>
    <row r="246" spans="1:38" ht="13" customHeight="1" x14ac:dyDescent="0.2">
      <c r="A246" s="87" t="s">
        <v>6603</v>
      </c>
      <c r="B246" s="105">
        <v>3</v>
      </c>
      <c r="C246" s="98" t="s">
        <v>6020</v>
      </c>
      <c r="D246" s="126" t="s">
        <v>6541</v>
      </c>
      <c r="E246" s="126" t="s">
        <v>24</v>
      </c>
      <c r="F246" s="127" t="s">
        <v>6588</v>
      </c>
      <c r="G246" s="128">
        <v>30.29</v>
      </c>
      <c r="H246" s="129">
        <v>78.524000000000001</v>
      </c>
      <c r="I246" s="98" t="s">
        <v>6582</v>
      </c>
      <c r="J246" s="98" t="s">
        <v>17</v>
      </c>
      <c r="K246" s="106" t="s">
        <v>17</v>
      </c>
      <c r="L246" s="88">
        <v>3.8760000000000001E-3</v>
      </c>
      <c r="M246" s="89">
        <v>1.0321E-2</v>
      </c>
      <c r="N246" s="99" t="s">
        <v>163</v>
      </c>
      <c r="O246" s="98" t="s">
        <v>163</v>
      </c>
      <c r="P246" s="106" t="s">
        <v>163</v>
      </c>
      <c r="Q246" s="104" t="s">
        <v>163</v>
      </c>
      <c r="R246" s="104" t="s">
        <v>163</v>
      </c>
      <c r="S246" s="102" t="s">
        <v>163</v>
      </c>
      <c r="T246" s="103" t="s">
        <v>163</v>
      </c>
      <c r="U246" s="102" t="s">
        <v>163</v>
      </c>
      <c r="V246" s="102" t="s">
        <v>163</v>
      </c>
      <c r="W246" s="103" t="s">
        <v>163</v>
      </c>
      <c r="X246" s="102" t="s">
        <v>163</v>
      </c>
      <c r="Y246" s="102" t="s">
        <v>163</v>
      </c>
      <c r="Z246" s="102" t="s">
        <v>163</v>
      </c>
      <c r="AA246" s="105" t="s">
        <v>163</v>
      </c>
      <c r="AB246" s="104" t="s">
        <v>163</v>
      </c>
      <c r="AC246" s="104" t="s">
        <v>163</v>
      </c>
      <c r="AD246" s="102" t="s">
        <v>163</v>
      </c>
      <c r="AE246" s="103" t="s">
        <v>163</v>
      </c>
      <c r="AF246" s="104" t="s">
        <v>163</v>
      </c>
      <c r="AG246" s="102" t="s">
        <v>163</v>
      </c>
      <c r="AH246" s="103" t="s">
        <v>163</v>
      </c>
      <c r="AI246" s="104" t="s">
        <v>163</v>
      </c>
      <c r="AJ246" s="102" t="s">
        <v>163</v>
      </c>
      <c r="AK246" s="103" t="s">
        <v>163</v>
      </c>
      <c r="AL246" s="105" t="s">
        <v>163</v>
      </c>
    </row>
    <row r="247" spans="1:38" ht="13" customHeight="1" x14ac:dyDescent="0.2">
      <c r="A247" s="87" t="s">
        <v>6604</v>
      </c>
      <c r="B247" s="105">
        <v>2</v>
      </c>
      <c r="C247" s="98" t="s">
        <v>6020</v>
      </c>
      <c r="D247" s="126" t="s">
        <v>6431</v>
      </c>
      <c r="E247" s="126" t="s">
        <v>24</v>
      </c>
      <c r="F247" s="127" t="s">
        <v>6453</v>
      </c>
      <c r="G247" s="128">
        <v>23.344099999999997</v>
      </c>
      <c r="H247" s="129">
        <v>85.309561111111108</v>
      </c>
      <c r="I247" s="98" t="s">
        <v>6582</v>
      </c>
      <c r="J247" s="98" t="s">
        <v>17</v>
      </c>
      <c r="K247" s="106" t="s">
        <v>17</v>
      </c>
      <c r="L247" s="88">
        <v>-1.9870000000000001E-3</v>
      </c>
      <c r="M247" s="89">
        <v>-2.0820000000000001E-3</v>
      </c>
      <c r="N247" s="99" t="s">
        <v>163</v>
      </c>
      <c r="O247" s="98" t="s">
        <v>163</v>
      </c>
      <c r="P247" s="106" t="s">
        <v>163</v>
      </c>
      <c r="Q247" s="104" t="s">
        <v>163</v>
      </c>
      <c r="R247" s="104" t="s">
        <v>163</v>
      </c>
      <c r="S247" s="102" t="s">
        <v>163</v>
      </c>
      <c r="T247" s="103" t="s">
        <v>163</v>
      </c>
      <c r="U247" s="102" t="s">
        <v>163</v>
      </c>
      <c r="V247" s="102" t="s">
        <v>163</v>
      </c>
      <c r="W247" s="103" t="s">
        <v>163</v>
      </c>
      <c r="X247" s="102" t="s">
        <v>163</v>
      </c>
      <c r="Y247" s="102" t="s">
        <v>163</v>
      </c>
      <c r="Z247" s="102" t="s">
        <v>163</v>
      </c>
      <c r="AA247" s="105" t="s">
        <v>163</v>
      </c>
      <c r="AB247" s="104" t="s">
        <v>163</v>
      </c>
      <c r="AC247" s="104" t="s">
        <v>163</v>
      </c>
      <c r="AD247" s="102" t="s">
        <v>163</v>
      </c>
      <c r="AE247" s="103" t="s">
        <v>163</v>
      </c>
      <c r="AF247" s="104" t="s">
        <v>163</v>
      </c>
      <c r="AG247" s="102" t="s">
        <v>163</v>
      </c>
      <c r="AH247" s="103" t="s">
        <v>163</v>
      </c>
      <c r="AI247" s="104" t="s">
        <v>163</v>
      </c>
      <c r="AJ247" s="102" t="s">
        <v>163</v>
      </c>
      <c r="AK247" s="103" t="s">
        <v>163</v>
      </c>
      <c r="AL247" s="105" t="s">
        <v>163</v>
      </c>
    </row>
    <row r="248" spans="1:38" ht="13" customHeight="1" x14ac:dyDescent="0.2">
      <c r="A248" s="87" t="s">
        <v>6605</v>
      </c>
      <c r="B248" s="105">
        <v>10</v>
      </c>
      <c r="C248" s="98" t="s">
        <v>6020</v>
      </c>
      <c r="D248" s="126" t="s">
        <v>6541</v>
      </c>
      <c r="E248" s="126" t="s">
        <v>24</v>
      </c>
      <c r="F248" s="127" t="s">
        <v>6542</v>
      </c>
      <c r="G248" s="128">
        <v>29.380302777777779</v>
      </c>
      <c r="H248" s="129">
        <v>79.463566666666665</v>
      </c>
      <c r="I248" s="98" t="s">
        <v>6582</v>
      </c>
      <c r="J248" s="98" t="s">
        <v>17</v>
      </c>
      <c r="K248" s="106" t="s">
        <v>17</v>
      </c>
      <c r="L248" s="88">
        <v>4.6979999999999999E-3</v>
      </c>
      <c r="M248" s="89">
        <v>1.0843E-2</v>
      </c>
      <c r="N248" s="99" t="s">
        <v>163</v>
      </c>
      <c r="O248" s="98" t="s">
        <v>163</v>
      </c>
      <c r="P248" s="106" t="s">
        <v>163</v>
      </c>
      <c r="Q248" s="104" t="s">
        <v>163</v>
      </c>
      <c r="R248" s="104" t="s">
        <v>163</v>
      </c>
      <c r="S248" s="102" t="s">
        <v>163</v>
      </c>
      <c r="T248" s="103" t="s">
        <v>163</v>
      </c>
      <c r="U248" s="102" t="s">
        <v>163</v>
      </c>
      <c r="V248" s="102" t="s">
        <v>163</v>
      </c>
      <c r="W248" s="103" t="s">
        <v>163</v>
      </c>
      <c r="X248" s="102" t="s">
        <v>163</v>
      </c>
      <c r="Y248" s="102" t="s">
        <v>163</v>
      </c>
      <c r="Z248" s="102" t="s">
        <v>163</v>
      </c>
      <c r="AA248" s="105" t="s">
        <v>163</v>
      </c>
      <c r="AB248" s="104" t="s">
        <v>163</v>
      </c>
      <c r="AC248" s="104" t="s">
        <v>163</v>
      </c>
      <c r="AD248" s="102" t="s">
        <v>163</v>
      </c>
      <c r="AE248" s="103" t="s">
        <v>163</v>
      </c>
      <c r="AF248" s="104" t="s">
        <v>163</v>
      </c>
      <c r="AG248" s="102" t="s">
        <v>163</v>
      </c>
      <c r="AH248" s="103" t="s">
        <v>163</v>
      </c>
      <c r="AI248" s="104" t="s">
        <v>163</v>
      </c>
      <c r="AJ248" s="102" t="s">
        <v>163</v>
      </c>
      <c r="AK248" s="103" t="s">
        <v>163</v>
      </c>
      <c r="AL248" s="105" t="s">
        <v>163</v>
      </c>
    </row>
    <row r="249" spans="1:38" ht="13" customHeight="1" x14ac:dyDescent="0.2">
      <c r="A249" s="87" t="s">
        <v>6606</v>
      </c>
      <c r="B249" s="105">
        <v>3</v>
      </c>
      <c r="C249" s="98" t="s">
        <v>6020</v>
      </c>
      <c r="D249" s="126" t="s">
        <v>6066</v>
      </c>
      <c r="E249" s="126" t="s">
        <v>24</v>
      </c>
      <c r="F249" s="127" t="s">
        <v>6607</v>
      </c>
      <c r="G249" s="128">
        <v>27.577777777777779</v>
      </c>
      <c r="H249" s="129">
        <v>81.600027777777768</v>
      </c>
      <c r="I249" s="98" t="s">
        <v>6582</v>
      </c>
      <c r="J249" s="98" t="s">
        <v>17</v>
      </c>
      <c r="K249" s="106" t="s">
        <v>17</v>
      </c>
      <c r="L249" s="88">
        <v>2.8040000000000001E-3</v>
      </c>
      <c r="M249" s="89">
        <v>9.2169999999999995E-3</v>
      </c>
      <c r="N249" s="99" t="s">
        <v>163</v>
      </c>
      <c r="O249" s="98" t="s">
        <v>163</v>
      </c>
      <c r="P249" s="106" t="s">
        <v>163</v>
      </c>
      <c r="Q249" s="104" t="s">
        <v>163</v>
      </c>
      <c r="R249" s="104" t="s">
        <v>163</v>
      </c>
      <c r="S249" s="102" t="s">
        <v>163</v>
      </c>
      <c r="T249" s="103" t="s">
        <v>163</v>
      </c>
      <c r="U249" s="102" t="s">
        <v>163</v>
      </c>
      <c r="V249" s="102" t="s">
        <v>163</v>
      </c>
      <c r="W249" s="103" t="s">
        <v>163</v>
      </c>
      <c r="X249" s="102" t="s">
        <v>163</v>
      </c>
      <c r="Y249" s="102" t="s">
        <v>163</v>
      </c>
      <c r="Z249" s="102" t="s">
        <v>163</v>
      </c>
      <c r="AA249" s="105" t="s">
        <v>163</v>
      </c>
      <c r="AB249" s="104" t="s">
        <v>163</v>
      </c>
      <c r="AC249" s="104" t="s">
        <v>163</v>
      </c>
      <c r="AD249" s="102" t="s">
        <v>163</v>
      </c>
      <c r="AE249" s="103" t="s">
        <v>163</v>
      </c>
      <c r="AF249" s="104" t="s">
        <v>163</v>
      </c>
      <c r="AG249" s="102" t="s">
        <v>163</v>
      </c>
      <c r="AH249" s="103" t="s">
        <v>163</v>
      </c>
      <c r="AI249" s="104" t="s">
        <v>163</v>
      </c>
      <c r="AJ249" s="102" t="s">
        <v>163</v>
      </c>
      <c r="AK249" s="103" t="s">
        <v>163</v>
      </c>
      <c r="AL249" s="105" t="s">
        <v>163</v>
      </c>
    </row>
    <row r="250" spans="1:38" ht="13" customHeight="1" x14ac:dyDescent="0.2">
      <c r="A250" s="87" t="s">
        <v>6608</v>
      </c>
      <c r="B250" s="105">
        <v>4</v>
      </c>
      <c r="C250" s="98" t="s">
        <v>6020</v>
      </c>
      <c r="D250" s="126" t="s">
        <v>6541</v>
      </c>
      <c r="E250" s="126" t="s">
        <v>24</v>
      </c>
      <c r="F250" s="127" t="s">
        <v>6542</v>
      </c>
      <c r="G250" s="128">
        <v>29.380302777777779</v>
      </c>
      <c r="H250" s="129">
        <v>79.463566666666665</v>
      </c>
      <c r="I250" s="98" t="s">
        <v>6582</v>
      </c>
      <c r="J250" s="98" t="s">
        <v>17</v>
      </c>
      <c r="K250" s="106" t="s">
        <v>17</v>
      </c>
      <c r="L250" s="88">
        <v>-8.4800000000000001E-4</v>
      </c>
      <c r="M250" s="89">
        <v>2.1677999999999999E-2</v>
      </c>
      <c r="N250" s="99" t="s">
        <v>163</v>
      </c>
      <c r="O250" s="98" t="s">
        <v>163</v>
      </c>
      <c r="P250" s="106" t="s">
        <v>163</v>
      </c>
      <c r="Q250" s="104" t="s">
        <v>163</v>
      </c>
      <c r="R250" s="104" t="s">
        <v>163</v>
      </c>
      <c r="S250" s="102" t="s">
        <v>163</v>
      </c>
      <c r="T250" s="103" t="s">
        <v>163</v>
      </c>
      <c r="U250" s="102" t="s">
        <v>163</v>
      </c>
      <c r="V250" s="102" t="s">
        <v>163</v>
      </c>
      <c r="W250" s="103" t="s">
        <v>163</v>
      </c>
      <c r="X250" s="102" t="s">
        <v>163</v>
      </c>
      <c r="Y250" s="102" t="s">
        <v>163</v>
      </c>
      <c r="Z250" s="102" t="s">
        <v>163</v>
      </c>
      <c r="AA250" s="105" t="s">
        <v>163</v>
      </c>
      <c r="AB250" s="104" t="s">
        <v>163</v>
      </c>
      <c r="AC250" s="104" t="s">
        <v>163</v>
      </c>
      <c r="AD250" s="102" t="s">
        <v>163</v>
      </c>
      <c r="AE250" s="103" t="s">
        <v>163</v>
      </c>
      <c r="AF250" s="104" t="s">
        <v>163</v>
      </c>
      <c r="AG250" s="102" t="s">
        <v>163</v>
      </c>
      <c r="AH250" s="103" t="s">
        <v>163</v>
      </c>
      <c r="AI250" s="104" t="s">
        <v>163</v>
      </c>
      <c r="AJ250" s="102" t="s">
        <v>163</v>
      </c>
      <c r="AK250" s="103" t="s">
        <v>163</v>
      </c>
      <c r="AL250" s="105" t="s">
        <v>163</v>
      </c>
    </row>
    <row r="251" spans="1:38" ht="13" customHeight="1" x14ac:dyDescent="0.2">
      <c r="A251" s="108" t="s">
        <v>6609</v>
      </c>
      <c r="B251" s="117">
        <v>3</v>
      </c>
      <c r="C251" s="112" t="s">
        <v>6020</v>
      </c>
      <c r="D251" s="131" t="s">
        <v>6541</v>
      </c>
      <c r="E251" s="132" t="s">
        <v>24</v>
      </c>
      <c r="F251" s="132" t="s">
        <v>6588</v>
      </c>
      <c r="G251" s="133">
        <v>30.29</v>
      </c>
      <c r="H251" s="134">
        <v>78.524000000000001</v>
      </c>
      <c r="I251" s="112" t="s">
        <v>6582</v>
      </c>
      <c r="J251" s="112" t="s">
        <v>17</v>
      </c>
      <c r="K251" s="113" t="s">
        <v>17</v>
      </c>
      <c r="L251" s="109">
        <v>2.9589999999999998E-3</v>
      </c>
      <c r="M251" s="110">
        <v>1.5134999999999999E-2</v>
      </c>
      <c r="N251" s="111" t="s">
        <v>163</v>
      </c>
      <c r="O251" s="112" t="s">
        <v>163</v>
      </c>
      <c r="P251" s="113" t="s">
        <v>163</v>
      </c>
      <c r="Q251" s="114" t="s">
        <v>163</v>
      </c>
      <c r="R251" s="114" t="s">
        <v>163</v>
      </c>
      <c r="S251" s="115" t="s">
        <v>163</v>
      </c>
      <c r="T251" s="116" t="s">
        <v>163</v>
      </c>
      <c r="U251" s="115" t="s">
        <v>163</v>
      </c>
      <c r="V251" s="115" t="s">
        <v>163</v>
      </c>
      <c r="W251" s="116" t="s">
        <v>163</v>
      </c>
      <c r="X251" s="115" t="s">
        <v>163</v>
      </c>
      <c r="Y251" s="115" t="s">
        <v>163</v>
      </c>
      <c r="Z251" s="115" t="s">
        <v>163</v>
      </c>
      <c r="AA251" s="117" t="s">
        <v>163</v>
      </c>
      <c r="AB251" s="114" t="s">
        <v>163</v>
      </c>
      <c r="AC251" s="114" t="s">
        <v>163</v>
      </c>
      <c r="AD251" s="115" t="s">
        <v>163</v>
      </c>
      <c r="AE251" s="116" t="s">
        <v>163</v>
      </c>
      <c r="AF251" s="114" t="s">
        <v>163</v>
      </c>
      <c r="AG251" s="115" t="s">
        <v>163</v>
      </c>
      <c r="AH251" s="116" t="s">
        <v>163</v>
      </c>
      <c r="AI251" s="114" t="s">
        <v>163</v>
      </c>
      <c r="AJ251" s="115" t="s">
        <v>163</v>
      </c>
      <c r="AK251" s="116" t="s">
        <v>163</v>
      </c>
      <c r="AL251" s="117" t="s">
        <v>163</v>
      </c>
    </row>
  </sheetData>
  <sortState ref="A5:AL144">
    <sortCondition ref="AI5:AI144"/>
  </sortState>
  <mergeCells count="26">
    <mergeCell ref="AB3:AL3"/>
    <mergeCell ref="AB4:AB5"/>
    <mergeCell ref="AC4:AE4"/>
    <mergeCell ref="AF4:AH4"/>
    <mergeCell ref="AI4:AK4"/>
    <mergeCell ref="AL4:AL5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M5"/>
    <mergeCell ref="N3:N5"/>
    <mergeCell ref="O3:P4"/>
    <mergeCell ref="Q4:Q5"/>
    <mergeCell ref="Q3:AA3"/>
    <mergeCell ref="R4:T4"/>
    <mergeCell ref="U4:W4"/>
    <mergeCell ref="X4:Z4"/>
    <mergeCell ref="AA4:AA5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S1 (1605.people.523.new)</vt:lpstr>
      <vt:lpstr>Table S2 (714.new.libraries)</vt:lpstr>
      <vt:lpstr>Table S3 (69.families)</vt:lpstr>
      <vt:lpstr>Table S4 (269.carbon.dates)</vt:lpstr>
      <vt:lpstr>Table S5 (246.modern.groups)</vt:lpstr>
    </vt:vector>
  </TitlesOfParts>
  <Manager/>
  <Company>Harvard Medical School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Reich</dc:creator>
  <cp:keywords/>
  <dc:description/>
  <cp:lastModifiedBy>Vagheesh Narasimhan</cp:lastModifiedBy>
  <cp:revision/>
  <dcterms:created xsi:type="dcterms:W3CDTF">2018-10-12T04:09:57Z</dcterms:created>
  <dcterms:modified xsi:type="dcterms:W3CDTF">2019-09-04T23:29:23Z</dcterms:modified>
  <cp:category/>
  <cp:contentStatus/>
</cp:coreProperties>
</file>