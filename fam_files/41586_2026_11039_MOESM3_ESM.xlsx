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61" documentId="13_ncr:1_{E81DE9C6-FFC2-4BCC-95CD-A56C4643331D}" xr6:coauthVersionLast="47" xr6:coauthVersionMax="47" xr10:uidLastSave="{D32740E9-1B44-43D2-8E62-4CCA48B609C9}"/>
  <bookViews>
    <workbookView xWindow="-120" yWindow="-120" windowWidth="29040" windowHeight="15720" tabRatio="756" activeTab="12" xr2:uid="{00000000-000D-0000-FFFF-FFFF00000000}"/>
  </bookViews>
  <sheets>
    <sheet name="ST1" sheetId="17" r:id="rId1"/>
    <sheet name="ST2" sheetId="30" r:id="rId2"/>
    <sheet name="ST3" sheetId="18" r:id="rId3"/>
    <sheet name="ST4" sheetId="11" r:id="rId4"/>
    <sheet name="ST5" sheetId="13" r:id="rId5"/>
    <sheet name="ST6" sheetId="24" r:id="rId6"/>
    <sheet name="ST7" sheetId="20" r:id="rId7"/>
    <sheet name="ST8" sheetId="23" r:id="rId8"/>
    <sheet name="ST9" sheetId="21" r:id="rId9"/>
    <sheet name="ST10" sheetId="25" r:id="rId10"/>
    <sheet name="ST11" sheetId="26" r:id="rId11"/>
    <sheet name="ST12" sheetId="10" r:id="rId12"/>
    <sheet name="ST13" sheetId="14" r:id="rId13"/>
  </sheets>
  <definedNames>
    <definedName name="_xlnm._FilterDatabase" localSheetId="3" hidden="1">'ST4'!$B$1:$B$44</definedName>
    <definedName name="_xlnm._FilterDatabase" localSheetId="4" hidden="1">'ST5'!#REF!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4" i="25" l="1"/>
  <c r="T12" i="25"/>
  <c r="U12" i="25"/>
  <c r="U14" i="25"/>
  <c r="R14" i="25"/>
  <c r="R13" i="25"/>
  <c r="O14" i="25"/>
  <c r="O13" i="25"/>
  <c r="O12" i="25"/>
  <c r="O11" i="25"/>
  <c r="O10" i="25"/>
  <c r="O9" i="25"/>
  <c r="O8" i="25"/>
  <c r="O7" i="25"/>
  <c r="W14" i="25"/>
  <c r="W13" i="25"/>
  <c r="V14" i="25"/>
  <c r="V13" i="25"/>
  <c r="U13" i="25"/>
  <c r="T14" i="25"/>
  <c r="T13" i="25"/>
  <c r="S14" i="25"/>
  <c r="S13" i="25"/>
  <c r="R8" i="25"/>
  <c r="V12" i="25"/>
  <c r="U11" i="25"/>
  <c r="T11" i="25"/>
  <c r="T10" i="25"/>
  <c r="S12" i="25"/>
  <c r="S11" i="25"/>
  <c r="S10" i="25"/>
  <c r="S9" i="25"/>
  <c r="R12" i="25"/>
  <c r="R11" i="25"/>
  <c r="R10" i="25"/>
  <c r="R9" i="25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3" i="21"/>
</calcChain>
</file>

<file path=xl/sharedStrings.xml><?xml version="1.0" encoding="utf-8"?>
<sst xmlns="http://schemas.openxmlformats.org/spreadsheetml/2006/main" count="2547" uniqueCount="452">
  <si>
    <t>Supplementary Table 1. Regression results of ancestry proportions with PC1–PC7.</t>
  </si>
  <si>
    <t>IAM</t>
  </si>
  <si>
    <t>EUR</t>
  </si>
  <si>
    <t>AFR</t>
  </si>
  <si>
    <t>EAS</t>
  </si>
  <si>
    <t>Estimate</t>
  </si>
  <si>
    <t>P</t>
  </si>
  <si>
    <t>PC1</t>
  </si>
  <si>
    <t>&lt;2e-16</t>
  </si>
  <si>
    <t>PC2</t>
  </si>
  <si>
    <t>PC3</t>
  </si>
  <si>
    <t>PC4</t>
  </si>
  <si>
    <t>PC5</t>
  </si>
  <si>
    <t>PC6</t>
  </si>
  <si>
    <t>PC7</t>
  </si>
  <si>
    <r>
      <t>Adjusted R</t>
    </r>
    <r>
      <rPr>
        <b/>
        <i/>
        <vertAlign val="superscript"/>
        <sz val="11"/>
        <color theme="1"/>
        <rFont val="Times New Roman"/>
        <family val="1"/>
      </rPr>
      <t xml:space="preserve">2 </t>
    </r>
    <r>
      <rPr>
        <b/>
        <i/>
        <sz val="11"/>
        <color theme="1"/>
        <rFont val="Times New Roman"/>
        <family val="1"/>
      </rPr>
      <t>of the model (ancestry proportion ~ PC1–PC7)</t>
    </r>
  </si>
  <si>
    <t>Supplementary Table 2. Baseline characteristics of the study population by district.</t>
  </si>
  <si>
    <t>Characteristic</t>
  </si>
  <si>
    <t>Total study population</t>
  </si>
  <si>
    <t>Iztapalapa</t>
  </si>
  <si>
    <t>Coyoacán</t>
  </si>
  <si>
    <t xml:space="preserve">Mean (SD) </t>
  </si>
  <si>
    <t>N (%)</t>
  </si>
  <si>
    <t xml:space="preserve"> Age (years)</t>
  </si>
  <si>
    <t xml:space="preserve">50.97(12.09) </t>
  </si>
  <si>
    <t xml:space="preserve">51.14 (12.40) </t>
  </si>
  <si>
    <t xml:space="preserve">50.70 (11.60) </t>
  </si>
  <si>
    <r>
      <t>District</t>
    </r>
    <r>
      <rPr>
        <sz val="12"/>
        <rFont val="Times New Roman"/>
        <family val="1"/>
      </rPr>
      <t xml:space="preserve"> (</t>
    </r>
    <r>
      <rPr>
        <b/>
        <sz val="12"/>
        <rFont val="Times New Roman"/>
        <family val="1"/>
      </rPr>
      <t>Iztapalapa)</t>
    </r>
  </si>
  <si>
    <t>--</t>
  </si>
  <si>
    <t>55,217 (59.83%)</t>
  </si>
  <si>
    <t>55,217 (100%)</t>
  </si>
  <si>
    <t>37,080 (100%)</t>
  </si>
  <si>
    <t>Male</t>
  </si>
  <si>
    <t>30,439 (32.98%)</t>
  </si>
  <si>
    <t>17,312 (31.35%)</t>
  </si>
  <si>
    <t>13,127 (35.40%)</t>
  </si>
  <si>
    <t>Height (cm)</t>
  </si>
  <si>
    <t>156.07 (8.98)</t>
  </si>
  <si>
    <t>155.55 (8.84)</t>
  </si>
  <si>
    <t>156.84 (9.12)</t>
  </si>
  <si>
    <t>Weight (kg)</t>
  </si>
  <si>
    <t>70.73 (13.38)</t>
  </si>
  <si>
    <t>71.18 (13.51)</t>
  </si>
  <si>
    <t>70.06 (13.15)</t>
  </si>
  <si>
    <r>
      <t>BMI (kg/m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</si>
  <si>
    <t>29.03 (4.98)</t>
  </si>
  <si>
    <t>29.41 (5.07)</t>
  </si>
  <si>
    <t>28.47 (4.80)</t>
  </si>
  <si>
    <t>WHR</t>
  </si>
  <si>
    <t>0.90 (0.07)</t>
  </si>
  <si>
    <t>0.89 (0.07)</t>
  </si>
  <si>
    <t>SBP* (mm Hg)</t>
  </si>
  <si>
    <t>129.30 (18.99)</t>
  </si>
  <si>
    <t>128.55 (18.77)</t>
  </si>
  <si>
    <t>130.42 (19.26)</t>
  </si>
  <si>
    <t>DBP* (mm Hg)</t>
  </si>
  <si>
    <t>84.60 (11.59)</t>
  </si>
  <si>
    <t>84.03 (11.43)</t>
  </si>
  <si>
    <t>85.44 (11.78)</t>
  </si>
  <si>
    <t>HDL (mmol/l)</t>
  </si>
  <si>
    <t>1.00 (0.21)</t>
  </si>
  <si>
    <t>0.99 (0.21)</t>
  </si>
  <si>
    <t>1.02 (0.22)</t>
  </si>
  <si>
    <t>LDL (mmol/l)</t>
  </si>
  <si>
    <t>2.47 (0.79)</t>
  </si>
  <si>
    <t>2.46 (0.78)</t>
  </si>
  <si>
    <t>2.48 (0.80)</t>
  </si>
  <si>
    <t>Total triglyceride (mmol/l)</t>
  </si>
  <si>
    <t>1.57 (0.66)</t>
  </si>
  <si>
    <t>1.57 (0.67)</t>
  </si>
  <si>
    <t>1.57 (0.64)</t>
  </si>
  <si>
    <t>ApoA1 (g/l)</t>
  </si>
  <si>
    <t>1.22 (0.19)</t>
  </si>
  <si>
    <t>1.23 (0.19)</t>
  </si>
  <si>
    <t>ApoB (g/l)</t>
  </si>
  <si>
    <t>0.90 (0.21)</t>
  </si>
  <si>
    <t>0.89 (0.21)</t>
  </si>
  <si>
    <r>
      <t>HbA1c (%)</t>
    </r>
    <r>
      <rPr>
        <b/>
        <vertAlign val="superscript"/>
        <sz val="12"/>
        <rFont val="Times New Roman"/>
        <family val="1"/>
      </rPr>
      <t>#</t>
    </r>
  </si>
  <si>
    <t>5.45 (0.37)</t>
  </si>
  <si>
    <t>5.53 (0.35)</t>
  </si>
  <si>
    <t>5.34 (0.37)</t>
  </si>
  <si>
    <r>
      <t>eGFR (mL/min/ 1.73 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  <r>
      <rPr>
        <b/>
        <vertAlign val="superscript"/>
        <sz val="12"/>
        <rFont val="Times New Roman"/>
        <family val="1"/>
      </rPr>
      <t>#</t>
    </r>
  </si>
  <si>
    <t>102.68 (14.68)</t>
  </si>
  <si>
    <t>102.41 (15.05)</t>
  </si>
  <si>
    <t>103.05 (14.15)</t>
  </si>
  <si>
    <t>Education level*</t>
  </si>
  <si>
    <t>Level 1</t>
  </si>
  <si>
    <t>9,901 (10.73%)</t>
  </si>
  <si>
    <t>6,511 (11.80%)</t>
  </si>
  <si>
    <t>3,390 (9.15%)</t>
  </si>
  <si>
    <t>Level 2</t>
  </si>
  <si>
    <t>43,169 (46.79%)</t>
  </si>
  <si>
    <t>27,443 (49.73%)</t>
  </si>
  <si>
    <t>15,726 (42.42%)</t>
  </si>
  <si>
    <t>Level 3</t>
  </si>
  <si>
    <t>23,872 (25.88%)</t>
  </si>
  <si>
    <t>14,160 (25.66%)</t>
  </si>
  <si>
    <t>9,712 (26.20%)</t>
  </si>
  <si>
    <t>Level 4</t>
  </si>
  <si>
    <t>15,314 (16.60%)</t>
  </si>
  <si>
    <t>7,073 (12.82%)</t>
  </si>
  <si>
    <t>8,241 (22.23%)</t>
  </si>
  <si>
    <t>Type 2 diabetes</t>
  </si>
  <si>
    <t>11,669 (14.17%)</t>
  </si>
  <si>
    <t>7,665 (15.89%)</t>
  </si>
  <si>
    <t>4,004 (11.73%)</t>
  </si>
  <si>
    <t>Supplementary Table 3. Ancestry associations with complex traits at the population level.</t>
  </si>
  <si>
    <t>Trait</t>
  </si>
  <si>
    <t>SE</t>
  </si>
  <si>
    <t>Height</t>
  </si>
  <si>
    <t>Height (adjusted for EA)</t>
  </si>
  <si>
    <t>HbA1c</t>
  </si>
  <si>
    <t>eGFR</t>
  </si>
  <si>
    <t>Weight</t>
  </si>
  <si>
    <t>BMI</t>
  </si>
  <si>
    <t>SBP</t>
  </si>
  <si>
    <t>DBP</t>
  </si>
  <si>
    <t>HDL</t>
  </si>
  <si>
    <t>LDL</t>
  </si>
  <si>
    <t>TG</t>
  </si>
  <si>
    <t>ApoA1</t>
  </si>
  <si>
    <t>ApoB</t>
  </si>
  <si>
    <t>EA (4-level)</t>
  </si>
  <si>
    <t>EA (14-level z-score)</t>
  </si>
  <si>
    <r>
      <t>T2D</t>
    </r>
    <r>
      <rPr>
        <vertAlign val="superscript"/>
        <sz val="12"/>
        <rFont val="Times New Roman"/>
        <family val="1"/>
      </rPr>
      <t>*</t>
    </r>
  </si>
  <si>
    <r>
      <t>T2D</t>
    </r>
    <r>
      <rPr>
        <vertAlign val="superscript"/>
        <sz val="12"/>
        <rFont val="Times New Roman"/>
        <family val="1"/>
      </rPr>
      <t>#</t>
    </r>
  </si>
  <si>
    <r>
      <t>T2D</t>
    </r>
    <r>
      <rPr>
        <vertAlign val="superscript"/>
        <sz val="12"/>
        <rFont val="Times New Roman"/>
        <family val="1"/>
      </rPr>
      <t>##</t>
    </r>
  </si>
  <si>
    <t>T2D (adjusted for EA)</t>
  </si>
  <si>
    <t>*Result of linear regression; #Result of logistic regression.</t>
  </si>
  <si>
    <t>Abbreviation: IAM = Indigenous American ancestry; AFR = African; EAS = East Asian; ApoA1 = apolipoprotein A1; ApoB = apolipoprotein B; BMI = body mass index; DBP = diastolic blood pressure; EA = educational attainment; eGFR = estimated glomerular filtration rate; HbA1c = glycated haemoglobin; HDL = high density lipoprotein; LDL = low density lipoprotein; SBP = systolic blood pressure; T2D = type 2 diabetes; TG = total triglycerides; WHR = waist-to-hip ratio</t>
  </si>
  <si>
    <t>Supplementary Table 4. Within-family and between-family effects of ancestry on complex traits within families.</t>
  </si>
  <si>
    <t>Source</t>
  </si>
  <si>
    <t>within-family effect</t>
  </si>
  <si>
    <t>between-family effect</t>
  </si>
  <si>
    <t>Educational attainment (4-level)</t>
  </si>
  <si>
    <t>Educational attainment (14-level z-score)</t>
  </si>
  <si>
    <t>T2D</t>
  </si>
  <si>
    <t>REML* (mixed model on 0-1 scale)</t>
  </si>
  <si>
    <t>Mixed model logistic regression**</t>
  </si>
  <si>
    <t>*Linear mixed model includes both family and IBD random effects in the GCTA REML analysis</t>
  </si>
  <si>
    <t>**Using a generalised linear mixed model with a single random effect of family fitted</t>
  </si>
  <si>
    <t xml:space="preserve">## The HbA1c threshold of control  was further restricted to &lt; 5.7% </t>
  </si>
  <si>
    <t>Supplementary Table 5. Variance components for all study traits.</t>
  </si>
  <si>
    <r>
      <t>Parameter</t>
    </r>
    <r>
      <rPr>
        <vertAlign val="superscript"/>
        <sz val="12"/>
        <color theme="1"/>
        <rFont val="Times New Roman"/>
        <family val="1"/>
      </rPr>
      <t>#</t>
    </r>
  </si>
  <si>
    <r>
      <t>h</t>
    </r>
    <r>
      <rPr>
        <i/>
        <vertAlign val="superscript"/>
        <sz val="12"/>
        <color theme="1"/>
        <rFont val="Times New Roman"/>
        <family val="1"/>
      </rPr>
      <t>2</t>
    </r>
  </si>
  <si>
    <r>
      <t>c</t>
    </r>
    <r>
      <rPr>
        <i/>
        <vertAlign val="superscript"/>
        <sz val="12"/>
        <color theme="1"/>
        <rFont val="Times New Roman"/>
        <family val="1"/>
      </rPr>
      <t>2</t>
    </r>
  </si>
  <si>
    <r>
      <t>h</t>
    </r>
    <r>
      <rPr>
        <i/>
        <vertAlign val="superscript"/>
        <sz val="12"/>
        <rFont val="Times New Roman"/>
        <family val="1"/>
      </rPr>
      <t>2</t>
    </r>
    <r>
      <rPr>
        <i/>
        <sz val="12"/>
        <rFont val="Times New Roman"/>
        <family val="1"/>
      </rPr>
      <t>*</t>
    </r>
  </si>
  <si>
    <r>
      <t>c</t>
    </r>
    <r>
      <rPr>
        <i/>
        <vertAlign val="superscript"/>
        <sz val="12"/>
        <rFont val="Times New Roman"/>
        <family val="1"/>
      </rPr>
      <t>2</t>
    </r>
    <r>
      <rPr>
        <i/>
        <sz val="12"/>
        <rFont val="Times New Roman"/>
        <family val="1"/>
      </rPr>
      <t xml:space="preserve"> *</t>
    </r>
  </si>
  <si>
    <r>
      <t>h</t>
    </r>
    <r>
      <rPr>
        <i/>
        <vertAlign val="superscript"/>
        <sz val="12"/>
        <rFont val="Times New Roman"/>
        <family val="1"/>
      </rPr>
      <t>2</t>
    </r>
    <r>
      <rPr>
        <i/>
        <sz val="12"/>
        <rFont val="Times New Roman"/>
        <family val="1"/>
      </rPr>
      <t xml:space="preserve"> **</t>
    </r>
  </si>
  <si>
    <r>
      <t>c</t>
    </r>
    <r>
      <rPr>
        <i/>
        <vertAlign val="superscript"/>
        <sz val="12"/>
        <rFont val="Times New Roman"/>
        <family val="1"/>
      </rPr>
      <t>2</t>
    </r>
    <r>
      <rPr>
        <i/>
        <sz val="12"/>
        <rFont val="Times New Roman"/>
        <family val="1"/>
      </rPr>
      <t xml:space="preserve"> **</t>
    </r>
  </si>
  <si>
    <r>
      <rPr>
        <i/>
        <vertAlign val="superscript"/>
        <sz val="12"/>
        <color theme="1"/>
        <rFont val="Times New Roman"/>
        <family val="1"/>
      </rPr>
      <t>#</t>
    </r>
    <r>
      <rPr>
        <i/>
        <sz val="12"/>
        <color theme="1"/>
        <rFont val="Times New Roman"/>
        <family val="1"/>
      </rPr>
      <t>Heritability (h²) and Environmental Contribution (c²)</t>
    </r>
  </si>
  <si>
    <t>*on observed scale (0/1); **on liability scale (after transformation)</t>
  </si>
  <si>
    <t>Supplementary Table 6. Partial correlation of cTIA with ancestries.</t>
  </si>
  <si>
    <t>Height cTIA</t>
  </si>
  <si>
    <r>
      <t>&lt; 1×10</t>
    </r>
    <r>
      <rPr>
        <vertAlign val="superscript"/>
        <sz val="12"/>
        <rFont val="Times New Roman"/>
        <family val="1"/>
      </rPr>
      <t>-300</t>
    </r>
  </si>
  <si>
    <r>
      <t>1.17×10</t>
    </r>
    <r>
      <rPr>
        <vertAlign val="superscript"/>
        <sz val="12"/>
        <rFont val="Times New Roman"/>
        <family val="1"/>
      </rPr>
      <t>-123</t>
    </r>
  </si>
  <si>
    <r>
      <t>7.27×10</t>
    </r>
    <r>
      <rPr>
        <vertAlign val="superscript"/>
        <sz val="12"/>
        <rFont val="Times New Roman"/>
        <family val="1"/>
      </rPr>
      <t>-40</t>
    </r>
  </si>
  <si>
    <r>
      <t>3.76×10</t>
    </r>
    <r>
      <rPr>
        <vertAlign val="superscript"/>
        <sz val="12"/>
        <rFont val="Times New Roman"/>
        <family val="1"/>
      </rPr>
      <t>-16</t>
    </r>
  </si>
  <si>
    <r>
      <t>4.03×10</t>
    </r>
    <r>
      <rPr>
        <vertAlign val="superscript"/>
        <sz val="12"/>
        <rFont val="Times New Roman"/>
        <family val="1"/>
      </rPr>
      <t>-11</t>
    </r>
  </si>
  <si>
    <t>T2D cTIA</t>
  </si>
  <si>
    <r>
      <t>2.58×10</t>
    </r>
    <r>
      <rPr>
        <vertAlign val="superscript"/>
        <sz val="12"/>
        <rFont val="Times New Roman"/>
        <family val="1"/>
      </rPr>
      <t>-176</t>
    </r>
  </si>
  <si>
    <r>
      <t>9.61×10</t>
    </r>
    <r>
      <rPr>
        <vertAlign val="superscript"/>
        <sz val="12"/>
        <rFont val="Times New Roman"/>
        <family val="1"/>
      </rPr>
      <t>-35</t>
    </r>
  </si>
  <si>
    <t>T2D missense cTIA</t>
  </si>
  <si>
    <r>
      <t>6.10×10</t>
    </r>
    <r>
      <rPr>
        <vertAlign val="superscript"/>
        <sz val="12"/>
        <rFont val="Times New Roman"/>
        <family val="1"/>
      </rPr>
      <t>-71</t>
    </r>
  </si>
  <si>
    <r>
      <t>9.41×10</t>
    </r>
    <r>
      <rPr>
        <vertAlign val="superscript"/>
        <sz val="12"/>
        <rFont val="Times New Roman"/>
        <family val="1"/>
      </rPr>
      <t>-31</t>
    </r>
  </si>
  <si>
    <r>
      <t>5.30×10</t>
    </r>
    <r>
      <rPr>
        <vertAlign val="superscript"/>
        <sz val="12"/>
        <rFont val="Times New Roman"/>
        <family val="1"/>
      </rPr>
      <t>-7</t>
    </r>
  </si>
  <si>
    <t>Supplementary Table 7. The 36 missense variants were identified from the 1289 independent single-nucleotide variants reported in Suzuki et al.'s multi-ancestry meta-regression on type 2 diabetes.</t>
  </si>
  <si>
    <t>SNP</t>
  </si>
  <si>
    <t>Chromosome</t>
  </si>
  <si>
    <t>Position (GRCh38)</t>
  </si>
  <si>
    <t>Risk allele</t>
  </si>
  <si>
    <t>Other allele</t>
  </si>
  <si>
    <t>OR</t>
  </si>
  <si>
    <t>Risk allele frequency in IAM</t>
  </si>
  <si>
    <t>Risk allele frequency in EUR</t>
  </si>
  <si>
    <t>Mapped gene</t>
  </si>
  <si>
    <t>Annotation</t>
  </si>
  <si>
    <t>rs35042446</t>
  </si>
  <si>
    <t>A</t>
  </si>
  <si>
    <t>G</t>
  </si>
  <si>
    <t>RLF</t>
  </si>
  <si>
    <t>missense variant</t>
  </si>
  <si>
    <t>rs41277236</t>
  </si>
  <si>
    <t>T</t>
  </si>
  <si>
    <t>C</t>
  </si>
  <si>
    <t>NEUROG3</t>
  </si>
  <si>
    <t>rs1800574</t>
  </si>
  <si>
    <t>HNF1A</t>
  </si>
  <si>
    <t>rs4988483</t>
  </si>
  <si>
    <t>SSTR5</t>
  </si>
  <si>
    <t>rs17265513</t>
  </si>
  <si>
    <t>ZHX3</t>
  </si>
  <si>
    <t>rs34311866</t>
  </si>
  <si>
    <t>TMEM175</t>
  </si>
  <si>
    <t>rs78408340</t>
  </si>
  <si>
    <t>PAM</t>
  </si>
  <si>
    <t>missense variant, splice region variant</t>
  </si>
  <si>
    <t>rs35169799</t>
  </si>
  <si>
    <t>PLCB3</t>
  </si>
  <si>
    <t>rs74459242</t>
  </si>
  <si>
    <t>COBLL1</t>
  </si>
  <si>
    <t>rs2066827</t>
  </si>
  <si>
    <t>CDKN1B</t>
  </si>
  <si>
    <t>rs2289043</t>
  </si>
  <si>
    <t>UNC5C</t>
  </si>
  <si>
    <t>rs1800961</t>
  </si>
  <si>
    <t>HNF4A</t>
  </si>
  <si>
    <t>rs3742636</t>
  </si>
  <si>
    <t>SIX4</t>
  </si>
  <si>
    <t>rs2277339</t>
  </si>
  <si>
    <t>PRIM1</t>
  </si>
  <si>
    <t>rs5215</t>
  </si>
  <si>
    <t>KCNJ11</t>
  </si>
  <si>
    <t>rs3747579</t>
  </si>
  <si>
    <t>CORO7</t>
  </si>
  <si>
    <t>rs883541</t>
  </si>
  <si>
    <t>WIPI1</t>
  </si>
  <si>
    <t>rs3959569</t>
  </si>
  <si>
    <t>MAPKBP1</t>
  </si>
  <si>
    <t>rs10743108</t>
  </si>
  <si>
    <t>ZNF143</t>
  </si>
  <si>
    <t>rs61736066</t>
  </si>
  <si>
    <t>SLC39A11</t>
  </si>
  <si>
    <t>rs2229840</t>
  </si>
  <si>
    <t>NCOR2</t>
  </si>
  <si>
    <t>rs1260326</t>
  </si>
  <si>
    <t>GCKR</t>
  </si>
  <si>
    <t>missense variant,splice region variant</t>
  </si>
  <si>
    <t>rs13266634</t>
  </si>
  <si>
    <t>SLC30A8</t>
  </si>
  <si>
    <t>rs7594480</t>
  </si>
  <si>
    <t>ACVR1C</t>
  </si>
  <si>
    <t>rs12437434</t>
  </si>
  <si>
    <t>NYNRIN</t>
  </si>
  <si>
    <t>rs1150674</t>
  </si>
  <si>
    <t>ZKSCAN8P1</t>
  </si>
  <si>
    <t>rs429358</t>
  </si>
  <si>
    <t>APOE</t>
  </si>
  <si>
    <t>rs2862954</t>
  </si>
  <si>
    <t>ERLIN1</t>
  </si>
  <si>
    <t>rs12140153</t>
  </si>
  <si>
    <t>PATJ</t>
  </si>
  <si>
    <t>rs34811474</t>
  </si>
  <si>
    <t>ANAPC4</t>
  </si>
  <si>
    <t>rs9379084</t>
  </si>
  <si>
    <t>RREB1</t>
  </si>
  <si>
    <t>rs1229984</t>
  </si>
  <si>
    <t>ADH1B</t>
  </si>
  <si>
    <t>rs671</t>
  </si>
  <si>
    <t>ALDH2</t>
  </si>
  <si>
    <t>rs72681869</t>
  </si>
  <si>
    <t>SOS2</t>
  </si>
  <si>
    <t>rs116843064</t>
  </si>
  <si>
    <t>ANGPTL4</t>
  </si>
  <si>
    <t>rs33959228</t>
  </si>
  <si>
    <t>ZNF76</t>
  </si>
  <si>
    <t>Supplementary Table 8. The effect of trait-increasing allele count on height, T2D, and EA.</t>
  </si>
  <si>
    <t>Basic model</t>
  </si>
  <si>
    <t>+ cTIA of height</t>
  </si>
  <si>
    <t>+ cTIA of T2D</t>
  </si>
  <si>
    <t>+ cTIA of EA</t>
  </si>
  <si>
    <t>+ EA</t>
  </si>
  <si>
    <t>+ missense cTIA</t>
  </si>
  <si>
    <t>cTIA of  height</t>
  </si>
  <si>
    <t>missense cTIA of height</t>
  </si>
  <si>
    <t>cTIA of T2D</t>
  </si>
  <si>
    <t>cTIA of  EA</t>
  </si>
  <si>
    <t>EA</t>
  </si>
  <si>
    <t>IAM within-family effect</t>
  </si>
  <si>
    <t>IAM between-family effect</t>
  </si>
  <si>
    <t>AFR within-family effect</t>
  </si>
  <si>
    <t>AFR between-family effect</t>
  </si>
  <si>
    <t>EAS within-family effect</t>
  </si>
  <si>
    <t>EAS between-family effect</t>
  </si>
  <si>
    <t> </t>
  </si>
  <si>
    <t>cTIA of height</t>
  </si>
  <si>
    <t>missense cTIA of T2D</t>
  </si>
  <si>
    <t>cTIA of T2D (scaled)</t>
  </si>
  <si>
    <t>cTIA of height (scaled)</t>
  </si>
  <si>
    <t>cTIA of  EA (scaled)</t>
  </si>
  <si>
    <t>missense cTIA of T2D (scaled)</t>
  </si>
  <si>
    <t>Supplementary Table 9. Top 20 genetic loci showing the largest differences in trait-increasing allele frequencies between European and Indigenous American populations for height and type 2 diabetes.</t>
  </si>
  <si>
    <t>Reported traits (GWAS Catalog)</t>
  </si>
  <si>
    <t>Trait-increasing allele</t>
  </si>
  <si>
    <t>fTIA IAM</t>
  </si>
  <si>
    <t>fTIA EUR</t>
  </si>
  <si>
    <t>fTIA difference (IAM - EUR)</t>
  </si>
  <si>
    <t>absolute value of fTIA difference  (IAM - EUR)</t>
  </si>
  <si>
    <t>fTIA of Native American in HGDP</t>
  </si>
  <si>
    <t>rs174570</t>
  </si>
  <si>
    <t>FADS2</t>
  </si>
  <si>
    <t>intron variant</t>
  </si>
  <si>
    <t>164 associations</t>
  </si>
  <si>
    <t>rs2376558</t>
  </si>
  <si>
    <t>TPCN2</t>
  </si>
  <si>
    <t>rs4924116</t>
  </si>
  <si>
    <t>MEIS2</t>
  </si>
  <si>
    <t>rs10810656</t>
  </si>
  <si>
    <t>-</t>
  </si>
  <si>
    <t>intergenic variant</t>
  </si>
  <si>
    <t>rs1041309</t>
  </si>
  <si>
    <t>rs12511035</t>
  </si>
  <si>
    <t>rs12479347</t>
  </si>
  <si>
    <t>rs12913832</t>
  </si>
  <si>
    <t>HERC2</t>
  </si>
  <si>
    <t>Height; 25-hydroxyvitamin D levels (skin colour stratified); Actinic keratosis ; Age-related macular degeneration; Basal cell carcinoma; Chorioretinal inflammations, scars, and other disorders of choroid; Colonoscopy-negative controls vs population controls; Colorectal cancer; Corneal astigmatism; Cutaneous malignant melanoma; Degenerative skin conditions and other dermatoses; Diisocyanate-induced asthma; Diseases of sebaceous glands; Disorder of skin and subcutaneous tissue NO; Ease of skin tanning; Ease of sunburn; Erythematosquamous dermatosis; Eye color; Glaucoma; Hair color; Hair morphology traits; Intraocular pressure; Low tan response; Melanomas of skin; Neoplasm of uncertain behavior of skin; Nevus count or cutaneous melanoma; Non-melanoma skin cancer; Other non-epithelial cancer of skin; Perceived skin darkness; Primary angle-closure glaucoma; Primary open angle glaucoma; Retinal arteriolar tortuosity; Retinal vascular fractal dimension; Seborrheic dermatitis; Skin cancer; Skin color; Skin phototype score; Skin pigmentation; Skin, hair and eye pigmentation; Squamous cell carcinoma; Tanning.</t>
  </si>
  <si>
    <t>rs28833246</t>
  </si>
  <si>
    <t>downstream gene variant</t>
  </si>
  <si>
    <t>rs12448432</t>
  </si>
  <si>
    <t>CIAO3</t>
  </si>
  <si>
    <t>Height; Brain morphology ; Multi-trait sex score</t>
  </si>
  <si>
    <t>rs10962599</t>
  </si>
  <si>
    <t>BNC2</t>
  </si>
  <si>
    <t>Height; hair color; Cutaneous squamous cell carcinoma</t>
  </si>
  <si>
    <t>rs7568419</t>
  </si>
  <si>
    <t>NRAL</t>
  </si>
  <si>
    <t>rs17026644</t>
  </si>
  <si>
    <t>LINC01794</t>
  </si>
  <si>
    <t>rs4687608</t>
  </si>
  <si>
    <t>rs28548540</t>
  </si>
  <si>
    <t>COMMD7</t>
  </si>
  <si>
    <t>rs3846041</t>
  </si>
  <si>
    <t>rs2921162</t>
  </si>
  <si>
    <t>ROPN1L</t>
  </si>
  <si>
    <t>rs1958055</t>
  </si>
  <si>
    <t>NPAS3</t>
  </si>
  <si>
    <t>rs13168379</t>
  </si>
  <si>
    <t>CPEB4</t>
  </si>
  <si>
    <t>rs2304790</t>
  </si>
  <si>
    <t>CPNE3</t>
  </si>
  <si>
    <t>rs12625671</t>
  </si>
  <si>
    <t>rs2371064</t>
  </si>
  <si>
    <t>NRXN3</t>
  </si>
  <si>
    <t>rs10842708</t>
  </si>
  <si>
    <t>Type 2 diabetes; Alanine aminotransferase levels; HDL cholesterol; Waist-to-hip ratio adjusted for body mass index.</t>
  </si>
  <si>
    <t>rs174541</t>
  </si>
  <si>
    <t>FEN1</t>
  </si>
  <si>
    <t>Type 2 diabetes; Metabolite levels; Red blood cell fatty acid levels; Daytime nap; Brain morphology; Subcortical volume; Trans fatty acid levels; Serum metabolite ratios in chronic kidney disease; Concentration of large LDL particles; Phosphatidylcholines C levels; Concentration of large LDL particles; Concentration of small LDL particles; Free cholesterol in medium VLDL; Cholesterol in small LDL; Total lipids in small LDL; Free cholesterol in small VLDL; Concentration of LDL particles; Phosphatidylcholine levels; Lysophosphatidylethanolamine levels; Phosphatidylcholine acyl-alkyl C30:1 levels; Fasting glucose.</t>
  </si>
  <si>
    <t>rs4924455</t>
  </si>
  <si>
    <t>CCDC9B</t>
  </si>
  <si>
    <t>5 prime UTR variant</t>
  </si>
  <si>
    <t>Type 2 diabetes; Medication use (drugs used in diabetes)</t>
  </si>
  <si>
    <t>rs1330303</t>
  </si>
  <si>
    <t>Type 2 diabetes; Hay fever and/or eczema</t>
  </si>
  <si>
    <t>rs35889227</t>
  </si>
  <si>
    <t>FOXN3</t>
  </si>
  <si>
    <t>Type 2 diabetes; Fasting glucose; Random glucose levels; Glucose level; HbA1c level.</t>
  </si>
  <si>
    <t>rs6488140</t>
  </si>
  <si>
    <t>Type 2 diabetes; Body mass index; Weight</t>
  </si>
  <si>
    <t>rs4776970</t>
  </si>
  <si>
    <t>MAP2K5</t>
  </si>
  <si>
    <t>Type 2 diabetes; BMI and adiposity; Body mass index; Body surface area; Metabolic syndrome; Morbid obesity; Obesity; Overweight, obesity and other hyperalimentation; Waist circumference; Weight; Whole body fat free mass.</t>
  </si>
  <si>
    <t>rs17168486</t>
  </si>
  <si>
    <t>DGKB</t>
  </si>
  <si>
    <t>Type 2 diabetes; Metabolic syndrome; Fasting blood glucose; Fasting glucose; Blood sugar levels; Medication use (drugs used in diabetes); Random glucose levels.</t>
  </si>
  <si>
    <t>rs10130013</t>
  </si>
  <si>
    <t>DCAF5</t>
  </si>
  <si>
    <t>rs9512696</t>
  </si>
  <si>
    <t>GTF3A</t>
  </si>
  <si>
    <t>Type 2 diabetes; Body fat percentage; Body mass index; Childhood body mass index; Fat-free mass; High density lipoprotein cholesterol levels; Metabolic biomarkers (multivariate analysis); Sex hormone-binding globulin levels.</t>
  </si>
  <si>
    <t>rs7872172</t>
  </si>
  <si>
    <t>rs7080579</t>
  </si>
  <si>
    <t>SEC24C</t>
  </si>
  <si>
    <t>upstream gene variant</t>
  </si>
  <si>
    <t>rs738408</t>
  </si>
  <si>
    <t>PNPLA3</t>
  </si>
  <si>
    <t>synonymous variant</t>
  </si>
  <si>
    <t>115 associations</t>
  </si>
  <si>
    <t>rs4713761</t>
  </si>
  <si>
    <t>SMIM29</t>
  </si>
  <si>
    <t>Type 2 diabetes; Height</t>
  </si>
  <si>
    <t>rs10180252</t>
  </si>
  <si>
    <t>LINC01816</t>
  </si>
  <si>
    <t>intron variant,non coding transcript variant</t>
  </si>
  <si>
    <t>rs1321850</t>
  </si>
  <si>
    <t>AGPAT4</t>
  </si>
  <si>
    <t>rs2099044</t>
  </si>
  <si>
    <t>MFAP3</t>
  </si>
  <si>
    <t>rs56283750</t>
  </si>
  <si>
    <t>VPS9D1</t>
  </si>
  <si>
    <t>Type 2 diabetes; Age at menopause; Serum urate levels.</t>
  </si>
  <si>
    <t>fTIA = frequency of trait-increasing allele.</t>
  </si>
  <si>
    <t>Supplementary Table 10. The sampling variance–covariance and correlation matrix of the estimated fixed effects for T2D from two mixed models.</t>
  </si>
  <si>
    <t>a. variance–covariance from a linear mixed model on the 0-1 scale (fitting IBD and family as random effects)</t>
  </si>
  <si>
    <t>b. sampling correlation from a linear mixed model on the 0-1 scale (fitting IBD and family as random effects)</t>
  </si>
  <si>
    <t>mean</t>
  </si>
  <si>
    <t>Age</t>
  </si>
  <si>
    <r>
      <t>Age</t>
    </r>
    <r>
      <rPr>
        <vertAlign val="superscript"/>
        <sz val="12"/>
        <rFont val="Times New Roman"/>
        <family val="1"/>
      </rPr>
      <t>2</t>
    </r>
  </si>
  <si>
    <t>Sex</t>
  </si>
  <si>
    <t>District</t>
  </si>
  <si>
    <t>NA</t>
  </si>
  <si>
    <t>c. variance–covariance from a logistic mixed model (fitting family as a random effect)</t>
  </si>
  <si>
    <t>d. sampling correlation from a logistic mixed model (fitting family as a random effect)</t>
  </si>
  <si>
    <t>Intercept</t>
  </si>
  <si>
    <t>Age*</t>
  </si>
  <si>
    <t>*Age was rescaled to mean=0 and SD=1</t>
  </si>
  <si>
    <r>
      <t>Note: in b) there are no values for sampling correlations with age because the output of the sampling variances for age and age</t>
    </r>
    <r>
      <rPr>
        <i/>
        <vertAlign val="superscript"/>
        <sz val="12"/>
        <rFont val="Times New Roman"/>
        <family val="1"/>
      </rPr>
      <t>2</t>
    </r>
    <r>
      <rPr>
        <i/>
        <sz val="12"/>
        <rFont val="Times New Roman"/>
        <family val="1"/>
      </rPr>
      <t xml:space="preserve"> by the software package was 0.00.</t>
    </r>
  </si>
  <si>
    <t>Supplementary Table 11. Categories and codes for educational attainment.</t>
  </si>
  <si>
    <t>Categories </t>
  </si>
  <si>
    <t>Code </t>
  </si>
  <si>
    <r>
      <t>Full variable</t>
    </r>
    <r>
      <rPr>
        <b/>
        <vertAlign val="superscript"/>
        <sz val="12"/>
        <rFont val="Times New Roman"/>
        <family val="1"/>
      </rPr>
      <t>#</t>
    </r>
  </si>
  <si>
    <t>1 (illiterate or literate)</t>
  </si>
  <si>
    <t>1 </t>
  </si>
  <si>
    <t>Illiterate  </t>
  </si>
  <si>
    <t>2 </t>
  </si>
  <si>
    <t>Knows how to read </t>
  </si>
  <si>
    <t>3 </t>
  </si>
  <si>
    <t>Knows how to read and write </t>
  </si>
  <si>
    <t>2 (elementary)</t>
  </si>
  <si>
    <t>4 </t>
  </si>
  <si>
    <t>Incomplete elementary  </t>
  </si>
  <si>
    <t>5 </t>
  </si>
  <si>
    <t>Complete elementary  </t>
  </si>
  <si>
    <t>6 </t>
  </si>
  <si>
    <t>Technical studies with complete elementary </t>
  </si>
  <si>
    <t>3 (middle school) </t>
  </si>
  <si>
    <t>7 </t>
  </si>
  <si>
    <t>Incomplete middle school </t>
  </si>
  <si>
    <t>8 </t>
  </si>
  <si>
    <t>Complete middle school </t>
  </si>
  <si>
    <t>9 </t>
  </si>
  <si>
    <t>Technical studies with complete middle school level </t>
  </si>
  <si>
    <t>4 (university or high school)</t>
  </si>
  <si>
    <t>10 </t>
  </si>
  <si>
    <t>High school </t>
  </si>
  <si>
    <t>11 </t>
  </si>
  <si>
    <t>Technical studies with complete high school level </t>
  </si>
  <si>
    <t>12 </t>
  </si>
  <si>
    <t>Incomplete university </t>
  </si>
  <si>
    <t>13 </t>
  </si>
  <si>
    <t>Complete university </t>
  </si>
  <si>
    <t>14 </t>
  </si>
  <si>
    <t>Post graduate degree </t>
  </si>
  <si>
    <r>
      <rPr>
        <i/>
        <u/>
        <vertAlign val="superscript"/>
        <sz val="11"/>
        <rFont val="Times New Roman"/>
        <family val="1"/>
      </rPr>
      <t>#</t>
    </r>
    <r>
      <rPr>
        <i/>
        <u/>
        <sz val="11"/>
        <rFont val="Times New Roman"/>
        <family val="1"/>
      </rPr>
      <t>Educational attainment categories were obtained from the baseline questionnaire</t>
    </r>
  </si>
  <si>
    <r>
      <t>Supplementary Table 12. Pairwise Pearson correlation coefficients</t>
    </r>
    <r>
      <rPr>
        <b/>
        <vertAlign val="superscript"/>
        <sz val="16"/>
        <rFont val="Times New Roman"/>
        <family val="1"/>
      </rPr>
      <t>#</t>
    </r>
    <r>
      <rPr>
        <b/>
        <sz val="16"/>
        <rFont val="Times New Roman"/>
        <family val="1"/>
      </rPr>
      <t xml:space="preserve"> for traits</t>
    </r>
  </si>
  <si>
    <t xml:space="preserve">Educational attainment </t>
  </si>
  <si>
    <t>Supplementary Table 13. Sensitivity analysis of ancestry-complex trait associations at the population level.</t>
  </si>
  <si>
    <t>Y ~  ANCs + District**</t>
  </si>
  <si>
    <t>Y ~   ANCs + PC1-7 + District</t>
  </si>
  <si>
    <t>Y ~  ANCs</t>
  </si>
  <si>
    <t>Y ~  ANCs + PC1-7</t>
  </si>
  <si>
    <t>Variable</t>
  </si>
  <si>
    <t>T2D*</t>
  </si>
  <si>
    <t>(Intercept)</t>
  </si>
  <si>
    <t>.</t>
  </si>
  <si>
    <t>T2D#</t>
  </si>
  <si>
    <t>** Ancestry effects from this model have been shown in ST2</t>
  </si>
  <si>
    <t>Continuous variables are presented as mean ± SD and Type 2 diabetes as number of cases (percentage). SD=Standard deviation, N=Number, BMI=Body mass index, WHR=Waist-hip ratio, SBP*=Systolic blood pressure adjusted for hypertension medication, DBP*=Diastolic blood pressure adjusted for hypertension medication, HDL=High-density lipoprotein cholesterol, LDL=Low-density lipoprotein cholesterol. # Within non-diabetic population. *Educational level (4=university or high school, 3=middle school, 2=elementary, 1=illiterate or literate).</t>
  </si>
  <si>
    <r>
      <t>Height missense&amp;LoF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cTIA</t>
    </r>
  </si>
  <si>
    <r>
      <rPr>
        <i/>
        <vertAlign val="superscript"/>
        <sz val="11"/>
        <color theme="1"/>
        <rFont val="Times New Roman"/>
        <family val="1"/>
      </rPr>
      <t>*</t>
    </r>
    <r>
      <rPr>
        <i/>
        <sz val="11"/>
        <color theme="1"/>
        <rFont val="Times New Roman"/>
        <family val="1"/>
      </rPr>
      <t xml:space="preserve">Result of linear regression; </t>
    </r>
    <r>
      <rPr>
        <i/>
        <vertAlign val="superscript"/>
        <sz val="11"/>
        <color theme="1"/>
        <rFont val="Times New Roman"/>
        <family val="1"/>
      </rPr>
      <t>#</t>
    </r>
    <r>
      <rPr>
        <i/>
        <sz val="11"/>
        <color theme="1"/>
        <rFont val="Times New Roman"/>
        <family val="1"/>
      </rPr>
      <t>Result of logistic regression.</t>
    </r>
  </si>
  <si>
    <r>
      <rPr>
        <i/>
        <vertAlign val="superscript"/>
        <sz val="11"/>
        <color theme="1"/>
        <rFont val="Times New Roman"/>
        <family val="1"/>
      </rPr>
      <t>##</t>
    </r>
    <r>
      <rPr>
        <i/>
        <sz val="11"/>
        <color theme="1"/>
        <rFont val="Times New Roman"/>
        <family val="1"/>
      </rPr>
      <t xml:space="preserve">The HbA1c threshold for controls was further restricted to &lt; 5.7% </t>
    </r>
  </si>
  <si>
    <r>
      <rPr>
        <i/>
        <vertAlign val="superscript"/>
        <sz val="12"/>
        <rFont val="Times New Roman"/>
        <family val="1"/>
      </rPr>
      <t>#</t>
    </r>
    <r>
      <rPr>
        <i/>
        <sz val="12"/>
        <rFont val="Times New Roman"/>
        <family val="1"/>
      </rPr>
      <t>Estimated from an independent population (n=43,590) without missing any of traits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</si>
</sst>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E+00"/>
    <numFmt numFmtId="167" formatCode="0.000000"/>
  </numFmts>
  <fonts count="36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name val="Times New Roman"/>
      <family val="1"/>
    </font>
    <font>
      <b/>
      <sz val="16"/>
      <name val="Times New Roman"/>
      <family val="1"/>
    </font>
    <font>
      <b/>
      <sz val="16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6"/>
      <name val="Times New Roman"/>
      <family val="1"/>
    </font>
    <font>
      <i/>
      <vertAlign val="superscript"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vertAlign val="superscript"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vertAlign val="superscript"/>
      <sz val="12"/>
      <color theme="1"/>
      <name val="Times New Roman"/>
      <family val="1"/>
    </font>
    <font>
      <u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i/>
      <sz val="11"/>
      <color rgb="FF000000"/>
      <name val="Times New Roman"/>
      <family val="1"/>
    </font>
    <font>
      <b/>
      <vertAlign val="superscript"/>
      <sz val="12"/>
      <name val="Times New Roman"/>
      <family val="1"/>
    </font>
    <font>
      <i/>
      <vertAlign val="superscript"/>
      <sz val="12"/>
      <name val="Times New Roman"/>
      <family val="1"/>
    </font>
    <font>
      <i/>
      <vertAlign val="subscript"/>
      <sz val="12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u/>
      <sz val="11"/>
      <name val="Times New Roman"/>
      <family val="1"/>
    </font>
    <font>
      <i/>
      <u/>
      <vertAlign val="superscript"/>
      <sz val="11"/>
      <name val="Times New Roman"/>
      <family val="1"/>
    </font>
    <font>
      <sz val="11"/>
      <name val="Times New Roman"/>
      <family val="1"/>
    </font>
    <font>
      <b/>
      <vertAlign val="superscript"/>
      <sz val="16"/>
      <name val="Times New Roman"/>
      <family val="1"/>
    </font>
    <font>
      <i/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83">
    <xf numFmtId="0" fontId="0" fillId="0" borderId="0" xfId="0"/>
    <xf numFmtId="0" fontId="7" fillId="0" borderId="0" xfId="0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1" fontId="7" fillId="0" borderId="0" xfId="0" applyNumberFormat="1" applyFont="1" applyAlignment="1">
      <alignment horizontal="left" vertical="center"/>
    </xf>
    <xf numFmtId="0" fontId="7" fillId="0" borderId="0" xfId="0" applyFont="1"/>
    <xf numFmtId="0" fontId="7" fillId="0" borderId="6" xfId="0" applyFont="1" applyBorder="1"/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9" fillId="0" borderId="6" xfId="0" applyFont="1" applyBorder="1" applyAlignment="1">
      <alignment horizontal="left" vertical="center"/>
    </xf>
    <xf numFmtId="10" fontId="13" fillId="0" borderId="6" xfId="0" applyNumberFormat="1" applyFont="1" applyBorder="1" applyAlignment="1">
      <alignment horizontal="left" vertical="center"/>
    </xf>
    <xf numFmtId="10" fontId="9" fillId="0" borderId="6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0" fontId="1" fillId="0" borderId="0" xfId="0" applyFont="1"/>
    <xf numFmtId="2" fontId="1" fillId="0" borderId="0" xfId="0" applyNumberFormat="1" applyFont="1"/>
    <xf numFmtId="0" fontId="11" fillId="0" borderId="1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1" fontId="1" fillId="0" borderId="1" xfId="0" applyNumberFormat="1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165" fontId="10" fillId="0" borderId="5" xfId="0" applyNumberFormat="1" applyFont="1" applyBorder="1" applyAlignment="1">
      <alignment horizontal="left" vertical="center"/>
    </xf>
    <xf numFmtId="11" fontId="10" fillId="0" borderId="5" xfId="0" applyNumberFormat="1" applyFont="1" applyBorder="1" applyAlignment="1">
      <alignment horizontal="left" vertical="center"/>
    </xf>
    <xf numFmtId="2" fontId="10" fillId="0" borderId="5" xfId="0" applyNumberFormat="1" applyFont="1" applyBorder="1" applyAlignment="1">
      <alignment horizontal="left" vertical="center"/>
    </xf>
    <xf numFmtId="165" fontId="1" fillId="0" borderId="5" xfId="0" applyNumberFormat="1" applyFont="1" applyBorder="1" applyAlignment="1">
      <alignment horizontal="left" vertical="center"/>
    </xf>
    <xf numFmtId="11" fontId="1" fillId="0" borderId="5" xfId="0" applyNumberFormat="1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left" vertical="center"/>
    </xf>
    <xf numFmtId="165" fontId="1" fillId="0" borderId="4" xfId="0" applyNumberFormat="1" applyFont="1" applyBorder="1" applyAlignment="1">
      <alignment horizontal="left" vertical="center"/>
    </xf>
    <xf numFmtId="11" fontId="10" fillId="0" borderId="4" xfId="0" applyNumberFormat="1" applyFont="1" applyBorder="1" applyAlignment="1">
      <alignment horizontal="left" vertical="center"/>
    </xf>
    <xf numFmtId="2" fontId="1" fillId="0" borderId="4" xfId="0" applyNumberFormat="1" applyFont="1" applyBorder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5" fontId="1" fillId="0" borderId="2" xfId="0" applyNumberFormat="1" applyFont="1" applyBorder="1" applyAlignment="1">
      <alignment horizontal="left" vertical="center"/>
    </xf>
    <xf numFmtId="11" fontId="1" fillId="0" borderId="2" xfId="0" applyNumberFormat="1" applyFont="1" applyBorder="1" applyAlignment="1">
      <alignment horizontal="left" vertical="center"/>
    </xf>
    <xf numFmtId="2" fontId="1" fillId="0" borderId="2" xfId="0" applyNumberFormat="1" applyFont="1" applyBorder="1" applyAlignment="1">
      <alignment horizontal="left" vertical="center"/>
    </xf>
    <xf numFmtId="2" fontId="10" fillId="0" borderId="4" xfId="0" applyNumberFormat="1" applyFont="1" applyBorder="1" applyAlignment="1">
      <alignment horizontal="left" vertical="center"/>
    </xf>
    <xf numFmtId="2" fontId="10" fillId="0" borderId="0" xfId="0" applyNumberFormat="1" applyFont="1" applyAlignment="1">
      <alignment horizontal="left" vertical="center"/>
    </xf>
    <xf numFmtId="11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6" xfId="0" applyFont="1" applyBorder="1" applyAlignment="1">
      <alignment vertical="center" readingOrder="1"/>
    </xf>
    <xf numFmtId="0" fontId="6" fillId="0" borderId="0" xfId="0" applyFont="1" applyAlignment="1">
      <alignment vertical="center" readingOrder="1"/>
    </xf>
    <xf numFmtId="0" fontId="6" fillId="0" borderId="2" xfId="0" applyFont="1" applyBorder="1" applyAlignment="1">
      <alignment vertical="center" readingOrder="1"/>
    </xf>
    <xf numFmtId="0" fontId="7" fillId="0" borderId="0" xfId="0" applyFont="1" applyAlignment="1">
      <alignment readingOrder="1"/>
    </xf>
    <xf numFmtId="0" fontId="6" fillId="0" borderId="0" xfId="0" applyFont="1" applyAlignment="1">
      <alignment horizontal="right" vertical="center" readingOrder="1"/>
    </xf>
    <xf numFmtId="0" fontId="17" fillId="0" borderId="6" xfId="0" applyFont="1" applyBorder="1" applyAlignment="1">
      <alignment horizontal="right" vertical="center" wrapText="1" readingOrder="1"/>
    </xf>
    <xf numFmtId="0" fontId="1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21" fillId="0" borderId="0" xfId="1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2" fontId="1" fillId="0" borderId="2" xfId="0" applyNumberFormat="1" applyFon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1" fillId="0" borderId="9" xfId="0" applyFont="1" applyBorder="1" applyAlignment="1">
      <alignment horizontal="left" vertical="center"/>
    </xf>
    <xf numFmtId="2" fontId="1" fillId="0" borderId="6" xfId="0" applyNumberFormat="1" applyFont="1" applyBorder="1" applyAlignment="1">
      <alignment horizontal="left" vertical="center"/>
    </xf>
    <xf numFmtId="0" fontId="22" fillId="0" borderId="6" xfId="0" applyFont="1" applyBorder="1"/>
    <xf numFmtId="11" fontId="22" fillId="0" borderId="6" xfId="0" applyNumberFormat="1" applyFont="1" applyBorder="1"/>
    <xf numFmtId="0" fontId="22" fillId="0" borderId="0" xfId="0" applyFont="1"/>
    <xf numFmtId="0" fontId="5" fillId="0" borderId="3" xfId="0" applyFont="1" applyBorder="1" applyAlignment="1">
      <alignment horizontal="left" vertical="center"/>
    </xf>
    <xf numFmtId="0" fontId="23" fillId="0" borderId="7" xfId="0" applyFont="1" applyBorder="1"/>
    <xf numFmtId="11" fontId="23" fillId="0" borderId="7" xfId="0" applyNumberFormat="1" applyFont="1" applyBorder="1"/>
    <xf numFmtId="165" fontId="6" fillId="0" borderId="2" xfId="0" applyNumberFormat="1" applyFont="1" applyBorder="1" applyAlignment="1">
      <alignment horizontal="left" vertical="center"/>
    </xf>
    <xf numFmtId="2" fontId="6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1" fontId="9" fillId="0" borderId="2" xfId="0" applyNumberFormat="1" applyFont="1" applyBorder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11" fontId="1" fillId="0" borderId="6" xfId="0" applyNumberFormat="1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2" fontId="22" fillId="0" borderId="0" xfId="0" applyNumberFormat="1" applyFont="1"/>
    <xf numFmtId="11" fontId="22" fillId="0" borderId="0" xfId="0" applyNumberFormat="1" applyFont="1"/>
    <xf numFmtId="0" fontId="16" fillId="0" borderId="0" xfId="0" applyFont="1"/>
    <xf numFmtId="0" fontId="11" fillId="0" borderId="0" xfId="0" applyFont="1"/>
    <xf numFmtId="165" fontId="1" fillId="0" borderId="0" xfId="0" applyNumberFormat="1" applyFont="1"/>
    <xf numFmtId="11" fontId="1" fillId="0" borderId="0" xfId="0" applyNumberFormat="1" applyFont="1"/>
    <xf numFmtId="0" fontId="1" fillId="0" borderId="8" xfId="0" applyFont="1" applyBorder="1"/>
    <xf numFmtId="2" fontId="1" fillId="0" borderId="8" xfId="0" applyNumberFormat="1" applyFont="1" applyBorder="1"/>
    <xf numFmtId="0" fontId="5" fillId="0" borderId="0" xfId="0" applyFont="1" applyAlignment="1">
      <alignment vertical="center"/>
    </xf>
    <xf numFmtId="0" fontId="3" fillId="0" borderId="13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3" fontId="1" fillId="0" borderId="0" xfId="0" applyNumberFormat="1" applyFont="1" applyAlignment="1">
      <alignment horizontal="justify" vertical="center" wrapText="1"/>
    </xf>
    <xf numFmtId="0" fontId="1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3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1" fillId="0" borderId="13" xfId="0" applyFont="1" applyBorder="1" applyAlignment="1">
      <alignment horizontal="justify" vertical="center" wrapText="1"/>
    </xf>
    <xf numFmtId="0" fontId="1" fillId="0" borderId="13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left" vertical="center"/>
    </xf>
    <xf numFmtId="2" fontId="7" fillId="0" borderId="2" xfId="0" applyNumberFormat="1" applyFont="1" applyBorder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horizontal="left" vertical="center"/>
    </xf>
    <xf numFmtId="165" fontId="10" fillId="0" borderId="0" xfId="0" applyNumberFormat="1" applyFont="1" applyAlignment="1">
      <alignment horizontal="left" vertical="center"/>
    </xf>
    <xf numFmtId="165" fontId="10" fillId="0" borderId="2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11" fontId="3" fillId="0" borderId="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1" fontId="10" fillId="0" borderId="2" xfId="0" applyNumberFormat="1" applyFont="1" applyBorder="1" applyAlignment="1">
      <alignment horizontal="left" vertical="center"/>
    </xf>
    <xf numFmtId="2" fontId="1" fillId="0" borderId="8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11" fontId="1" fillId="0" borderId="0" xfId="0" applyNumberFormat="1" applyFont="1" applyAlignment="1">
      <alignment horizontal="left"/>
    </xf>
    <xf numFmtId="11" fontId="1" fillId="0" borderId="2" xfId="0" applyNumberFormat="1" applyFont="1" applyBorder="1" applyAlignment="1">
      <alignment horizontal="left"/>
    </xf>
    <xf numFmtId="2" fontId="11" fillId="0" borderId="5" xfId="0" applyNumberFormat="1" applyFont="1" applyBorder="1" applyAlignment="1">
      <alignment horizontal="left" vertical="center"/>
    </xf>
    <xf numFmtId="2" fontId="11" fillId="0" borderId="0" xfId="0" applyNumberFormat="1" applyFont="1"/>
    <xf numFmtId="2" fontId="11" fillId="0" borderId="0" xfId="0" applyNumberFormat="1" applyFont="1" applyAlignment="1">
      <alignment horizontal="righ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/>
    <xf numFmtId="49" fontId="4" fillId="0" borderId="5" xfId="0" applyNumberFormat="1" applyFont="1" applyBorder="1"/>
    <xf numFmtId="49" fontId="4" fillId="0" borderId="1" xfId="0" applyNumberFormat="1" applyFont="1" applyBorder="1" applyAlignment="1">
      <alignment horizontal="right" vertical="center"/>
    </xf>
    <xf numFmtId="49" fontId="4" fillId="0" borderId="0" xfId="0" applyNumberFormat="1" applyFont="1"/>
    <xf numFmtId="2" fontId="1" fillId="0" borderId="2" xfId="0" applyNumberFormat="1" applyFont="1" applyBorder="1"/>
    <xf numFmtId="2" fontId="10" fillId="0" borderId="2" xfId="0" applyNumberFormat="1" applyFont="1" applyBorder="1"/>
    <xf numFmtId="2" fontId="1" fillId="0" borderId="2" xfId="0" applyNumberFormat="1" applyFont="1" applyBorder="1" applyAlignment="1">
      <alignment horizontal="right" vertical="center"/>
    </xf>
    <xf numFmtId="2" fontId="10" fillId="0" borderId="2" xfId="0" applyNumberFormat="1" applyFont="1" applyBorder="1" applyAlignment="1">
      <alignment horizontal="right" vertical="center"/>
    </xf>
    <xf numFmtId="49" fontId="1" fillId="0" borderId="0" xfId="0" applyNumberFormat="1" applyFont="1"/>
    <xf numFmtId="11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0" fontId="1" fillId="0" borderId="2" xfId="0" applyFont="1" applyBorder="1"/>
    <xf numFmtId="2" fontId="1" fillId="0" borderId="1" xfId="0" applyNumberFormat="1" applyFont="1" applyBorder="1"/>
    <xf numFmtId="0" fontId="4" fillId="0" borderId="1" xfId="0" applyFont="1" applyBorder="1"/>
    <xf numFmtId="2" fontId="3" fillId="0" borderId="2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1" xfId="0" quotePrefix="1" applyFont="1" applyBorder="1"/>
    <xf numFmtId="2" fontId="3" fillId="0" borderId="0" xfId="0" applyNumberFormat="1" applyFont="1"/>
    <xf numFmtId="0" fontId="10" fillId="0" borderId="2" xfId="0" applyFont="1" applyBorder="1"/>
    <xf numFmtId="167" fontId="1" fillId="0" borderId="2" xfId="0" applyNumberFormat="1" applyFont="1" applyBorder="1" applyAlignment="1">
      <alignment horizontal="right" vertical="center"/>
    </xf>
    <xf numFmtId="0" fontId="1" fillId="0" borderId="0" xfId="0" quotePrefix="1" applyFont="1"/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/>
    </xf>
    <xf numFmtId="167" fontId="1" fillId="0" borderId="0" xfId="0" applyNumberFormat="1" applyFont="1"/>
    <xf numFmtId="0" fontId="10" fillId="0" borderId="0" xfId="0" applyFont="1"/>
    <xf numFmtId="0" fontId="3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2" fontId="1" fillId="0" borderId="10" xfId="0" applyNumberFormat="1" applyFont="1" applyBorder="1" applyAlignment="1">
      <alignment horizontal="left" vertical="center"/>
    </xf>
    <xf numFmtId="2" fontId="1" fillId="0" borderId="10" xfId="0" applyNumberFormat="1" applyFont="1" applyBorder="1"/>
    <xf numFmtId="2" fontId="3" fillId="0" borderId="0" xfId="0" applyNumberFormat="1" applyFont="1" applyAlignment="1">
      <alignment horizontal="left" vertical="center"/>
    </xf>
    <xf numFmtId="11" fontId="1" fillId="0" borderId="8" xfId="0" applyNumberFormat="1" applyFont="1" applyBorder="1"/>
    <xf numFmtId="0" fontId="1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1" fontId="1" fillId="0" borderId="2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horizontal="left" vertical="center"/>
    </xf>
    <xf numFmtId="0" fontId="29" fillId="0" borderId="0" xfId="0" applyFont="1"/>
    <xf numFmtId="0" fontId="30" fillId="0" borderId="0" xfId="0" applyFont="1"/>
    <xf numFmtId="0" fontId="31" fillId="0" borderId="0" xfId="1" applyFont="1"/>
    <xf numFmtId="0" fontId="33" fillId="0" borderId="0" xfId="0" applyFont="1"/>
    <xf numFmtId="0" fontId="1" fillId="0" borderId="1" xfId="0" applyFont="1" applyBorder="1"/>
    <xf numFmtId="165" fontId="1" fillId="0" borderId="2" xfId="0" applyNumberFormat="1" applyFont="1" applyBorder="1"/>
    <xf numFmtId="0" fontId="3" fillId="0" borderId="0" xfId="0" applyFont="1"/>
    <xf numFmtId="0" fontId="11" fillId="0" borderId="5" xfId="0" applyFont="1" applyBorder="1"/>
    <xf numFmtId="0" fontId="1" fillId="0" borderId="5" xfId="0" applyFont="1" applyBorder="1"/>
    <xf numFmtId="0" fontId="3" fillId="0" borderId="1" xfId="0" applyFont="1" applyBorder="1"/>
    <xf numFmtId="0" fontId="3" fillId="0" borderId="2" xfId="0" applyFont="1" applyBorder="1"/>
    <xf numFmtId="11" fontId="4" fillId="0" borderId="2" xfId="0" applyNumberFormat="1" applyFont="1" applyBorder="1"/>
    <xf numFmtId="2" fontId="1" fillId="0" borderId="5" xfId="0" applyNumberFormat="1" applyFont="1" applyBorder="1"/>
    <xf numFmtId="11" fontId="1" fillId="0" borderId="5" xfId="0" applyNumberFormat="1" applyFont="1" applyBorder="1"/>
    <xf numFmtId="2" fontId="4" fillId="0" borderId="1" xfId="0" applyNumberFormat="1" applyFont="1" applyBorder="1"/>
    <xf numFmtId="0" fontId="24" fillId="0" borderId="0" xfId="0" applyFont="1"/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28" fillId="0" borderId="11" xfId="0" applyFont="1" applyBorder="1" applyAlignment="1">
      <alignment horizontal="left" vertical="center" wrapText="1"/>
    </xf>
    <xf numFmtId="0" fontId="25" fillId="0" borderId="0" xfId="0" applyFont="1" applyAlignment="1">
      <alignment horizontal="left" wrapText="1"/>
    </xf>
    <xf numFmtId="0" fontId="3" fillId="0" borderId="8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www.ebi.ac.uk/gwas/variants/rs174570" TargetMode="External"/><Relationship Id="rId1" Type="http://schemas.openxmlformats.org/officeDocument/2006/relationships/hyperlink" Target="https://www.ebi.ac.uk/gwas/variants/rs738408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datashare.ndph.ox.ac.uk/mexico/field.cgi?id=6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K15" sqref="K15"/>
    </sheetView>
  </sheetViews>
  <sheetFormatPr defaultColWidth="8.85546875" defaultRowHeight="15.75" x14ac:dyDescent="0.25"/>
  <cols>
    <col min="1" max="1" width="30" style="47" customWidth="1"/>
    <col min="2" max="2" width="12" style="4" bestFit="1" customWidth="1"/>
    <col min="3" max="3" width="9.28515625" style="4" bestFit="1" customWidth="1"/>
    <col min="4" max="4" width="12" style="4" bestFit="1" customWidth="1"/>
    <col min="5" max="5" width="9.28515625" style="4" bestFit="1" customWidth="1"/>
    <col min="6" max="6" width="12" style="4" bestFit="1" customWidth="1"/>
    <col min="7" max="7" width="9.28515625" style="4" bestFit="1" customWidth="1"/>
    <col min="8" max="8" width="12" style="4" bestFit="1" customWidth="1"/>
    <col min="9" max="9" width="9" style="4" bestFit="1" customWidth="1"/>
    <col min="10" max="16384" width="8.85546875" style="4"/>
  </cols>
  <sheetData>
    <row r="1" spans="1:10" ht="21" thickBot="1" x14ac:dyDescent="0.3">
      <c r="A1" s="44" t="s">
        <v>0</v>
      </c>
      <c r="B1" s="5"/>
      <c r="C1" s="5"/>
      <c r="D1" s="5"/>
      <c r="E1" s="5"/>
      <c r="F1" s="5"/>
      <c r="G1" s="5"/>
      <c r="H1" s="5"/>
      <c r="I1" s="5"/>
    </row>
    <row r="2" spans="1:10" x14ac:dyDescent="0.25">
      <c r="A2" s="45"/>
      <c r="B2" s="6" t="s">
        <v>1</v>
      </c>
      <c r="C2" s="6"/>
      <c r="D2" s="6" t="s">
        <v>2</v>
      </c>
      <c r="E2" s="6"/>
      <c r="F2" s="6" t="s">
        <v>3</v>
      </c>
      <c r="G2" s="6"/>
      <c r="H2" s="6" t="s">
        <v>4</v>
      </c>
      <c r="I2" s="6"/>
    </row>
    <row r="3" spans="1:10" x14ac:dyDescent="0.25">
      <c r="A3" s="46"/>
      <c r="B3" s="7" t="s">
        <v>5</v>
      </c>
      <c r="C3" s="8" t="s">
        <v>6</v>
      </c>
      <c r="D3" s="7" t="s">
        <v>5</v>
      </c>
      <c r="E3" s="8" t="s">
        <v>6</v>
      </c>
      <c r="F3" s="7" t="s">
        <v>5</v>
      </c>
      <c r="G3" s="8" t="s">
        <v>6</v>
      </c>
      <c r="H3" s="7" t="s">
        <v>5</v>
      </c>
      <c r="I3" s="8" t="s">
        <v>6</v>
      </c>
    </row>
    <row r="4" spans="1:10" x14ac:dyDescent="0.25">
      <c r="A4" s="48" t="s">
        <v>7</v>
      </c>
      <c r="B4" s="3">
        <v>2.1829999999999999E-2</v>
      </c>
      <c r="C4" s="1" t="s">
        <v>8</v>
      </c>
      <c r="D4" s="3">
        <v>-1.9699999999999999E-2</v>
      </c>
      <c r="E4" s="1" t="s">
        <v>8</v>
      </c>
      <c r="F4" s="3">
        <v>-1.964E-3</v>
      </c>
      <c r="G4" s="1" t="s">
        <v>8</v>
      </c>
      <c r="H4" s="3">
        <v>-1.6650000000000001E-4</v>
      </c>
      <c r="I4" s="1" t="s">
        <v>8</v>
      </c>
      <c r="J4" s="1"/>
    </row>
    <row r="5" spans="1:10" x14ac:dyDescent="0.25">
      <c r="A5" s="48" t="s">
        <v>9</v>
      </c>
      <c r="B5" s="3">
        <v>1.5740000000000001E-3</v>
      </c>
      <c r="C5" s="1" t="s">
        <v>8</v>
      </c>
      <c r="D5" s="3">
        <v>2.823E-3</v>
      </c>
      <c r="E5" s="1" t="s">
        <v>8</v>
      </c>
      <c r="F5" s="3">
        <v>-3.467E-3</v>
      </c>
      <c r="G5" s="1" t="s">
        <v>8</v>
      </c>
      <c r="H5" s="3">
        <v>-9.3039999999999996E-4</v>
      </c>
      <c r="I5" s="1" t="s">
        <v>8</v>
      </c>
      <c r="J5" s="1"/>
    </row>
    <row r="6" spans="1:10" x14ac:dyDescent="0.25">
      <c r="A6" s="48" t="s">
        <v>10</v>
      </c>
      <c r="B6" s="3">
        <v>8.9610000000000004E-4</v>
      </c>
      <c r="C6" s="1" t="s">
        <v>8</v>
      </c>
      <c r="D6" s="3">
        <v>8.9160000000000003E-3</v>
      </c>
      <c r="E6" s="1" t="s">
        <v>8</v>
      </c>
      <c r="F6" s="3">
        <v>-8.0389999999999993E-3</v>
      </c>
      <c r="G6" s="1" t="s">
        <v>8</v>
      </c>
      <c r="H6" s="3">
        <v>-1.7730000000000001E-3</v>
      </c>
      <c r="I6" s="1" t="s">
        <v>8</v>
      </c>
      <c r="J6" s="1"/>
    </row>
    <row r="7" spans="1:10" x14ac:dyDescent="0.25">
      <c r="A7" s="48" t="s">
        <v>11</v>
      </c>
      <c r="B7" s="3">
        <v>1.2019999999999999E-3</v>
      </c>
      <c r="C7" s="1" t="s">
        <v>8</v>
      </c>
      <c r="D7" s="3">
        <v>1.284E-4</v>
      </c>
      <c r="E7" s="3">
        <v>1.09E-2</v>
      </c>
      <c r="F7" s="3">
        <v>-1.294E-3</v>
      </c>
      <c r="G7" s="1" t="s">
        <v>8</v>
      </c>
      <c r="H7" s="3">
        <v>-3.6189999999999997E-5</v>
      </c>
      <c r="I7" s="2">
        <v>0.28299999999999997</v>
      </c>
      <c r="J7" s="1"/>
    </row>
    <row r="8" spans="1:10" x14ac:dyDescent="0.25">
      <c r="A8" s="48" t="s">
        <v>12</v>
      </c>
      <c r="B8" s="3">
        <v>5.1110000000000001E-4</v>
      </c>
      <c r="C8" s="1" t="s">
        <v>8</v>
      </c>
      <c r="D8" s="3">
        <v>-8.3469999999999996E-4</v>
      </c>
      <c r="E8" s="1" t="s">
        <v>8</v>
      </c>
      <c r="F8" s="3">
        <v>-4.9950000000000005E-4</v>
      </c>
      <c r="G8" s="1" t="s">
        <v>8</v>
      </c>
      <c r="H8" s="3">
        <v>8.231E-4</v>
      </c>
      <c r="I8" s="1" t="s">
        <v>8</v>
      </c>
      <c r="J8" s="1"/>
    </row>
    <row r="9" spans="1:10" x14ac:dyDescent="0.25">
      <c r="A9" s="48" t="s">
        <v>13</v>
      </c>
      <c r="B9" s="3">
        <v>3.764E-3</v>
      </c>
      <c r="C9" s="1" t="s">
        <v>8</v>
      </c>
      <c r="D9" s="3">
        <v>2.0170000000000001E-3</v>
      </c>
      <c r="E9" s="1" t="s">
        <v>8</v>
      </c>
      <c r="F9" s="3">
        <v>2.7239999999999999E-3</v>
      </c>
      <c r="G9" s="1" t="s">
        <v>8</v>
      </c>
      <c r="H9" s="3">
        <v>-8.5059999999999997E-3</v>
      </c>
      <c r="I9" s="1" t="s">
        <v>8</v>
      </c>
      <c r="J9" s="1"/>
    </row>
    <row r="10" spans="1:10" x14ac:dyDescent="0.25">
      <c r="A10" s="48" t="s">
        <v>14</v>
      </c>
      <c r="B10" s="3">
        <v>1.7440000000000001E-4</v>
      </c>
      <c r="C10" s="3">
        <v>4.0800000000000003E-3</v>
      </c>
      <c r="D10" s="3">
        <v>4.305E-4</v>
      </c>
      <c r="E10" s="3">
        <v>1.2599999999999999E-13</v>
      </c>
      <c r="F10" s="3">
        <v>1.7530000000000001E-4</v>
      </c>
      <c r="G10" s="3">
        <v>6.3E-10</v>
      </c>
      <c r="H10" s="3">
        <v>-7.8019999999999999E-4</v>
      </c>
      <c r="I10" s="1" t="s">
        <v>8</v>
      </c>
      <c r="J10" s="1"/>
    </row>
    <row r="11" spans="1:10" ht="45.75" customHeight="1" thickBot="1" x14ac:dyDescent="0.3">
      <c r="A11" s="49" t="s">
        <v>15</v>
      </c>
      <c r="B11" s="10">
        <v>0.98329999999999995</v>
      </c>
      <c r="C11" s="11"/>
      <c r="D11" s="10">
        <v>0.98180000000000001</v>
      </c>
      <c r="E11" s="11"/>
      <c r="F11" s="10">
        <v>0.88370000000000004</v>
      </c>
      <c r="G11" s="11"/>
      <c r="H11" s="10">
        <v>0.53920000000000001</v>
      </c>
      <c r="I11" s="9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8221-1167-4D14-802B-A4F426590302}">
  <dimension ref="A1:G26"/>
  <sheetViews>
    <sheetView zoomScaleNormal="100" workbookViewId="0">
      <selection activeCell="A26" sqref="A26:G26"/>
    </sheetView>
  </sheetViews>
  <sheetFormatPr defaultColWidth="8.85546875" defaultRowHeight="15.75" x14ac:dyDescent="0.25"/>
  <cols>
    <col min="1" max="1" width="31.85546875" style="4" customWidth="1"/>
    <col min="2" max="2" width="22.140625" style="4" customWidth="1"/>
    <col min="3" max="3" width="17.85546875" style="4" customWidth="1"/>
    <col min="4" max="4" width="21.140625" style="1" customWidth="1"/>
    <col min="5" max="5" width="17.140625" style="1" customWidth="1"/>
    <col min="6" max="6" width="20.140625" style="1" customWidth="1"/>
    <col min="7" max="7" width="17.5703125" style="1" customWidth="1"/>
    <col min="8" max="16384" width="8.85546875" style="4"/>
  </cols>
  <sheetData>
    <row r="1" spans="1:7" ht="21" thickBot="1" x14ac:dyDescent="0.3">
      <c r="A1" s="86" t="s">
        <v>16</v>
      </c>
      <c r="B1" s="16"/>
      <c r="C1" s="16"/>
      <c r="D1" s="23"/>
      <c r="E1" s="23"/>
      <c r="F1" s="23"/>
      <c r="G1" s="23"/>
    </row>
    <row r="2" spans="1:7" ht="34.15" customHeight="1" thickBot="1" x14ac:dyDescent="0.3">
      <c r="A2" s="178" t="s">
        <v>17</v>
      </c>
      <c r="B2" s="177" t="s">
        <v>18</v>
      </c>
      <c r="C2" s="177"/>
      <c r="D2" s="177" t="s">
        <v>19</v>
      </c>
      <c r="E2" s="177"/>
      <c r="F2" s="177" t="s">
        <v>20</v>
      </c>
      <c r="G2" s="177"/>
    </row>
    <row r="3" spans="1:7" ht="16.5" thickBot="1" x14ac:dyDescent="0.3">
      <c r="A3" s="179"/>
      <c r="B3" s="87" t="s">
        <v>21</v>
      </c>
      <c r="C3" s="87" t="s">
        <v>22</v>
      </c>
      <c r="D3" s="88" t="s">
        <v>21</v>
      </c>
      <c r="E3" s="88" t="s">
        <v>22</v>
      </c>
      <c r="F3" s="88" t="s">
        <v>21</v>
      </c>
      <c r="G3" s="88" t="s">
        <v>22</v>
      </c>
    </row>
    <row r="4" spans="1:7" x14ac:dyDescent="0.25">
      <c r="A4" s="89" t="s">
        <v>23</v>
      </c>
      <c r="B4" s="90" t="s">
        <v>24</v>
      </c>
      <c r="C4" s="91">
        <v>92297</v>
      </c>
      <c r="D4" s="92" t="s">
        <v>25</v>
      </c>
      <c r="E4" s="93">
        <v>55217</v>
      </c>
      <c r="F4" s="92" t="s">
        <v>26</v>
      </c>
      <c r="G4" s="93">
        <v>37080</v>
      </c>
    </row>
    <row r="5" spans="1:7" x14ac:dyDescent="0.25">
      <c r="A5" s="94" t="s">
        <v>27</v>
      </c>
      <c r="B5" s="90" t="s">
        <v>28</v>
      </c>
      <c r="C5" s="90" t="s">
        <v>29</v>
      </c>
      <c r="D5" s="92" t="s">
        <v>28</v>
      </c>
      <c r="E5" s="92" t="s">
        <v>30</v>
      </c>
      <c r="F5" s="92" t="s">
        <v>28</v>
      </c>
      <c r="G5" s="92" t="s">
        <v>31</v>
      </c>
    </row>
    <row r="6" spans="1:7" x14ac:dyDescent="0.25">
      <c r="A6" s="94" t="s">
        <v>32</v>
      </c>
      <c r="B6" s="90" t="s">
        <v>28</v>
      </c>
      <c r="C6" s="90" t="s">
        <v>33</v>
      </c>
      <c r="D6" s="92" t="s">
        <v>28</v>
      </c>
      <c r="E6" s="92" t="s">
        <v>34</v>
      </c>
      <c r="F6" s="92" t="s">
        <v>28</v>
      </c>
      <c r="G6" s="92" t="s">
        <v>35</v>
      </c>
    </row>
    <row r="7" spans="1:7" x14ac:dyDescent="0.25">
      <c r="A7" s="94" t="s">
        <v>36</v>
      </c>
      <c r="B7" s="90" t="s">
        <v>37</v>
      </c>
      <c r="C7" s="91">
        <v>91362</v>
      </c>
      <c r="D7" s="23" t="s">
        <v>38</v>
      </c>
      <c r="E7" s="95">
        <v>54554</v>
      </c>
      <c r="F7" s="92" t="s">
        <v>39</v>
      </c>
      <c r="G7" s="95">
        <v>36808</v>
      </c>
    </row>
    <row r="8" spans="1:7" x14ac:dyDescent="0.25">
      <c r="A8" s="94" t="s">
        <v>40</v>
      </c>
      <c r="B8" s="90" t="s">
        <v>41</v>
      </c>
      <c r="C8" s="91">
        <v>91457</v>
      </c>
      <c r="D8" s="23" t="s">
        <v>42</v>
      </c>
      <c r="E8" s="95">
        <v>54634</v>
      </c>
      <c r="F8" s="92" t="s">
        <v>43</v>
      </c>
      <c r="G8" s="95">
        <v>36823</v>
      </c>
    </row>
    <row r="9" spans="1:7" ht="18.75" x14ac:dyDescent="0.25">
      <c r="A9" s="94" t="s">
        <v>44</v>
      </c>
      <c r="B9" s="90" t="s">
        <v>45</v>
      </c>
      <c r="C9" s="91">
        <v>91346</v>
      </c>
      <c r="D9" s="23" t="s">
        <v>46</v>
      </c>
      <c r="E9" s="95">
        <v>54550</v>
      </c>
      <c r="F9" s="92" t="s">
        <v>47</v>
      </c>
      <c r="G9" s="95">
        <v>36796</v>
      </c>
    </row>
    <row r="10" spans="1:7" x14ac:dyDescent="0.25">
      <c r="A10" s="94" t="s">
        <v>48</v>
      </c>
      <c r="B10" s="90" t="s">
        <v>49</v>
      </c>
      <c r="C10" s="91">
        <v>91363</v>
      </c>
      <c r="D10" s="23" t="s">
        <v>49</v>
      </c>
      <c r="E10" s="95">
        <v>54566</v>
      </c>
      <c r="F10" s="92" t="s">
        <v>50</v>
      </c>
      <c r="G10" s="95">
        <v>36797</v>
      </c>
    </row>
    <row r="11" spans="1:7" x14ac:dyDescent="0.25">
      <c r="A11" s="94" t="s">
        <v>51</v>
      </c>
      <c r="B11" s="90" t="s">
        <v>52</v>
      </c>
      <c r="C11" s="91">
        <v>92212</v>
      </c>
      <c r="D11" s="23" t="s">
        <v>53</v>
      </c>
      <c r="E11" s="95">
        <v>55152</v>
      </c>
      <c r="F11" s="92" t="s">
        <v>54</v>
      </c>
      <c r="G11" s="95">
        <v>37060</v>
      </c>
    </row>
    <row r="12" spans="1:7" x14ac:dyDescent="0.25">
      <c r="A12" s="94" t="s">
        <v>55</v>
      </c>
      <c r="B12" s="90" t="s">
        <v>56</v>
      </c>
      <c r="C12" s="91">
        <v>92212</v>
      </c>
      <c r="D12" s="23" t="s">
        <v>57</v>
      </c>
      <c r="E12" s="95">
        <v>55152</v>
      </c>
      <c r="F12" s="92" t="s">
        <v>58</v>
      </c>
      <c r="G12" s="95">
        <v>37060</v>
      </c>
    </row>
    <row r="13" spans="1:7" x14ac:dyDescent="0.25">
      <c r="A13" s="94" t="s">
        <v>59</v>
      </c>
      <c r="B13" s="90" t="s">
        <v>60</v>
      </c>
      <c r="C13" s="91">
        <v>90046</v>
      </c>
      <c r="D13" s="23" t="s">
        <v>61</v>
      </c>
      <c r="E13" s="95">
        <v>53364</v>
      </c>
      <c r="F13" s="92" t="s">
        <v>62</v>
      </c>
      <c r="G13" s="95">
        <v>36682</v>
      </c>
    </row>
    <row r="14" spans="1:7" x14ac:dyDescent="0.25">
      <c r="A14" s="94" t="s">
        <v>63</v>
      </c>
      <c r="B14" s="90" t="s">
        <v>64</v>
      </c>
      <c r="C14" s="91">
        <v>90046</v>
      </c>
      <c r="D14" s="23" t="s">
        <v>65</v>
      </c>
      <c r="E14" s="95">
        <v>53364</v>
      </c>
      <c r="F14" s="92" t="s">
        <v>66</v>
      </c>
      <c r="G14" s="95">
        <v>36682</v>
      </c>
    </row>
    <row r="15" spans="1:7" ht="21" customHeight="1" x14ac:dyDescent="0.25">
      <c r="A15" s="96" t="s">
        <v>67</v>
      </c>
      <c r="B15" s="90" t="s">
        <v>68</v>
      </c>
      <c r="C15" s="91">
        <v>90046</v>
      </c>
      <c r="D15" s="23" t="s">
        <v>69</v>
      </c>
      <c r="E15" s="95">
        <v>53364</v>
      </c>
      <c r="F15" s="92" t="s">
        <v>70</v>
      </c>
      <c r="G15" s="95">
        <v>36682</v>
      </c>
    </row>
    <row r="16" spans="1:7" x14ac:dyDescent="0.25">
      <c r="A16" s="94" t="s">
        <v>71</v>
      </c>
      <c r="B16" s="90" t="s">
        <v>72</v>
      </c>
      <c r="C16" s="91">
        <v>90046</v>
      </c>
      <c r="D16" s="23" t="s">
        <v>72</v>
      </c>
      <c r="E16" s="95">
        <v>53364</v>
      </c>
      <c r="F16" s="92" t="s">
        <v>73</v>
      </c>
      <c r="G16" s="95">
        <v>36682</v>
      </c>
    </row>
    <row r="17" spans="1:7" x14ac:dyDescent="0.25">
      <c r="A17" s="94" t="s">
        <v>74</v>
      </c>
      <c r="B17" s="90" t="s">
        <v>75</v>
      </c>
      <c r="C17" s="91">
        <v>90046</v>
      </c>
      <c r="D17" s="23" t="s">
        <v>76</v>
      </c>
      <c r="E17" s="95">
        <v>53364</v>
      </c>
      <c r="F17" s="92" t="s">
        <v>75</v>
      </c>
      <c r="G17" s="95">
        <v>36682</v>
      </c>
    </row>
    <row r="18" spans="1:7" ht="18.75" x14ac:dyDescent="0.25">
      <c r="A18" s="94" t="s">
        <v>77</v>
      </c>
      <c r="B18" s="90" t="s">
        <v>78</v>
      </c>
      <c r="C18" s="91">
        <v>75707</v>
      </c>
      <c r="D18" s="23" t="s">
        <v>79</v>
      </c>
      <c r="E18" s="95">
        <v>44287</v>
      </c>
      <c r="F18" s="92" t="s">
        <v>80</v>
      </c>
      <c r="G18" s="95">
        <v>31420</v>
      </c>
    </row>
    <row r="19" spans="1:7" ht="15" customHeight="1" x14ac:dyDescent="0.25">
      <c r="A19" s="96" t="s">
        <v>81</v>
      </c>
      <c r="B19" s="90" t="s">
        <v>82</v>
      </c>
      <c r="C19" s="91">
        <v>71244</v>
      </c>
      <c r="D19" s="23" t="s">
        <v>83</v>
      </c>
      <c r="E19" s="95">
        <v>41054</v>
      </c>
      <c r="F19" s="92" t="s">
        <v>84</v>
      </c>
      <c r="G19" s="95">
        <v>30190</v>
      </c>
    </row>
    <row r="20" spans="1:7" ht="19.149999999999999" customHeight="1" x14ac:dyDescent="0.25">
      <c r="A20" s="94" t="s">
        <v>85</v>
      </c>
      <c r="B20" s="90" t="s">
        <v>28</v>
      </c>
      <c r="C20" s="91">
        <v>92256</v>
      </c>
      <c r="D20" s="92" t="s">
        <v>28</v>
      </c>
      <c r="E20" s="93">
        <v>55187</v>
      </c>
      <c r="F20" s="92" t="s">
        <v>28</v>
      </c>
      <c r="G20" s="93">
        <v>37069</v>
      </c>
    </row>
    <row r="21" spans="1:7" x14ac:dyDescent="0.25">
      <c r="A21" s="97" t="s">
        <v>86</v>
      </c>
      <c r="B21" s="90" t="s">
        <v>28</v>
      </c>
      <c r="C21" s="90" t="s">
        <v>87</v>
      </c>
      <c r="D21" s="92" t="s">
        <v>28</v>
      </c>
      <c r="E21" s="92" t="s">
        <v>88</v>
      </c>
      <c r="F21" s="92" t="s">
        <v>28</v>
      </c>
      <c r="G21" s="92" t="s">
        <v>89</v>
      </c>
    </row>
    <row r="22" spans="1:7" x14ac:dyDescent="0.25">
      <c r="A22" s="97" t="s">
        <v>90</v>
      </c>
      <c r="B22" s="90" t="s">
        <v>28</v>
      </c>
      <c r="C22" s="90" t="s">
        <v>91</v>
      </c>
      <c r="D22" s="92" t="s">
        <v>28</v>
      </c>
      <c r="E22" s="92" t="s">
        <v>92</v>
      </c>
      <c r="F22" s="92" t="s">
        <v>28</v>
      </c>
      <c r="G22" s="92" t="s">
        <v>93</v>
      </c>
    </row>
    <row r="23" spans="1:7" x14ac:dyDescent="0.25">
      <c r="A23" s="97" t="s">
        <v>94</v>
      </c>
      <c r="B23" s="90" t="s">
        <v>28</v>
      </c>
      <c r="C23" s="90" t="s">
        <v>95</v>
      </c>
      <c r="D23" s="92" t="s">
        <v>28</v>
      </c>
      <c r="E23" s="92" t="s">
        <v>96</v>
      </c>
      <c r="F23" s="92" t="s">
        <v>28</v>
      </c>
      <c r="G23" s="92" t="s">
        <v>97</v>
      </c>
    </row>
    <row r="24" spans="1:7" x14ac:dyDescent="0.25">
      <c r="A24" s="97" t="s">
        <v>98</v>
      </c>
      <c r="B24" s="90" t="s">
        <v>28</v>
      </c>
      <c r="C24" s="90" t="s">
        <v>99</v>
      </c>
      <c r="D24" s="92" t="s">
        <v>28</v>
      </c>
      <c r="E24" s="92" t="s">
        <v>100</v>
      </c>
      <c r="F24" s="92" t="s">
        <v>28</v>
      </c>
      <c r="G24" s="92" t="s">
        <v>101</v>
      </c>
    </row>
    <row r="25" spans="1:7" ht="16.5" thickBot="1" x14ac:dyDescent="0.3">
      <c r="A25" s="87" t="s">
        <v>102</v>
      </c>
      <c r="B25" s="98" t="s">
        <v>28</v>
      </c>
      <c r="C25" s="98" t="s">
        <v>103</v>
      </c>
      <c r="D25" s="99" t="s">
        <v>28</v>
      </c>
      <c r="E25" s="99" t="s">
        <v>104</v>
      </c>
      <c r="F25" s="99" t="s">
        <v>28</v>
      </c>
      <c r="G25" s="99" t="s">
        <v>105</v>
      </c>
    </row>
    <row r="26" spans="1:7" ht="71.25" customHeight="1" x14ac:dyDescent="0.25">
      <c r="A26" s="180" t="s">
        <v>447</v>
      </c>
      <c r="B26" s="180"/>
      <c r="C26" s="180"/>
      <c r="D26" s="180"/>
      <c r="E26" s="180"/>
      <c r="F26" s="180"/>
      <c r="G26" s="180"/>
    </row>
  </sheetData>
  <mergeCells count="5">
    <mergeCell ref="D2:E2"/>
    <mergeCell ref="F2:G2"/>
    <mergeCell ref="A2:A3"/>
    <mergeCell ref="B2:C2"/>
    <mergeCell ref="A26:G26"/>
  </mergeCells>
  <pageMargins left="0.7" right="0.7" top="0.75" bottom="0.75" header="0.3" footer="0.3"/>
  <pageSetup paperSize="9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zoomScaleNormal="100" workbookViewId="0">
      <selection activeCell="B35" sqref="B35"/>
    </sheetView>
  </sheetViews>
  <sheetFormatPr defaultColWidth="8.85546875" defaultRowHeight="15" customHeight="1" x14ac:dyDescent="0.25"/>
  <cols>
    <col min="1" max="1" width="35.7109375" style="67" customWidth="1"/>
    <col min="2" max="6" width="8.85546875" style="67"/>
    <col min="7" max="7" width="10" style="79" customWidth="1"/>
    <col min="8" max="9" width="8.85546875" style="67"/>
    <col min="10" max="10" width="9.7109375" style="79" customWidth="1"/>
    <col min="11" max="16384" width="8.85546875" style="67"/>
  </cols>
  <sheetData>
    <row r="1" spans="1:10" ht="21" thickBot="1" x14ac:dyDescent="0.3">
      <c r="A1" s="100" t="s">
        <v>106</v>
      </c>
      <c r="B1" s="65"/>
      <c r="C1" s="65"/>
      <c r="D1" s="65"/>
      <c r="E1" s="65"/>
      <c r="F1" s="65"/>
      <c r="G1" s="66"/>
      <c r="H1" s="65"/>
      <c r="I1" s="65"/>
      <c r="J1" s="66"/>
    </row>
    <row r="2" spans="1:10" ht="20.25" x14ac:dyDescent="0.25">
      <c r="A2" s="68"/>
      <c r="B2" s="12" t="s">
        <v>1</v>
      </c>
      <c r="C2" s="69"/>
      <c r="D2" s="69"/>
      <c r="E2" s="12" t="s">
        <v>3</v>
      </c>
      <c r="F2" s="69"/>
      <c r="G2" s="70"/>
      <c r="H2" s="12" t="s">
        <v>4</v>
      </c>
      <c r="I2" s="69"/>
      <c r="J2" s="70"/>
    </row>
    <row r="3" spans="1:10" ht="15.75" x14ac:dyDescent="0.25">
      <c r="A3" s="71" t="s">
        <v>107</v>
      </c>
      <c r="B3" s="72" t="s">
        <v>5</v>
      </c>
      <c r="C3" s="72" t="s">
        <v>108</v>
      </c>
      <c r="D3" s="73" t="s">
        <v>6</v>
      </c>
      <c r="E3" s="72" t="s">
        <v>5</v>
      </c>
      <c r="F3" s="72" t="s">
        <v>108</v>
      </c>
      <c r="G3" s="74" t="s">
        <v>6</v>
      </c>
      <c r="H3" s="72" t="s">
        <v>5</v>
      </c>
      <c r="I3" s="72" t="s">
        <v>108</v>
      </c>
      <c r="J3" s="74" t="s">
        <v>6</v>
      </c>
    </row>
    <row r="4" spans="1:10" ht="15.75" x14ac:dyDescent="0.25">
      <c r="A4" s="13" t="s">
        <v>109</v>
      </c>
      <c r="B4" s="14">
        <v>-1.9841200000000001</v>
      </c>
      <c r="C4" s="14">
        <v>2.6794999999999999E-2</v>
      </c>
      <c r="D4" s="75" t="s">
        <v>8</v>
      </c>
      <c r="E4" s="14">
        <v>0.33665099999999998</v>
      </c>
      <c r="F4" s="14">
        <v>0.148678</v>
      </c>
      <c r="G4" s="15">
        <v>2.3560000000000001E-2</v>
      </c>
      <c r="H4" s="14">
        <v>-0.59223599999999998</v>
      </c>
      <c r="I4" s="14">
        <v>0.18684000000000001</v>
      </c>
      <c r="J4" s="15">
        <v>1.5299999999999999E-3</v>
      </c>
    </row>
    <row r="5" spans="1:10" ht="15.75" x14ac:dyDescent="0.25">
      <c r="A5" s="13" t="s">
        <v>110</v>
      </c>
      <c r="B5" s="14">
        <v>-1.7482470000000001</v>
      </c>
      <c r="C5" s="14">
        <v>2.7244999999999998E-2</v>
      </c>
      <c r="D5" s="15" t="s">
        <v>8</v>
      </c>
      <c r="E5" s="14">
        <v>0.72192000000000001</v>
      </c>
      <c r="F5" s="14">
        <v>0.14721300000000001</v>
      </c>
      <c r="G5" s="15">
        <v>9.4200000000000004E-7</v>
      </c>
      <c r="H5" s="14">
        <v>-0.66997899999999999</v>
      </c>
      <c r="I5" s="14">
        <v>0.18452399999999999</v>
      </c>
      <c r="J5" s="15">
        <v>2.8299999999999999E-4</v>
      </c>
    </row>
    <row r="6" spans="1:10" ht="15.75" x14ac:dyDescent="0.25">
      <c r="A6" s="13" t="s">
        <v>111</v>
      </c>
      <c r="B6" s="14">
        <v>0.72899999999999998</v>
      </c>
      <c r="C6" s="14">
        <v>2.9729999999999999E-2</v>
      </c>
      <c r="D6" s="75" t="s">
        <v>8</v>
      </c>
      <c r="E6" s="14">
        <v>0.92215999999999998</v>
      </c>
      <c r="F6" s="14">
        <v>0.16347999999999999</v>
      </c>
      <c r="G6" s="15">
        <v>1.7E-8</v>
      </c>
      <c r="H6" s="14">
        <v>0.60328999999999999</v>
      </c>
      <c r="I6" s="14">
        <v>0.20985999999999999</v>
      </c>
      <c r="J6" s="15">
        <v>4.0499999999999998E-3</v>
      </c>
    </row>
    <row r="7" spans="1:10" ht="15.75" x14ac:dyDescent="0.25">
      <c r="A7" s="13" t="s">
        <v>112</v>
      </c>
      <c r="B7" s="14">
        <v>0.73482099999999995</v>
      </c>
      <c r="C7" s="14">
        <v>3.0828000000000001E-2</v>
      </c>
      <c r="D7" s="75" t="s">
        <v>8</v>
      </c>
      <c r="E7" s="14">
        <v>-0.19337799999999999</v>
      </c>
      <c r="F7" s="14">
        <v>0.168906</v>
      </c>
      <c r="G7" s="15">
        <v>0.252</v>
      </c>
      <c r="H7" s="14">
        <v>0.134099</v>
      </c>
      <c r="I7" s="14">
        <v>0.213196</v>
      </c>
      <c r="J7" s="15">
        <v>0.52900000000000003</v>
      </c>
    </row>
    <row r="8" spans="1:10" ht="15.75" x14ac:dyDescent="0.25">
      <c r="A8" s="13" t="s">
        <v>113</v>
      </c>
      <c r="B8" s="14">
        <v>-0.61554600000000004</v>
      </c>
      <c r="C8" s="14">
        <v>2.8051E-2</v>
      </c>
      <c r="D8" s="75" t="s">
        <v>8</v>
      </c>
      <c r="E8" s="14">
        <v>0.88771100000000003</v>
      </c>
      <c r="F8" s="14">
        <v>0.155719</v>
      </c>
      <c r="G8" s="15">
        <v>1.2E-8</v>
      </c>
      <c r="H8" s="14">
        <v>-0.98236400000000001</v>
      </c>
      <c r="I8" s="14">
        <v>0.195572</v>
      </c>
      <c r="J8" s="15">
        <v>5.0999999999999999E-7</v>
      </c>
    </row>
    <row r="9" spans="1:10" ht="15.75" x14ac:dyDescent="0.25">
      <c r="A9" s="13" t="s">
        <v>114</v>
      </c>
      <c r="B9" s="14">
        <v>0.26658799999999999</v>
      </c>
      <c r="C9" s="14">
        <v>2.8160999999999999E-2</v>
      </c>
      <c r="D9" s="75" t="s">
        <v>8</v>
      </c>
      <c r="E9" s="14">
        <v>0.77272099999999999</v>
      </c>
      <c r="F9" s="14">
        <v>0.156335</v>
      </c>
      <c r="G9" s="15">
        <v>7.7300000000000005E-7</v>
      </c>
      <c r="H9" s="14">
        <v>-0.76122800000000002</v>
      </c>
      <c r="I9" s="14">
        <v>0.196322</v>
      </c>
      <c r="J9" s="15">
        <v>1.06E-4</v>
      </c>
    </row>
    <row r="10" spans="1:10" ht="15.75" x14ac:dyDescent="0.25">
      <c r="A10" s="13" t="s">
        <v>48</v>
      </c>
      <c r="B10" s="14">
        <v>0.65107800000000005</v>
      </c>
      <c r="C10" s="14">
        <v>2.7217999999999999E-2</v>
      </c>
      <c r="D10" s="75" t="s">
        <v>8</v>
      </c>
      <c r="E10" s="14">
        <v>0.22628200000000001</v>
      </c>
      <c r="F10" s="14">
        <v>0.151061</v>
      </c>
      <c r="G10" s="15">
        <v>0.13400000000000001</v>
      </c>
      <c r="H10" s="14">
        <v>0.18171100000000001</v>
      </c>
      <c r="I10" s="14">
        <v>0.19045799999999999</v>
      </c>
      <c r="J10" s="15">
        <v>0.34</v>
      </c>
    </row>
    <row r="11" spans="1:10" ht="15.75" x14ac:dyDescent="0.25">
      <c r="A11" s="13" t="s">
        <v>115</v>
      </c>
      <c r="B11" s="14">
        <v>0.14524999999999999</v>
      </c>
      <c r="C11" s="14">
        <v>2.8528000000000001E-2</v>
      </c>
      <c r="D11" s="75">
        <v>3.5600000000000001E-7</v>
      </c>
      <c r="E11" s="14">
        <v>0.90921700000000005</v>
      </c>
      <c r="F11" s="14">
        <v>0.15845899999999999</v>
      </c>
      <c r="G11" s="15">
        <v>9.6400000000000006E-9</v>
      </c>
      <c r="H11" s="14">
        <v>0.22595100000000001</v>
      </c>
      <c r="I11" s="14">
        <v>0.19845299999999999</v>
      </c>
      <c r="J11" s="15">
        <v>0.25489000000000001</v>
      </c>
    </row>
    <row r="12" spans="1:10" ht="15.75" x14ac:dyDescent="0.25">
      <c r="A12" s="13" t="s">
        <v>116</v>
      </c>
      <c r="B12" s="14">
        <v>5.9244999999999999E-2</v>
      </c>
      <c r="C12" s="14">
        <v>2.8483999999999999E-2</v>
      </c>
      <c r="D12" s="75">
        <v>3.7499999999999999E-2</v>
      </c>
      <c r="E12" s="14">
        <v>0.91352500000000003</v>
      </c>
      <c r="F12" s="14">
        <v>0.15831000000000001</v>
      </c>
      <c r="G12" s="15">
        <v>7.9500000000000001E-9</v>
      </c>
      <c r="H12" s="14">
        <v>0.25213000000000002</v>
      </c>
      <c r="I12" s="14">
        <v>0.198153</v>
      </c>
      <c r="J12" s="15">
        <v>0.20319999999999999</v>
      </c>
    </row>
    <row r="13" spans="1:10" ht="15.75" x14ac:dyDescent="0.25">
      <c r="A13" s="13" t="s">
        <v>117</v>
      </c>
      <c r="B13" s="14">
        <v>-0.143819</v>
      </c>
      <c r="C13" s="14">
        <v>2.8837999999999999E-2</v>
      </c>
      <c r="D13" s="75">
        <v>6.1500000000000004E-7</v>
      </c>
      <c r="E13" s="14">
        <v>0.115122</v>
      </c>
      <c r="F13" s="14">
        <v>0.16005</v>
      </c>
      <c r="G13" s="15">
        <v>0.47199999999999998</v>
      </c>
      <c r="H13" s="14">
        <v>0.246529</v>
      </c>
      <c r="I13" s="14">
        <v>0.20463600000000001</v>
      </c>
      <c r="J13" s="15">
        <v>0.22800000000000001</v>
      </c>
    </row>
    <row r="14" spans="1:10" ht="15.75" x14ac:dyDescent="0.25">
      <c r="A14" s="13" t="s">
        <v>118</v>
      </c>
      <c r="B14" s="14">
        <v>-0.69024300000000005</v>
      </c>
      <c r="C14" s="14">
        <v>2.8830000000000001E-2</v>
      </c>
      <c r="D14" s="75" t="s">
        <v>8</v>
      </c>
      <c r="E14" s="14">
        <v>-0.69498800000000005</v>
      </c>
      <c r="F14" s="14">
        <v>0.15996099999999999</v>
      </c>
      <c r="G14" s="15">
        <v>1.4E-5</v>
      </c>
      <c r="H14" s="14">
        <v>-0.443801</v>
      </c>
      <c r="I14" s="14">
        <v>0.20467199999999999</v>
      </c>
      <c r="J14" s="15">
        <v>3.0137000000000001E-2</v>
      </c>
    </row>
    <row r="15" spans="1:10" ht="15.75" x14ac:dyDescent="0.25">
      <c r="A15" s="13" t="s">
        <v>119</v>
      </c>
      <c r="B15" s="14">
        <v>0.33543200000000001</v>
      </c>
      <c r="C15" s="14">
        <v>2.7548E-2</v>
      </c>
      <c r="D15" s="75" t="s">
        <v>8</v>
      </c>
      <c r="E15" s="14">
        <v>-0.69127400000000006</v>
      </c>
      <c r="F15" s="14">
        <v>0.15276999999999999</v>
      </c>
      <c r="G15" s="15">
        <v>6.0599999999999996E-6</v>
      </c>
      <c r="H15" s="14">
        <v>0.17388700000000001</v>
      </c>
      <c r="I15" s="14">
        <v>0.19551099999999999</v>
      </c>
      <c r="J15" s="15">
        <v>0.374</v>
      </c>
    </row>
    <row r="16" spans="1:10" ht="15.75" x14ac:dyDescent="0.25">
      <c r="A16" s="13" t="s">
        <v>120</v>
      </c>
      <c r="B16" s="14">
        <v>-9.6391000000000004E-2</v>
      </c>
      <c r="C16" s="14">
        <v>2.8878000000000001E-2</v>
      </c>
      <c r="D16" s="75">
        <v>8.4500000000000005E-4</v>
      </c>
      <c r="E16" s="14">
        <v>-0.148671</v>
      </c>
      <c r="F16" s="14">
        <v>0.160243</v>
      </c>
      <c r="G16" s="15">
        <v>0.35352299999999998</v>
      </c>
      <c r="H16" s="14">
        <v>0.335476</v>
      </c>
      <c r="I16" s="14">
        <v>0.20504</v>
      </c>
      <c r="J16" s="15">
        <v>0.101815</v>
      </c>
    </row>
    <row r="17" spans="1:10" ht="15.75" x14ac:dyDescent="0.25">
      <c r="A17" s="13" t="s">
        <v>121</v>
      </c>
      <c r="B17" s="14">
        <v>-0.43182300000000001</v>
      </c>
      <c r="C17" s="14">
        <v>2.8771000000000001E-2</v>
      </c>
      <c r="D17" s="75" t="s">
        <v>8</v>
      </c>
      <c r="E17" s="14">
        <v>-0.81510199999999999</v>
      </c>
      <c r="F17" s="14">
        <v>0.159611</v>
      </c>
      <c r="G17" s="15">
        <v>3.2899999999999999E-7</v>
      </c>
      <c r="H17" s="14">
        <v>-0.47933799999999999</v>
      </c>
      <c r="I17" s="14">
        <v>0.204517</v>
      </c>
      <c r="J17" s="15">
        <v>1.9099999999999999E-2</v>
      </c>
    </row>
    <row r="18" spans="1:10" ht="15.75" x14ac:dyDescent="0.25">
      <c r="A18" s="13" t="s">
        <v>122</v>
      </c>
      <c r="B18" s="14">
        <v>-2.0282</v>
      </c>
      <c r="C18" s="14">
        <v>2.7699999999999999E-2</v>
      </c>
      <c r="D18" s="75" t="s">
        <v>8</v>
      </c>
      <c r="E18" s="14">
        <v>-3.2412999999999998</v>
      </c>
      <c r="F18" s="14">
        <v>0.15359999999999999</v>
      </c>
      <c r="G18" s="15" t="s">
        <v>8</v>
      </c>
      <c r="H18" s="14">
        <v>0.34379999999999999</v>
      </c>
      <c r="I18" s="14">
        <v>0.19289999999999999</v>
      </c>
      <c r="J18" s="15">
        <v>7.4700000000000003E-2</v>
      </c>
    </row>
    <row r="19" spans="1:10" ht="15.75" x14ac:dyDescent="0.25">
      <c r="A19" s="13" t="s">
        <v>123</v>
      </c>
      <c r="B19" s="14">
        <v>-2.2079659999999999</v>
      </c>
      <c r="C19" s="14">
        <v>2.7758999999999999E-2</v>
      </c>
      <c r="D19" s="75" t="s">
        <v>8</v>
      </c>
      <c r="E19" s="14">
        <v>-3.475371</v>
      </c>
      <c r="F19" s="14">
        <v>0.15396099999999999</v>
      </c>
      <c r="G19" s="15" t="s">
        <v>8</v>
      </c>
      <c r="H19" s="14">
        <v>0.36946400000000001</v>
      </c>
      <c r="I19" s="14">
        <v>0.19325999999999999</v>
      </c>
      <c r="J19" s="15">
        <v>5.5899999999999998E-2</v>
      </c>
    </row>
    <row r="20" spans="1:10" ht="18.75" x14ac:dyDescent="0.25">
      <c r="A20" s="14" t="s">
        <v>124</v>
      </c>
      <c r="B20" s="14">
        <v>0.18959999999999999</v>
      </c>
      <c r="C20" s="14">
        <v>1.0030000000000001E-2</v>
      </c>
      <c r="D20" s="75" t="s">
        <v>8</v>
      </c>
      <c r="E20" s="14">
        <v>7.1150000000000005E-2</v>
      </c>
      <c r="F20" s="14">
        <v>5.5640000000000002E-2</v>
      </c>
      <c r="G20" s="15">
        <v>0.20100000000000001</v>
      </c>
      <c r="H20" s="14">
        <v>0.15010000000000001</v>
      </c>
      <c r="I20" s="14">
        <v>7.1730000000000002E-2</v>
      </c>
      <c r="J20" s="15">
        <v>3.6400000000000002E-2</v>
      </c>
    </row>
    <row r="21" spans="1:10" ht="18.75" x14ac:dyDescent="0.25">
      <c r="A21" s="14" t="s">
        <v>125</v>
      </c>
      <c r="B21" s="14">
        <v>1.7270000000000001</v>
      </c>
      <c r="C21" s="14">
        <v>9.6329999999999999E-2</v>
      </c>
      <c r="D21" s="15" t="s">
        <v>8</v>
      </c>
      <c r="E21" s="14">
        <v>0.79110000000000003</v>
      </c>
      <c r="F21" s="14">
        <v>0.54649999999999999</v>
      </c>
      <c r="G21" s="15">
        <v>0.1477</v>
      </c>
      <c r="H21" s="14">
        <v>1.25</v>
      </c>
      <c r="I21" s="14">
        <v>0.61409999999999998</v>
      </c>
      <c r="J21" s="15">
        <v>4.1799999999999997E-2</v>
      </c>
    </row>
    <row r="22" spans="1:10" ht="18.75" x14ac:dyDescent="0.25">
      <c r="A22" s="14" t="s">
        <v>126</v>
      </c>
      <c r="B22" s="14">
        <v>2.0009999999999999</v>
      </c>
      <c r="C22" s="14">
        <v>0.1004</v>
      </c>
      <c r="D22" s="15" t="s">
        <v>8</v>
      </c>
      <c r="E22" s="14">
        <v>1.296</v>
      </c>
      <c r="F22" s="14">
        <v>0.5716</v>
      </c>
      <c r="G22" s="15">
        <v>2.3380000000000001E-2</v>
      </c>
      <c r="H22" s="14">
        <v>1.369</v>
      </c>
      <c r="I22" s="14">
        <v>0.62580000000000002</v>
      </c>
      <c r="J22" s="15">
        <v>2.8750000000000001E-2</v>
      </c>
    </row>
    <row r="23" spans="1:10" ht="16.5" thickBot="1" x14ac:dyDescent="0.3">
      <c r="A23" s="64" t="s">
        <v>127</v>
      </c>
      <c r="B23" s="64">
        <v>1.514</v>
      </c>
      <c r="C23" s="64">
        <v>0.1008</v>
      </c>
      <c r="D23" s="76" t="s">
        <v>8</v>
      </c>
      <c r="E23" s="64">
        <v>0.43109999999999998</v>
      </c>
      <c r="F23" s="64">
        <v>0.55289999999999995</v>
      </c>
      <c r="G23" s="76">
        <v>0.43559999999999999</v>
      </c>
      <c r="H23" s="64">
        <v>1.282</v>
      </c>
      <c r="I23" s="64">
        <v>0.61519999999999997</v>
      </c>
      <c r="J23" s="76">
        <v>3.7199999999999997E-2</v>
      </c>
    </row>
    <row r="24" spans="1:10" ht="18" x14ac:dyDescent="0.25">
      <c r="A24" s="77" t="s">
        <v>449</v>
      </c>
      <c r="B24" s="78"/>
      <c r="C24" s="78"/>
      <c r="D24" s="78"/>
    </row>
    <row r="25" spans="1:10" ht="18" x14ac:dyDescent="0.25">
      <c r="A25" s="80" t="s">
        <v>450</v>
      </c>
    </row>
    <row r="26" spans="1:10" ht="60.75" customHeight="1" x14ac:dyDescent="0.25">
      <c r="A26" s="181" t="s">
        <v>129</v>
      </c>
      <c r="B26" s="181"/>
      <c r="C26" s="181"/>
      <c r="D26" s="181"/>
      <c r="E26" s="181"/>
      <c r="F26" s="181"/>
      <c r="G26" s="181"/>
      <c r="H26" s="181"/>
      <c r="I26" s="181"/>
      <c r="J26" s="181"/>
    </row>
    <row r="27" spans="1:10" x14ac:dyDescent="0.25"/>
    <row r="28" spans="1:10" x14ac:dyDescent="0.25"/>
    <row r="29" spans="1:10" x14ac:dyDescent="0.25"/>
    <row r="30" spans="1:10" x14ac:dyDescent="0.25"/>
  </sheetData>
  <mergeCells count="1">
    <mergeCell ref="A26:J26"/>
  </mergeCells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"/>
  <sheetViews>
    <sheetView topLeftCell="A7" zoomScaleNormal="100" workbookViewId="0">
      <selection activeCell="M1" sqref="M1"/>
    </sheetView>
  </sheetViews>
  <sheetFormatPr defaultColWidth="8.85546875" defaultRowHeight="15.75" customHeight="1" x14ac:dyDescent="0.25"/>
  <cols>
    <col min="1" max="1" width="37" style="16" customWidth="1"/>
    <col min="2" max="2" width="21.28515625" style="16" customWidth="1"/>
    <col min="3" max="3" width="10.28515625" style="16" bestFit="1" customWidth="1"/>
    <col min="4" max="4" width="8.85546875" style="16"/>
    <col min="5" max="5" width="14.28515625" style="16" customWidth="1"/>
    <col min="6" max="6" width="8.85546875" style="16"/>
    <col min="7" max="7" width="8.85546875" style="17"/>
    <col min="8" max="8" width="9.7109375" style="17" customWidth="1"/>
    <col min="9" max="16384" width="8.85546875" style="16"/>
  </cols>
  <sheetData>
    <row r="1" spans="1:11" ht="20.25" x14ac:dyDescent="0.3">
      <c r="A1" s="81" t="s">
        <v>130</v>
      </c>
      <c r="B1" s="167"/>
      <c r="C1" s="167"/>
      <c r="D1" s="167"/>
      <c r="E1" s="167"/>
    </row>
    <row r="2" spans="1:11" ht="17.45" customHeight="1" x14ac:dyDescent="0.3">
      <c r="A2" s="168"/>
      <c r="B2" s="169"/>
      <c r="C2" s="170" t="s">
        <v>1</v>
      </c>
      <c r="D2" s="170"/>
      <c r="E2" s="170"/>
      <c r="F2" s="170" t="s">
        <v>3</v>
      </c>
      <c r="G2" s="147"/>
      <c r="H2" s="147"/>
      <c r="I2" s="147" t="s">
        <v>4</v>
      </c>
      <c r="J2" s="170"/>
      <c r="K2" s="170"/>
    </row>
    <row r="3" spans="1:11" x14ac:dyDescent="0.25">
      <c r="A3" s="171" t="s">
        <v>107</v>
      </c>
      <c r="B3" s="171" t="s">
        <v>131</v>
      </c>
      <c r="C3" s="138" t="s">
        <v>5</v>
      </c>
      <c r="D3" s="138" t="s">
        <v>108</v>
      </c>
      <c r="E3" s="172" t="s">
        <v>6</v>
      </c>
      <c r="F3" s="138" t="s">
        <v>5</v>
      </c>
      <c r="G3" s="138" t="s">
        <v>108</v>
      </c>
      <c r="H3" s="172" t="s">
        <v>6</v>
      </c>
      <c r="I3" s="138" t="s">
        <v>5</v>
      </c>
      <c r="J3" s="138" t="s">
        <v>108</v>
      </c>
      <c r="K3" s="172" t="s">
        <v>6</v>
      </c>
    </row>
    <row r="4" spans="1:11" x14ac:dyDescent="0.25">
      <c r="A4" s="169" t="s">
        <v>109</v>
      </c>
      <c r="B4" s="169" t="s">
        <v>132</v>
      </c>
      <c r="C4" s="173">
        <v>-1.5140290000000001</v>
      </c>
      <c r="D4" s="173">
        <v>0.264372</v>
      </c>
      <c r="E4" s="174">
        <v>1.02260884204952E-8</v>
      </c>
      <c r="F4" s="173">
        <v>0.59066700000000005</v>
      </c>
      <c r="G4" s="173">
        <v>0.837113</v>
      </c>
      <c r="H4" s="173">
        <v>0.48043307205603503</v>
      </c>
      <c r="I4" s="173">
        <v>-1.4520869999999999</v>
      </c>
      <c r="J4" s="173">
        <v>0.89045200000000002</v>
      </c>
      <c r="K4" s="173">
        <v>0.10294576931220201</v>
      </c>
    </row>
    <row r="5" spans="1:11" x14ac:dyDescent="0.25">
      <c r="B5" s="16" t="s">
        <v>133</v>
      </c>
      <c r="C5" s="17">
        <v>-4.9529999999999998E-2</v>
      </c>
      <c r="D5" s="17">
        <v>0.26886500000000002</v>
      </c>
      <c r="E5" s="17">
        <v>0.85384446300995098</v>
      </c>
      <c r="F5" s="17">
        <v>0.19214300000000001</v>
      </c>
      <c r="G5" s="17">
        <v>0.90596399999999999</v>
      </c>
      <c r="H5" s="17">
        <v>0.83204117525675003</v>
      </c>
      <c r="I5" s="17">
        <v>1.2144839999999999</v>
      </c>
      <c r="J5" s="17">
        <v>0.99916400000000005</v>
      </c>
      <c r="K5" s="17">
        <v>0.22417505966277901</v>
      </c>
    </row>
    <row r="6" spans="1:11" x14ac:dyDescent="0.25">
      <c r="A6" s="82" t="s">
        <v>134</v>
      </c>
      <c r="B6" s="16" t="s">
        <v>132</v>
      </c>
      <c r="C6" s="17">
        <v>-0.120752</v>
      </c>
      <c r="D6" s="17">
        <v>0.25941999999999998</v>
      </c>
      <c r="E6" s="17">
        <v>0.64160106309808995</v>
      </c>
      <c r="F6" s="17">
        <v>-0.49516100000000002</v>
      </c>
      <c r="G6" s="17">
        <v>0.82144200000000001</v>
      </c>
      <c r="H6" s="17">
        <v>0.54664501250617303</v>
      </c>
      <c r="I6" s="17">
        <v>0.379243</v>
      </c>
      <c r="J6" s="17">
        <v>0.87448099999999995</v>
      </c>
      <c r="K6" s="17">
        <v>0.66452455804280497</v>
      </c>
    </row>
    <row r="7" spans="1:11" x14ac:dyDescent="0.25">
      <c r="A7" s="82"/>
      <c r="B7" s="16" t="s">
        <v>133</v>
      </c>
      <c r="C7" s="17">
        <v>-1.1128659999999999</v>
      </c>
      <c r="D7" s="17">
        <v>0.26407599999999998</v>
      </c>
      <c r="E7" s="83">
        <v>2.5073211319393E-5</v>
      </c>
      <c r="F7" s="17">
        <v>-2.941414</v>
      </c>
      <c r="G7" s="17">
        <v>0.89335799999999999</v>
      </c>
      <c r="H7" s="83">
        <v>9.9292122733141098E-4</v>
      </c>
      <c r="I7" s="17">
        <v>1.725876</v>
      </c>
      <c r="J7" s="17">
        <v>0.98841800000000002</v>
      </c>
      <c r="K7" s="17">
        <v>8.0793605294551707E-2</v>
      </c>
    </row>
    <row r="8" spans="1:11" x14ac:dyDescent="0.25">
      <c r="A8" s="82" t="s">
        <v>135</v>
      </c>
      <c r="B8" s="16" t="s">
        <v>132</v>
      </c>
      <c r="C8" s="17">
        <v>1.6181999999999998E-2</v>
      </c>
      <c r="D8" s="17">
        <v>0.23949100000000001</v>
      </c>
      <c r="E8" s="17">
        <v>0.94613571317226697</v>
      </c>
      <c r="F8" s="17">
        <v>-0.560195</v>
      </c>
      <c r="G8" s="17">
        <v>0.75822100000000003</v>
      </c>
      <c r="H8" s="17">
        <v>0.46000677445280402</v>
      </c>
      <c r="I8" s="17">
        <v>0.47624699999999998</v>
      </c>
      <c r="J8" s="17">
        <v>0.80816900000000003</v>
      </c>
      <c r="K8" s="17">
        <v>0.55566384666601198</v>
      </c>
    </row>
    <row r="9" spans="1:11" x14ac:dyDescent="0.25">
      <c r="A9" s="82"/>
      <c r="B9" s="16" t="s">
        <v>133</v>
      </c>
      <c r="C9" s="17">
        <v>-1.354662</v>
      </c>
      <c r="D9" s="17">
        <v>0.244477</v>
      </c>
      <c r="E9" s="83">
        <v>3.0077507373604797E-8</v>
      </c>
      <c r="F9" s="17">
        <v>-3.0885129999999998</v>
      </c>
      <c r="G9" s="17">
        <v>0.83485799999999999</v>
      </c>
      <c r="H9" s="83">
        <v>2.1608028080888399E-4</v>
      </c>
      <c r="I9" s="17">
        <v>1.729455</v>
      </c>
      <c r="J9" s="17">
        <v>0.92925500000000005</v>
      </c>
      <c r="K9" s="17">
        <v>6.2727896586242102E-2</v>
      </c>
    </row>
    <row r="10" spans="1:11" x14ac:dyDescent="0.25">
      <c r="A10" s="16" t="s">
        <v>113</v>
      </c>
      <c r="B10" s="16" t="s">
        <v>132</v>
      </c>
      <c r="C10" s="17">
        <v>-0.73489899999999997</v>
      </c>
      <c r="D10" s="17">
        <v>0.30164999999999997</v>
      </c>
      <c r="E10" s="83">
        <v>1.4839718284032299E-2</v>
      </c>
      <c r="F10" s="17">
        <v>0.42321700000000001</v>
      </c>
      <c r="G10" s="17">
        <v>0.95552599999999999</v>
      </c>
      <c r="H10" s="17">
        <v>0.65782613475674301</v>
      </c>
      <c r="I10" s="17">
        <v>-1.2200340000000001</v>
      </c>
      <c r="J10" s="17">
        <v>1.0128600000000001</v>
      </c>
      <c r="K10" s="17">
        <v>0.228381077960991</v>
      </c>
    </row>
    <row r="11" spans="1:11" x14ac:dyDescent="0.25">
      <c r="B11" s="16" t="s">
        <v>133</v>
      </c>
      <c r="C11" s="17">
        <v>0.25121300000000002</v>
      </c>
      <c r="D11" s="17">
        <v>0.30568899999999999</v>
      </c>
      <c r="E11" s="17">
        <v>0.411201984757747</v>
      </c>
      <c r="F11" s="17">
        <v>0.59911400000000004</v>
      </c>
      <c r="G11" s="17">
        <v>1.017536</v>
      </c>
      <c r="H11" s="17">
        <v>0.556007018580982</v>
      </c>
      <c r="I11" s="17">
        <v>0.75013200000000002</v>
      </c>
      <c r="J11" s="17">
        <v>1.1116699999999999</v>
      </c>
      <c r="K11" s="17">
        <v>0.49981708225331301</v>
      </c>
    </row>
    <row r="12" spans="1:11" x14ac:dyDescent="0.25">
      <c r="A12" s="16" t="s">
        <v>114</v>
      </c>
      <c r="B12" s="16" t="s">
        <v>132</v>
      </c>
      <c r="C12" s="17">
        <v>2.5000000000000001E-5</v>
      </c>
      <c r="D12" s="17">
        <v>0.310475</v>
      </c>
      <c r="E12" s="17">
        <v>0.99992290473851198</v>
      </c>
      <c r="F12" s="17">
        <v>0.12720200000000001</v>
      </c>
      <c r="G12" s="17">
        <v>0.98353800000000002</v>
      </c>
      <c r="H12" s="17">
        <v>0.89709752226505002</v>
      </c>
      <c r="I12" s="17">
        <v>-0.67171999999999998</v>
      </c>
      <c r="J12" s="17">
        <v>1.0421609999999999</v>
      </c>
      <c r="K12" s="17">
        <v>0.51922147556944898</v>
      </c>
    </row>
    <row r="13" spans="1:11" x14ac:dyDescent="0.25">
      <c r="B13" s="16" t="s">
        <v>133</v>
      </c>
      <c r="C13" s="17">
        <v>0.22928000000000001</v>
      </c>
      <c r="D13" s="17">
        <v>0.31439800000000001</v>
      </c>
      <c r="E13" s="17">
        <v>0.46584135924372</v>
      </c>
      <c r="F13" s="17">
        <v>0.58729900000000002</v>
      </c>
      <c r="G13" s="17">
        <v>1.043587</v>
      </c>
      <c r="H13" s="17">
        <v>0.57359225785256696</v>
      </c>
      <c r="I13" s="17">
        <v>0.36497299999999999</v>
      </c>
      <c r="J13" s="17">
        <v>1.1375120000000001</v>
      </c>
      <c r="K13" s="17">
        <v>0.74832412199142495</v>
      </c>
    </row>
    <row r="14" spans="1:11" x14ac:dyDescent="0.25">
      <c r="A14" s="16" t="s">
        <v>48</v>
      </c>
      <c r="B14" s="16" t="s">
        <v>132</v>
      </c>
      <c r="C14" s="17">
        <v>0.56207799999999997</v>
      </c>
      <c r="D14" s="17">
        <v>0.31691399999999997</v>
      </c>
      <c r="E14" s="17">
        <v>7.6124937815707797E-2</v>
      </c>
      <c r="F14" s="17">
        <v>3.7224E-2</v>
      </c>
      <c r="G14" s="17">
        <v>1.003911</v>
      </c>
      <c r="H14" s="17">
        <v>0.970425176242115</v>
      </c>
      <c r="I14" s="17">
        <v>0.45112200000000002</v>
      </c>
      <c r="J14" s="17">
        <v>1.0562260000000001</v>
      </c>
      <c r="K14" s="17">
        <v>0.66930361957223405</v>
      </c>
    </row>
    <row r="15" spans="1:11" x14ac:dyDescent="0.25">
      <c r="B15" s="16" t="s">
        <v>133</v>
      </c>
      <c r="C15" s="17">
        <v>-8.4764999999999993E-2</v>
      </c>
      <c r="D15" s="17">
        <v>0.31983200000000001</v>
      </c>
      <c r="E15" s="17">
        <v>0.79097321202527604</v>
      </c>
      <c r="F15" s="17">
        <v>0.39069799999999999</v>
      </c>
      <c r="G15" s="17">
        <v>1.0486139999999999</v>
      </c>
      <c r="H15" s="17">
        <v>0.70945475235614097</v>
      </c>
      <c r="I15" s="17">
        <v>-0.20857700000000001</v>
      </c>
      <c r="J15" s="17">
        <v>1.127974</v>
      </c>
      <c r="K15" s="17">
        <v>0.85329471297654302</v>
      </c>
    </row>
    <row r="16" spans="1:11" x14ac:dyDescent="0.25">
      <c r="A16" s="16" t="s">
        <v>115</v>
      </c>
      <c r="B16" s="16" t="s">
        <v>132</v>
      </c>
      <c r="C16" s="17">
        <v>-0.13598399999999999</v>
      </c>
      <c r="D16" s="17">
        <v>0.31634099999999998</v>
      </c>
      <c r="E16" s="17">
        <v>0.66730188191871798</v>
      </c>
      <c r="F16" s="17">
        <v>1.3882410000000001</v>
      </c>
      <c r="G16" s="17">
        <v>1.001646</v>
      </c>
      <c r="H16" s="17">
        <v>0.16576120138233999</v>
      </c>
      <c r="I16" s="17">
        <v>0.64585599999999999</v>
      </c>
      <c r="J16" s="17">
        <v>1.0562819999999999</v>
      </c>
      <c r="K16" s="17">
        <v>0.54090321754615001</v>
      </c>
    </row>
    <row r="17" spans="1:11" x14ac:dyDescent="0.25">
      <c r="B17" s="16" t="s">
        <v>133</v>
      </c>
      <c r="C17" s="17">
        <v>0.24640899999999999</v>
      </c>
      <c r="D17" s="17">
        <v>0.319693</v>
      </c>
      <c r="E17" s="17">
        <v>0.44083856439885499</v>
      </c>
      <c r="F17" s="17">
        <v>0.29380699999999998</v>
      </c>
      <c r="G17" s="17">
        <v>1.053736</v>
      </c>
      <c r="H17" s="17">
        <v>0.78037843987407796</v>
      </c>
      <c r="I17" s="17">
        <v>-0.24021600000000001</v>
      </c>
      <c r="J17" s="17">
        <v>1.1396059999999999</v>
      </c>
      <c r="K17" s="17">
        <v>0.833050040920436</v>
      </c>
    </row>
    <row r="18" spans="1:11" x14ac:dyDescent="0.25">
      <c r="A18" s="16" t="s">
        <v>116</v>
      </c>
      <c r="B18" s="16" t="s">
        <v>132</v>
      </c>
      <c r="C18" s="17">
        <v>-0.58599100000000004</v>
      </c>
      <c r="D18" s="17">
        <v>0.319131</v>
      </c>
      <c r="E18" s="17">
        <v>6.6326464045872696E-2</v>
      </c>
      <c r="F18" s="17">
        <v>1.528079</v>
      </c>
      <c r="G18" s="17">
        <v>1.0105120000000001</v>
      </c>
      <c r="H18" s="17">
        <v>0.13048631870833599</v>
      </c>
      <c r="I18" s="17">
        <v>-0.244229</v>
      </c>
      <c r="J18" s="17">
        <v>1.065537</v>
      </c>
      <c r="K18" s="17">
        <v>0.81870746820394502</v>
      </c>
    </row>
    <row r="19" spans="1:11" x14ac:dyDescent="0.25">
      <c r="B19" s="16" t="s">
        <v>133</v>
      </c>
      <c r="C19" s="17">
        <v>0.61805900000000003</v>
      </c>
      <c r="D19" s="17">
        <v>0.32245000000000001</v>
      </c>
      <c r="E19" s="17">
        <v>5.5268137897239701E-2</v>
      </c>
      <c r="F19" s="17">
        <v>0.12684000000000001</v>
      </c>
      <c r="G19" s="17">
        <v>1.0621560000000001</v>
      </c>
      <c r="H19" s="17">
        <v>0.90494496431767002</v>
      </c>
      <c r="I19" s="17">
        <v>0.53222800000000003</v>
      </c>
      <c r="J19" s="17">
        <v>1.1480729999999999</v>
      </c>
      <c r="K19" s="17">
        <v>0.642943874195544</v>
      </c>
    </row>
    <row r="20" spans="1:11" x14ac:dyDescent="0.25">
      <c r="A20" s="16" t="s">
        <v>117</v>
      </c>
      <c r="B20" s="16" t="s">
        <v>132</v>
      </c>
      <c r="C20" s="17">
        <v>-0.25297199999999997</v>
      </c>
      <c r="D20" s="17">
        <v>0.32169700000000001</v>
      </c>
      <c r="E20" s="17">
        <v>0.43166027357342801</v>
      </c>
      <c r="F20" s="17">
        <v>-2.127024</v>
      </c>
      <c r="G20" s="17">
        <v>1.02142</v>
      </c>
      <c r="H20" s="83">
        <v>3.7304608920079002E-2</v>
      </c>
      <c r="I20" s="17">
        <v>-0.75578400000000001</v>
      </c>
      <c r="J20" s="17">
        <v>1.0735269999999999</v>
      </c>
      <c r="K20" s="17">
        <v>0.48142414173589398</v>
      </c>
    </row>
    <row r="21" spans="1:11" x14ac:dyDescent="0.25">
      <c r="B21" s="16" t="s">
        <v>133</v>
      </c>
      <c r="C21" s="17">
        <v>0.12567500000000001</v>
      </c>
      <c r="D21" s="17">
        <v>0.32514999999999999</v>
      </c>
      <c r="E21" s="17">
        <v>0.69910471153989195</v>
      </c>
      <c r="F21" s="17">
        <v>2.0667149999999999</v>
      </c>
      <c r="G21" s="17">
        <v>1.0753569999999999</v>
      </c>
      <c r="H21" s="17">
        <v>5.46200252659923E-2</v>
      </c>
      <c r="I21" s="17">
        <v>0.49925999999999998</v>
      </c>
      <c r="J21" s="17">
        <v>1.1603410000000001</v>
      </c>
      <c r="K21" s="17">
        <v>0.66699892869203303</v>
      </c>
    </row>
    <row r="22" spans="1:11" x14ac:dyDescent="0.25">
      <c r="A22" s="16" t="s">
        <v>118</v>
      </c>
      <c r="B22" s="16" t="s">
        <v>132</v>
      </c>
      <c r="C22" s="17">
        <v>-0.57402799999999998</v>
      </c>
      <c r="D22" s="17">
        <v>0.32317299999999999</v>
      </c>
      <c r="E22" s="17">
        <v>7.5692083617516101E-2</v>
      </c>
      <c r="F22" s="17">
        <v>-1.1470320000000001</v>
      </c>
      <c r="G22" s="17">
        <v>1.0260020000000001</v>
      </c>
      <c r="H22" s="17">
        <v>0.263582811955275</v>
      </c>
      <c r="I22" s="17">
        <v>-1.3854379999999999</v>
      </c>
      <c r="J22" s="17">
        <v>1.0789390000000001</v>
      </c>
      <c r="K22" s="17">
        <v>0.19911567573542999</v>
      </c>
    </row>
    <row r="23" spans="1:11" x14ac:dyDescent="0.25">
      <c r="B23" s="16" t="s">
        <v>133</v>
      </c>
      <c r="C23" s="17">
        <v>0.114914</v>
      </c>
      <c r="D23" s="17">
        <v>0.32674599999999998</v>
      </c>
      <c r="E23" s="17">
        <v>0.72508156673214597</v>
      </c>
      <c r="F23" s="17">
        <v>0.54750100000000002</v>
      </c>
      <c r="G23" s="17">
        <v>1.081502</v>
      </c>
      <c r="H23" s="17">
        <v>0.61268724318786205</v>
      </c>
      <c r="I23" s="17">
        <v>0.57612799999999997</v>
      </c>
      <c r="J23" s="17">
        <v>1.168086</v>
      </c>
      <c r="K23" s="17">
        <v>0.62185433509009602</v>
      </c>
    </row>
    <row r="24" spans="1:11" x14ac:dyDescent="0.25">
      <c r="A24" s="16" t="s">
        <v>119</v>
      </c>
      <c r="B24" s="16" t="s">
        <v>132</v>
      </c>
      <c r="C24" s="17">
        <v>0.158947</v>
      </c>
      <c r="D24" s="17">
        <v>0.31941399999999998</v>
      </c>
      <c r="E24" s="17">
        <v>0.61874043677972701</v>
      </c>
      <c r="F24" s="17">
        <v>-1.144873</v>
      </c>
      <c r="G24" s="17">
        <v>1.0142230000000001</v>
      </c>
      <c r="H24" s="17">
        <v>0.258974531227807</v>
      </c>
      <c r="I24" s="17">
        <v>-0.66247400000000001</v>
      </c>
      <c r="J24" s="17">
        <v>1.0664199999999999</v>
      </c>
      <c r="K24" s="17">
        <v>0.53446193458870295</v>
      </c>
    </row>
    <row r="25" spans="1:11" x14ac:dyDescent="0.25">
      <c r="B25" s="16" t="s">
        <v>133</v>
      </c>
      <c r="C25" s="17">
        <v>9.4767000000000004E-2</v>
      </c>
      <c r="D25" s="17">
        <v>0.32289400000000001</v>
      </c>
      <c r="E25" s="17">
        <v>0.76913577458045901</v>
      </c>
      <c r="F25" s="17">
        <v>0.34857399999999999</v>
      </c>
      <c r="G25" s="17">
        <v>1.0682309999999999</v>
      </c>
      <c r="H25" s="17">
        <v>0.74419274881881703</v>
      </c>
      <c r="I25" s="17">
        <v>0.38168099999999999</v>
      </c>
      <c r="J25" s="17">
        <v>1.1530260000000001</v>
      </c>
      <c r="K25" s="17">
        <v>0.740626752023684</v>
      </c>
    </row>
    <row r="26" spans="1:11" x14ac:dyDescent="0.25">
      <c r="A26" s="16" t="s">
        <v>120</v>
      </c>
      <c r="B26" s="16" t="s">
        <v>132</v>
      </c>
      <c r="C26" s="17">
        <v>-0.22018399999999999</v>
      </c>
      <c r="D26" s="17">
        <v>0.32877400000000001</v>
      </c>
      <c r="E26" s="17">
        <v>0.50304375532279999</v>
      </c>
      <c r="F26" s="17">
        <v>-2.6853560000000001</v>
      </c>
      <c r="G26" s="17">
        <v>1.0437970000000001</v>
      </c>
      <c r="H26" s="83">
        <v>1.0091541018419499E-2</v>
      </c>
      <c r="I26" s="17">
        <v>-1.5106550000000001</v>
      </c>
      <c r="J26" s="17">
        <v>1.0967089999999999</v>
      </c>
      <c r="K26" s="17">
        <v>0.16837406190225801</v>
      </c>
    </row>
    <row r="27" spans="1:11" x14ac:dyDescent="0.25">
      <c r="B27" s="16" t="s">
        <v>133</v>
      </c>
      <c r="C27" s="17">
        <v>0.123226</v>
      </c>
      <c r="D27" s="17">
        <v>0.33229599999999998</v>
      </c>
      <c r="E27" s="17">
        <v>0.71075700243158402</v>
      </c>
      <c r="F27" s="17">
        <v>2.1860089999999999</v>
      </c>
      <c r="G27" s="17">
        <v>1.0987020000000001</v>
      </c>
      <c r="H27" s="83">
        <v>4.6631355815600399E-2</v>
      </c>
      <c r="I27" s="17">
        <v>1.376401</v>
      </c>
      <c r="J27" s="17">
        <v>1.1850639999999999</v>
      </c>
      <c r="K27" s="17">
        <v>0.245454808088545</v>
      </c>
    </row>
    <row r="28" spans="1:11" x14ac:dyDescent="0.25">
      <c r="A28" s="16" t="s">
        <v>121</v>
      </c>
      <c r="B28" s="16" t="s">
        <v>132</v>
      </c>
      <c r="C28" s="17">
        <v>-0.35081499999999999</v>
      </c>
      <c r="D28" s="17">
        <v>0.32119999999999999</v>
      </c>
      <c r="E28" s="17">
        <v>0.27473786935342098</v>
      </c>
      <c r="F28" s="17">
        <v>-0.88967799999999997</v>
      </c>
      <c r="G28" s="17">
        <v>1.019611</v>
      </c>
      <c r="H28" s="17">
        <v>0.382898085368723</v>
      </c>
      <c r="I28" s="17">
        <v>-1.1911510000000001</v>
      </c>
      <c r="J28" s="17">
        <v>1.072225</v>
      </c>
      <c r="K28" s="17">
        <v>0.26660750391138299</v>
      </c>
    </row>
    <row r="29" spans="1:11" x14ac:dyDescent="0.25">
      <c r="B29" s="16" t="s">
        <v>133</v>
      </c>
      <c r="C29" s="17">
        <v>0.11265600000000001</v>
      </c>
      <c r="D29" s="17">
        <v>0.324791</v>
      </c>
      <c r="E29" s="17">
        <v>0.72868877108673902</v>
      </c>
      <c r="F29" s="17">
        <v>0.18389900000000001</v>
      </c>
      <c r="G29" s="17">
        <v>1.0754330000000001</v>
      </c>
      <c r="H29" s="17">
        <v>0.86422269080026604</v>
      </c>
      <c r="I29" s="17">
        <v>0.55252900000000005</v>
      </c>
      <c r="J29" s="17">
        <v>1.1618379999999999</v>
      </c>
      <c r="K29" s="17">
        <v>0.63438458486566596</v>
      </c>
    </row>
    <row r="30" spans="1:11" x14ac:dyDescent="0.25">
      <c r="A30" s="16" t="s">
        <v>112</v>
      </c>
      <c r="B30" s="16" t="s">
        <v>132</v>
      </c>
      <c r="C30" s="17">
        <v>0.21145900000000001</v>
      </c>
      <c r="D30" s="17">
        <v>0.34643699999999999</v>
      </c>
      <c r="E30" s="17">
        <v>0.54161020381797798</v>
      </c>
      <c r="F30" s="17">
        <v>0.88650600000000002</v>
      </c>
      <c r="G30" s="17">
        <v>1.0999220000000001</v>
      </c>
      <c r="H30" s="17">
        <v>0.42025622727992201</v>
      </c>
      <c r="I30" s="17">
        <v>0.77272099999999999</v>
      </c>
      <c r="J30" s="17">
        <v>1.1653370000000001</v>
      </c>
      <c r="K30" s="17">
        <v>0.50727582778423097</v>
      </c>
    </row>
    <row r="31" spans="1:11" x14ac:dyDescent="0.25">
      <c r="B31" s="16" t="s">
        <v>133</v>
      </c>
      <c r="C31" s="17">
        <v>0.41478999999999999</v>
      </c>
      <c r="D31" s="17">
        <v>0.34985500000000003</v>
      </c>
      <c r="E31" s="17">
        <v>0.235784837605757</v>
      </c>
      <c r="F31" s="17">
        <v>-1.567491</v>
      </c>
      <c r="G31" s="17">
        <v>1.1516299999999999</v>
      </c>
      <c r="H31" s="17">
        <v>0.17348033176836999</v>
      </c>
      <c r="I31" s="17">
        <v>-0.39504800000000001</v>
      </c>
      <c r="J31" s="17">
        <v>1.246243</v>
      </c>
      <c r="K31" s="17">
        <v>0.75124852184797397</v>
      </c>
    </row>
    <row r="32" spans="1:11" x14ac:dyDescent="0.25">
      <c r="A32" s="16" t="s">
        <v>111</v>
      </c>
      <c r="B32" s="16" t="s">
        <v>132</v>
      </c>
      <c r="C32" s="17">
        <v>0.57070200000000004</v>
      </c>
      <c r="D32" s="17">
        <v>0.338532</v>
      </c>
      <c r="E32" s="17">
        <v>9.1830841231667099E-2</v>
      </c>
      <c r="F32" s="17">
        <v>1.157483</v>
      </c>
      <c r="G32" s="17">
        <v>1.0736889999999999</v>
      </c>
      <c r="H32" s="17">
        <v>0.281016224790411</v>
      </c>
      <c r="I32" s="17">
        <v>0.63463999999999998</v>
      </c>
      <c r="J32" s="17">
        <v>1.1353629999999999</v>
      </c>
      <c r="K32" s="17">
        <v>0.57617749334333102</v>
      </c>
    </row>
    <row r="33" spans="1:13" x14ac:dyDescent="0.25">
      <c r="B33" s="16" t="s">
        <v>133</v>
      </c>
      <c r="C33" s="17">
        <v>0.144065</v>
      </c>
      <c r="D33" s="17">
        <v>0.34224500000000002</v>
      </c>
      <c r="E33" s="17">
        <v>0.67379188653091704</v>
      </c>
      <c r="F33" s="17">
        <v>5.2031000000000001E-2</v>
      </c>
      <c r="G33" s="17">
        <v>1.129032</v>
      </c>
      <c r="H33" s="17">
        <v>0.96324345287343205</v>
      </c>
      <c r="I33" s="17">
        <v>-9.69E-2</v>
      </c>
      <c r="J33" s="17">
        <v>1.2236020000000001</v>
      </c>
      <c r="K33" s="17">
        <v>0.93687947293904394</v>
      </c>
    </row>
    <row r="34" spans="1:13" x14ac:dyDescent="0.25">
      <c r="A34" s="16" t="s">
        <v>136</v>
      </c>
      <c r="B34" s="137" t="s">
        <v>137</v>
      </c>
      <c r="C34" s="147" t="s">
        <v>5</v>
      </c>
      <c r="D34" s="147" t="s">
        <v>108</v>
      </c>
      <c r="E34" s="175" t="s">
        <v>6</v>
      </c>
      <c r="F34" s="147" t="s">
        <v>5</v>
      </c>
      <c r="G34" s="147" t="s">
        <v>108</v>
      </c>
      <c r="H34" s="175" t="s">
        <v>6</v>
      </c>
      <c r="I34" s="147" t="s">
        <v>5</v>
      </c>
      <c r="J34" s="147" t="s">
        <v>108</v>
      </c>
      <c r="K34" s="175" t="s">
        <v>6</v>
      </c>
    </row>
    <row r="35" spans="1:13" x14ac:dyDescent="0.25">
      <c r="B35" s="16" t="s">
        <v>132</v>
      </c>
      <c r="C35" s="17">
        <v>0.41272500000000001</v>
      </c>
      <c r="D35" s="17">
        <v>0.11795700000000001</v>
      </c>
      <c r="E35" s="83">
        <v>4.6718538439227702E-4</v>
      </c>
      <c r="F35" s="17">
        <v>-0.30125099999999999</v>
      </c>
      <c r="G35" s="17">
        <v>0.37185299999999999</v>
      </c>
      <c r="H35" s="17">
        <v>0.417860580917022</v>
      </c>
      <c r="I35" s="17">
        <v>0.48201899999999998</v>
      </c>
      <c r="J35" s="17">
        <v>0.390741</v>
      </c>
      <c r="K35" s="17">
        <v>0.21734900091043599</v>
      </c>
    </row>
    <row r="36" spans="1:13" x14ac:dyDescent="0.25">
      <c r="B36" s="16" t="s">
        <v>133</v>
      </c>
      <c r="C36" s="17">
        <v>-0.22528400000000001</v>
      </c>
      <c r="D36" s="17">
        <v>0.119129</v>
      </c>
      <c r="E36" s="17">
        <v>5.8618551289654902E-2</v>
      </c>
      <c r="F36" s="17">
        <v>0.50089799999999995</v>
      </c>
      <c r="G36" s="17">
        <v>0.38988600000000001</v>
      </c>
      <c r="H36" s="17">
        <v>0.19888968123595699</v>
      </c>
      <c r="I36" s="17">
        <v>-0.39557399999999998</v>
      </c>
      <c r="J36" s="17">
        <v>0.41966599999999998</v>
      </c>
      <c r="K36" s="17">
        <v>0.34589888119715301</v>
      </c>
    </row>
    <row r="37" spans="1:13" x14ac:dyDescent="0.25">
      <c r="B37" s="137" t="s">
        <v>138</v>
      </c>
      <c r="C37" s="170" t="s">
        <v>5</v>
      </c>
      <c r="D37" s="170" t="s">
        <v>108</v>
      </c>
      <c r="E37" s="137" t="s">
        <v>6</v>
      </c>
      <c r="F37" s="170" t="s">
        <v>5</v>
      </c>
      <c r="G37" s="170" t="s">
        <v>108</v>
      </c>
      <c r="H37" s="137" t="s">
        <v>6</v>
      </c>
      <c r="I37" s="170" t="s">
        <v>5</v>
      </c>
      <c r="J37" s="170" t="s">
        <v>108</v>
      </c>
      <c r="K37" s="137" t="s">
        <v>6</v>
      </c>
    </row>
    <row r="38" spans="1:13" x14ac:dyDescent="0.25">
      <c r="B38" s="16" t="s">
        <v>132</v>
      </c>
      <c r="C38" s="16">
        <v>5.13</v>
      </c>
      <c r="D38" s="16">
        <v>1.35</v>
      </c>
      <c r="E38" s="83">
        <v>1.5100000000000001E-4</v>
      </c>
      <c r="F38" s="16">
        <v>-3.72</v>
      </c>
      <c r="G38" s="16">
        <v>4.3099999999999996</v>
      </c>
      <c r="H38" s="16">
        <v>0.39</v>
      </c>
      <c r="I38" s="16">
        <v>6.05</v>
      </c>
      <c r="J38" s="16">
        <v>4.17</v>
      </c>
      <c r="K38" s="16">
        <v>0.15</v>
      </c>
    </row>
    <row r="39" spans="1:13" x14ac:dyDescent="0.25">
      <c r="B39" s="84" t="s">
        <v>133</v>
      </c>
      <c r="C39" s="84">
        <v>-2.98</v>
      </c>
      <c r="D39" s="84">
        <v>1.36</v>
      </c>
      <c r="E39" s="84">
        <v>0.03</v>
      </c>
      <c r="F39" s="84">
        <v>6.62</v>
      </c>
      <c r="G39" s="84">
        <v>4.41</v>
      </c>
      <c r="H39" s="84">
        <v>0.13</v>
      </c>
      <c r="I39" s="84">
        <v>-5.0199999999999996</v>
      </c>
      <c r="J39" s="84">
        <v>4.53</v>
      </c>
      <c r="K39" s="84">
        <v>0.27</v>
      </c>
    </row>
    <row r="40" spans="1:13" ht="18.75" x14ac:dyDescent="0.25">
      <c r="A40" s="16" t="s">
        <v>126</v>
      </c>
      <c r="B40" s="137" t="s">
        <v>138</v>
      </c>
      <c r="C40" s="170" t="s">
        <v>5</v>
      </c>
      <c r="D40" s="170" t="s">
        <v>108</v>
      </c>
      <c r="E40" s="137" t="s">
        <v>6</v>
      </c>
      <c r="F40" s="170" t="s">
        <v>5</v>
      </c>
      <c r="G40" s="170" t="s">
        <v>108</v>
      </c>
      <c r="H40" s="137" t="s">
        <v>6</v>
      </c>
      <c r="I40" s="170" t="s">
        <v>5</v>
      </c>
      <c r="J40" s="170" t="s">
        <v>108</v>
      </c>
      <c r="K40" s="137" t="s">
        <v>6</v>
      </c>
    </row>
    <row r="41" spans="1:13" x14ac:dyDescent="0.25">
      <c r="B41" s="16" t="s">
        <v>132</v>
      </c>
      <c r="C41" s="17">
        <v>5.8076299999999996</v>
      </c>
      <c r="D41" s="17">
        <v>1.42089</v>
      </c>
      <c r="E41" s="83">
        <v>4.3600000000000003E-5</v>
      </c>
      <c r="F41" s="17">
        <v>-2.8109700000000002</v>
      </c>
      <c r="G41" s="17">
        <v>3.5023900000000001</v>
      </c>
      <c r="H41" s="17">
        <v>0.42220000000000002</v>
      </c>
      <c r="I41" s="17">
        <v>9.04209</v>
      </c>
      <c r="J41" s="17">
        <v>3.7855699999999999</v>
      </c>
      <c r="K41" s="17">
        <v>1.6899999999999998E-2</v>
      </c>
    </row>
    <row r="42" spans="1:13" x14ac:dyDescent="0.25">
      <c r="A42" s="84"/>
      <c r="B42" s="84" t="s">
        <v>133</v>
      </c>
      <c r="C42" s="85">
        <v>-3.0295200000000002</v>
      </c>
      <c r="D42" s="85">
        <v>1.42801</v>
      </c>
      <c r="E42" s="85">
        <v>3.39E-2</v>
      </c>
      <c r="F42" s="85">
        <v>6.8218300000000003</v>
      </c>
      <c r="G42" s="85">
        <v>3.6294900000000001</v>
      </c>
      <c r="H42" s="85">
        <v>6.0199999999999997E-2</v>
      </c>
      <c r="I42" s="85">
        <v>-7.6550900000000004</v>
      </c>
      <c r="J42" s="85">
        <v>4.0004900000000001</v>
      </c>
      <c r="K42" s="85">
        <v>5.57E-2</v>
      </c>
    </row>
    <row r="43" spans="1:13" x14ac:dyDescent="0.25">
      <c r="A43" s="176" t="s">
        <v>139</v>
      </c>
      <c r="D43" s="17"/>
      <c r="E43" s="17"/>
      <c r="F43" s="17"/>
      <c r="I43" s="17"/>
      <c r="J43" s="17"/>
      <c r="K43" s="17"/>
      <c r="L43" s="17"/>
      <c r="M43" s="17"/>
    </row>
    <row r="44" spans="1:13" x14ac:dyDescent="0.25">
      <c r="A44" s="176" t="s">
        <v>140</v>
      </c>
      <c r="D44" s="17"/>
      <c r="E44" s="17"/>
      <c r="F44" s="17"/>
      <c r="I44" s="17"/>
      <c r="J44" s="17"/>
      <c r="K44" s="17"/>
      <c r="L44" s="17"/>
      <c r="M44" s="17"/>
    </row>
    <row r="45" spans="1:13" x14ac:dyDescent="0.25">
      <c r="A45" s="176" t="s">
        <v>141</v>
      </c>
      <c r="D45" s="17"/>
      <c r="E45" s="17"/>
      <c r="F45" s="17"/>
      <c r="I45" s="17"/>
      <c r="J45" s="17"/>
      <c r="K45" s="17"/>
      <c r="L45" s="17"/>
      <c r="M45" s="17"/>
    </row>
    <row r="46" spans="1:13" x14ac:dyDescent="0.25">
      <c r="D46" s="17"/>
      <c r="E46" s="17"/>
      <c r="F46" s="17"/>
      <c r="I46" s="17"/>
      <c r="J46" s="17"/>
      <c r="K46" s="17"/>
      <c r="L46" s="17"/>
      <c r="M46" s="17"/>
    </row>
    <row r="47" spans="1:13" x14ac:dyDescent="0.25">
      <c r="D47" s="17"/>
      <c r="E47" s="17"/>
      <c r="F47" s="17"/>
      <c r="I47" s="17"/>
      <c r="J47" s="17"/>
      <c r="K47" s="17"/>
      <c r="L47" s="17"/>
      <c r="M47" s="17"/>
    </row>
    <row r="48" spans="1:13" x14ac:dyDescent="0.25">
      <c r="D48" s="17"/>
      <c r="E48" s="17"/>
      <c r="F48" s="17"/>
      <c r="I48" s="17"/>
      <c r="J48" s="17"/>
      <c r="K48" s="17"/>
      <c r="L48" s="17"/>
      <c r="M48" s="17"/>
    </row>
    <row r="49" spans="4:13" x14ac:dyDescent="0.25">
      <c r="D49" s="17"/>
      <c r="E49" s="17"/>
      <c r="F49" s="17"/>
      <c r="I49" s="17"/>
      <c r="J49" s="17"/>
      <c r="K49" s="17"/>
      <c r="L49" s="17"/>
      <c r="M49" s="17"/>
    </row>
    <row r="50" spans="4:13" x14ac:dyDescent="0.25">
      <c r="D50" s="17"/>
      <c r="E50" s="17"/>
      <c r="F50" s="17"/>
      <c r="I50" s="17"/>
      <c r="J50" s="17"/>
      <c r="K50" s="17"/>
      <c r="L50" s="17"/>
      <c r="M50" s="17"/>
    </row>
    <row r="51" spans="4:13" x14ac:dyDescent="0.25">
      <c r="D51" s="17"/>
      <c r="E51" s="17"/>
      <c r="F51" s="17"/>
      <c r="I51" s="17"/>
      <c r="J51" s="17"/>
      <c r="K51" s="17"/>
      <c r="L51" s="17"/>
      <c r="M51" s="17"/>
    </row>
    <row r="52" spans="4:13" x14ac:dyDescent="0.25">
      <c r="D52" s="17"/>
      <c r="E52" s="17"/>
      <c r="F52" s="17"/>
      <c r="I52" s="17"/>
      <c r="J52" s="17"/>
      <c r="K52" s="17"/>
      <c r="L52" s="17"/>
      <c r="M52" s="17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opLeftCell="A19" zoomScaleNormal="100" workbookViewId="0"/>
  </sheetViews>
  <sheetFormatPr defaultColWidth="8.85546875" defaultRowHeight="15.75" x14ac:dyDescent="0.25"/>
  <cols>
    <col min="1" max="1" width="38.28515625" style="1" customWidth="1"/>
    <col min="2" max="2" width="23" style="1" customWidth="1"/>
    <col min="3" max="3" width="16.7109375" style="2" customWidth="1"/>
    <col min="4" max="5" width="12" style="2" customWidth="1"/>
    <col min="6" max="16384" width="8.85546875" style="1"/>
  </cols>
  <sheetData>
    <row r="1" spans="1:5" ht="20.25" x14ac:dyDescent="0.25">
      <c r="A1" s="101" t="s">
        <v>142</v>
      </c>
    </row>
    <row r="2" spans="1:5" ht="18.75" x14ac:dyDescent="0.25">
      <c r="A2" s="102" t="s">
        <v>107</v>
      </c>
      <c r="B2" s="102" t="s">
        <v>143</v>
      </c>
      <c r="C2" s="103" t="s">
        <v>5</v>
      </c>
      <c r="D2" s="103" t="s">
        <v>108</v>
      </c>
      <c r="E2" s="104"/>
    </row>
    <row r="3" spans="1:5" ht="18.75" x14ac:dyDescent="0.25">
      <c r="A3" s="1" t="s">
        <v>109</v>
      </c>
      <c r="B3" s="105" t="s">
        <v>144</v>
      </c>
      <c r="C3" s="2">
        <v>0.63938700000000004</v>
      </c>
      <c r="D3" s="2">
        <v>0.114006</v>
      </c>
    </row>
    <row r="4" spans="1:5" ht="18.75" x14ac:dyDescent="0.25">
      <c r="A4" s="1" t="s">
        <v>109</v>
      </c>
      <c r="B4" s="105" t="s">
        <v>145</v>
      </c>
      <c r="C4" s="2">
        <v>9.4371999999999998E-2</v>
      </c>
      <c r="D4" s="2">
        <v>5.8111999999999997E-2</v>
      </c>
    </row>
    <row r="5" spans="1:5" ht="18.75" x14ac:dyDescent="0.25">
      <c r="A5" s="106" t="s">
        <v>134</v>
      </c>
      <c r="B5" s="105" t="s">
        <v>144</v>
      </c>
      <c r="C5" s="2">
        <v>-9.6145999999999995E-2</v>
      </c>
      <c r="D5" s="2">
        <v>0.10932500000000001</v>
      </c>
    </row>
    <row r="6" spans="1:5" ht="18.75" x14ac:dyDescent="0.25">
      <c r="A6" s="106" t="s">
        <v>134</v>
      </c>
      <c r="B6" s="105" t="s">
        <v>145</v>
      </c>
      <c r="C6" s="2">
        <v>0.486265</v>
      </c>
      <c r="D6" s="2">
        <v>5.5232000000000003E-2</v>
      </c>
    </row>
    <row r="7" spans="1:5" ht="18.75" x14ac:dyDescent="0.25">
      <c r="A7" s="82" t="s">
        <v>135</v>
      </c>
      <c r="B7" s="105" t="s">
        <v>144</v>
      </c>
      <c r="C7" s="2">
        <v>4.0099999999999999E-4</v>
      </c>
      <c r="D7" s="2">
        <v>9.8760000000000001E-2</v>
      </c>
    </row>
    <row r="8" spans="1:5" ht="18.75" x14ac:dyDescent="0.25">
      <c r="A8" s="82" t="s">
        <v>135</v>
      </c>
      <c r="B8" s="105" t="s">
        <v>145</v>
      </c>
      <c r="C8" s="2">
        <v>0.49798100000000001</v>
      </c>
      <c r="D8" s="2">
        <v>4.9985000000000002E-2</v>
      </c>
    </row>
    <row r="9" spans="1:5" ht="18.75" x14ac:dyDescent="0.25">
      <c r="A9" s="1" t="s">
        <v>113</v>
      </c>
      <c r="B9" s="105" t="s">
        <v>144</v>
      </c>
      <c r="C9" s="2">
        <v>0.70855800000000002</v>
      </c>
      <c r="D9" s="2">
        <v>0.12832199999999999</v>
      </c>
    </row>
    <row r="10" spans="1:5" ht="18.75" x14ac:dyDescent="0.25">
      <c r="A10" s="1" t="s">
        <v>113</v>
      </c>
      <c r="B10" s="105" t="s">
        <v>145</v>
      </c>
      <c r="C10" s="2">
        <v>-4.8895000000000001E-2</v>
      </c>
      <c r="D10" s="2">
        <v>6.5109E-2</v>
      </c>
    </row>
    <row r="11" spans="1:5" ht="18.75" x14ac:dyDescent="0.25">
      <c r="A11" s="1" t="s">
        <v>114</v>
      </c>
      <c r="B11" s="105" t="s">
        <v>144</v>
      </c>
      <c r="C11" s="2">
        <v>0.56362299999999999</v>
      </c>
      <c r="D11" s="2">
        <v>0.132608</v>
      </c>
    </row>
    <row r="12" spans="1:5" ht="18.75" x14ac:dyDescent="0.25">
      <c r="A12" s="1" t="s">
        <v>114</v>
      </c>
      <c r="B12" s="105" t="s">
        <v>145</v>
      </c>
      <c r="C12" s="2">
        <v>-5.4609999999999997E-3</v>
      </c>
      <c r="D12" s="2">
        <v>6.7185999999999996E-2</v>
      </c>
    </row>
    <row r="13" spans="1:5" ht="18.75" x14ac:dyDescent="0.25">
      <c r="A13" s="1" t="s">
        <v>48</v>
      </c>
      <c r="B13" s="105" t="s">
        <v>144</v>
      </c>
      <c r="C13" s="2">
        <v>0.59488799999999997</v>
      </c>
      <c r="D13" s="2">
        <v>0.150923</v>
      </c>
    </row>
    <row r="14" spans="1:5" ht="18.75" x14ac:dyDescent="0.25">
      <c r="A14" s="1" t="s">
        <v>48</v>
      </c>
      <c r="B14" s="105" t="s">
        <v>145</v>
      </c>
      <c r="C14" s="2">
        <v>-0.173206</v>
      </c>
      <c r="D14" s="2">
        <v>7.6378000000000001E-2</v>
      </c>
    </row>
    <row r="15" spans="1:5" ht="18.75" x14ac:dyDescent="0.25">
      <c r="A15" s="1" t="s">
        <v>115</v>
      </c>
      <c r="B15" s="105" t="s">
        <v>144</v>
      </c>
      <c r="C15" s="2">
        <v>0.40709200000000001</v>
      </c>
      <c r="D15" s="2">
        <v>0.141737</v>
      </c>
    </row>
    <row r="16" spans="1:5" ht="18.75" x14ac:dyDescent="0.25">
      <c r="A16" s="1" t="s">
        <v>115</v>
      </c>
      <c r="B16" s="105" t="s">
        <v>145</v>
      </c>
      <c r="C16" s="2">
        <v>-9.6679999999999995E-3</v>
      </c>
      <c r="D16" s="2">
        <v>7.1776000000000006E-2</v>
      </c>
    </row>
    <row r="17" spans="1:4" ht="18.75" x14ac:dyDescent="0.25">
      <c r="A17" s="1" t="s">
        <v>116</v>
      </c>
      <c r="B17" s="105" t="s">
        <v>144</v>
      </c>
      <c r="C17" s="2">
        <v>0.47003099999999998</v>
      </c>
      <c r="D17" s="2">
        <v>0.14468400000000001</v>
      </c>
    </row>
    <row r="18" spans="1:4" ht="18.75" x14ac:dyDescent="0.25">
      <c r="A18" s="1" t="s">
        <v>116</v>
      </c>
      <c r="B18" s="105" t="s">
        <v>145</v>
      </c>
      <c r="C18" s="2">
        <v>-4.9739999999999999E-2</v>
      </c>
      <c r="D18" s="2">
        <v>7.3200000000000001E-2</v>
      </c>
    </row>
    <row r="19" spans="1:4" ht="18.75" x14ac:dyDescent="0.25">
      <c r="A19" s="1" t="s">
        <v>117</v>
      </c>
      <c r="B19" s="105" t="s">
        <v>144</v>
      </c>
      <c r="C19" s="2">
        <v>0.419437</v>
      </c>
      <c r="D19" s="2">
        <v>0.146508</v>
      </c>
    </row>
    <row r="20" spans="1:4" ht="18.75" x14ac:dyDescent="0.25">
      <c r="A20" s="1" t="s">
        <v>117</v>
      </c>
      <c r="B20" s="105" t="s">
        <v>145</v>
      </c>
      <c r="C20" s="2">
        <v>-4.3140000000000001E-3</v>
      </c>
      <c r="D20" s="2">
        <v>7.4175000000000005E-2</v>
      </c>
    </row>
    <row r="21" spans="1:4" ht="18.75" x14ac:dyDescent="0.25">
      <c r="A21" s="1" t="s">
        <v>118</v>
      </c>
      <c r="B21" s="105" t="s">
        <v>144</v>
      </c>
      <c r="C21" s="2">
        <v>0.68677200000000005</v>
      </c>
      <c r="D21" s="2">
        <v>0.14630899999999999</v>
      </c>
    </row>
    <row r="22" spans="1:4" ht="18.75" x14ac:dyDescent="0.25">
      <c r="A22" s="1" t="s">
        <v>118</v>
      </c>
      <c r="B22" s="105" t="s">
        <v>145</v>
      </c>
      <c r="C22" s="2">
        <v>-0.126112</v>
      </c>
      <c r="D22" s="2">
        <v>7.4203000000000005E-2</v>
      </c>
    </row>
    <row r="23" spans="1:4" ht="18.75" x14ac:dyDescent="0.25">
      <c r="A23" s="1" t="s">
        <v>119</v>
      </c>
      <c r="B23" s="105" t="s">
        <v>144</v>
      </c>
      <c r="C23" s="2">
        <v>0.62625799999999998</v>
      </c>
      <c r="D23" s="2">
        <v>0.14572399999999999</v>
      </c>
    </row>
    <row r="24" spans="1:4" ht="18.75" x14ac:dyDescent="0.25">
      <c r="A24" s="1" t="s">
        <v>119</v>
      </c>
      <c r="B24" s="105" t="s">
        <v>145</v>
      </c>
      <c r="C24" s="2">
        <v>-0.10298</v>
      </c>
      <c r="D24" s="2">
        <v>7.3938000000000004E-2</v>
      </c>
    </row>
    <row r="25" spans="1:4" ht="18.75" x14ac:dyDescent="0.25">
      <c r="A25" s="1" t="s">
        <v>120</v>
      </c>
      <c r="B25" s="105" t="s">
        <v>144</v>
      </c>
      <c r="C25" s="2">
        <v>0.49956400000000001</v>
      </c>
      <c r="D25" s="2">
        <v>0.14743899999999999</v>
      </c>
    </row>
    <row r="26" spans="1:4" ht="18.75" x14ac:dyDescent="0.25">
      <c r="A26" s="1" t="s">
        <v>120</v>
      </c>
      <c r="B26" s="105" t="s">
        <v>145</v>
      </c>
      <c r="C26" s="2">
        <v>-4.6612000000000001E-2</v>
      </c>
      <c r="D26" s="2">
        <v>7.4676000000000006E-2</v>
      </c>
    </row>
    <row r="27" spans="1:4" ht="18.75" x14ac:dyDescent="0.25">
      <c r="A27" s="1" t="s">
        <v>121</v>
      </c>
      <c r="B27" s="105" t="s">
        <v>144</v>
      </c>
      <c r="C27" s="2">
        <v>0.73603700000000005</v>
      </c>
      <c r="D27" s="2">
        <v>0.14513999999999999</v>
      </c>
    </row>
    <row r="28" spans="1:4" ht="18.75" x14ac:dyDescent="0.25">
      <c r="A28" s="1" t="s">
        <v>121</v>
      </c>
      <c r="B28" s="105" t="s">
        <v>145</v>
      </c>
      <c r="C28" s="2">
        <v>-0.14469799999999999</v>
      </c>
      <c r="D28" s="2">
        <v>7.3677999999999993E-2</v>
      </c>
    </row>
    <row r="29" spans="1:4" ht="18.75" x14ac:dyDescent="0.25">
      <c r="A29" s="1" t="s">
        <v>112</v>
      </c>
      <c r="B29" s="105" t="s">
        <v>144</v>
      </c>
      <c r="C29" s="2">
        <v>0.34323799999999999</v>
      </c>
      <c r="D29" s="2">
        <v>0.18867200000000001</v>
      </c>
    </row>
    <row r="30" spans="1:4" ht="18.75" x14ac:dyDescent="0.25">
      <c r="A30" s="1" t="s">
        <v>112</v>
      </c>
      <c r="B30" s="105" t="s">
        <v>145</v>
      </c>
      <c r="C30" s="2">
        <v>2.6949999999999999E-3</v>
      </c>
      <c r="D30" s="2">
        <v>9.5496999999999999E-2</v>
      </c>
    </row>
    <row r="31" spans="1:4" ht="18.75" x14ac:dyDescent="0.25">
      <c r="A31" s="1" t="s">
        <v>111</v>
      </c>
      <c r="B31" s="105" t="s">
        <v>144</v>
      </c>
      <c r="C31" s="2">
        <v>0.49106499999999997</v>
      </c>
      <c r="D31" s="2">
        <v>0.165488</v>
      </c>
    </row>
    <row r="32" spans="1:4" ht="18.75" x14ac:dyDescent="0.25">
      <c r="A32" s="1" t="s">
        <v>111</v>
      </c>
      <c r="B32" s="105" t="s">
        <v>145</v>
      </c>
      <c r="C32" s="2">
        <v>-1.1655E-2</v>
      </c>
      <c r="D32" s="2">
        <v>8.3872000000000002E-2</v>
      </c>
    </row>
    <row r="33" spans="1:4" ht="18.75" x14ac:dyDescent="0.25">
      <c r="A33" s="23" t="s">
        <v>136</v>
      </c>
      <c r="B33" s="107" t="s">
        <v>146</v>
      </c>
      <c r="C33" s="2">
        <v>0.247195</v>
      </c>
      <c r="D33" s="2">
        <v>0.163719</v>
      </c>
    </row>
    <row r="34" spans="1:4" ht="18.75" x14ac:dyDescent="0.25">
      <c r="A34" s="23" t="s">
        <v>136</v>
      </c>
      <c r="B34" s="107" t="s">
        <v>147</v>
      </c>
      <c r="C34" s="2">
        <v>6.7233000000000001E-2</v>
      </c>
      <c r="D34" s="2">
        <v>8.2964999999999997E-2</v>
      </c>
    </row>
    <row r="35" spans="1:4" ht="18.75" x14ac:dyDescent="0.25">
      <c r="A35" s="23" t="s">
        <v>136</v>
      </c>
      <c r="B35" s="107" t="s">
        <v>148</v>
      </c>
      <c r="C35" s="2">
        <v>0.59717200000000004</v>
      </c>
      <c r="D35" s="2">
        <v>0.39551199999999997</v>
      </c>
    </row>
    <row r="36" spans="1:4" ht="18.75" x14ac:dyDescent="0.25">
      <c r="A36" s="36" t="s">
        <v>136</v>
      </c>
      <c r="B36" s="108" t="s">
        <v>149</v>
      </c>
      <c r="C36" s="104">
        <v>0.16242000000000001</v>
      </c>
      <c r="D36" s="104">
        <v>0.20042499999999999</v>
      </c>
    </row>
    <row r="37" spans="1:4" ht="18.75" x14ac:dyDescent="0.25">
      <c r="A37" s="109" t="s">
        <v>150</v>
      </c>
    </row>
    <row r="38" spans="1:4" x14ac:dyDescent="0.25">
      <c r="A38" s="109" t="s">
        <v>151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zoomScaleNormal="100" zoomScaleSheetLayoutView="100" workbookViewId="0">
      <selection activeCell="J1" sqref="J1"/>
    </sheetView>
  </sheetViews>
  <sheetFormatPr defaultColWidth="8.85546875" defaultRowHeight="15.75" x14ac:dyDescent="0.25"/>
  <cols>
    <col min="1" max="1" width="27.7109375" style="16" customWidth="1"/>
    <col min="2" max="2" width="9" style="16" bestFit="1" customWidth="1"/>
    <col min="3" max="3" width="10.5703125" style="16" customWidth="1"/>
    <col min="4" max="4" width="9" style="16" bestFit="1" customWidth="1"/>
    <col min="5" max="5" width="12.5703125" style="16" customWidth="1"/>
    <col min="6" max="6" width="9" style="16" bestFit="1" customWidth="1"/>
    <col min="7" max="7" width="10.28515625" style="16" customWidth="1"/>
    <col min="8" max="16384" width="8.85546875" style="16"/>
  </cols>
  <sheetData>
    <row r="1" spans="1:7" ht="20.25" x14ac:dyDescent="0.25">
      <c r="A1" s="50" t="s">
        <v>152</v>
      </c>
    </row>
    <row r="2" spans="1:7" x14ac:dyDescent="0.25">
      <c r="A2" s="110"/>
      <c r="B2" s="111" t="s">
        <v>1</v>
      </c>
      <c r="C2" s="112"/>
      <c r="D2" s="111" t="s">
        <v>3</v>
      </c>
      <c r="E2" s="112"/>
      <c r="F2" s="111" t="s">
        <v>4</v>
      </c>
      <c r="G2" s="112"/>
    </row>
    <row r="3" spans="1:7" x14ac:dyDescent="0.25">
      <c r="A3" s="113"/>
      <c r="B3" s="39" t="s">
        <v>5</v>
      </c>
      <c r="C3" s="114" t="s">
        <v>6</v>
      </c>
      <c r="D3" s="39" t="s">
        <v>5</v>
      </c>
      <c r="E3" s="114" t="s">
        <v>6</v>
      </c>
      <c r="F3" s="39" t="s">
        <v>5</v>
      </c>
      <c r="G3" s="114" t="s">
        <v>6</v>
      </c>
    </row>
    <row r="4" spans="1:7" ht="18.75" x14ac:dyDescent="0.25">
      <c r="A4" s="23" t="s">
        <v>153</v>
      </c>
      <c r="B4" s="14">
        <v>-0.46</v>
      </c>
      <c r="C4" s="16" t="s">
        <v>154</v>
      </c>
      <c r="D4" s="14">
        <v>-0.1</v>
      </c>
      <c r="E4" s="16" t="s">
        <v>155</v>
      </c>
      <c r="F4" s="14">
        <v>-0.06</v>
      </c>
      <c r="G4" s="16" t="s">
        <v>156</v>
      </c>
    </row>
    <row r="5" spans="1:7" ht="18.75" x14ac:dyDescent="0.25">
      <c r="A5" s="14" t="s">
        <v>448</v>
      </c>
      <c r="B5" s="14">
        <v>-0.2468651</v>
      </c>
      <c r="C5" s="16" t="s">
        <v>154</v>
      </c>
      <c r="D5" s="14">
        <v>-3.5514789999999997E-2</v>
      </c>
      <c r="E5" s="16" t="s">
        <v>157</v>
      </c>
      <c r="F5" s="14">
        <v>-2.8790369999999999E-2</v>
      </c>
      <c r="G5" s="16" t="s">
        <v>158</v>
      </c>
    </row>
    <row r="6" spans="1:7" ht="18.75" x14ac:dyDescent="0.25">
      <c r="A6" s="23" t="s">
        <v>159</v>
      </c>
      <c r="B6" s="14">
        <v>0.35</v>
      </c>
      <c r="C6" s="16" t="s">
        <v>154</v>
      </c>
      <c r="D6" s="14">
        <v>0.12</v>
      </c>
      <c r="E6" s="16" t="s">
        <v>160</v>
      </c>
      <c r="F6" s="14">
        <v>0.05</v>
      </c>
      <c r="G6" s="16" t="s">
        <v>161</v>
      </c>
    </row>
    <row r="7" spans="1:7" ht="18.75" x14ac:dyDescent="0.25">
      <c r="A7" s="115" t="s">
        <v>162</v>
      </c>
      <c r="B7" s="115">
        <v>-7.754656E-2</v>
      </c>
      <c r="C7" s="84" t="s">
        <v>163</v>
      </c>
      <c r="D7" s="115">
        <v>5.0247697000000001E-2</v>
      </c>
      <c r="E7" s="84" t="s">
        <v>164</v>
      </c>
      <c r="F7" s="115">
        <v>-2.1869566E-2</v>
      </c>
      <c r="G7" s="84" t="s">
        <v>165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8"/>
  <sheetViews>
    <sheetView workbookViewId="0"/>
  </sheetViews>
  <sheetFormatPr defaultColWidth="12.42578125" defaultRowHeight="15.75" x14ac:dyDescent="0.25"/>
  <cols>
    <col min="1" max="2" width="12.42578125" style="51"/>
    <col min="3" max="3" width="16.28515625" style="51" customWidth="1"/>
    <col min="4" max="4" width="9.28515625" style="51" customWidth="1"/>
    <col min="5" max="5" width="11.42578125" style="51" customWidth="1"/>
    <col min="6" max="6" width="10" style="51" customWidth="1"/>
    <col min="7" max="7" width="10.7109375" style="51" customWidth="1"/>
    <col min="8" max="8" width="25.42578125" style="51" customWidth="1"/>
    <col min="9" max="9" width="25.28515625" style="51" customWidth="1"/>
    <col min="10" max="10" width="14" style="52" customWidth="1"/>
    <col min="11" max="11" width="36.85546875" style="51" customWidth="1"/>
    <col min="12" max="16384" width="12.42578125" style="51"/>
  </cols>
  <sheetData>
    <row r="1" spans="1:11" ht="20.25" x14ac:dyDescent="0.25">
      <c r="A1" s="50" t="s">
        <v>166</v>
      </c>
    </row>
    <row r="2" spans="1:11" x14ac:dyDescent="0.25">
      <c r="A2" s="54" t="s">
        <v>167</v>
      </c>
      <c r="B2" s="54" t="s">
        <v>168</v>
      </c>
      <c r="C2" s="54" t="s">
        <v>169</v>
      </c>
      <c r="D2" s="54" t="s">
        <v>170</v>
      </c>
      <c r="E2" s="54" t="s">
        <v>171</v>
      </c>
      <c r="F2" s="54" t="s">
        <v>172</v>
      </c>
      <c r="G2" s="116" t="s">
        <v>6</v>
      </c>
      <c r="H2" s="55" t="s">
        <v>173</v>
      </c>
      <c r="I2" s="55" t="s">
        <v>174</v>
      </c>
      <c r="J2" s="54" t="s">
        <v>175</v>
      </c>
      <c r="K2" s="54" t="s">
        <v>176</v>
      </c>
    </row>
    <row r="3" spans="1:11" x14ac:dyDescent="0.25">
      <c r="A3" s="51" t="s">
        <v>177</v>
      </c>
      <c r="B3" s="51">
        <v>1</v>
      </c>
      <c r="C3" s="51">
        <v>40237572</v>
      </c>
      <c r="D3" s="51" t="s">
        <v>178</v>
      </c>
      <c r="E3" s="51" t="s">
        <v>179</v>
      </c>
      <c r="F3" s="51">
        <v>1.0660000000000001</v>
      </c>
      <c r="G3" s="117">
        <v>4.0800000000000001E-8</v>
      </c>
      <c r="H3" s="53">
        <v>0</v>
      </c>
      <c r="I3" s="53">
        <v>2.7175600000000001E-2</v>
      </c>
      <c r="J3" s="52" t="s">
        <v>180</v>
      </c>
      <c r="K3" s="51" t="s">
        <v>181</v>
      </c>
    </row>
    <row r="4" spans="1:11" x14ac:dyDescent="0.25">
      <c r="A4" s="51" t="s">
        <v>182</v>
      </c>
      <c r="B4" s="51">
        <v>10</v>
      </c>
      <c r="C4" s="51">
        <v>69572545</v>
      </c>
      <c r="D4" s="51" t="s">
        <v>183</v>
      </c>
      <c r="E4" s="51" t="s">
        <v>184</v>
      </c>
      <c r="F4" s="51">
        <v>1.0649999999999999</v>
      </c>
      <c r="G4" s="117">
        <v>5.09E-11</v>
      </c>
      <c r="H4" s="53">
        <v>0</v>
      </c>
      <c r="I4" s="53">
        <v>3.8315599999999998E-2</v>
      </c>
      <c r="J4" s="52" t="s">
        <v>185</v>
      </c>
      <c r="K4" s="51" t="s">
        <v>181</v>
      </c>
    </row>
    <row r="5" spans="1:11" x14ac:dyDescent="0.25">
      <c r="A5" s="51" t="s">
        <v>186</v>
      </c>
      <c r="B5" s="51">
        <v>12</v>
      </c>
      <c r="C5" s="51">
        <v>120979061</v>
      </c>
      <c r="D5" s="51" t="s">
        <v>183</v>
      </c>
      <c r="E5" s="51" t="s">
        <v>184</v>
      </c>
      <c r="F5" s="51">
        <v>1.1519999999999999</v>
      </c>
      <c r="G5" s="117">
        <v>7.1000000000000002E-47</v>
      </c>
      <c r="H5" s="53">
        <v>0</v>
      </c>
      <c r="I5" s="53">
        <v>2.9151799999999999E-2</v>
      </c>
      <c r="J5" s="52" t="s">
        <v>187</v>
      </c>
      <c r="K5" s="51" t="s">
        <v>181</v>
      </c>
    </row>
    <row r="6" spans="1:11" x14ac:dyDescent="0.25">
      <c r="A6" s="51" t="s">
        <v>188</v>
      </c>
      <c r="B6" s="51">
        <v>16</v>
      </c>
      <c r="C6" s="51">
        <v>1079010</v>
      </c>
      <c r="D6" s="51" t="s">
        <v>178</v>
      </c>
      <c r="E6" s="51" t="s">
        <v>184</v>
      </c>
      <c r="F6" s="51">
        <v>1.0569999999999999</v>
      </c>
      <c r="G6" s="117">
        <v>1.35E-8</v>
      </c>
      <c r="H6" s="53">
        <v>0</v>
      </c>
      <c r="I6" s="53">
        <v>5.7150600000000003E-2</v>
      </c>
      <c r="J6" s="52" t="s">
        <v>189</v>
      </c>
      <c r="K6" s="51" t="s">
        <v>181</v>
      </c>
    </row>
    <row r="7" spans="1:11" x14ac:dyDescent="0.25">
      <c r="A7" s="51" t="s">
        <v>190</v>
      </c>
      <c r="B7" s="51">
        <v>20</v>
      </c>
      <c r="C7" s="51">
        <v>41203988</v>
      </c>
      <c r="D7" s="51" t="s">
        <v>184</v>
      </c>
      <c r="E7" s="51" t="s">
        <v>183</v>
      </c>
      <c r="F7" s="51">
        <v>1.0369999999999999</v>
      </c>
      <c r="G7" s="117">
        <v>7.7699999999999996E-15</v>
      </c>
      <c r="H7" s="53">
        <v>0</v>
      </c>
      <c r="I7" s="53">
        <v>0.19917099999999999</v>
      </c>
      <c r="J7" s="52" t="s">
        <v>191</v>
      </c>
      <c r="K7" s="51" t="s">
        <v>181</v>
      </c>
    </row>
    <row r="8" spans="1:11" x14ac:dyDescent="0.25">
      <c r="A8" s="51" t="s">
        <v>192</v>
      </c>
      <c r="B8" s="51">
        <v>4</v>
      </c>
      <c r="C8" s="51">
        <v>958159</v>
      </c>
      <c r="D8" s="51" t="s">
        <v>184</v>
      </c>
      <c r="E8" s="51" t="s">
        <v>183</v>
      </c>
      <c r="F8" s="51">
        <v>1.0329999999999999</v>
      </c>
      <c r="G8" s="117">
        <v>5.4600000000000004E-15</v>
      </c>
      <c r="H8" s="53">
        <v>0</v>
      </c>
      <c r="I8" s="53">
        <v>0.175731</v>
      </c>
      <c r="J8" s="52" t="s">
        <v>193</v>
      </c>
      <c r="K8" s="51" t="s">
        <v>181</v>
      </c>
    </row>
    <row r="9" spans="1:11" x14ac:dyDescent="0.25">
      <c r="A9" s="51" t="s">
        <v>194</v>
      </c>
      <c r="B9" s="51">
        <v>5</v>
      </c>
      <c r="C9" s="51">
        <v>103003035</v>
      </c>
      <c r="D9" s="51" t="s">
        <v>179</v>
      </c>
      <c r="E9" s="51" t="s">
        <v>184</v>
      </c>
      <c r="F9" s="51">
        <v>1.3660000000000001</v>
      </c>
      <c r="G9" s="117">
        <v>2.6499999999999999E-45</v>
      </c>
      <c r="H9" s="53">
        <v>0</v>
      </c>
      <c r="I9" s="53">
        <v>9.5552099999999997E-3</v>
      </c>
      <c r="J9" s="52" t="s">
        <v>195</v>
      </c>
      <c r="K9" s="51" t="s">
        <v>196</v>
      </c>
    </row>
    <row r="10" spans="1:11" x14ac:dyDescent="0.25">
      <c r="A10" s="51" t="s">
        <v>197</v>
      </c>
      <c r="B10" s="51">
        <v>11</v>
      </c>
      <c r="C10" s="51">
        <v>64263769</v>
      </c>
      <c r="D10" s="51" t="s">
        <v>183</v>
      </c>
      <c r="E10" s="51" t="s">
        <v>184</v>
      </c>
      <c r="F10" s="51">
        <v>1.0489999999999999</v>
      </c>
      <c r="G10" s="117">
        <v>2.02E-10</v>
      </c>
      <c r="H10" s="53">
        <v>4.9407100000000001E-4</v>
      </c>
      <c r="I10" s="53">
        <v>6.3942299999999994E-2</v>
      </c>
      <c r="J10" s="52" t="s">
        <v>198</v>
      </c>
      <c r="K10" s="51" t="s">
        <v>181</v>
      </c>
    </row>
    <row r="11" spans="1:11" x14ac:dyDescent="0.25">
      <c r="A11" s="51" t="s">
        <v>199</v>
      </c>
      <c r="B11" s="51">
        <v>2</v>
      </c>
      <c r="C11" s="51">
        <v>164722092</v>
      </c>
      <c r="D11" s="51" t="s">
        <v>183</v>
      </c>
      <c r="E11" s="51" t="s">
        <v>184</v>
      </c>
      <c r="F11" s="51">
        <v>1.0469999999999999</v>
      </c>
      <c r="G11" s="117">
        <v>7.4099999999999998E-9</v>
      </c>
      <c r="H11" s="53">
        <v>4.9407100000000001E-4</v>
      </c>
      <c r="I11" s="53">
        <v>4.8497400000000003E-2</v>
      </c>
      <c r="J11" s="52" t="s">
        <v>200</v>
      </c>
      <c r="K11" s="51" t="s">
        <v>181</v>
      </c>
    </row>
    <row r="12" spans="1:11" x14ac:dyDescent="0.25">
      <c r="A12" s="51" t="s">
        <v>201</v>
      </c>
      <c r="B12" s="51">
        <v>12</v>
      </c>
      <c r="C12" s="51">
        <v>12718165</v>
      </c>
      <c r="D12" s="51" t="s">
        <v>179</v>
      </c>
      <c r="E12" s="51" t="s">
        <v>183</v>
      </c>
      <c r="F12" s="51">
        <v>1.0329999999999999</v>
      </c>
      <c r="G12" s="117">
        <v>7.2400000000000003E-16</v>
      </c>
      <c r="H12" s="53">
        <v>1.97628E-3</v>
      </c>
      <c r="I12" s="53">
        <v>0.23277100000000001</v>
      </c>
      <c r="J12" s="52" t="s">
        <v>202</v>
      </c>
      <c r="K12" s="51" t="s">
        <v>181</v>
      </c>
    </row>
    <row r="13" spans="1:11" x14ac:dyDescent="0.25">
      <c r="A13" s="51" t="s">
        <v>203</v>
      </c>
      <c r="B13" s="51">
        <v>4</v>
      </c>
      <c r="C13" s="51">
        <v>95185171</v>
      </c>
      <c r="D13" s="51" t="s">
        <v>178</v>
      </c>
      <c r="E13" s="51" t="s">
        <v>179</v>
      </c>
      <c r="F13" s="51">
        <v>1.0209999999999999</v>
      </c>
      <c r="G13" s="117">
        <v>2.19E-11</v>
      </c>
      <c r="H13" s="53">
        <v>4.496E-2</v>
      </c>
      <c r="I13" s="53">
        <v>0.30307800000000001</v>
      </c>
      <c r="J13" s="52" t="s">
        <v>204</v>
      </c>
      <c r="K13" s="51" t="s">
        <v>181</v>
      </c>
    </row>
    <row r="14" spans="1:11" x14ac:dyDescent="0.25">
      <c r="A14" s="51" t="s">
        <v>205</v>
      </c>
      <c r="B14" s="51">
        <v>20</v>
      </c>
      <c r="C14" s="51">
        <v>44413724</v>
      </c>
      <c r="D14" s="51" t="s">
        <v>183</v>
      </c>
      <c r="E14" s="51" t="s">
        <v>184</v>
      </c>
      <c r="F14" s="51">
        <v>1.1080000000000001</v>
      </c>
      <c r="G14" s="117">
        <v>1.87E-28</v>
      </c>
      <c r="H14" s="53">
        <v>6.1264800000000001E-2</v>
      </c>
      <c r="I14" s="53">
        <v>3.1291399999999997E-2</v>
      </c>
      <c r="J14" s="52" t="s">
        <v>206</v>
      </c>
      <c r="K14" s="51" t="s">
        <v>181</v>
      </c>
    </row>
    <row r="15" spans="1:11" x14ac:dyDescent="0.25">
      <c r="A15" s="51" t="s">
        <v>207</v>
      </c>
      <c r="B15" s="51">
        <v>14</v>
      </c>
      <c r="C15" s="51">
        <v>60713939</v>
      </c>
      <c r="D15" s="51" t="s">
        <v>183</v>
      </c>
      <c r="E15" s="51" t="s">
        <v>179</v>
      </c>
      <c r="F15" s="51">
        <v>1.024</v>
      </c>
      <c r="G15" s="117">
        <v>8.6400000000000004E-16</v>
      </c>
      <c r="H15" s="53">
        <v>0.12845799999999999</v>
      </c>
      <c r="I15" s="53">
        <v>0.294265</v>
      </c>
      <c r="J15" s="52" t="s">
        <v>208</v>
      </c>
      <c r="K15" s="51" t="s">
        <v>181</v>
      </c>
    </row>
    <row r="16" spans="1:11" x14ac:dyDescent="0.25">
      <c r="A16" s="51" t="s">
        <v>209</v>
      </c>
      <c r="B16" s="51">
        <v>12</v>
      </c>
      <c r="C16" s="51">
        <v>56752285</v>
      </c>
      <c r="D16" s="51" t="s">
        <v>179</v>
      </c>
      <c r="E16" s="51" t="s">
        <v>183</v>
      </c>
      <c r="F16" s="51">
        <v>1.036</v>
      </c>
      <c r="G16" s="117">
        <v>5.0699999999999999E-15</v>
      </c>
      <c r="H16" s="53">
        <v>0.137846</v>
      </c>
      <c r="I16" s="53">
        <v>0.103633</v>
      </c>
      <c r="J16" s="52" t="s">
        <v>210</v>
      </c>
      <c r="K16" s="51" t="s">
        <v>181</v>
      </c>
    </row>
    <row r="17" spans="1:11" x14ac:dyDescent="0.25">
      <c r="A17" s="51" t="s">
        <v>211</v>
      </c>
      <c r="B17" s="51">
        <v>11</v>
      </c>
      <c r="C17" s="51">
        <v>17387083</v>
      </c>
      <c r="D17" s="51" t="s">
        <v>184</v>
      </c>
      <c r="E17" s="51" t="s">
        <v>183</v>
      </c>
      <c r="F17" s="51">
        <v>1.069</v>
      </c>
      <c r="G17" s="117">
        <v>1.3999999999999999E-107</v>
      </c>
      <c r="H17" s="53">
        <v>0.39822099999999999</v>
      </c>
      <c r="I17" s="53">
        <v>0.35809600000000003</v>
      </c>
      <c r="J17" s="52" t="s">
        <v>212</v>
      </c>
      <c r="K17" s="51" t="s">
        <v>181</v>
      </c>
    </row>
    <row r="18" spans="1:11" x14ac:dyDescent="0.25">
      <c r="A18" s="51" t="s">
        <v>213</v>
      </c>
      <c r="B18" s="51">
        <v>16</v>
      </c>
      <c r="C18" s="51">
        <v>4395326</v>
      </c>
      <c r="D18" s="51" t="s">
        <v>184</v>
      </c>
      <c r="E18" s="51" t="s">
        <v>183</v>
      </c>
      <c r="F18" s="51">
        <v>1.0209999999999999</v>
      </c>
      <c r="G18" s="117">
        <v>1.8199999999999999E-10</v>
      </c>
      <c r="H18" s="53">
        <v>0.41156100000000001</v>
      </c>
      <c r="I18" s="53">
        <v>0.28171299999999999</v>
      </c>
      <c r="J18" s="52" t="s">
        <v>214</v>
      </c>
      <c r="K18" s="51" t="s">
        <v>181</v>
      </c>
    </row>
    <row r="19" spans="1:11" x14ac:dyDescent="0.25">
      <c r="A19" s="51" t="s">
        <v>215</v>
      </c>
      <c r="B19" s="51">
        <v>17</v>
      </c>
      <c r="C19" s="51">
        <v>68452981</v>
      </c>
      <c r="D19" s="51" t="s">
        <v>179</v>
      </c>
      <c r="E19" s="51" t="s">
        <v>178</v>
      </c>
      <c r="F19" s="51">
        <v>1.026</v>
      </c>
      <c r="G19" s="117">
        <v>4.0100000000000001E-12</v>
      </c>
      <c r="H19" s="53">
        <v>0.49604700000000002</v>
      </c>
      <c r="I19" s="53">
        <v>0.23</v>
      </c>
      <c r="J19" s="52" t="s">
        <v>216</v>
      </c>
      <c r="K19" s="51" t="s">
        <v>181</v>
      </c>
    </row>
    <row r="20" spans="1:11" x14ac:dyDescent="0.25">
      <c r="A20" s="51" t="s">
        <v>217</v>
      </c>
      <c r="B20" s="51">
        <v>15</v>
      </c>
      <c r="C20" s="51">
        <v>41823549</v>
      </c>
      <c r="D20" s="51" t="s">
        <v>184</v>
      </c>
      <c r="E20" s="51" t="s">
        <v>179</v>
      </c>
      <c r="F20" s="51">
        <v>1.0249999999999999</v>
      </c>
      <c r="G20" s="117">
        <v>1.24E-13</v>
      </c>
      <c r="H20" s="53">
        <v>0.50246999999999997</v>
      </c>
      <c r="I20" s="53">
        <v>0.33468599999999998</v>
      </c>
      <c r="J20" s="52" t="s">
        <v>218</v>
      </c>
      <c r="K20" s="51" t="s">
        <v>181</v>
      </c>
    </row>
    <row r="21" spans="1:11" x14ac:dyDescent="0.25">
      <c r="A21" s="51" t="s">
        <v>219</v>
      </c>
      <c r="B21" s="51">
        <v>11</v>
      </c>
      <c r="C21" s="51">
        <v>9516357</v>
      </c>
      <c r="D21" s="51" t="s">
        <v>184</v>
      </c>
      <c r="E21" s="51" t="s">
        <v>179</v>
      </c>
      <c r="F21" s="51">
        <v>1.036</v>
      </c>
      <c r="G21" s="117">
        <v>1.19E-10</v>
      </c>
      <c r="H21" s="53">
        <v>0.61264799999999997</v>
      </c>
      <c r="I21" s="53">
        <v>0.97881700000000005</v>
      </c>
      <c r="J21" s="52" t="s">
        <v>220</v>
      </c>
      <c r="K21" s="51" t="s">
        <v>181</v>
      </c>
    </row>
    <row r="22" spans="1:11" x14ac:dyDescent="0.25">
      <c r="A22" s="51" t="s">
        <v>221</v>
      </c>
      <c r="B22" s="51">
        <v>17</v>
      </c>
      <c r="C22" s="51">
        <v>72648893</v>
      </c>
      <c r="D22" s="51" t="s">
        <v>179</v>
      </c>
      <c r="E22" s="51" t="s">
        <v>178</v>
      </c>
      <c r="F22" s="51">
        <v>1.0349999999999999</v>
      </c>
      <c r="G22" s="117">
        <v>1.9199999999999999E-11</v>
      </c>
      <c r="H22" s="53">
        <v>0.62450600000000001</v>
      </c>
      <c r="I22" s="53">
        <v>0.91317139999999997</v>
      </c>
      <c r="J22" s="52" t="s">
        <v>222</v>
      </c>
      <c r="K22" s="51" t="s">
        <v>181</v>
      </c>
    </row>
    <row r="23" spans="1:11" x14ac:dyDescent="0.25">
      <c r="A23" s="51" t="s">
        <v>223</v>
      </c>
      <c r="B23" s="51">
        <v>12</v>
      </c>
      <c r="C23" s="51">
        <v>124341916</v>
      </c>
      <c r="D23" s="51" t="s">
        <v>184</v>
      </c>
      <c r="E23" s="51" t="s">
        <v>183</v>
      </c>
      <c r="F23" s="51">
        <v>1.026</v>
      </c>
      <c r="G23" s="117">
        <v>5.7800000000000003E-9</v>
      </c>
      <c r="H23" s="53">
        <v>0.62895299999999998</v>
      </c>
      <c r="I23" s="53">
        <v>0.84038100000000004</v>
      </c>
      <c r="J23" s="52" t="s">
        <v>224</v>
      </c>
      <c r="K23" s="51" t="s">
        <v>181</v>
      </c>
    </row>
    <row r="24" spans="1:11" x14ac:dyDescent="0.25">
      <c r="A24" s="51" t="s">
        <v>225</v>
      </c>
      <c r="B24" s="51">
        <v>2</v>
      </c>
      <c r="C24" s="51">
        <v>27508073</v>
      </c>
      <c r="D24" s="51" t="s">
        <v>184</v>
      </c>
      <c r="E24" s="51" t="s">
        <v>183</v>
      </c>
      <c r="F24" s="51">
        <v>1.0609999999999999</v>
      </c>
      <c r="G24" s="117">
        <v>3.69E-86</v>
      </c>
      <c r="H24" s="53">
        <v>0.74061299999999997</v>
      </c>
      <c r="I24" s="53">
        <v>0.60456500000000002</v>
      </c>
      <c r="J24" s="52" t="s">
        <v>226</v>
      </c>
      <c r="K24" s="51" t="s">
        <v>227</v>
      </c>
    </row>
    <row r="25" spans="1:11" x14ac:dyDescent="0.25">
      <c r="A25" s="51" t="s">
        <v>228</v>
      </c>
      <c r="B25" s="51">
        <v>8</v>
      </c>
      <c r="C25" s="51">
        <v>117172544</v>
      </c>
      <c r="D25" s="51" t="s">
        <v>184</v>
      </c>
      <c r="E25" s="51" t="s">
        <v>183</v>
      </c>
      <c r="F25" s="51">
        <v>1.105</v>
      </c>
      <c r="G25" s="117">
        <v>1.9800000000000001E-219</v>
      </c>
      <c r="H25" s="53">
        <v>0.76284600000000002</v>
      </c>
      <c r="I25" s="53">
        <v>0.68977200000000005</v>
      </c>
      <c r="J25" s="52" t="s">
        <v>229</v>
      </c>
      <c r="K25" s="51" t="s">
        <v>181</v>
      </c>
    </row>
    <row r="26" spans="1:11" x14ac:dyDescent="0.25">
      <c r="A26" s="51" t="s">
        <v>230</v>
      </c>
      <c r="B26" s="51">
        <v>2</v>
      </c>
      <c r="C26" s="51">
        <v>157533956</v>
      </c>
      <c r="D26" s="51" t="s">
        <v>183</v>
      </c>
      <c r="E26" s="51" t="s">
        <v>184</v>
      </c>
      <c r="F26" s="51">
        <v>1.0529999999999999</v>
      </c>
      <c r="G26" s="117">
        <v>1.21E-19</v>
      </c>
      <c r="H26" s="53">
        <v>0.79940699999999998</v>
      </c>
      <c r="I26" s="53">
        <v>0.93384060000000002</v>
      </c>
      <c r="J26" s="52" t="s">
        <v>231</v>
      </c>
      <c r="K26" s="51" t="s">
        <v>181</v>
      </c>
    </row>
    <row r="27" spans="1:11" x14ac:dyDescent="0.25">
      <c r="A27" s="51" t="s">
        <v>232</v>
      </c>
      <c r="B27" s="51">
        <v>14</v>
      </c>
      <c r="C27" s="51">
        <v>24409164</v>
      </c>
      <c r="D27" s="51" t="s">
        <v>184</v>
      </c>
      <c r="E27" s="51" t="s">
        <v>183</v>
      </c>
      <c r="F27" s="51">
        <v>1.046</v>
      </c>
      <c r="G27" s="117">
        <v>2.4799999999999999E-12</v>
      </c>
      <c r="H27" s="53">
        <v>0.80484199999999995</v>
      </c>
      <c r="I27" s="53">
        <v>0.99843685999999998</v>
      </c>
      <c r="J27" s="52" t="s">
        <v>233</v>
      </c>
      <c r="K27" s="51" t="s">
        <v>181</v>
      </c>
    </row>
    <row r="28" spans="1:11" x14ac:dyDescent="0.25">
      <c r="A28" s="51" t="s">
        <v>234</v>
      </c>
      <c r="B28" s="51">
        <v>6</v>
      </c>
      <c r="C28" s="51">
        <v>28166590</v>
      </c>
      <c r="D28" s="51" t="s">
        <v>178</v>
      </c>
      <c r="E28" s="51" t="s">
        <v>179</v>
      </c>
      <c r="F28" s="51">
        <v>1.0309999999999999</v>
      </c>
      <c r="G28" s="117">
        <v>2.14E-8</v>
      </c>
      <c r="H28" s="53">
        <v>0.89130399999999999</v>
      </c>
      <c r="I28" s="53">
        <v>0.94910490000000003</v>
      </c>
      <c r="J28" s="52" t="s">
        <v>235</v>
      </c>
      <c r="K28" s="51" t="s">
        <v>181</v>
      </c>
    </row>
    <row r="29" spans="1:11" x14ac:dyDescent="0.25">
      <c r="A29" s="51" t="s">
        <v>236</v>
      </c>
      <c r="B29" s="51">
        <v>19</v>
      </c>
      <c r="C29" s="51">
        <v>44908684</v>
      </c>
      <c r="D29" s="51" t="s">
        <v>183</v>
      </c>
      <c r="E29" s="51" t="s">
        <v>184</v>
      </c>
      <c r="F29" s="51">
        <v>1.0580000000000001</v>
      </c>
      <c r="G29" s="117">
        <v>7.4699999999999998E-42</v>
      </c>
      <c r="H29" s="53">
        <v>0.90365609999999996</v>
      </c>
      <c r="I29" s="53">
        <v>0.84553199999999995</v>
      </c>
      <c r="J29" s="52" t="s">
        <v>237</v>
      </c>
      <c r="K29" s="51" t="s">
        <v>181</v>
      </c>
    </row>
    <row r="30" spans="1:11" x14ac:dyDescent="0.25">
      <c r="A30" s="51" t="s">
        <v>238</v>
      </c>
      <c r="B30" s="51">
        <v>10</v>
      </c>
      <c r="C30" s="51">
        <v>100152307</v>
      </c>
      <c r="D30" s="51" t="s">
        <v>183</v>
      </c>
      <c r="E30" s="51" t="s">
        <v>184</v>
      </c>
      <c r="F30" s="51">
        <v>1.0229999999999999</v>
      </c>
      <c r="G30" s="117">
        <v>1.3500000000000001E-13</v>
      </c>
      <c r="H30" s="53">
        <v>0.93083000000000005</v>
      </c>
      <c r="I30" s="53">
        <v>0.50170700000000001</v>
      </c>
      <c r="J30" s="52" t="s">
        <v>239</v>
      </c>
      <c r="K30" s="51" t="s">
        <v>181</v>
      </c>
    </row>
    <row r="31" spans="1:11" x14ac:dyDescent="0.25">
      <c r="A31" s="51" t="s">
        <v>240</v>
      </c>
      <c r="B31" s="51">
        <v>1</v>
      </c>
      <c r="C31" s="51">
        <v>62114219</v>
      </c>
      <c r="D31" s="51" t="s">
        <v>179</v>
      </c>
      <c r="E31" s="51" t="s">
        <v>183</v>
      </c>
      <c r="F31" s="51">
        <v>1.0489999999999999</v>
      </c>
      <c r="G31" s="117">
        <v>1.09E-13</v>
      </c>
      <c r="H31" s="53">
        <v>0.99258893000000004</v>
      </c>
      <c r="I31" s="53">
        <v>0.91172949999999997</v>
      </c>
      <c r="J31" s="52" t="s">
        <v>241</v>
      </c>
      <c r="K31" s="51" t="s">
        <v>181</v>
      </c>
    </row>
    <row r="32" spans="1:11" x14ac:dyDescent="0.25">
      <c r="A32" s="51" t="s">
        <v>242</v>
      </c>
      <c r="B32" s="51">
        <v>4</v>
      </c>
      <c r="C32" s="51">
        <v>25407216</v>
      </c>
      <c r="D32" s="51" t="s">
        <v>179</v>
      </c>
      <c r="E32" s="51" t="s">
        <v>178</v>
      </c>
      <c r="F32" s="51">
        <v>1.0329999999999999</v>
      </c>
      <c r="G32" s="117">
        <v>2.7200000000000001E-12</v>
      </c>
      <c r="H32" s="53">
        <v>0.99604742999999996</v>
      </c>
      <c r="I32" s="53">
        <v>0.76907700000000001</v>
      </c>
      <c r="J32" s="52" t="s">
        <v>243</v>
      </c>
      <c r="K32" s="51" t="s">
        <v>181</v>
      </c>
    </row>
    <row r="33" spans="1:11" x14ac:dyDescent="0.25">
      <c r="A33" s="51" t="s">
        <v>244</v>
      </c>
      <c r="B33" s="51">
        <v>6</v>
      </c>
      <c r="C33" s="51">
        <v>7231610</v>
      </c>
      <c r="D33" s="51" t="s">
        <v>179</v>
      </c>
      <c r="E33" s="51" t="s">
        <v>178</v>
      </c>
      <c r="F33" s="51">
        <v>1.077</v>
      </c>
      <c r="G33" s="117">
        <v>6.8600000000000002E-56</v>
      </c>
      <c r="H33" s="53">
        <v>0.99802371999999995</v>
      </c>
      <c r="I33" s="53">
        <v>0.89580599999999999</v>
      </c>
      <c r="J33" s="52" t="s">
        <v>245</v>
      </c>
      <c r="K33" s="51" t="s">
        <v>181</v>
      </c>
    </row>
    <row r="34" spans="1:11" x14ac:dyDescent="0.25">
      <c r="A34" s="51" t="s">
        <v>246</v>
      </c>
      <c r="B34" s="51">
        <v>4</v>
      </c>
      <c r="C34" s="51">
        <v>99318162</v>
      </c>
      <c r="D34" s="51" t="s">
        <v>184</v>
      </c>
      <c r="E34" s="51" t="s">
        <v>183</v>
      </c>
      <c r="F34" s="51">
        <v>1.0169999999999999</v>
      </c>
      <c r="G34" s="117">
        <v>9.1800000000000004E-10</v>
      </c>
      <c r="H34" s="53">
        <v>0.99901200000000001</v>
      </c>
      <c r="I34" s="53">
        <v>0.97429600000000005</v>
      </c>
      <c r="J34" s="52" t="s">
        <v>247</v>
      </c>
      <c r="K34" s="51" t="s">
        <v>181</v>
      </c>
    </row>
    <row r="35" spans="1:11" x14ac:dyDescent="0.25">
      <c r="A35" s="51" t="s">
        <v>248</v>
      </c>
      <c r="B35" s="51">
        <v>12</v>
      </c>
      <c r="C35" s="51">
        <v>111803962</v>
      </c>
      <c r="D35" s="51" t="s">
        <v>179</v>
      </c>
      <c r="E35" s="51" t="s">
        <v>178</v>
      </c>
      <c r="F35" s="51">
        <v>1.048</v>
      </c>
      <c r="G35" s="117">
        <v>1.4E-14</v>
      </c>
      <c r="H35" s="53">
        <v>1</v>
      </c>
      <c r="I35" s="53">
        <v>0.99995841200000002</v>
      </c>
      <c r="J35" s="52" t="s">
        <v>249</v>
      </c>
      <c r="K35" s="51" t="s">
        <v>181</v>
      </c>
    </row>
    <row r="36" spans="1:11" x14ac:dyDescent="0.25">
      <c r="A36" s="51" t="s">
        <v>250</v>
      </c>
      <c r="B36" s="51">
        <v>14</v>
      </c>
      <c r="C36" s="51">
        <v>50188639</v>
      </c>
      <c r="D36" s="51" t="s">
        <v>179</v>
      </c>
      <c r="E36" s="51" t="s">
        <v>184</v>
      </c>
      <c r="F36" s="51">
        <v>1.161</v>
      </c>
      <c r="G36" s="117">
        <v>1.5300000000000001E-9</v>
      </c>
      <c r="H36" s="53">
        <v>1</v>
      </c>
      <c r="I36" s="53">
        <v>0.989124</v>
      </c>
      <c r="J36" s="52" t="s">
        <v>251</v>
      </c>
      <c r="K36" s="51" t="s">
        <v>181</v>
      </c>
    </row>
    <row r="37" spans="1:11" x14ac:dyDescent="0.25">
      <c r="A37" s="51" t="s">
        <v>252</v>
      </c>
      <c r="B37" s="51">
        <v>19</v>
      </c>
      <c r="C37" s="51">
        <v>8364439</v>
      </c>
      <c r="D37" s="51" t="s">
        <v>179</v>
      </c>
      <c r="E37" s="51" t="s">
        <v>178</v>
      </c>
      <c r="F37" s="51">
        <v>1.1200000000000001</v>
      </c>
      <c r="G37" s="117">
        <v>3.0300000000000001E-17</v>
      </c>
      <c r="H37" s="53">
        <v>1</v>
      </c>
      <c r="I37" s="53">
        <v>0.98049660000000005</v>
      </c>
      <c r="J37" s="52" t="s">
        <v>253</v>
      </c>
      <c r="K37" s="51" t="s">
        <v>181</v>
      </c>
    </row>
    <row r="38" spans="1:11" x14ac:dyDescent="0.25">
      <c r="A38" s="58" t="s">
        <v>254</v>
      </c>
      <c r="B38" s="58">
        <v>6</v>
      </c>
      <c r="C38" s="58">
        <v>35291620</v>
      </c>
      <c r="D38" s="58" t="s">
        <v>184</v>
      </c>
      <c r="E38" s="58" t="s">
        <v>183</v>
      </c>
      <c r="F38" s="58">
        <v>1.101</v>
      </c>
      <c r="G38" s="118">
        <v>1.7299999999999999E-14</v>
      </c>
      <c r="H38" s="60">
        <v>1</v>
      </c>
      <c r="I38" s="60">
        <v>0.97801139999999998</v>
      </c>
      <c r="J38" s="59" t="s">
        <v>255</v>
      </c>
      <c r="K38" s="58" t="s">
        <v>181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54"/>
  <sheetViews>
    <sheetView zoomScaleNormal="100" workbookViewId="0">
      <selection activeCell="H1" sqref="H1"/>
    </sheetView>
  </sheetViews>
  <sheetFormatPr defaultColWidth="8.85546875" defaultRowHeight="15.75" x14ac:dyDescent="0.25"/>
  <cols>
    <col min="1" max="1" width="41.28515625" style="17" customWidth="1"/>
    <col min="2" max="2" width="24.85546875" style="17" customWidth="1"/>
    <col min="3" max="3" width="7.5703125" style="17" customWidth="1"/>
    <col min="4" max="4" width="9.42578125" style="17" bestFit="1" customWidth="1"/>
    <col min="5" max="5" width="11.42578125" style="17" customWidth="1"/>
    <col min="6" max="6" width="8.85546875" style="17"/>
    <col min="7" max="7" width="30.7109375" style="17" customWidth="1"/>
    <col min="8" max="8" width="13.28515625" style="17" customWidth="1"/>
    <col min="9" max="9" width="12.28515625" style="17" customWidth="1"/>
    <col min="10" max="10" width="13" style="17" customWidth="1"/>
    <col min="11" max="11" width="5.140625" style="17" customWidth="1"/>
    <col min="12" max="12" width="34.5703125" style="17" customWidth="1"/>
    <col min="13" max="13" width="12.85546875" style="17" customWidth="1"/>
    <col min="14" max="14" width="13" style="17" customWidth="1"/>
    <col min="15" max="15" width="12.85546875" style="17" customWidth="1"/>
    <col min="16" max="16" width="4.7109375" style="17" customWidth="1"/>
    <col min="17" max="17" width="29.5703125" style="17" customWidth="1"/>
    <col min="18" max="18" width="19.42578125" style="134" customWidth="1"/>
    <col min="19" max="19" width="13.7109375" style="134" customWidth="1"/>
    <col min="20" max="20" width="15" style="134" customWidth="1"/>
    <col min="21" max="21" width="6.42578125" style="17" customWidth="1"/>
    <col min="22" max="22" width="29.5703125" style="17" customWidth="1"/>
    <col min="23" max="23" width="12" style="134" customWidth="1"/>
    <col min="24" max="24" width="13.7109375" style="134" customWidth="1"/>
    <col min="25" max="25" width="15" style="134" customWidth="1"/>
    <col min="26" max="26" width="7.42578125" style="17" customWidth="1"/>
    <col min="27" max="27" width="35.42578125" style="17" customWidth="1"/>
    <col min="28" max="28" width="11.5703125" style="17" customWidth="1"/>
    <col min="29" max="29" width="9.7109375" style="17" bestFit="1" customWidth="1"/>
    <col min="30" max="30" width="11.28515625" style="17" customWidth="1"/>
    <col min="31" max="16384" width="8.85546875" style="17"/>
  </cols>
  <sheetData>
    <row r="1" spans="1:30" s="120" customFormat="1" ht="20.25" x14ac:dyDescent="0.3">
      <c r="A1" s="119" t="s">
        <v>256</v>
      </c>
      <c r="B1" s="119"/>
      <c r="R1" s="121"/>
      <c r="S1" s="121"/>
      <c r="T1" s="121"/>
      <c r="W1" s="121"/>
      <c r="X1" s="121"/>
      <c r="Y1" s="121"/>
    </row>
    <row r="2" spans="1:30" s="127" customFormat="1" x14ac:dyDescent="0.25">
      <c r="A2" s="122"/>
      <c r="B2" s="123" t="s">
        <v>257</v>
      </c>
      <c r="C2" s="124"/>
      <c r="D2" s="124"/>
      <c r="E2" s="124"/>
      <c r="F2" s="125"/>
      <c r="G2" s="124" t="s">
        <v>258</v>
      </c>
      <c r="H2" s="124"/>
      <c r="I2" s="124"/>
      <c r="J2" s="124"/>
      <c r="K2" s="125"/>
      <c r="L2" s="124" t="s">
        <v>259</v>
      </c>
      <c r="M2" s="124"/>
      <c r="N2" s="124"/>
      <c r="O2" s="124"/>
      <c r="P2" s="125"/>
      <c r="Q2" s="124" t="s">
        <v>260</v>
      </c>
      <c r="R2" s="126"/>
      <c r="S2" s="126"/>
      <c r="T2" s="126"/>
      <c r="U2" s="125"/>
      <c r="V2" s="124" t="s">
        <v>261</v>
      </c>
      <c r="W2" s="126"/>
      <c r="X2" s="126"/>
      <c r="Y2" s="126"/>
      <c r="Z2" s="125"/>
      <c r="AA2" s="124" t="s">
        <v>262</v>
      </c>
      <c r="AB2" s="124"/>
      <c r="AC2" s="124"/>
      <c r="AD2" s="124"/>
    </row>
    <row r="3" spans="1:30" x14ac:dyDescent="0.25">
      <c r="A3" s="128" t="s">
        <v>107</v>
      </c>
      <c r="B3" s="128" t="s">
        <v>131</v>
      </c>
      <c r="C3" s="128" t="s">
        <v>5</v>
      </c>
      <c r="D3" s="128" t="s">
        <v>108</v>
      </c>
      <c r="E3" s="129" t="s">
        <v>6</v>
      </c>
      <c r="F3" s="128"/>
      <c r="G3" s="128" t="s">
        <v>131</v>
      </c>
      <c r="H3" s="128" t="s">
        <v>5</v>
      </c>
      <c r="I3" s="128" t="s">
        <v>108</v>
      </c>
      <c r="J3" s="129" t="s">
        <v>6</v>
      </c>
      <c r="K3" s="128"/>
      <c r="L3" s="128" t="s">
        <v>131</v>
      </c>
      <c r="M3" s="128" t="s">
        <v>5</v>
      </c>
      <c r="N3" s="128" t="s">
        <v>108</v>
      </c>
      <c r="O3" s="129" t="s">
        <v>6</v>
      </c>
      <c r="P3" s="128"/>
      <c r="Q3" s="128" t="s">
        <v>131</v>
      </c>
      <c r="R3" s="130" t="s">
        <v>5</v>
      </c>
      <c r="S3" s="130" t="s">
        <v>108</v>
      </c>
      <c r="T3" s="131" t="s">
        <v>6</v>
      </c>
      <c r="U3" s="128"/>
      <c r="V3" s="128" t="s">
        <v>131</v>
      </c>
      <c r="W3" s="130" t="s">
        <v>5</v>
      </c>
      <c r="X3" s="130" t="s">
        <v>108</v>
      </c>
      <c r="Y3" s="131" t="s">
        <v>6</v>
      </c>
      <c r="Z3" s="128"/>
      <c r="AA3" s="128" t="s">
        <v>131</v>
      </c>
      <c r="AB3" s="128" t="s">
        <v>5</v>
      </c>
      <c r="AC3" s="128" t="s">
        <v>108</v>
      </c>
      <c r="AD3" s="129" t="s">
        <v>6</v>
      </c>
    </row>
    <row r="4" spans="1:30" x14ac:dyDescent="0.25">
      <c r="A4" s="17" t="s">
        <v>109</v>
      </c>
      <c r="B4" s="132" t="s">
        <v>28</v>
      </c>
      <c r="C4" s="132" t="s">
        <v>28</v>
      </c>
      <c r="D4" s="132" t="s">
        <v>28</v>
      </c>
      <c r="E4" s="132" t="s">
        <v>28</v>
      </c>
      <c r="G4" s="17" t="s">
        <v>263</v>
      </c>
      <c r="H4" s="17">
        <v>5.0959999999999998E-3</v>
      </c>
      <c r="I4" s="83">
        <v>6.3999999999999997E-5</v>
      </c>
      <c r="J4" s="83">
        <v>0</v>
      </c>
      <c r="L4" s="132" t="s">
        <v>28</v>
      </c>
      <c r="M4" s="132" t="s">
        <v>28</v>
      </c>
      <c r="N4" s="132" t="s">
        <v>28</v>
      </c>
      <c r="O4" s="132" t="s">
        <v>28</v>
      </c>
      <c r="Q4" s="132" t="s">
        <v>28</v>
      </c>
      <c r="R4" s="133"/>
      <c r="S4" s="133"/>
      <c r="T4" s="133"/>
      <c r="V4" s="132" t="s">
        <v>28</v>
      </c>
      <c r="W4" s="133"/>
      <c r="X4" s="133"/>
      <c r="Y4" s="133"/>
      <c r="AA4" s="17" t="s">
        <v>264</v>
      </c>
      <c r="AB4" s="17">
        <v>9.9229999999999995E-3</v>
      </c>
      <c r="AC4" s="83">
        <v>5.62E-4</v>
      </c>
      <c r="AD4" s="83">
        <v>0</v>
      </c>
    </row>
    <row r="5" spans="1:30" x14ac:dyDescent="0.25">
      <c r="A5" s="17" t="s">
        <v>109</v>
      </c>
      <c r="B5" s="132" t="s">
        <v>28</v>
      </c>
      <c r="C5" s="132" t="s">
        <v>28</v>
      </c>
      <c r="D5" s="132" t="s">
        <v>28</v>
      </c>
      <c r="E5" s="132" t="s">
        <v>28</v>
      </c>
      <c r="G5" s="132" t="s">
        <v>28</v>
      </c>
      <c r="H5" s="132" t="s">
        <v>28</v>
      </c>
      <c r="I5" s="132" t="s">
        <v>28</v>
      </c>
      <c r="J5" s="132" t="s">
        <v>28</v>
      </c>
      <c r="L5" s="16" t="s">
        <v>265</v>
      </c>
      <c r="M5" s="83">
        <v>-7.4200000000000004E-4</v>
      </c>
      <c r="N5" s="83">
        <v>2.4699999999999999E-4</v>
      </c>
      <c r="O5" s="83">
        <v>2.6641277961412199E-3</v>
      </c>
      <c r="Q5" s="16" t="s">
        <v>266</v>
      </c>
      <c r="R5" s="83">
        <v>4.2999999999999999E-4</v>
      </c>
      <c r="S5" s="83">
        <v>1.6100000000000001E-4</v>
      </c>
      <c r="T5" s="83">
        <v>7.5669038525905102E-3</v>
      </c>
      <c r="V5" s="16" t="s">
        <v>267</v>
      </c>
      <c r="W5" s="134">
        <v>0.123304</v>
      </c>
      <c r="X5" s="134">
        <v>5.5890000000000002E-3</v>
      </c>
      <c r="Y5" s="83">
        <v>0</v>
      </c>
      <c r="AA5" s="132" t="s">
        <v>28</v>
      </c>
      <c r="AB5" s="132" t="s">
        <v>28</v>
      </c>
      <c r="AC5" s="132" t="s">
        <v>28</v>
      </c>
      <c r="AD5" s="132" t="s">
        <v>28</v>
      </c>
    </row>
    <row r="6" spans="1:30" x14ac:dyDescent="0.25">
      <c r="A6" s="17" t="s">
        <v>109</v>
      </c>
      <c r="B6" s="16" t="s">
        <v>268</v>
      </c>
      <c r="C6" s="17">
        <v>-1.5140290000000001</v>
      </c>
      <c r="D6" s="17">
        <v>0.264372</v>
      </c>
      <c r="E6" s="83">
        <v>1.02260884204952E-8</v>
      </c>
      <c r="G6" s="16" t="s">
        <v>268</v>
      </c>
      <c r="H6" s="17">
        <v>-0.43407499999999999</v>
      </c>
      <c r="I6" s="17">
        <v>0.24843899999999999</v>
      </c>
      <c r="J6" s="17">
        <v>8.0600990999999997E-2</v>
      </c>
      <c r="L6" s="16" t="s">
        <v>268</v>
      </c>
      <c r="M6" s="17">
        <v>-1.4717100000000001</v>
      </c>
      <c r="N6" s="17">
        <v>0.26470199999999999</v>
      </c>
      <c r="O6" s="83">
        <v>2.69968123411957E-8</v>
      </c>
      <c r="Q6" s="16" t="s">
        <v>268</v>
      </c>
      <c r="R6" s="134">
        <v>-1.4875670000000001</v>
      </c>
      <c r="S6" s="134">
        <v>0.264544</v>
      </c>
      <c r="T6" s="83">
        <v>1.87521200789575E-8</v>
      </c>
      <c r="V6" s="16" t="s">
        <v>268</v>
      </c>
      <c r="W6" s="134">
        <v>-1.5204169999999999</v>
      </c>
      <c r="X6" s="134">
        <v>0.26403500000000002</v>
      </c>
      <c r="Y6" s="83">
        <v>8.4919031806407508E-9</v>
      </c>
      <c r="AA6" s="16" t="s">
        <v>268</v>
      </c>
      <c r="AB6" s="17">
        <v>-1.414784</v>
      </c>
      <c r="AC6" s="17">
        <v>0.26363199999999998</v>
      </c>
      <c r="AD6" s="83">
        <v>8.0274354052889394E-8</v>
      </c>
    </row>
    <row r="7" spans="1:30" x14ac:dyDescent="0.25">
      <c r="A7" s="17" t="s">
        <v>109</v>
      </c>
      <c r="B7" s="16" t="s">
        <v>269</v>
      </c>
      <c r="C7" s="17">
        <v>-4.9529999999999998E-2</v>
      </c>
      <c r="D7" s="17">
        <v>0.26886500000000002</v>
      </c>
      <c r="E7" s="17">
        <v>0.85384446300995098</v>
      </c>
      <c r="G7" s="16" t="s">
        <v>269</v>
      </c>
      <c r="H7" s="17">
        <v>-1.8062999999999999E-2</v>
      </c>
      <c r="I7" s="17">
        <v>0.252054</v>
      </c>
      <c r="J7" s="17">
        <v>0.94286993100000005</v>
      </c>
      <c r="L7" s="16" t="s">
        <v>269</v>
      </c>
      <c r="M7" s="17">
        <v>-5.8341999999999998E-2</v>
      </c>
      <c r="N7" s="17">
        <v>0.26883400000000002</v>
      </c>
      <c r="O7" s="17">
        <v>0.82819378678060995</v>
      </c>
      <c r="Q7" s="16" t="s">
        <v>269</v>
      </c>
      <c r="R7" s="134">
        <v>-3.6373000000000003E-2</v>
      </c>
      <c r="S7" s="134">
        <v>0.268897</v>
      </c>
      <c r="T7" s="17">
        <v>0.89240045346761898</v>
      </c>
      <c r="V7" s="16" t="s">
        <v>269</v>
      </c>
      <c r="W7" s="134">
        <v>6.8479999999999999E-2</v>
      </c>
      <c r="X7" s="134">
        <v>0.26847100000000002</v>
      </c>
      <c r="Y7" s="17">
        <v>0.79866586412129204</v>
      </c>
      <c r="AA7" s="16" t="s">
        <v>269</v>
      </c>
      <c r="AB7" s="17">
        <v>-1.3271E-2</v>
      </c>
      <c r="AC7" s="17">
        <v>0.26804099999999997</v>
      </c>
      <c r="AD7" s="17">
        <v>0.96051200566613304</v>
      </c>
    </row>
    <row r="8" spans="1:30" x14ac:dyDescent="0.25">
      <c r="A8" s="17" t="s">
        <v>109</v>
      </c>
      <c r="B8" s="16" t="s">
        <v>270</v>
      </c>
      <c r="C8" s="17">
        <v>0.59066700000000005</v>
      </c>
      <c r="D8" s="17">
        <v>0.837113</v>
      </c>
      <c r="E8" s="17">
        <v>0.48043307205603503</v>
      </c>
      <c r="G8" s="16" t="s">
        <v>270</v>
      </c>
      <c r="H8" s="17">
        <v>1.6638869999999999</v>
      </c>
      <c r="I8" s="17">
        <v>0.78572399999999998</v>
      </c>
      <c r="J8" s="17">
        <v>3.4204874000000003E-2</v>
      </c>
      <c r="L8" s="16" t="s">
        <v>270</v>
      </c>
      <c r="M8" s="17">
        <v>0.67175200000000002</v>
      </c>
      <c r="N8" s="17">
        <v>0.83740099999999995</v>
      </c>
      <c r="O8" s="17">
        <v>0.42244493050880599</v>
      </c>
      <c r="Q8" s="16" t="s">
        <v>270</v>
      </c>
      <c r="R8" s="134">
        <v>0.73312999999999995</v>
      </c>
      <c r="S8" s="134">
        <v>0.83876499999999998</v>
      </c>
      <c r="T8" s="17">
        <v>0.382086187045033</v>
      </c>
      <c r="V8" s="16" t="s">
        <v>270</v>
      </c>
      <c r="W8" s="134">
        <v>0.62487700000000002</v>
      </c>
      <c r="X8" s="134">
        <v>0.83605799999999997</v>
      </c>
      <c r="Y8" s="17">
        <v>0.45481691194162599</v>
      </c>
      <c r="AA8" s="16" t="s">
        <v>270</v>
      </c>
      <c r="AB8" s="17">
        <v>0.58406499999999995</v>
      </c>
      <c r="AC8" s="17">
        <v>0.83458600000000005</v>
      </c>
      <c r="AD8" s="17">
        <v>0.48403596198851601</v>
      </c>
    </row>
    <row r="9" spans="1:30" x14ac:dyDescent="0.25">
      <c r="A9" s="17" t="s">
        <v>109</v>
      </c>
      <c r="B9" s="16" t="s">
        <v>271</v>
      </c>
      <c r="C9" s="17">
        <v>0.19214300000000001</v>
      </c>
      <c r="D9" s="17">
        <v>0.90596399999999999</v>
      </c>
      <c r="E9" s="17">
        <v>0.83204117525675003</v>
      </c>
      <c r="G9" s="16" t="s">
        <v>271</v>
      </c>
      <c r="H9" s="17">
        <v>0.22556499999999999</v>
      </c>
      <c r="I9" s="17">
        <v>0.846638</v>
      </c>
      <c r="J9" s="17">
        <v>0.78991239499999999</v>
      </c>
      <c r="L9" s="16" t="s">
        <v>271</v>
      </c>
      <c r="M9" s="17">
        <v>0.18962799999999999</v>
      </c>
      <c r="N9" s="17">
        <v>0.90582600000000002</v>
      </c>
      <c r="O9" s="17">
        <v>0.83418077257443202</v>
      </c>
      <c r="Q9" s="16" t="s">
        <v>271</v>
      </c>
      <c r="R9" s="134">
        <v>0.211038</v>
      </c>
      <c r="S9" s="134">
        <v>0.90593900000000005</v>
      </c>
      <c r="T9" s="17">
        <v>0.81580065192598805</v>
      </c>
      <c r="V9" s="16" t="s">
        <v>271</v>
      </c>
      <c r="W9" s="134">
        <v>0.43822</v>
      </c>
      <c r="X9" s="134">
        <v>0.90338399999999996</v>
      </c>
      <c r="Y9" s="17">
        <v>0.62761450319969603</v>
      </c>
      <c r="AA9" s="16" t="s">
        <v>271</v>
      </c>
      <c r="AB9" s="17">
        <v>0.30648500000000001</v>
      </c>
      <c r="AC9" s="17">
        <v>0.90295499999999995</v>
      </c>
      <c r="AD9" s="17">
        <v>0.73429000578729098</v>
      </c>
    </row>
    <row r="10" spans="1:30" x14ac:dyDescent="0.25">
      <c r="A10" s="17" t="s">
        <v>109</v>
      </c>
      <c r="B10" s="16" t="s">
        <v>272</v>
      </c>
      <c r="C10" s="17">
        <v>-1.4520869999999999</v>
      </c>
      <c r="D10" s="17">
        <v>0.89045200000000002</v>
      </c>
      <c r="E10" s="17">
        <v>0.10294576931220201</v>
      </c>
      <c r="G10" s="16" t="s">
        <v>272</v>
      </c>
      <c r="H10" s="17">
        <v>0.160297</v>
      </c>
      <c r="I10" s="17">
        <v>0.83568600000000004</v>
      </c>
      <c r="J10" s="17">
        <v>0.84788722400000005</v>
      </c>
      <c r="L10" s="16" t="s">
        <v>272</v>
      </c>
      <c r="M10" s="17">
        <v>-1.3845000000000001</v>
      </c>
      <c r="N10" s="17">
        <v>0.89058599999999999</v>
      </c>
      <c r="O10" s="17">
        <v>0.120042700556895</v>
      </c>
      <c r="Q10" s="16" t="s">
        <v>272</v>
      </c>
      <c r="R10" s="134">
        <v>-1.4162429999999999</v>
      </c>
      <c r="S10" s="134">
        <v>0.89051599999999997</v>
      </c>
      <c r="T10" s="17">
        <v>0.111753181796824</v>
      </c>
      <c r="V10" s="16" t="s">
        <v>272</v>
      </c>
      <c r="W10" s="134">
        <v>-1.3728229999999999</v>
      </c>
      <c r="X10" s="134">
        <v>0.88909499999999997</v>
      </c>
      <c r="Y10" s="17">
        <v>0.122571897785892</v>
      </c>
      <c r="AA10" s="16" t="s">
        <v>272</v>
      </c>
      <c r="AB10" s="17">
        <v>-1.3049660000000001</v>
      </c>
      <c r="AC10" s="17">
        <v>0.88775700000000002</v>
      </c>
      <c r="AD10" s="17">
        <v>0.14157297818602399</v>
      </c>
    </row>
    <row r="11" spans="1:30" x14ac:dyDescent="0.25">
      <c r="A11" s="128" t="s">
        <v>109</v>
      </c>
      <c r="B11" s="135" t="s">
        <v>273</v>
      </c>
      <c r="C11" s="128">
        <v>1.2144839999999999</v>
      </c>
      <c r="D11" s="128">
        <v>0.99916400000000005</v>
      </c>
      <c r="E11" s="128">
        <v>0.22417505966277901</v>
      </c>
      <c r="F11" s="128"/>
      <c r="G11" s="135" t="s">
        <v>273</v>
      </c>
      <c r="H11" s="128">
        <v>8.7068999999999994E-2</v>
      </c>
      <c r="I11" s="128">
        <v>0.93195399999999995</v>
      </c>
      <c r="J11" s="128">
        <v>0.92556490899999999</v>
      </c>
      <c r="K11" s="128"/>
      <c r="L11" s="135" t="s">
        <v>273</v>
      </c>
      <c r="M11" s="128">
        <v>1.174585</v>
      </c>
      <c r="N11" s="128">
        <v>0.99911799999999995</v>
      </c>
      <c r="O11" s="128">
        <v>0.23974600079887101</v>
      </c>
      <c r="P11" s="128"/>
      <c r="Q11" s="135" t="s">
        <v>273</v>
      </c>
      <c r="R11" s="128">
        <v>1.2017599999999999</v>
      </c>
      <c r="S11" s="128">
        <v>0.99911499999999998</v>
      </c>
      <c r="T11" s="128">
        <v>0.22904424191119699</v>
      </c>
      <c r="U11" s="128"/>
      <c r="V11" s="135" t="s">
        <v>273</v>
      </c>
      <c r="W11" s="128">
        <v>0.87831899999999996</v>
      </c>
      <c r="X11" s="128">
        <v>0.99546699999999999</v>
      </c>
      <c r="Y11" s="128">
        <v>0.37760456783663998</v>
      </c>
      <c r="Z11" s="128"/>
      <c r="AA11" s="135" t="s">
        <v>273</v>
      </c>
      <c r="AB11" s="128">
        <v>1.1357170000000001</v>
      </c>
      <c r="AC11" s="128">
        <v>0.99565199999999998</v>
      </c>
      <c r="AD11" s="128">
        <v>0.25400450186578599</v>
      </c>
    </row>
    <row r="12" spans="1:30" x14ac:dyDescent="0.25">
      <c r="B12" s="16"/>
      <c r="C12" s="136"/>
      <c r="F12" s="128"/>
      <c r="G12" s="16"/>
      <c r="K12" s="128"/>
      <c r="L12" s="16"/>
      <c r="Q12" s="16"/>
      <c r="V12" s="16"/>
      <c r="AA12" s="16"/>
    </row>
    <row r="13" spans="1:30" s="143" customFormat="1" x14ac:dyDescent="0.25">
      <c r="A13" s="137" t="s">
        <v>137</v>
      </c>
      <c r="B13" s="123" t="s">
        <v>257</v>
      </c>
      <c r="C13" s="138"/>
      <c r="D13" s="137" t="s">
        <v>274</v>
      </c>
      <c r="E13" s="137" t="s">
        <v>274</v>
      </c>
      <c r="F13" s="139" t="s">
        <v>274</v>
      </c>
      <c r="G13" s="124" t="s">
        <v>258</v>
      </c>
      <c r="H13" s="137"/>
      <c r="I13" s="137"/>
      <c r="J13" s="137"/>
      <c r="K13" s="139" t="s">
        <v>274</v>
      </c>
      <c r="L13" s="124" t="s">
        <v>259</v>
      </c>
      <c r="M13" s="137" t="s">
        <v>274</v>
      </c>
      <c r="N13" s="137" t="s">
        <v>274</v>
      </c>
      <c r="O13" s="137" t="s">
        <v>274</v>
      </c>
      <c r="P13" s="139" t="s">
        <v>274</v>
      </c>
      <c r="Q13" s="124" t="s">
        <v>260</v>
      </c>
      <c r="R13" s="140"/>
      <c r="S13" s="140"/>
      <c r="T13" s="141"/>
      <c r="U13" s="139" t="s">
        <v>274</v>
      </c>
      <c r="V13" s="124" t="s">
        <v>261</v>
      </c>
      <c r="W13" s="140"/>
      <c r="X13" s="140"/>
      <c r="Y13" s="141"/>
      <c r="Z13" s="139" t="s">
        <v>274</v>
      </c>
      <c r="AA13" s="142" t="s">
        <v>262</v>
      </c>
      <c r="AB13" s="137" t="s">
        <v>274</v>
      </c>
      <c r="AC13" s="137" t="s">
        <v>274</v>
      </c>
      <c r="AD13" s="137" t="s">
        <v>274</v>
      </c>
    </row>
    <row r="14" spans="1:30" x14ac:dyDescent="0.25">
      <c r="A14" s="135" t="s">
        <v>107</v>
      </c>
      <c r="B14" s="135" t="s">
        <v>131</v>
      </c>
      <c r="C14" s="135" t="s">
        <v>5</v>
      </c>
      <c r="D14" s="135" t="s">
        <v>108</v>
      </c>
      <c r="E14" s="144" t="s">
        <v>6</v>
      </c>
      <c r="F14" s="135" t="s">
        <v>274</v>
      </c>
      <c r="G14" s="135" t="s">
        <v>131</v>
      </c>
      <c r="H14" s="128" t="s">
        <v>5</v>
      </c>
      <c r="I14" s="128" t="s">
        <v>108</v>
      </c>
      <c r="J14" s="129" t="s">
        <v>6</v>
      </c>
      <c r="K14" s="135" t="s">
        <v>274</v>
      </c>
      <c r="L14" s="135" t="s">
        <v>131</v>
      </c>
      <c r="M14" s="135" t="s">
        <v>5</v>
      </c>
      <c r="N14" s="135" t="s">
        <v>108</v>
      </c>
      <c r="O14" s="144" t="s">
        <v>6</v>
      </c>
      <c r="P14" s="135" t="s">
        <v>274</v>
      </c>
      <c r="Q14" s="135" t="s">
        <v>131</v>
      </c>
      <c r="R14" s="145" t="s">
        <v>5</v>
      </c>
      <c r="S14" s="145" t="s">
        <v>108</v>
      </c>
      <c r="T14" s="131" t="s">
        <v>6</v>
      </c>
      <c r="U14" s="135" t="s">
        <v>274</v>
      </c>
      <c r="V14" s="135" t="s">
        <v>131</v>
      </c>
      <c r="W14" s="145" t="s">
        <v>5</v>
      </c>
      <c r="X14" s="145" t="s">
        <v>108</v>
      </c>
      <c r="Y14" s="131" t="s">
        <v>6</v>
      </c>
      <c r="Z14" s="135" t="s">
        <v>274</v>
      </c>
      <c r="AA14" s="135" t="s">
        <v>131</v>
      </c>
      <c r="AB14" s="135" t="s">
        <v>5</v>
      </c>
      <c r="AC14" s="135" t="s">
        <v>108</v>
      </c>
      <c r="AD14" s="144" t="s">
        <v>6</v>
      </c>
    </row>
    <row r="15" spans="1:30" x14ac:dyDescent="0.25">
      <c r="A15" s="16" t="s">
        <v>136</v>
      </c>
      <c r="B15" s="132" t="s">
        <v>28</v>
      </c>
      <c r="C15" s="132" t="s">
        <v>28</v>
      </c>
      <c r="D15" s="132" t="s">
        <v>28</v>
      </c>
      <c r="E15" s="132" t="s">
        <v>28</v>
      </c>
      <c r="F15" s="16"/>
      <c r="G15" s="132" t="s">
        <v>28</v>
      </c>
      <c r="H15" s="132" t="s">
        <v>28</v>
      </c>
      <c r="I15" s="132" t="s">
        <v>28</v>
      </c>
      <c r="J15" s="132" t="s">
        <v>28</v>
      </c>
      <c r="K15" s="16"/>
      <c r="L15" s="16" t="s">
        <v>265</v>
      </c>
      <c r="M15" s="83">
        <v>3.1350000000000002E-3</v>
      </c>
      <c r="N15" s="83">
        <v>9.3999999999999994E-5</v>
      </c>
      <c r="O15" s="83">
        <v>0</v>
      </c>
      <c r="P15" s="16"/>
      <c r="Q15" s="132" t="s">
        <v>28</v>
      </c>
      <c r="R15" s="133"/>
      <c r="S15" s="133"/>
      <c r="U15" s="16"/>
      <c r="V15" s="132" t="s">
        <v>28</v>
      </c>
      <c r="W15" s="133"/>
      <c r="X15" s="133"/>
      <c r="Z15" s="16"/>
      <c r="AA15" s="132" t="s">
        <v>28</v>
      </c>
      <c r="AB15" s="132" t="s">
        <v>28</v>
      </c>
      <c r="AC15" s="132" t="s">
        <v>28</v>
      </c>
      <c r="AD15" s="132" t="s">
        <v>28</v>
      </c>
    </row>
    <row r="16" spans="1:30" x14ac:dyDescent="0.25">
      <c r="A16" s="16" t="s">
        <v>136</v>
      </c>
      <c r="B16" s="146" t="s">
        <v>28</v>
      </c>
      <c r="C16" s="146" t="s">
        <v>28</v>
      </c>
      <c r="D16" s="146" t="s">
        <v>28</v>
      </c>
      <c r="E16" s="146" t="s">
        <v>28</v>
      </c>
      <c r="F16" s="16" t="s">
        <v>274</v>
      </c>
      <c r="G16" s="16" t="s">
        <v>275</v>
      </c>
      <c r="H16" s="83">
        <v>3.9999999999999998E-6</v>
      </c>
      <c r="I16" s="83">
        <v>2.6999999999999999E-5</v>
      </c>
      <c r="J16" s="17">
        <v>0.88222585192344805</v>
      </c>
      <c r="K16" s="16" t="s">
        <v>274</v>
      </c>
      <c r="L16" s="132" t="s">
        <v>28</v>
      </c>
      <c r="M16" s="132" t="s">
        <v>28</v>
      </c>
      <c r="N16" s="132" t="s">
        <v>28</v>
      </c>
      <c r="O16" s="132" t="s">
        <v>28</v>
      </c>
      <c r="P16" s="16" t="s">
        <v>274</v>
      </c>
      <c r="Q16" s="16" t="s">
        <v>266</v>
      </c>
      <c r="R16" s="83">
        <v>-1.13E-4</v>
      </c>
      <c r="S16" s="83">
        <v>6.2000000000000003E-5</v>
      </c>
      <c r="T16" s="17">
        <v>6.8366929251947997E-2</v>
      </c>
      <c r="U16" s="16" t="s">
        <v>274</v>
      </c>
      <c r="V16" s="16" t="s">
        <v>267</v>
      </c>
      <c r="W16" s="17">
        <v>-1.8981000000000001E-2</v>
      </c>
      <c r="X16" s="83">
        <v>2.4450000000000001E-3</v>
      </c>
      <c r="Y16" s="83">
        <v>8.21565038222616E-15</v>
      </c>
      <c r="Z16" s="16" t="s">
        <v>274</v>
      </c>
      <c r="AA16" s="16" t="s">
        <v>276</v>
      </c>
      <c r="AB16" s="16">
        <v>0.01</v>
      </c>
      <c r="AC16" s="83">
        <v>7.27E-4</v>
      </c>
      <c r="AD16" s="83">
        <v>2.4400000000000001E-12</v>
      </c>
    </row>
    <row r="17" spans="1:30" x14ac:dyDescent="0.25">
      <c r="A17" s="16" t="s">
        <v>136</v>
      </c>
      <c r="B17" s="16" t="s">
        <v>268</v>
      </c>
      <c r="C17" s="17">
        <v>0.41272500000000001</v>
      </c>
      <c r="D17" s="17">
        <v>0.11795700000000001</v>
      </c>
      <c r="E17" s="83">
        <v>4.6718538439227702E-4</v>
      </c>
      <c r="F17" s="16" t="s">
        <v>274</v>
      </c>
      <c r="G17" s="16" t="s">
        <v>268</v>
      </c>
      <c r="H17" s="17">
        <v>0.41363899999999998</v>
      </c>
      <c r="I17" s="17">
        <v>0.118099</v>
      </c>
      <c r="J17" s="83">
        <v>4.6095403610291202E-4</v>
      </c>
      <c r="K17" s="16" t="s">
        <v>274</v>
      </c>
      <c r="L17" s="16" t="s">
        <v>268</v>
      </c>
      <c r="M17" s="17">
        <v>0.23865</v>
      </c>
      <c r="N17" s="17">
        <v>0.116899</v>
      </c>
      <c r="O17" s="17">
        <v>4.1200566507397798E-2</v>
      </c>
      <c r="P17" s="16" t="s">
        <v>274</v>
      </c>
      <c r="Q17" s="16" t="s">
        <v>268</v>
      </c>
      <c r="R17" s="17">
        <v>0.40573799999999999</v>
      </c>
      <c r="S17" s="17">
        <v>0.118016</v>
      </c>
      <c r="T17" s="83">
        <v>5.8604618354252103E-4</v>
      </c>
      <c r="U17" s="16" t="s">
        <v>274</v>
      </c>
      <c r="V17" s="16" t="s">
        <v>268</v>
      </c>
      <c r="W17" s="17">
        <v>0.41431400000000002</v>
      </c>
      <c r="X17" s="17">
        <v>0.11794</v>
      </c>
      <c r="Y17" s="83">
        <v>4.4320785913387601E-4</v>
      </c>
      <c r="Z17" s="16" t="s">
        <v>274</v>
      </c>
      <c r="AA17" s="16" t="s">
        <v>268</v>
      </c>
      <c r="AB17" s="16">
        <v>0.42</v>
      </c>
      <c r="AC17" s="16">
        <v>0.12</v>
      </c>
      <c r="AD17" s="83">
        <v>3.8499999999999998E-4</v>
      </c>
    </row>
    <row r="18" spans="1:30" x14ac:dyDescent="0.25">
      <c r="A18" s="16" t="s">
        <v>136</v>
      </c>
      <c r="B18" s="16" t="s">
        <v>269</v>
      </c>
      <c r="C18" s="17">
        <v>-0.22528400000000001</v>
      </c>
      <c r="D18" s="17">
        <v>0.119129</v>
      </c>
      <c r="E18" s="17">
        <v>5.8618551289654902E-2</v>
      </c>
      <c r="F18" s="16" t="s">
        <v>274</v>
      </c>
      <c r="G18" s="16" t="s">
        <v>269</v>
      </c>
      <c r="H18" s="17">
        <v>-0.22528699999999999</v>
      </c>
      <c r="I18" s="17">
        <v>0.11913</v>
      </c>
      <c r="J18" s="17">
        <v>5.8610708609622801E-2</v>
      </c>
      <c r="K18" s="16" t="s">
        <v>274</v>
      </c>
      <c r="L18" s="16" t="s">
        <v>269</v>
      </c>
      <c r="M18" s="17">
        <v>-0.19195599999999999</v>
      </c>
      <c r="N18" s="17">
        <v>0.11791500000000001</v>
      </c>
      <c r="O18" s="17">
        <v>0.10354218597916499</v>
      </c>
      <c r="P18" s="16" t="s">
        <v>274</v>
      </c>
      <c r="Q18" s="16" t="s">
        <v>269</v>
      </c>
      <c r="R18" s="17">
        <v>-0.228688</v>
      </c>
      <c r="S18" s="17">
        <v>0.119141</v>
      </c>
      <c r="T18" s="17">
        <v>5.4924428678309503E-2</v>
      </c>
      <c r="U18" s="16" t="s">
        <v>274</v>
      </c>
      <c r="V18" s="16" t="s">
        <v>269</v>
      </c>
      <c r="W18" s="17">
        <v>-0.245591</v>
      </c>
      <c r="X18" s="17">
        <v>0.119135</v>
      </c>
      <c r="Y18" s="134">
        <v>3.92600055137124E-2</v>
      </c>
      <c r="Z18" s="16" t="s">
        <v>274</v>
      </c>
      <c r="AA18" s="16" t="s">
        <v>269</v>
      </c>
      <c r="AB18" s="16">
        <v>-0.22</v>
      </c>
      <c r="AC18" s="16">
        <v>0.12</v>
      </c>
      <c r="AD18" s="16">
        <v>0.06</v>
      </c>
    </row>
    <row r="19" spans="1:30" x14ac:dyDescent="0.25">
      <c r="A19" s="16" t="s">
        <v>136</v>
      </c>
      <c r="B19" s="16" t="s">
        <v>270</v>
      </c>
      <c r="C19" s="17">
        <v>-0.30125099999999999</v>
      </c>
      <c r="D19" s="17">
        <v>0.37185299999999999</v>
      </c>
      <c r="E19" s="17">
        <v>0.417860580917022</v>
      </c>
      <c r="F19" s="16" t="s">
        <v>274</v>
      </c>
      <c r="G19" s="16" t="s">
        <v>270</v>
      </c>
      <c r="H19" s="17">
        <v>-0.30024899999999999</v>
      </c>
      <c r="I19" s="17">
        <v>0.37191099999999999</v>
      </c>
      <c r="J19" s="17">
        <v>0.41948553363852398</v>
      </c>
      <c r="K19" s="16" t="s">
        <v>274</v>
      </c>
      <c r="L19" s="16" t="s">
        <v>270</v>
      </c>
      <c r="M19" s="17">
        <v>-0.61911400000000005</v>
      </c>
      <c r="N19" s="17">
        <v>0.36828300000000003</v>
      </c>
      <c r="O19" s="17">
        <v>9.2746947134068294E-2</v>
      </c>
      <c r="P19" s="16" t="s">
        <v>274</v>
      </c>
      <c r="Q19" s="16" t="s">
        <v>270</v>
      </c>
      <c r="R19" s="17">
        <v>-0.33943800000000002</v>
      </c>
      <c r="S19" s="17">
        <v>0.37243799999999999</v>
      </c>
      <c r="T19" s="17">
        <v>0.36208747242358003</v>
      </c>
      <c r="U19" s="16" t="s">
        <v>274</v>
      </c>
      <c r="V19" s="16" t="s">
        <v>270</v>
      </c>
      <c r="W19" s="17">
        <v>-0.29768</v>
      </c>
      <c r="X19" s="17">
        <v>0.37182500000000002</v>
      </c>
      <c r="Y19" s="134">
        <v>0.42336807111688501</v>
      </c>
      <c r="Z19" s="16" t="s">
        <v>274</v>
      </c>
      <c r="AA19" s="16" t="s">
        <v>270</v>
      </c>
      <c r="AB19" s="16">
        <v>-0.32</v>
      </c>
      <c r="AC19" s="16">
        <v>0.37</v>
      </c>
      <c r="AD19" s="16">
        <v>0.39</v>
      </c>
    </row>
    <row r="20" spans="1:30" x14ac:dyDescent="0.25">
      <c r="A20" s="16" t="s">
        <v>136</v>
      </c>
      <c r="B20" s="16" t="s">
        <v>271</v>
      </c>
      <c r="C20" s="17">
        <v>0.50089799999999995</v>
      </c>
      <c r="D20" s="17">
        <v>0.38988600000000001</v>
      </c>
      <c r="E20" s="17">
        <v>0.19888968123595699</v>
      </c>
      <c r="F20" s="16" t="s">
        <v>274</v>
      </c>
      <c r="G20" s="16" t="s">
        <v>271</v>
      </c>
      <c r="H20" s="17">
        <v>0.50075800000000004</v>
      </c>
      <c r="I20" s="17">
        <v>0.38989000000000001</v>
      </c>
      <c r="J20" s="17">
        <v>0.19901702698541701</v>
      </c>
      <c r="K20" s="16" t="s">
        <v>274</v>
      </c>
      <c r="L20" s="16" t="s">
        <v>271</v>
      </c>
      <c r="M20" s="17">
        <v>0.49347299999999999</v>
      </c>
      <c r="N20" s="17">
        <v>0.38552900000000001</v>
      </c>
      <c r="O20" s="17">
        <v>0.200548894362168</v>
      </c>
      <c r="P20" s="16" t="s">
        <v>274</v>
      </c>
      <c r="Q20" s="16" t="s">
        <v>271</v>
      </c>
      <c r="R20" s="17">
        <v>0.49655199999999999</v>
      </c>
      <c r="S20" s="17">
        <v>0.38988200000000001</v>
      </c>
      <c r="T20" s="17">
        <v>0.20280677215625101</v>
      </c>
      <c r="U20" s="16" t="s">
        <v>274</v>
      </c>
      <c r="V20" s="16" t="s">
        <v>271</v>
      </c>
      <c r="W20" s="17">
        <v>0.44685200000000003</v>
      </c>
      <c r="X20" s="17">
        <v>0.38985900000000001</v>
      </c>
      <c r="Y20" s="134">
        <v>0.25171706163684598</v>
      </c>
      <c r="Z20" s="16" t="s">
        <v>274</v>
      </c>
      <c r="AA20" s="16" t="s">
        <v>271</v>
      </c>
      <c r="AB20" s="16">
        <v>0.5</v>
      </c>
      <c r="AC20" s="16">
        <v>0.39</v>
      </c>
      <c r="AD20" s="16">
        <v>0.2</v>
      </c>
    </row>
    <row r="21" spans="1:30" x14ac:dyDescent="0.25">
      <c r="A21" s="16" t="s">
        <v>136</v>
      </c>
      <c r="B21" s="16" t="s">
        <v>272</v>
      </c>
      <c r="C21" s="17">
        <v>0.48201899999999998</v>
      </c>
      <c r="D21" s="17">
        <v>0.390741</v>
      </c>
      <c r="E21" s="17">
        <v>0.21734900091043599</v>
      </c>
      <c r="F21" s="16" t="s">
        <v>274</v>
      </c>
      <c r="G21" s="16" t="s">
        <v>272</v>
      </c>
      <c r="H21" s="17">
        <v>0.48327199999999998</v>
      </c>
      <c r="I21" s="17">
        <v>0.390824</v>
      </c>
      <c r="J21" s="17">
        <v>0.21625553923111901</v>
      </c>
      <c r="K21" s="16" t="s">
        <v>274</v>
      </c>
      <c r="L21" s="16" t="s">
        <v>272</v>
      </c>
      <c r="M21" s="17">
        <v>0.199827</v>
      </c>
      <c r="N21" s="17">
        <v>0.38675500000000002</v>
      </c>
      <c r="O21" s="17">
        <v>0.60538240007574196</v>
      </c>
      <c r="P21" s="16" t="s">
        <v>274</v>
      </c>
      <c r="Q21" s="16" t="s">
        <v>272</v>
      </c>
      <c r="R21" s="17">
        <v>0.47290199999999999</v>
      </c>
      <c r="S21" s="17">
        <v>0.390764</v>
      </c>
      <c r="T21" s="17">
        <v>0.22620274008605401</v>
      </c>
      <c r="U21" s="16" t="s">
        <v>274</v>
      </c>
      <c r="V21" s="16" t="s">
        <v>272</v>
      </c>
      <c r="W21" s="17">
        <v>0.481657</v>
      </c>
      <c r="X21" s="17">
        <v>0.390621</v>
      </c>
      <c r="Y21" s="134">
        <v>0.217555414115605</v>
      </c>
      <c r="Z21" s="16" t="s">
        <v>274</v>
      </c>
      <c r="AA21" s="16" t="s">
        <v>272</v>
      </c>
      <c r="AB21" s="16">
        <v>0.47</v>
      </c>
      <c r="AC21" s="16">
        <v>0.39</v>
      </c>
      <c r="AD21" s="16">
        <v>0.23</v>
      </c>
    </row>
    <row r="22" spans="1:30" x14ac:dyDescent="0.25">
      <c r="A22" s="135" t="s">
        <v>136</v>
      </c>
      <c r="B22" s="135" t="s">
        <v>273</v>
      </c>
      <c r="C22" s="128">
        <v>-0.39557399999999998</v>
      </c>
      <c r="D22" s="17">
        <v>0.41966599999999998</v>
      </c>
      <c r="E22" s="17">
        <v>0.34589888119715301</v>
      </c>
      <c r="F22" s="135" t="s">
        <v>274</v>
      </c>
      <c r="G22" s="135" t="s">
        <v>273</v>
      </c>
      <c r="H22" s="17">
        <v>-0.396451</v>
      </c>
      <c r="I22" s="17">
        <v>0.419707</v>
      </c>
      <c r="J22" s="17">
        <v>0.34486827704760697</v>
      </c>
      <c r="K22" s="135" t="s">
        <v>274</v>
      </c>
      <c r="L22" s="135" t="s">
        <v>273</v>
      </c>
      <c r="M22" s="17">
        <v>-0.224518</v>
      </c>
      <c r="N22" s="17">
        <v>0.41459200000000002</v>
      </c>
      <c r="O22" s="128">
        <v>0.58813568697595597</v>
      </c>
      <c r="P22" s="135" t="s">
        <v>274</v>
      </c>
      <c r="Q22" s="135" t="s">
        <v>273</v>
      </c>
      <c r="R22" s="17">
        <v>-0.39230799999999999</v>
      </c>
      <c r="S22" s="17">
        <v>0.419659</v>
      </c>
      <c r="T22" s="17">
        <v>0.34987815535698602</v>
      </c>
      <c r="U22" s="135" t="s">
        <v>274</v>
      </c>
      <c r="V22" s="135" t="s">
        <v>273</v>
      </c>
      <c r="W22" s="17">
        <v>-0.36436499999999999</v>
      </c>
      <c r="X22" s="17">
        <v>0.41947499999999999</v>
      </c>
      <c r="Y22" s="134">
        <v>0.38505419562294901</v>
      </c>
      <c r="Z22" s="135" t="s">
        <v>274</v>
      </c>
      <c r="AA22" s="135" t="s">
        <v>273</v>
      </c>
      <c r="AB22" s="135">
        <v>-0.36</v>
      </c>
      <c r="AC22" s="135">
        <v>0.42</v>
      </c>
      <c r="AD22" s="135">
        <v>0.39</v>
      </c>
    </row>
    <row r="23" spans="1:30" s="127" customFormat="1" x14ac:dyDescent="0.25">
      <c r="A23" s="137" t="s">
        <v>138</v>
      </c>
      <c r="B23" s="123" t="s">
        <v>257</v>
      </c>
      <c r="C23" s="128"/>
      <c r="D23" s="124"/>
      <c r="E23" s="124"/>
      <c r="G23" s="124" t="s">
        <v>258</v>
      </c>
      <c r="H23" s="147"/>
      <c r="I23" s="147"/>
      <c r="J23" s="124"/>
      <c r="L23" s="124" t="s">
        <v>259</v>
      </c>
      <c r="M23" s="124"/>
      <c r="N23" s="124"/>
      <c r="O23" s="124"/>
      <c r="Q23" s="124" t="s">
        <v>260</v>
      </c>
      <c r="R23" s="148"/>
      <c r="S23" s="148"/>
      <c r="T23" s="126"/>
      <c r="V23" s="124" t="s">
        <v>261</v>
      </c>
      <c r="W23" s="148"/>
      <c r="X23" s="148"/>
      <c r="Y23" s="126"/>
      <c r="AA23" s="124" t="s">
        <v>262</v>
      </c>
      <c r="AB23" s="124"/>
      <c r="AC23" s="124"/>
      <c r="AD23" s="124"/>
    </row>
    <row r="24" spans="1:30" x14ac:dyDescent="0.25">
      <c r="A24" s="128" t="s">
        <v>107</v>
      </c>
      <c r="B24" s="128" t="s">
        <v>131</v>
      </c>
      <c r="C24" s="128" t="s">
        <v>5</v>
      </c>
      <c r="D24" s="128" t="s">
        <v>108</v>
      </c>
      <c r="E24" s="129" t="s">
        <v>6</v>
      </c>
      <c r="F24" s="128"/>
      <c r="G24" s="128" t="s">
        <v>131</v>
      </c>
      <c r="H24" s="128" t="s">
        <v>5</v>
      </c>
      <c r="I24" s="128" t="s">
        <v>108</v>
      </c>
      <c r="J24" s="129" t="s">
        <v>6</v>
      </c>
      <c r="K24" s="128"/>
      <c r="L24" s="135" t="s">
        <v>131</v>
      </c>
      <c r="M24" s="135" t="s">
        <v>5</v>
      </c>
      <c r="N24" s="135" t="s">
        <v>108</v>
      </c>
      <c r="O24" s="144" t="s">
        <v>6</v>
      </c>
      <c r="P24" s="128"/>
      <c r="Q24" s="128" t="s">
        <v>131</v>
      </c>
      <c r="R24" s="145" t="s">
        <v>5</v>
      </c>
      <c r="S24" s="145" t="s">
        <v>108</v>
      </c>
      <c r="T24" s="131" t="s">
        <v>6</v>
      </c>
      <c r="U24" s="128"/>
      <c r="V24" s="128" t="s">
        <v>131</v>
      </c>
      <c r="W24" s="128" t="s">
        <v>5</v>
      </c>
      <c r="X24" s="128" t="s">
        <v>108</v>
      </c>
      <c r="Y24" s="129" t="s">
        <v>6</v>
      </c>
      <c r="Z24" s="128"/>
      <c r="AA24" s="128" t="s">
        <v>131</v>
      </c>
      <c r="AB24" s="128" t="s">
        <v>5</v>
      </c>
      <c r="AC24" s="128" t="s">
        <v>108</v>
      </c>
      <c r="AD24" s="129" t="s">
        <v>6</v>
      </c>
    </row>
    <row r="25" spans="1:30" x14ac:dyDescent="0.25">
      <c r="A25" s="16" t="s">
        <v>136</v>
      </c>
      <c r="B25" s="132" t="s">
        <v>28</v>
      </c>
      <c r="C25" s="132" t="s">
        <v>28</v>
      </c>
      <c r="D25" s="132" t="s">
        <v>28</v>
      </c>
      <c r="E25" s="132" t="s">
        <v>28</v>
      </c>
      <c r="G25" s="132" t="s">
        <v>28</v>
      </c>
      <c r="H25" s="132" t="s">
        <v>28</v>
      </c>
      <c r="I25" s="132" t="s">
        <v>28</v>
      </c>
      <c r="J25" s="132" t="s">
        <v>28</v>
      </c>
      <c r="L25" s="17" t="s">
        <v>277</v>
      </c>
      <c r="M25" s="17">
        <v>0.75334100000000004</v>
      </c>
      <c r="N25" s="17">
        <v>2.5118000000000001E-2</v>
      </c>
      <c r="O25" s="83" t="s">
        <v>8</v>
      </c>
      <c r="Q25" s="132" t="s">
        <v>28</v>
      </c>
      <c r="V25" s="132" t="s">
        <v>28</v>
      </c>
      <c r="AA25" s="132" t="s">
        <v>28</v>
      </c>
      <c r="AB25" s="132" t="s">
        <v>28</v>
      </c>
      <c r="AC25" s="132" t="s">
        <v>28</v>
      </c>
      <c r="AD25" s="132" t="s">
        <v>28</v>
      </c>
    </row>
    <row r="26" spans="1:30" x14ac:dyDescent="0.25">
      <c r="A26" s="17" t="s">
        <v>136</v>
      </c>
      <c r="B26" s="132" t="s">
        <v>28</v>
      </c>
      <c r="C26" s="132" t="s">
        <v>28</v>
      </c>
      <c r="D26" s="132" t="s">
        <v>28</v>
      </c>
      <c r="E26" s="132" t="s">
        <v>28</v>
      </c>
      <c r="G26" s="16" t="s">
        <v>278</v>
      </c>
      <c r="H26" s="83">
        <v>3.0320999999999998E-3</v>
      </c>
      <c r="I26" s="83">
        <v>2.35152E-2</v>
      </c>
      <c r="J26" s="17">
        <v>0.89739999999999998</v>
      </c>
      <c r="L26" s="132" t="s">
        <v>28</v>
      </c>
      <c r="M26" s="132" t="s">
        <v>28</v>
      </c>
      <c r="N26" s="132" t="s">
        <v>28</v>
      </c>
      <c r="O26" s="132" t="s">
        <v>28</v>
      </c>
      <c r="Q26" s="16" t="s">
        <v>279</v>
      </c>
      <c r="R26" s="134">
        <v>-4.1817100000000003E-2</v>
      </c>
      <c r="S26" s="134">
        <v>2.27727E-2</v>
      </c>
      <c r="T26" s="17">
        <v>6.6299999999999998E-2</v>
      </c>
      <c r="V26" s="16" t="s">
        <v>267</v>
      </c>
      <c r="W26" s="134">
        <v>-0.2288</v>
      </c>
      <c r="X26" s="134">
        <v>2.8989999999999998E-2</v>
      </c>
      <c r="Y26" s="83">
        <v>2.9799999999999999E-15</v>
      </c>
      <c r="AA26" s="17" t="s">
        <v>280</v>
      </c>
      <c r="AB26" s="17">
        <v>0.1514422</v>
      </c>
      <c r="AC26" s="17">
        <v>2.15278E-2</v>
      </c>
      <c r="AD26" s="83">
        <v>2E-12</v>
      </c>
    </row>
    <row r="27" spans="1:30" x14ac:dyDescent="0.25">
      <c r="A27" s="17" t="s">
        <v>136</v>
      </c>
      <c r="B27" s="16" t="s">
        <v>268</v>
      </c>
      <c r="C27" s="17">
        <v>5.13</v>
      </c>
      <c r="D27" s="17">
        <v>1.35</v>
      </c>
      <c r="E27" s="83">
        <v>1.5100000000000001E-4</v>
      </c>
      <c r="G27" s="16" t="s">
        <v>268</v>
      </c>
      <c r="H27" s="17">
        <v>5.1379362999999998</v>
      </c>
      <c r="I27" s="17">
        <v>1.3081035000000001</v>
      </c>
      <c r="J27" s="83">
        <v>8.5699999999999996E-5</v>
      </c>
      <c r="L27" s="16" t="s">
        <v>268</v>
      </c>
      <c r="M27" s="17">
        <v>3.374037</v>
      </c>
      <c r="N27" s="17">
        <v>1.317847</v>
      </c>
      <c r="O27" s="17">
        <v>1.0500000000000001E-2</v>
      </c>
      <c r="Q27" s="16" t="s">
        <v>268</v>
      </c>
      <c r="R27" s="134">
        <v>5.0499923999999998</v>
      </c>
      <c r="S27" s="134">
        <v>1.271957</v>
      </c>
      <c r="T27" s="83">
        <v>7.1799999999999997E-5</v>
      </c>
      <c r="V27" s="16" t="s">
        <v>268</v>
      </c>
      <c r="W27" s="134">
        <v>5.0961600000000002</v>
      </c>
      <c r="X27" s="134">
        <v>1.31741</v>
      </c>
      <c r="Y27" s="83">
        <v>1.1E-4</v>
      </c>
      <c r="AA27" s="16" t="s">
        <v>268</v>
      </c>
      <c r="AB27" s="17">
        <v>5.1766586999999999</v>
      </c>
      <c r="AC27" s="17">
        <v>1.394903</v>
      </c>
      <c r="AD27" s="83">
        <v>2.0599999999999999E-4</v>
      </c>
    </row>
    <row r="28" spans="1:30" x14ac:dyDescent="0.25">
      <c r="A28" s="17" t="s">
        <v>136</v>
      </c>
      <c r="B28" s="16" t="s">
        <v>269</v>
      </c>
      <c r="C28" s="17">
        <v>-2.98</v>
      </c>
      <c r="D28" s="17">
        <v>1.36</v>
      </c>
      <c r="E28" s="17">
        <v>0.03</v>
      </c>
      <c r="G28" s="16" t="s">
        <v>269</v>
      </c>
      <c r="H28" s="17">
        <v>-2.9753535000000002</v>
      </c>
      <c r="I28" s="17">
        <v>1.3145017000000001</v>
      </c>
      <c r="J28" s="17">
        <v>2.3599999999999999E-2</v>
      </c>
      <c r="L28" s="16" t="s">
        <v>269</v>
      </c>
      <c r="M28" s="17">
        <v>-2.7873830000000002</v>
      </c>
      <c r="N28" s="17">
        <v>1.326565</v>
      </c>
      <c r="O28" s="17">
        <v>3.56E-2</v>
      </c>
      <c r="Q28" s="16" t="s">
        <v>269</v>
      </c>
      <c r="R28" s="134">
        <v>-3.0147940000000002</v>
      </c>
      <c r="S28" s="134">
        <v>1.2784667999999999</v>
      </c>
      <c r="T28" s="17">
        <v>1.84E-2</v>
      </c>
      <c r="V28" s="16" t="s">
        <v>269</v>
      </c>
      <c r="W28" s="134">
        <v>-3.1587800000000001</v>
      </c>
      <c r="X28" s="134">
        <v>1.3269500000000001</v>
      </c>
      <c r="Y28" s="17">
        <v>1.729E-2</v>
      </c>
      <c r="AA28" s="16" t="s">
        <v>269</v>
      </c>
      <c r="AB28" s="17">
        <v>-2.9391997999999999</v>
      </c>
      <c r="AC28" s="17">
        <v>1.4065954000000001</v>
      </c>
      <c r="AD28" s="17">
        <v>3.6655E-2</v>
      </c>
    </row>
    <row r="29" spans="1:30" x14ac:dyDescent="0.25">
      <c r="A29" s="17" t="s">
        <v>136</v>
      </c>
      <c r="B29" s="16" t="s">
        <v>270</v>
      </c>
      <c r="C29" s="17">
        <v>-3.72</v>
      </c>
      <c r="D29" s="17">
        <v>4.3099999999999996</v>
      </c>
      <c r="E29" s="17">
        <v>0.39</v>
      </c>
      <c r="G29" s="16" t="s">
        <v>270</v>
      </c>
      <c r="H29" s="17">
        <v>-3.7111866999999998</v>
      </c>
      <c r="I29" s="17">
        <v>3.2997627999999999</v>
      </c>
      <c r="J29" s="17">
        <v>0.26069999999999999</v>
      </c>
      <c r="L29" s="16" t="s">
        <v>270</v>
      </c>
      <c r="M29" s="17">
        <v>-8.6128049999999998</v>
      </c>
      <c r="N29" s="17">
        <v>3.3947579999999999</v>
      </c>
      <c r="O29" s="17">
        <v>1.12E-2</v>
      </c>
      <c r="Q29" s="16" t="s">
        <v>270</v>
      </c>
      <c r="R29" s="134">
        <v>-4.1259815</v>
      </c>
      <c r="S29" s="134">
        <v>3.2065125999999999</v>
      </c>
      <c r="T29" s="17">
        <v>0.19819999999999999</v>
      </c>
      <c r="V29" s="16" t="s">
        <v>270</v>
      </c>
      <c r="W29" s="134">
        <v>-3.69394</v>
      </c>
      <c r="X29" s="134">
        <v>3.8559399999999999</v>
      </c>
      <c r="Y29" s="17">
        <v>0.33806999999999998</v>
      </c>
      <c r="AA29" s="16" t="s">
        <v>270</v>
      </c>
      <c r="AB29" s="17">
        <v>-4.0937888999999998</v>
      </c>
      <c r="AC29" s="17">
        <v>4.1282373000000003</v>
      </c>
      <c r="AD29" s="17">
        <v>0.32136599999999999</v>
      </c>
    </row>
    <row r="30" spans="1:30" x14ac:dyDescent="0.25">
      <c r="A30" s="17" t="s">
        <v>136</v>
      </c>
      <c r="B30" s="16" t="s">
        <v>271</v>
      </c>
      <c r="C30" s="17">
        <v>6.62</v>
      </c>
      <c r="D30" s="17">
        <v>4.41</v>
      </c>
      <c r="E30" s="17">
        <v>0.13</v>
      </c>
      <c r="G30" s="16" t="s">
        <v>271</v>
      </c>
      <c r="H30" s="17">
        <v>6.6199123999999996</v>
      </c>
      <c r="I30" s="17">
        <v>3.3972278999999999</v>
      </c>
      <c r="J30" s="17">
        <v>5.1299999999999998E-2</v>
      </c>
      <c r="L30" s="16" t="s">
        <v>271</v>
      </c>
      <c r="M30" s="17">
        <v>7.7597709999999998</v>
      </c>
      <c r="N30" s="17">
        <v>3.5541839999999998</v>
      </c>
      <c r="O30" s="17">
        <v>2.9000000000000001E-2</v>
      </c>
      <c r="Q30" s="16" t="s">
        <v>271</v>
      </c>
      <c r="R30" s="134">
        <v>6.5398968000000002</v>
      </c>
      <c r="S30" s="134">
        <v>3.3411005</v>
      </c>
      <c r="T30" s="17">
        <v>5.0299999999999997E-2</v>
      </c>
      <c r="V30" s="16" t="s">
        <v>271</v>
      </c>
      <c r="W30" s="134">
        <v>6.0302300000000004</v>
      </c>
      <c r="X30" s="134">
        <v>4.0963000000000003</v>
      </c>
      <c r="Y30" s="17">
        <v>0.14099</v>
      </c>
      <c r="AA30" s="16" t="s">
        <v>271</v>
      </c>
      <c r="AB30" s="17">
        <v>6.6945686999999996</v>
      </c>
      <c r="AC30" s="17">
        <v>4.3258825999999999</v>
      </c>
      <c r="AD30" s="17">
        <v>0.121728</v>
      </c>
    </row>
    <row r="31" spans="1:30" x14ac:dyDescent="0.25">
      <c r="A31" s="17" t="s">
        <v>136</v>
      </c>
      <c r="B31" s="16" t="s">
        <v>272</v>
      </c>
      <c r="C31" s="17">
        <v>6.05</v>
      </c>
      <c r="D31" s="17">
        <v>4.17</v>
      </c>
      <c r="E31" s="17">
        <v>0.15</v>
      </c>
      <c r="G31" s="16" t="s">
        <v>272</v>
      </c>
      <c r="H31" s="17">
        <v>6.0640321000000004</v>
      </c>
      <c r="I31" s="17">
        <v>3.9997308999999999</v>
      </c>
      <c r="J31" s="17">
        <v>0.1295</v>
      </c>
      <c r="L31" s="16" t="s">
        <v>272</v>
      </c>
      <c r="M31" s="17">
        <v>2.75393</v>
      </c>
      <c r="N31" s="17">
        <v>3.9025240000000001</v>
      </c>
      <c r="O31" s="17">
        <v>0.48039999999999999</v>
      </c>
      <c r="Q31" s="16" t="s">
        <v>272</v>
      </c>
      <c r="R31" s="134">
        <v>5.9192039000000003</v>
      </c>
      <c r="S31" s="134">
        <v>3.5399652000000001</v>
      </c>
      <c r="T31" s="17">
        <v>9.4500000000000001E-2</v>
      </c>
      <c r="V31" s="16" t="s">
        <v>272</v>
      </c>
      <c r="W31" s="134">
        <v>5.96</v>
      </c>
      <c r="X31" s="134">
        <v>3.8746499999999999</v>
      </c>
      <c r="Y31" s="17">
        <v>0.124</v>
      </c>
      <c r="AA31" s="16" t="s">
        <v>272</v>
      </c>
      <c r="AB31" s="17">
        <v>5.7861072</v>
      </c>
      <c r="AC31" s="17">
        <v>4.3045309999999999</v>
      </c>
      <c r="AD31" s="17">
        <v>0.17888699999999999</v>
      </c>
    </row>
    <row r="32" spans="1:30" x14ac:dyDescent="0.25">
      <c r="A32" s="128" t="s">
        <v>136</v>
      </c>
      <c r="B32" s="135" t="s">
        <v>273</v>
      </c>
      <c r="C32" s="128">
        <v>-5.0199999999999996</v>
      </c>
      <c r="D32" s="128">
        <v>4.53</v>
      </c>
      <c r="E32" s="128">
        <v>0.27</v>
      </c>
      <c r="F32" s="128"/>
      <c r="G32" s="135" t="s">
        <v>273</v>
      </c>
      <c r="H32" s="128">
        <v>-5.0292129000000001</v>
      </c>
      <c r="I32" s="128">
        <v>4.3244115000000001</v>
      </c>
      <c r="J32" s="128">
        <v>0.24479999999999999</v>
      </c>
      <c r="K32" s="128"/>
      <c r="L32" s="135" t="s">
        <v>273</v>
      </c>
      <c r="M32" s="128">
        <v>-3.0873629999999999</v>
      </c>
      <c r="N32" s="128">
        <v>4.1789259999999997</v>
      </c>
      <c r="O32" s="128">
        <v>0.46</v>
      </c>
      <c r="P32" s="128"/>
      <c r="Q32" s="135" t="s">
        <v>273</v>
      </c>
      <c r="R32" s="128">
        <v>-4.9580199</v>
      </c>
      <c r="S32" s="128">
        <v>3.7891748000000001</v>
      </c>
      <c r="T32" s="128">
        <v>0.19070000000000001</v>
      </c>
      <c r="U32" s="128"/>
      <c r="V32" s="135" t="s">
        <v>273</v>
      </c>
      <c r="W32" s="128">
        <v>-4.5929200000000003</v>
      </c>
      <c r="X32" s="128">
        <v>4.1799299999999997</v>
      </c>
      <c r="Y32" s="128">
        <v>0.27184999999999998</v>
      </c>
      <c r="Z32" s="128"/>
      <c r="AA32" s="135" t="s">
        <v>273</v>
      </c>
      <c r="AB32" s="128">
        <v>-4.6006165000000001</v>
      </c>
      <c r="AC32" s="128">
        <v>4.7080688000000004</v>
      </c>
      <c r="AD32" s="128">
        <v>0.328482</v>
      </c>
    </row>
    <row r="33" spans="1:30" x14ac:dyDescent="0.25">
      <c r="B33" s="135"/>
      <c r="C33" s="128"/>
      <c r="D33" s="128"/>
      <c r="E33" s="128"/>
      <c r="G33" s="135"/>
      <c r="H33" s="128"/>
      <c r="I33" s="128"/>
      <c r="J33" s="128"/>
      <c r="L33" s="135"/>
      <c r="M33" s="128"/>
      <c r="N33" s="128"/>
      <c r="O33" s="128"/>
      <c r="Q33" s="135"/>
      <c r="R33" s="130"/>
      <c r="S33" s="130"/>
      <c r="T33" s="130"/>
      <c r="W33" s="17"/>
      <c r="X33" s="17"/>
      <c r="Y33" s="17"/>
    </row>
    <row r="34" spans="1:30" s="127" customFormat="1" x14ac:dyDescent="0.25">
      <c r="A34" s="122"/>
      <c r="B34" s="123" t="s">
        <v>257</v>
      </c>
      <c r="C34" s="124"/>
      <c r="D34" s="124"/>
      <c r="E34" s="124"/>
      <c r="F34" s="125"/>
      <c r="G34" s="124" t="s">
        <v>258</v>
      </c>
      <c r="H34" s="124"/>
      <c r="I34" s="124"/>
      <c r="J34" s="124"/>
      <c r="K34" s="125"/>
      <c r="L34" s="124" t="s">
        <v>259</v>
      </c>
      <c r="M34" s="124"/>
      <c r="N34" s="124"/>
      <c r="O34" s="124"/>
      <c r="Q34" s="124" t="s">
        <v>260</v>
      </c>
      <c r="R34" s="124"/>
      <c r="S34" s="124"/>
      <c r="T34" s="124"/>
      <c r="U34" s="143"/>
      <c r="V34" s="143"/>
      <c r="W34" s="143"/>
      <c r="X34" s="143"/>
      <c r="Y34" s="143"/>
      <c r="Z34" s="17"/>
      <c r="AA34" s="17"/>
      <c r="AB34" s="17"/>
      <c r="AC34" s="17"/>
      <c r="AD34" s="17"/>
    </row>
    <row r="35" spans="1:30" x14ac:dyDescent="0.25">
      <c r="A35" s="128" t="s">
        <v>107</v>
      </c>
      <c r="B35" s="128" t="s">
        <v>131</v>
      </c>
      <c r="C35" s="128" t="s">
        <v>5</v>
      </c>
      <c r="D35" s="128" t="s">
        <v>108</v>
      </c>
      <c r="E35" s="129" t="s">
        <v>6</v>
      </c>
      <c r="F35" s="128"/>
      <c r="G35" s="128" t="s">
        <v>131</v>
      </c>
      <c r="H35" s="128" t="s">
        <v>5</v>
      </c>
      <c r="I35" s="128" t="s">
        <v>108</v>
      </c>
      <c r="J35" s="129" t="s">
        <v>6</v>
      </c>
      <c r="K35" s="128"/>
      <c r="L35" s="128" t="s">
        <v>131</v>
      </c>
      <c r="M35" s="128" t="s">
        <v>5</v>
      </c>
      <c r="N35" s="128" t="s">
        <v>108</v>
      </c>
      <c r="O35" s="129" t="s">
        <v>6</v>
      </c>
      <c r="Q35" s="128" t="s">
        <v>131</v>
      </c>
      <c r="R35" s="128" t="s">
        <v>5</v>
      </c>
      <c r="S35" s="128" t="s">
        <v>108</v>
      </c>
      <c r="T35" s="129" t="s">
        <v>6</v>
      </c>
      <c r="W35" s="17"/>
      <c r="X35" s="17"/>
      <c r="Y35" s="17"/>
    </row>
    <row r="36" spans="1:30" x14ac:dyDescent="0.25">
      <c r="A36" s="17" t="s">
        <v>267</v>
      </c>
      <c r="B36" s="132" t="s">
        <v>28</v>
      </c>
      <c r="C36" s="132" t="s">
        <v>28</v>
      </c>
      <c r="D36" s="132" t="s">
        <v>28</v>
      </c>
      <c r="E36" s="132" t="s">
        <v>28</v>
      </c>
      <c r="G36" s="132" t="s">
        <v>28</v>
      </c>
      <c r="H36" s="149" t="s">
        <v>28</v>
      </c>
      <c r="I36" s="149" t="s">
        <v>28</v>
      </c>
      <c r="J36" s="149" t="s">
        <v>28</v>
      </c>
      <c r="L36" s="132" t="s">
        <v>28</v>
      </c>
      <c r="M36" s="149" t="s">
        <v>28</v>
      </c>
      <c r="N36" s="149" t="s">
        <v>28</v>
      </c>
      <c r="O36" s="149" t="s">
        <v>28</v>
      </c>
      <c r="P36" s="149"/>
      <c r="Q36" s="17" t="s">
        <v>266</v>
      </c>
      <c r="R36" s="83">
        <v>3.0799999999999998E-3</v>
      </c>
      <c r="S36" s="83">
        <v>1.5899999999999999E-4</v>
      </c>
      <c r="T36" s="83">
        <v>0</v>
      </c>
      <c r="W36" s="17"/>
      <c r="X36" s="17"/>
      <c r="Y36" s="17"/>
    </row>
    <row r="37" spans="1:30" x14ac:dyDescent="0.25">
      <c r="A37" s="17" t="s">
        <v>267</v>
      </c>
      <c r="B37" s="132" t="s">
        <v>28</v>
      </c>
      <c r="C37" s="132" t="s">
        <v>28</v>
      </c>
      <c r="D37" s="132" t="s">
        <v>28</v>
      </c>
      <c r="E37" s="132" t="s">
        <v>28</v>
      </c>
      <c r="G37" s="16" t="s">
        <v>275</v>
      </c>
      <c r="H37" s="83">
        <v>2.9399999999999999E-4</v>
      </c>
      <c r="I37" s="83">
        <v>6.7999999999999999E-5</v>
      </c>
      <c r="J37" s="83">
        <v>1.53552656052547E-5</v>
      </c>
      <c r="L37" s="16" t="s">
        <v>265</v>
      </c>
      <c r="M37" s="83">
        <v>-7.9100000000000004E-4</v>
      </c>
      <c r="N37" s="83">
        <v>2.4600000000000002E-4</v>
      </c>
      <c r="O37" s="83">
        <v>1.30241472345727E-3</v>
      </c>
      <c r="P37" s="149"/>
      <c r="Q37" s="132" t="s">
        <v>28</v>
      </c>
      <c r="R37" s="132" t="s">
        <v>28</v>
      </c>
      <c r="S37" s="132" t="s">
        <v>28</v>
      </c>
      <c r="T37" s="132" t="s">
        <v>28</v>
      </c>
      <c r="W37" s="17"/>
      <c r="X37" s="17"/>
      <c r="Y37" s="17"/>
    </row>
    <row r="38" spans="1:30" x14ac:dyDescent="0.25">
      <c r="A38" s="17" t="s">
        <v>267</v>
      </c>
      <c r="B38" s="16" t="s">
        <v>268</v>
      </c>
      <c r="C38" s="17">
        <v>-0.120752</v>
      </c>
      <c r="D38" s="17">
        <v>0.25941999999999998</v>
      </c>
      <c r="E38" s="17">
        <v>0.641595543341415</v>
      </c>
      <c r="G38" s="16" t="s">
        <v>268</v>
      </c>
      <c r="H38" s="17">
        <v>-5.6735000000000001E-2</v>
      </c>
      <c r="I38" s="17">
        <v>0.25982899999999998</v>
      </c>
      <c r="J38" s="17">
        <v>0.82715240828651804</v>
      </c>
      <c r="L38" s="17" t="s">
        <v>268</v>
      </c>
      <c r="M38" s="17">
        <v>-7.6101000000000002E-2</v>
      </c>
      <c r="N38" s="17">
        <v>0.25980500000000001</v>
      </c>
      <c r="O38" s="134">
        <v>0.76958648050240097</v>
      </c>
      <c r="Q38" s="16" t="s">
        <v>268</v>
      </c>
      <c r="R38" s="17">
        <v>7.1230000000000002E-2</v>
      </c>
      <c r="S38" s="17">
        <v>0.25908300000000001</v>
      </c>
      <c r="T38" s="17">
        <v>0.78336909658765297</v>
      </c>
      <c r="W38" s="17"/>
      <c r="X38" s="17"/>
      <c r="Y38" s="17"/>
    </row>
    <row r="39" spans="1:30" x14ac:dyDescent="0.25">
      <c r="A39" s="17" t="s">
        <v>267</v>
      </c>
      <c r="B39" s="16" t="s">
        <v>269</v>
      </c>
      <c r="C39" s="17">
        <v>-1.1128659999999999</v>
      </c>
      <c r="D39" s="17">
        <v>0.26407599999999998</v>
      </c>
      <c r="E39" s="83">
        <v>2.50678040336627E-5</v>
      </c>
      <c r="G39" s="16" t="s">
        <v>269</v>
      </c>
      <c r="H39" s="17">
        <v>-1.112908</v>
      </c>
      <c r="I39" s="17">
        <v>0.26405499999999998</v>
      </c>
      <c r="J39" s="83">
        <v>2.5012976831106898E-5</v>
      </c>
      <c r="L39" s="17" t="s">
        <v>269</v>
      </c>
      <c r="M39" s="17">
        <v>-1.121829</v>
      </c>
      <c r="N39" s="17">
        <v>0.26410099999999997</v>
      </c>
      <c r="O39" s="83">
        <v>2.1595012641872899E-5</v>
      </c>
      <c r="Q39" s="16" t="s">
        <v>269</v>
      </c>
      <c r="R39" s="17">
        <v>-1.0202800000000001</v>
      </c>
      <c r="S39" s="17">
        <v>0.26352999999999999</v>
      </c>
      <c r="T39" s="83">
        <v>1.08127908504008E-4</v>
      </c>
      <c r="W39" s="17"/>
      <c r="X39" s="17"/>
      <c r="Y39" s="17"/>
    </row>
    <row r="40" spans="1:30" x14ac:dyDescent="0.25">
      <c r="A40" s="17" t="s">
        <v>267</v>
      </c>
      <c r="B40" s="16" t="s">
        <v>270</v>
      </c>
      <c r="C40" s="17">
        <v>-0.49516100000000002</v>
      </c>
      <c r="D40" s="17">
        <v>0.82144200000000001</v>
      </c>
      <c r="E40" s="17">
        <v>0.54664517902468601</v>
      </c>
      <c r="G40" s="16" t="s">
        <v>270</v>
      </c>
      <c r="H40" s="17">
        <v>-0.43044900000000003</v>
      </c>
      <c r="I40" s="17">
        <v>0.82152099999999995</v>
      </c>
      <c r="J40" s="17">
        <v>0.6003022493372</v>
      </c>
      <c r="L40" s="17" t="s">
        <v>270</v>
      </c>
      <c r="M40" s="17">
        <v>-0.41386899999999999</v>
      </c>
      <c r="N40" s="17">
        <v>0.82187600000000005</v>
      </c>
      <c r="O40" s="134">
        <v>0.61456622737405897</v>
      </c>
      <c r="Q40" s="16" t="s">
        <v>270</v>
      </c>
      <c r="R40" s="17">
        <v>0.52466100000000004</v>
      </c>
      <c r="S40" s="17">
        <v>0.82147700000000001</v>
      </c>
      <c r="T40" s="17">
        <v>0.52303107094399404</v>
      </c>
      <c r="W40" s="17"/>
      <c r="X40" s="17"/>
      <c r="Y40" s="17"/>
    </row>
    <row r="41" spans="1:30" x14ac:dyDescent="0.25">
      <c r="A41" s="17" t="s">
        <v>267</v>
      </c>
      <c r="B41" s="16" t="s">
        <v>271</v>
      </c>
      <c r="C41" s="17">
        <v>-2.941414</v>
      </c>
      <c r="D41" s="17">
        <v>0.89335799999999999</v>
      </c>
      <c r="E41" s="83">
        <v>9.9287938975223299E-4</v>
      </c>
      <c r="G41" s="16" t="s">
        <v>271</v>
      </c>
      <c r="H41" s="17">
        <v>-2.941859</v>
      </c>
      <c r="I41" s="17">
        <v>0.89324899999999996</v>
      </c>
      <c r="J41" s="17">
        <v>9.8970639346651602E-4</v>
      </c>
      <c r="L41" s="17" t="s">
        <v>271</v>
      </c>
      <c r="M41" s="17">
        <v>-2.9392299999999998</v>
      </c>
      <c r="N41" s="17">
        <v>0.89335100000000001</v>
      </c>
      <c r="O41" s="83">
        <v>1.0014545830765401E-3</v>
      </c>
      <c r="Q41" s="16" t="s">
        <v>271</v>
      </c>
      <c r="R41" s="17">
        <v>-2.800637</v>
      </c>
      <c r="S41" s="17">
        <v>0.89070700000000003</v>
      </c>
      <c r="T41" s="83">
        <v>1.66492986212252E-3</v>
      </c>
      <c r="W41" s="17"/>
      <c r="X41" s="17"/>
      <c r="Y41" s="17"/>
    </row>
    <row r="42" spans="1:30" x14ac:dyDescent="0.25">
      <c r="A42" s="17" t="s">
        <v>267</v>
      </c>
      <c r="B42" s="16" t="s">
        <v>272</v>
      </c>
      <c r="C42" s="17">
        <v>0.379243</v>
      </c>
      <c r="D42" s="17">
        <v>0.87448099999999995</v>
      </c>
      <c r="E42" s="17">
        <v>0.66452242666049499</v>
      </c>
      <c r="G42" s="16" t="s">
        <v>272</v>
      </c>
      <c r="H42" s="17">
        <v>0.47394900000000001</v>
      </c>
      <c r="I42" s="17">
        <v>0.87467499999999998</v>
      </c>
      <c r="J42" s="17">
        <v>0.587916841002872</v>
      </c>
      <c r="L42" s="17" t="s">
        <v>272</v>
      </c>
      <c r="M42" s="17">
        <v>0.44954699999999997</v>
      </c>
      <c r="N42" s="17">
        <v>0.87479300000000004</v>
      </c>
      <c r="O42" s="134">
        <v>0.60732919892806003</v>
      </c>
      <c r="Q42" s="16" t="s">
        <v>272</v>
      </c>
      <c r="R42" s="17">
        <v>0.62640799999999996</v>
      </c>
      <c r="S42" s="17">
        <v>0.87270599999999998</v>
      </c>
      <c r="T42" s="17">
        <v>0.47289500521586603</v>
      </c>
      <c r="W42" s="17"/>
      <c r="X42" s="17"/>
      <c r="Y42" s="17"/>
    </row>
    <row r="43" spans="1:30" x14ac:dyDescent="0.25">
      <c r="A43" s="17" t="s">
        <v>267</v>
      </c>
      <c r="B43" s="135" t="s">
        <v>273</v>
      </c>
      <c r="C43" s="128">
        <v>1.725876</v>
      </c>
      <c r="D43" s="128">
        <v>0.98841800000000002</v>
      </c>
      <c r="E43" s="128">
        <v>8.0793694551090797E-2</v>
      </c>
      <c r="F43" s="128"/>
      <c r="G43" s="135" t="s">
        <v>273</v>
      </c>
      <c r="H43" s="128">
        <v>1.656982</v>
      </c>
      <c r="I43" s="128">
        <v>0.98838800000000004</v>
      </c>
      <c r="J43" s="128">
        <v>9.3650292586141506E-2</v>
      </c>
      <c r="K43" s="128"/>
      <c r="L43" s="128" t="s">
        <v>273</v>
      </c>
      <c r="M43" s="128">
        <v>1.685565</v>
      </c>
      <c r="N43" s="128">
        <v>0.98845300000000003</v>
      </c>
      <c r="O43" s="130">
        <v>8.8146767008338706E-2</v>
      </c>
      <c r="P43" s="128"/>
      <c r="Q43" s="135" t="s">
        <v>273</v>
      </c>
      <c r="R43" s="128">
        <v>1.643284</v>
      </c>
      <c r="S43" s="128">
        <v>0.98494400000000004</v>
      </c>
      <c r="T43" s="128">
        <v>9.5235657356526296E-2</v>
      </c>
      <c r="W43" s="17"/>
      <c r="X43" s="17"/>
      <c r="Y43" s="17"/>
    </row>
    <row r="44" spans="1:30" x14ac:dyDescent="0.25">
      <c r="A44" s="150" t="s">
        <v>139</v>
      </c>
      <c r="W44" s="17"/>
      <c r="X44" s="17"/>
      <c r="Y44" s="17"/>
    </row>
    <row r="45" spans="1:30" x14ac:dyDescent="0.25">
      <c r="A45" s="150" t="s">
        <v>140</v>
      </c>
    </row>
    <row r="46" spans="1:30" x14ac:dyDescent="0.25">
      <c r="T46" s="17"/>
    </row>
    <row r="47" spans="1:30" x14ac:dyDescent="0.25">
      <c r="T47" s="17"/>
      <c r="Y47" s="17"/>
    </row>
    <row r="48" spans="1:30" x14ac:dyDescent="0.25">
      <c r="T48" s="83"/>
      <c r="Y48" s="17"/>
    </row>
    <row r="49" spans="20:25" x14ac:dyDescent="0.25">
      <c r="T49" s="17"/>
      <c r="Y49" s="17"/>
    </row>
    <row r="50" spans="20:25" x14ac:dyDescent="0.25">
      <c r="T50" s="17"/>
      <c r="Y50" s="17"/>
    </row>
    <row r="51" spans="20:25" x14ac:dyDescent="0.25">
      <c r="T51" s="17"/>
      <c r="Y51" s="17"/>
    </row>
    <row r="52" spans="20:25" x14ac:dyDescent="0.25">
      <c r="T52" s="17"/>
      <c r="Y52" s="17"/>
    </row>
    <row r="53" spans="20:25" x14ac:dyDescent="0.25">
      <c r="T53" s="17"/>
      <c r="Y53" s="17"/>
    </row>
    <row r="54" spans="20:25" x14ac:dyDescent="0.25">
      <c r="T54" s="17"/>
      <c r="Y54" s="17"/>
    </row>
  </sheetData>
  <conditionalFormatting sqref="E27:E34 E39:E43">
    <cfRule type="cellIs" dxfId="1" priority="11" operator="greaterThan">
      <formula>1.96</formula>
    </cfRule>
  </conditionalFormatting>
  <conditionalFormatting sqref="T39">
    <cfRule type="cellIs" dxfId="0" priority="1" operator="greaterThan">
      <formula>1.96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4"/>
  <sheetViews>
    <sheetView zoomScaleNormal="100" workbookViewId="0"/>
  </sheetViews>
  <sheetFormatPr defaultColWidth="8.85546875" defaultRowHeight="15.75" x14ac:dyDescent="0.25"/>
  <cols>
    <col min="1" max="1" width="18.7109375" style="51" customWidth="1"/>
    <col min="2" max="2" width="14.28515625" style="51" customWidth="1"/>
    <col min="3" max="3" width="16.85546875" style="51" customWidth="1"/>
    <col min="4" max="4" width="14.140625" style="52" customWidth="1"/>
    <col min="5" max="5" width="24.85546875" style="51" customWidth="1"/>
    <col min="6" max="6" width="29.28515625" style="51" customWidth="1"/>
    <col min="7" max="7" width="19.5703125" style="51" customWidth="1"/>
    <col min="8" max="8" width="11.42578125" style="51" customWidth="1"/>
    <col min="9" max="9" width="12.42578125" style="53" customWidth="1"/>
    <col min="10" max="10" width="8.85546875" style="53"/>
    <col min="11" max="11" width="14.28515625" style="53" customWidth="1"/>
    <col min="12" max="12" width="15.28515625" style="53" customWidth="1"/>
    <col min="13" max="13" width="31.85546875" style="53" customWidth="1"/>
    <col min="14" max="16384" width="8.85546875" style="51"/>
  </cols>
  <sheetData>
    <row r="1" spans="1:13" ht="20.25" x14ac:dyDescent="0.25">
      <c r="A1" s="50" t="s">
        <v>281</v>
      </c>
    </row>
    <row r="2" spans="1:13" s="56" customFormat="1" x14ac:dyDescent="0.25">
      <c r="A2" s="54" t="s">
        <v>167</v>
      </c>
      <c r="B2" s="54" t="s">
        <v>168</v>
      </c>
      <c r="C2" s="54" t="s">
        <v>169</v>
      </c>
      <c r="D2" s="54" t="s">
        <v>175</v>
      </c>
      <c r="E2" s="54" t="s">
        <v>176</v>
      </c>
      <c r="F2" s="54" t="s">
        <v>282</v>
      </c>
      <c r="G2" s="54" t="s">
        <v>283</v>
      </c>
      <c r="H2" s="54" t="s">
        <v>171</v>
      </c>
      <c r="I2" s="55" t="s">
        <v>284</v>
      </c>
      <c r="J2" s="55" t="s">
        <v>285</v>
      </c>
      <c r="K2" s="55" t="s">
        <v>286</v>
      </c>
      <c r="L2" s="55" t="s">
        <v>287</v>
      </c>
      <c r="M2" s="55" t="s">
        <v>288</v>
      </c>
    </row>
    <row r="3" spans="1:13" x14ac:dyDescent="0.25">
      <c r="A3" s="51" t="s">
        <v>289</v>
      </c>
      <c r="B3" s="51">
        <v>11</v>
      </c>
      <c r="C3" s="51">
        <v>61829740</v>
      </c>
      <c r="D3" s="52" t="s">
        <v>290</v>
      </c>
      <c r="E3" s="51" t="s">
        <v>291</v>
      </c>
      <c r="F3" s="57" t="s">
        <v>292</v>
      </c>
      <c r="G3" s="51" t="s">
        <v>184</v>
      </c>
      <c r="H3" s="51" t="s">
        <v>183</v>
      </c>
      <c r="I3" s="53">
        <v>5.4349999999999702E-3</v>
      </c>
      <c r="J3" s="53">
        <v>0.87144100000000002</v>
      </c>
      <c r="K3" s="53">
        <f>I3-J3</f>
        <v>-0.86600600000000005</v>
      </c>
      <c r="L3" s="53">
        <v>0.86600600000000005</v>
      </c>
      <c r="M3" s="53">
        <v>0.05</v>
      </c>
    </row>
    <row r="4" spans="1:13" x14ac:dyDescent="0.25">
      <c r="A4" s="51" t="s">
        <v>293</v>
      </c>
      <c r="B4" s="51">
        <v>11</v>
      </c>
      <c r="C4" s="51">
        <v>69083946</v>
      </c>
      <c r="D4" s="52" t="s">
        <v>294</v>
      </c>
      <c r="E4" s="51" t="s">
        <v>227</v>
      </c>
      <c r="F4" s="51" t="s">
        <v>109</v>
      </c>
      <c r="G4" s="51" t="s">
        <v>183</v>
      </c>
      <c r="H4" s="51" t="s">
        <v>184</v>
      </c>
      <c r="I4" s="53">
        <v>0.84140300000000001</v>
      </c>
      <c r="J4" s="53">
        <v>4.6659999999999497E-3</v>
      </c>
      <c r="K4" s="53">
        <f t="shared" ref="K4:K42" si="0">I4-J4</f>
        <v>0.83673700000000006</v>
      </c>
      <c r="L4" s="53">
        <v>0.83673699999999995</v>
      </c>
      <c r="M4" s="53">
        <v>0.82</v>
      </c>
    </row>
    <row r="5" spans="1:13" s="56" customFormat="1" x14ac:dyDescent="0.25">
      <c r="A5" s="51" t="s">
        <v>295</v>
      </c>
      <c r="B5" s="51">
        <v>15</v>
      </c>
      <c r="C5" s="51">
        <v>37006950</v>
      </c>
      <c r="D5" s="52" t="s">
        <v>296</v>
      </c>
      <c r="E5" s="51" t="s">
        <v>291</v>
      </c>
      <c r="F5" s="51" t="s">
        <v>109</v>
      </c>
      <c r="G5" s="51" t="s">
        <v>184</v>
      </c>
      <c r="H5" s="51" t="s">
        <v>183</v>
      </c>
      <c r="I5" s="53">
        <v>7.8557000000000002E-2</v>
      </c>
      <c r="J5" s="53">
        <v>0.91528719999999997</v>
      </c>
      <c r="K5" s="53">
        <f t="shared" si="0"/>
        <v>-0.83673019999999998</v>
      </c>
      <c r="L5" s="53">
        <v>0.83673019999999998</v>
      </c>
      <c r="M5" s="53">
        <v>6.0000000000000102E-2</v>
      </c>
    </row>
    <row r="6" spans="1:13" s="56" customFormat="1" x14ac:dyDescent="0.25">
      <c r="A6" s="51" t="s">
        <v>297</v>
      </c>
      <c r="B6" s="51">
        <v>9</v>
      </c>
      <c r="C6" s="51">
        <v>16877760</v>
      </c>
      <c r="D6" s="52" t="s">
        <v>298</v>
      </c>
      <c r="E6" s="51" t="s">
        <v>299</v>
      </c>
      <c r="F6" s="51" t="s">
        <v>109</v>
      </c>
      <c r="G6" s="51" t="s">
        <v>184</v>
      </c>
      <c r="H6" s="51" t="s">
        <v>183</v>
      </c>
      <c r="I6" s="53">
        <v>0.96492089999999997</v>
      </c>
      <c r="J6" s="53">
        <v>0.150614</v>
      </c>
      <c r="K6" s="53">
        <f t="shared" si="0"/>
        <v>0.81430689999999994</v>
      </c>
      <c r="L6" s="53">
        <v>0.81430689999999994</v>
      </c>
      <c r="M6" s="53">
        <v>0.92</v>
      </c>
    </row>
    <row r="7" spans="1:13" x14ac:dyDescent="0.25">
      <c r="A7" s="51" t="s">
        <v>300</v>
      </c>
      <c r="B7" s="51">
        <v>1</v>
      </c>
      <c r="C7" s="51">
        <v>205492435</v>
      </c>
      <c r="D7" s="52" t="s">
        <v>298</v>
      </c>
      <c r="E7" s="51" t="s">
        <v>299</v>
      </c>
      <c r="F7" s="51" t="s">
        <v>109</v>
      </c>
      <c r="G7" s="51" t="s">
        <v>183</v>
      </c>
      <c r="H7" s="51" t="s">
        <v>184</v>
      </c>
      <c r="I7" s="53">
        <v>0.91254939999999996</v>
      </c>
      <c r="J7" s="53">
        <v>0.13125800000000001</v>
      </c>
      <c r="K7" s="53">
        <f t="shared" si="0"/>
        <v>0.78129139999999997</v>
      </c>
      <c r="L7" s="53">
        <v>0.78129139999999997</v>
      </c>
      <c r="M7" s="53">
        <v>0.9</v>
      </c>
    </row>
    <row r="8" spans="1:13" x14ac:dyDescent="0.25">
      <c r="A8" s="51" t="s">
        <v>301</v>
      </c>
      <c r="B8" s="51">
        <v>4</v>
      </c>
      <c r="C8" s="51">
        <v>141804315</v>
      </c>
      <c r="D8" s="52" t="s">
        <v>298</v>
      </c>
      <c r="E8" s="51" t="s">
        <v>299</v>
      </c>
      <c r="F8" s="51" t="s">
        <v>109</v>
      </c>
      <c r="G8" s="51" t="s">
        <v>178</v>
      </c>
      <c r="H8" s="51" t="s">
        <v>179</v>
      </c>
      <c r="I8" s="53">
        <v>0.89476299999999998</v>
      </c>
      <c r="J8" s="53">
        <v>0.121557</v>
      </c>
      <c r="K8" s="53">
        <f t="shared" si="0"/>
        <v>0.77320599999999995</v>
      </c>
      <c r="L8" s="53">
        <v>0.77320599999999995</v>
      </c>
      <c r="M8" s="53">
        <v>0.91</v>
      </c>
    </row>
    <row r="9" spans="1:13" x14ac:dyDescent="0.25">
      <c r="A9" s="51" t="s">
        <v>302</v>
      </c>
      <c r="B9" s="51">
        <v>2</v>
      </c>
      <c r="C9" s="51">
        <v>42032316</v>
      </c>
      <c r="D9" s="52" t="s">
        <v>298</v>
      </c>
      <c r="E9" s="51" t="s">
        <v>299</v>
      </c>
      <c r="F9" s="51" t="s">
        <v>109</v>
      </c>
      <c r="G9" s="51" t="s">
        <v>179</v>
      </c>
      <c r="H9" s="51" t="s">
        <v>183</v>
      </c>
      <c r="I9" s="53">
        <v>0.100296</v>
      </c>
      <c r="J9" s="53">
        <v>0.87107599999999996</v>
      </c>
      <c r="K9" s="53">
        <f t="shared" si="0"/>
        <v>-0.77078000000000002</v>
      </c>
      <c r="L9" s="53">
        <v>0.77078000000000002</v>
      </c>
      <c r="M9" s="53">
        <v>0.23</v>
      </c>
    </row>
    <row r="10" spans="1:13" x14ac:dyDescent="0.25">
      <c r="A10" s="51" t="s">
        <v>303</v>
      </c>
      <c r="B10" s="51">
        <v>15</v>
      </c>
      <c r="C10" s="51">
        <v>28120472</v>
      </c>
      <c r="D10" s="52" t="s">
        <v>304</v>
      </c>
      <c r="E10" s="51" t="s">
        <v>291</v>
      </c>
      <c r="F10" s="51" t="s">
        <v>305</v>
      </c>
      <c r="G10" s="51" t="s">
        <v>179</v>
      </c>
      <c r="H10" s="51" t="s">
        <v>178</v>
      </c>
      <c r="I10" s="53">
        <v>1.0375499999999999E-2</v>
      </c>
      <c r="J10" s="53">
        <v>0.77923600000000004</v>
      </c>
      <c r="K10" s="53">
        <f t="shared" si="0"/>
        <v>-0.76886050000000006</v>
      </c>
      <c r="L10" s="53">
        <v>0.76886049999999995</v>
      </c>
      <c r="M10" s="53">
        <v>0.11</v>
      </c>
    </row>
    <row r="11" spans="1:13" x14ac:dyDescent="0.25">
      <c r="A11" s="51" t="s">
        <v>306</v>
      </c>
      <c r="B11" s="51">
        <v>5</v>
      </c>
      <c r="C11" s="51">
        <v>179659832</v>
      </c>
      <c r="D11" s="52" t="s">
        <v>298</v>
      </c>
      <c r="E11" s="51" t="s">
        <v>307</v>
      </c>
      <c r="F11" s="51" t="s">
        <v>109</v>
      </c>
      <c r="G11" s="51" t="s">
        <v>178</v>
      </c>
      <c r="H11" s="51" t="s">
        <v>179</v>
      </c>
      <c r="I11" s="53">
        <v>0.87598799999999999</v>
      </c>
      <c r="J11" s="53">
        <v>0.109596</v>
      </c>
      <c r="K11" s="53">
        <f t="shared" si="0"/>
        <v>0.76639199999999996</v>
      </c>
      <c r="L11" s="53">
        <v>0.76639199999999996</v>
      </c>
      <c r="M11" s="53">
        <v>0.85709999999999997</v>
      </c>
    </row>
    <row r="12" spans="1:13" x14ac:dyDescent="0.25">
      <c r="A12" s="51" t="s">
        <v>308</v>
      </c>
      <c r="B12" s="51">
        <v>16</v>
      </c>
      <c r="C12" s="51">
        <v>728820</v>
      </c>
      <c r="D12" s="52" t="s">
        <v>309</v>
      </c>
      <c r="E12" s="51" t="s">
        <v>307</v>
      </c>
      <c r="F12" s="51" t="s">
        <v>310</v>
      </c>
      <c r="G12" s="51" t="s">
        <v>178</v>
      </c>
      <c r="H12" s="51" t="s">
        <v>179</v>
      </c>
      <c r="I12" s="53">
        <v>0.97381399999999996</v>
      </c>
      <c r="J12" s="53">
        <v>0.20749600000000001</v>
      </c>
      <c r="K12" s="53">
        <f t="shared" si="0"/>
        <v>0.76631799999999994</v>
      </c>
      <c r="L12" s="53">
        <v>0.76631800000000005</v>
      </c>
      <c r="M12" s="53">
        <v>0.95</v>
      </c>
    </row>
    <row r="13" spans="1:13" x14ac:dyDescent="0.25">
      <c r="A13" s="51" t="s">
        <v>311</v>
      </c>
      <c r="B13" s="51">
        <v>9</v>
      </c>
      <c r="C13" s="51">
        <v>16795288</v>
      </c>
      <c r="D13" s="52" t="s">
        <v>312</v>
      </c>
      <c r="E13" s="51" t="s">
        <v>291</v>
      </c>
      <c r="F13" s="51" t="s">
        <v>313</v>
      </c>
      <c r="G13" s="51" t="s">
        <v>183</v>
      </c>
      <c r="H13" s="51" t="s">
        <v>184</v>
      </c>
      <c r="I13" s="53">
        <v>2.9644300000000001E-3</v>
      </c>
      <c r="J13" s="53">
        <v>0.76177600000000001</v>
      </c>
      <c r="K13" s="53">
        <f t="shared" si="0"/>
        <v>-0.75881156999999999</v>
      </c>
      <c r="L13" s="53">
        <v>0.75881156999999999</v>
      </c>
      <c r="M13" s="53">
        <v>3.0609999999999998E-2</v>
      </c>
    </row>
    <row r="14" spans="1:13" x14ac:dyDescent="0.25">
      <c r="A14" s="51" t="s">
        <v>314</v>
      </c>
      <c r="B14" s="51">
        <v>2</v>
      </c>
      <c r="C14" s="51">
        <v>176505791</v>
      </c>
      <c r="D14" s="52" t="s">
        <v>315</v>
      </c>
      <c r="E14" s="51" t="s">
        <v>307</v>
      </c>
      <c r="F14" s="51" t="s">
        <v>109</v>
      </c>
      <c r="G14" s="51" t="s">
        <v>184</v>
      </c>
      <c r="H14" s="51" t="s">
        <v>178</v>
      </c>
      <c r="I14" s="53">
        <v>0.91551400000000005</v>
      </c>
      <c r="J14" s="53">
        <v>0.157473</v>
      </c>
      <c r="K14" s="53">
        <f t="shared" si="0"/>
        <v>0.75804100000000008</v>
      </c>
      <c r="L14" s="53">
        <v>0.75804099999999996</v>
      </c>
      <c r="M14" s="53">
        <v>0.84</v>
      </c>
    </row>
    <row r="15" spans="1:13" x14ac:dyDescent="0.25">
      <c r="A15" s="51" t="s">
        <v>316</v>
      </c>
      <c r="B15" s="51">
        <v>2</v>
      </c>
      <c r="C15" s="51">
        <v>40750464</v>
      </c>
      <c r="D15" s="52" t="s">
        <v>317</v>
      </c>
      <c r="E15" s="51" t="s">
        <v>307</v>
      </c>
      <c r="F15" s="51" t="s">
        <v>109</v>
      </c>
      <c r="G15" s="51" t="s">
        <v>184</v>
      </c>
      <c r="H15" s="51" t="s">
        <v>179</v>
      </c>
      <c r="I15" s="53">
        <v>0.232213</v>
      </c>
      <c r="J15" s="53">
        <v>0.98120989999999997</v>
      </c>
      <c r="K15" s="53">
        <f t="shared" si="0"/>
        <v>-0.74899689999999997</v>
      </c>
      <c r="L15" s="53">
        <v>0.74899689999999997</v>
      </c>
      <c r="M15" s="53">
        <v>0.25509999999999999</v>
      </c>
    </row>
    <row r="16" spans="1:13" x14ac:dyDescent="0.25">
      <c r="A16" s="51" t="s">
        <v>318</v>
      </c>
      <c r="B16" s="51">
        <v>3</v>
      </c>
      <c r="C16" s="51">
        <v>52063044</v>
      </c>
      <c r="D16" s="52" t="s">
        <v>298</v>
      </c>
      <c r="E16" s="51" t="s">
        <v>299</v>
      </c>
      <c r="F16" s="51" t="s">
        <v>109</v>
      </c>
      <c r="G16" s="51" t="s">
        <v>183</v>
      </c>
      <c r="H16" s="51" t="s">
        <v>184</v>
      </c>
      <c r="I16" s="53">
        <v>0.827075</v>
      </c>
      <c r="J16" s="53">
        <v>7.8895000000000007E-2</v>
      </c>
      <c r="K16" s="53">
        <f t="shared" si="0"/>
        <v>0.74817999999999996</v>
      </c>
      <c r="L16" s="53">
        <v>0.74817999999999996</v>
      </c>
      <c r="M16" s="53">
        <v>0.8</v>
      </c>
    </row>
    <row r="17" spans="1:13" x14ac:dyDescent="0.25">
      <c r="A17" s="51" t="s">
        <v>319</v>
      </c>
      <c r="B17" s="51">
        <v>20</v>
      </c>
      <c r="C17" s="51">
        <v>32706853</v>
      </c>
      <c r="D17" s="52" t="s">
        <v>320</v>
      </c>
      <c r="E17" s="51" t="s">
        <v>291</v>
      </c>
      <c r="F17" s="51" t="s">
        <v>109</v>
      </c>
      <c r="G17" s="51" t="s">
        <v>178</v>
      </c>
      <c r="H17" s="51" t="s">
        <v>179</v>
      </c>
      <c r="I17" s="53">
        <v>0.97529639999999995</v>
      </c>
      <c r="J17" s="53">
        <v>0.229323</v>
      </c>
      <c r="K17" s="53">
        <f t="shared" si="0"/>
        <v>0.74597340000000001</v>
      </c>
      <c r="L17" s="53">
        <v>0.74597340000000001</v>
      </c>
      <c r="M17" s="53">
        <v>0.94</v>
      </c>
    </row>
    <row r="18" spans="1:13" x14ac:dyDescent="0.25">
      <c r="A18" s="51" t="s">
        <v>321</v>
      </c>
      <c r="B18" s="51">
        <v>3</v>
      </c>
      <c r="C18" s="51">
        <v>55415443</v>
      </c>
      <c r="D18" s="52" t="s">
        <v>298</v>
      </c>
      <c r="E18" s="51" t="s">
        <v>299</v>
      </c>
      <c r="F18" s="51" t="s">
        <v>109</v>
      </c>
      <c r="G18" s="51" t="s">
        <v>178</v>
      </c>
      <c r="H18" s="51" t="s">
        <v>179</v>
      </c>
      <c r="I18" s="53">
        <v>3.95299999999998E-3</v>
      </c>
      <c r="J18" s="53">
        <v>0.74493699999999996</v>
      </c>
      <c r="K18" s="53">
        <f t="shared" si="0"/>
        <v>-0.74098399999999998</v>
      </c>
      <c r="L18" s="53">
        <v>0.74098399999999998</v>
      </c>
      <c r="M18" s="53">
        <v>0.04</v>
      </c>
    </row>
    <row r="19" spans="1:13" x14ac:dyDescent="0.25">
      <c r="A19" s="51" t="s">
        <v>322</v>
      </c>
      <c r="B19" s="51">
        <v>5</v>
      </c>
      <c r="C19" s="51">
        <v>10456581</v>
      </c>
      <c r="D19" s="52" t="s">
        <v>323</v>
      </c>
      <c r="E19" s="51" t="s">
        <v>291</v>
      </c>
      <c r="F19" s="51" t="s">
        <v>109</v>
      </c>
      <c r="G19" s="51" t="s">
        <v>179</v>
      </c>
      <c r="H19" s="51" t="s">
        <v>178</v>
      </c>
      <c r="I19" s="53">
        <v>0.16699600000000001</v>
      </c>
      <c r="J19" s="53">
        <v>0.89934199999999997</v>
      </c>
      <c r="K19" s="53">
        <f t="shared" si="0"/>
        <v>-0.73234599999999994</v>
      </c>
      <c r="L19" s="53">
        <v>0.73234600000000005</v>
      </c>
      <c r="M19" s="53">
        <v>0.2</v>
      </c>
    </row>
    <row r="20" spans="1:13" x14ac:dyDescent="0.25">
      <c r="A20" s="51" t="s">
        <v>324</v>
      </c>
      <c r="B20" s="51">
        <v>14</v>
      </c>
      <c r="C20" s="51">
        <v>33715580</v>
      </c>
      <c r="D20" s="52" t="s">
        <v>325</v>
      </c>
      <c r="E20" s="51" t="s">
        <v>291</v>
      </c>
      <c r="F20" s="51" t="s">
        <v>109</v>
      </c>
      <c r="G20" s="51" t="s">
        <v>178</v>
      </c>
      <c r="H20" s="51" t="s">
        <v>179</v>
      </c>
      <c r="I20" s="53">
        <v>0.98912999999999995</v>
      </c>
      <c r="J20" s="53">
        <v>0.25898199999999999</v>
      </c>
      <c r="K20" s="53">
        <f t="shared" si="0"/>
        <v>0.73014800000000002</v>
      </c>
      <c r="L20" s="53">
        <v>0.73014800000000002</v>
      </c>
      <c r="M20" s="53">
        <v>0.93</v>
      </c>
    </row>
    <row r="21" spans="1:13" x14ac:dyDescent="0.25">
      <c r="A21" s="51" t="s">
        <v>326</v>
      </c>
      <c r="B21" s="51">
        <v>5</v>
      </c>
      <c r="C21" s="51">
        <v>173955758</v>
      </c>
      <c r="D21" s="52" t="s">
        <v>327</v>
      </c>
      <c r="E21" s="51" t="s">
        <v>291</v>
      </c>
      <c r="F21" s="51" t="s">
        <v>109</v>
      </c>
      <c r="G21" s="51" t="s">
        <v>178</v>
      </c>
      <c r="H21" s="51" t="s">
        <v>179</v>
      </c>
      <c r="I21" s="53">
        <v>0.79249000000000003</v>
      </c>
      <c r="J21" s="53">
        <v>6.8577399999999997E-2</v>
      </c>
      <c r="K21" s="53">
        <f t="shared" si="0"/>
        <v>0.72391260000000002</v>
      </c>
      <c r="L21" s="53">
        <v>0.72391260000000002</v>
      </c>
      <c r="M21" s="53">
        <v>0.82</v>
      </c>
    </row>
    <row r="22" spans="1:13" x14ac:dyDescent="0.25">
      <c r="A22" s="51" t="s">
        <v>328</v>
      </c>
      <c r="B22" s="51">
        <v>8</v>
      </c>
      <c r="C22" s="51">
        <v>86554803</v>
      </c>
      <c r="D22" s="52" t="s">
        <v>329</v>
      </c>
      <c r="E22" s="51" t="s">
        <v>291</v>
      </c>
      <c r="F22" s="51" t="s">
        <v>109</v>
      </c>
      <c r="G22" s="51" t="s">
        <v>178</v>
      </c>
      <c r="H22" s="51" t="s">
        <v>179</v>
      </c>
      <c r="I22" s="53">
        <v>2.5197600000000001E-2</v>
      </c>
      <c r="J22" s="53">
        <v>0.747699</v>
      </c>
      <c r="K22" s="53">
        <f t="shared" si="0"/>
        <v>-0.72250139999999996</v>
      </c>
      <c r="L22" s="53">
        <v>0.72250139999999996</v>
      </c>
      <c r="M22" s="53">
        <v>0.08</v>
      </c>
    </row>
    <row r="23" spans="1:13" x14ac:dyDescent="0.25">
      <c r="A23" s="51" t="s">
        <v>330</v>
      </c>
      <c r="B23" s="51">
        <v>20</v>
      </c>
      <c r="C23" s="51">
        <v>44366172</v>
      </c>
      <c r="D23" s="52" t="s">
        <v>206</v>
      </c>
      <c r="E23" s="51" t="s">
        <v>291</v>
      </c>
      <c r="F23" s="51" t="s">
        <v>102</v>
      </c>
      <c r="G23" s="51" t="s">
        <v>184</v>
      </c>
      <c r="H23" s="51" t="s">
        <v>183</v>
      </c>
      <c r="I23" s="53">
        <v>0.85573100000000002</v>
      </c>
      <c r="J23" s="53">
        <v>0.107208</v>
      </c>
      <c r="K23" s="53">
        <f t="shared" si="0"/>
        <v>0.74852300000000005</v>
      </c>
      <c r="L23" s="53">
        <v>0.74852300000000005</v>
      </c>
      <c r="M23" s="53">
        <v>0.84689999999999999</v>
      </c>
    </row>
    <row r="24" spans="1:13" x14ac:dyDescent="0.25">
      <c r="A24" s="51" t="s">
        <v>331</v>
      </c>
      <c r="B24" s="51">
        <v>14</v>
      </c>
      <c r="C24" s="51">
        <v>79704527</v>
      </c>
      <c r="D24" s="52" t="s">
        <v>332</v>
      </c>
      <c r="E24" s="51" t="s">
        <v>291</v>
      </c>
      <c r="F24" s="51" t="s">
        <v>102</v>
      </c>
      <c r="G24" s="51" t="s">
        <v>179</v>
      </c>
      <c r="H24" s="51" t="s">
        <v>178</v>
      </c>
      <c r="I24" s="53">
        <v>0.96936800000000001</v>
      </c>
      <c r="J24" s="53">
        <v>0.25756299999999999</v>
      </c>
      <c r="K24" s="53">
        <f t="shared" si="0"/>
        <v>0.71180500000000002</v>
      </c>
      <c r="L24" s="53">
        <v>0.71180500000000002</v>
      </c>
      <c r="M24" s="53">
        <v>0.96</v>
      </c>
    </row>
    <row r="25" spans="1:13" x14ac:dyDescent="0.25">
      <c r="A25" s="51" t="s">
        <v>333</v>
      </c>
      <c r="B25" s="51">
        <v>12</v>
      </c>
      <c r="C25" s="51">
        <v>26321934</v>
      </c>
      <c r="D25" s="52" t="s">
        <v>298</v>
      </c>
      <c r="E25" s="51" t="s">
        <v>307</v>
      </c>
      <c r="F25" s="51" t="s">
        <v>334</v>
      </c>
      <c r="G25" s="51" t="s">
        <v>179</v>
      </c>
      <c r="H25" s="51" t="s">
        <v>178</v>
      </c>
      <c r="I25" s="53">
        <v>0.88389300000000004</v>
      </c>
      <c r="J25" s="53">
        <v>0.24449699999999999</v>
      </c>
      <c r="K25" s="53">
        <f t="shared" si="0"/>
        <v>0.63939600000000008</v>
      </c>
      <c r="L25" s="53">
        <v>0.63939599999999996</v>
      </c>
      <c r="M25" s="53">
        <v>0.89</v>
      </c>
    </row>
    <row r="26" spans="1:13" x14ac:dyDescent="0.25">
      <c r="A26" s="51" t="s">
        <v>335</v>
      </c>
      <c r="B26" s="51">
        <v>11</v>
      </c>
      <c r="C26" s="51">
        <v>61798436</v>
      </c>
      <c r="D26" s="52" t="s">
        <v>336</v>
      </c>
      <c r="E26" s="51" t="s">
        <v>307</v>
      </c>
      <c r="F26" s="51" t="s">
        <v>337</v>
      </c>
      <c r="G26" s="51" t="s">
        <v>183</v>
      </c>
      <c r="H26" s="51" t="s">
        <v>184</v>
      </c>
      <c r="I26" s="53">
        <v>5.4349999999999702E-3</v>
      </c>
      <c r="J26" s="53">
        <v>0.64039599999999997</v>
      </c>
      <c r="K26" s="53">
        <f t="shared" si="0"/>
        <v>-0.634961</v>
      </c>
      <c r="L26" s="53">
        <v>0.634961</v>
      </c>
      <c r="M26" s="53">
        <v>0.04</v>
      </c>
    </row>
    <row r="27" spans="1:13" x14ac:dyDescent="0.25">
      <c r="A27" s="51" t="s">
        <v>338</v>
      </c>
      <c r="B27" s="51">
        <v>15</v>
      </c>
      <c r="C27" s="51">
        <v>40340937</v>
      </c>
      <c r="D27" s="52" t="s">
        <v>339</v>
      </c>
      <c r="E27" s="51" t="s">
        <v>340</v>
      </c>
      <c r="F27" s="51" t="s">
        <v>341</v>
      </c>
      <c r="G27" s="51" t="s">
        <v>178</v>
      </c>
      <c r="H27" s="51" t="s">
        <v>183</v>
      </c>
      <c r="I27" s="53">
        <v>0.29347800000000002</v>
      </c>
      <c r="J27" s="53">
        <v>0.92723089999999997</v>
      </c>
      <c r="K27" s="53">
        <f t="shared" si="0"/>
        <v>-0.63375289999999995</v>
      </c>
      <c r="L27" s="53">
        <v>0.63375289999999995</v>
      </c>
      <c r="M27" s="53">
        <v>0.36</v>
      </c>
    </row>
    <row r="28" spans="1:13" x14ac:dyDescent="0.25">
      <c r="A28" s="51" t="s">
        <v>342</v>
      </c>
      <c r="B28" s="51">
        <v>9</v>
      </c>
      <c r="C28" s="51">
        <v>16715828</v>
      </c>
      <c r="D28" s="52" t="s">
        <v>312</v>
      </c>
      <c r="E28" s="51" t="s">
        <v>291</v>
      </c>
      <c r="F28" s="51" t="s">
        <v>343</v>
      </c>
      <c r="G28" s="51" t="s">
        <v>183</v>
      </c>
      <c r="H28" s="51" t="s">
        <v>184</v>
      </c>
      <c r="I28" s="53">
        <v>0.98567190000000005</v>
      </c>
      <c r="J28" s="53">
        <v>0.35503299999999999</v>
      </c>
      <c r="K28" s="53">
        <f t="shared" si="0"/>
        <v>0.63063890000000011</v>
      </c>
      <c r="L28" s="53">
        <v>0.6306389</v>
      </c>
      <c r="M28" s="53">
        <v>0.93</v>
      </c>
    </row>
    <row r="29" spans="1:13" x14ac:dyDescent="0.25">
      <c r="A29" s="51" t="s">
        <v>344</v>
      </c>
      <c r="B29" s="51">
        <v>14</v>
      </c>
      <c r="C29" s="51">
        <v>89589124</v>
      </c>
      <c r="D29" s="52" t="s">
        <v>345</v>
      </c>
      <c r="E29" s="51" t="s">
        <v>291</v>
      </c>
      <c r="F29" s="51" t="s">
        <v>346</v>
      </c>
      <c r="G29" s="51" t="s">
        <v>179</v>
      </c>
      <c r="H29" s="51" t="s">
        <v>183</v>
      </c>
      <c r="I29" s="53">
        <v>0.99703556999999998</v>
      </c>
      <c r="J29" s="53">
        <v>0.369722</v>
      </c>
      <c r="K29" s="53">
        <f t="shared" si="0"/>
        <v>0.62731356999999999</v>
      </c>
      <c r="L29" s="53">
        <v>0.62731356999999999</v>
      </c>
      <c r="M29" s="53">
        <v>0.99</v>
      </c>
    </row>
    <row r="30" spans="1:13" x14ac:dyDescent="0.25">
      <c r="A30" s="51" t="s">
        <v>347</v>
      </c>
      <c r="B30" s="51">
        <v>12</v>
      </c>
      <c r="C30" s="51">
        <v>33217471</v>
      </c>
      <c r="D30" s="52" t="s">
        <v>298</v>
      </c>
      <c r="E30" s="51" t="s">
        <v>299</v>
      </c>
      <c r="F30" s="51" t="s">
        <v>348</v>
      </c>
      <c r="G30" s="51" t="s">
        <v>178</v>
      </c>
      <c r="H30" s="51" t="s">
        <v>179</v>
      </c>
      <c r="I30" s="53">
        <v>0.720356</v>
      </c>
      <c r="J30" s="53">
        <v>0.11969100000000001</v>
      </c>
      <c r="K30" s="53">
        <f t="shared" si="0"/>
        <v>0.600665</v>
      </c>
      <c r="L30" s="53">
        <v>0.600665</v>
      </c>
      <c r="M30" s="53">
        <v>0.51</v>
      </c>
    </row>
    <row r="31" spans="1:13" x14ac:dyDescent="0.25">
      <c r="A31" s="51" t="s">
        <v>349</v>
      </c>
      <c r="B31" s="51">
        <v>15</v>
      </c>
      <c r="C31" s="51">
        <v>67788548</v>
      </c>
      <c r="D31" s="52" t="s">
        <v>350</v>
      </c>
      <c r="E31" s="51" t="s">
        <v>291</v>
      </c>
      <c r="F31" s="51" t="s">
        <v>351</v>
      </c>
      <c r="G31" s="51" t="s">
        <v>178</v>
      </c>
      <c r="H31" s="51" t="s">
        <v>183</v>
      </c>
      <c r="I31" s="53">
        <v>4.2984000000000001E-2</v>
      </c>
      <c r="J31" s="53">
        <v>0.64313600000000004</v>
      </c>
      <c r="K31" s="53">
        <f t="shared" si="0"/>
        <v>-0.60015200000000002</v>
      </c>
      <c r="L31" s="53">
        <v>0.60015200000000002</v>
      </c>
      <c r="M31" s="53">
        <v>0.05</v>
      </c>
    </row>
    <row r="32" spans="1:13" x14ac:dyDescent="0.25">
      <c r="A32" s="51" t="s">
        <v>352</v>
      </c>
      <c r="B32" s="51">
        <v>7</v>
      </c>
      <c r="C32" s="51">
        <v>14858657</v>
      </c>
      <c r="D32" s="52" t="s">
        <v>353</v>
      </c>
      <c r="E32" s="51" t="s">
        <v>291</v>
      </c>
      <c r="F32" s="51" t="s">
        <v>354</v>
      </c>
      <c r="G32" s="51" t="s">
        <v>183</v>
      </c>
      <c r="H32" s="51" t="s">
        <v>184</v>
      </c>
      <c r="I32" s="53">
        <v>0.77025699999999997</v>
      </c>
      <c r="J32" s="53">
        <v>0.17152899999999999</v>
      </c>
      <c r="K32" s="53">
        <f t="shared" si="0"/>
        <v>0.59872799999999993</v>
      </c>
      <c r="L32" s="53">
        <v>0.59872800000000004</v>
      </c>
      <c r="M32" s="53">
        <v>0.79</v>
      </c>
    </row>
    <row r="33" spans="1:13" x14ac:dyDescent="0.25">
      <c r="A33" s="51" t="s">
        <v>355</v>
      </c>
      <c r="B33" s="51">
        <v>14</v>
      </c>
      <c r="C33" s="51">
        <v>69096578</v>
      </c>
      <c r="D33" s="52" t="s">
        <v>356</v>
      </c>
      <c r="E33" s="51" t="s">
        <v>291</v>
      </c>
      <c r="F33" s="51" t="s">
        <v>102</v>
      </c>
      <c r="G33" s="51" t="s">
        <v>179</v>
      </c>
      <c r="H33" s="51" t="s">
        <v>178</v>
      </c>
      <c r="I33" s="53">
        <v>0.92786599999999997</v>
      </c>
      <c r="J33" s="53">
        <v>0.32995200000000002</v>
      </c>
      <c r="K33" s="53">
        <f t="shared" si="0"/>
        <v>0.59791399999999995</v>
      </c>
      <c r="L33" s="53">
        <v>0.59791399999999995</v>
      </c>
      <c r="M33" s="53">
        <v>0.87</v>
      </c>
    </row>
    <row r="34" spans="1:13" x14ac:dyDescent="0.25">
      <c r="A34" s="51" t="s">
        <v>357</v>
      </c>
      <c r="B34" s="51">
        <v>13</v>
      </c>
      <c r="C34" s="51">
        <v>27438390</v>
      </c>
      <c r="D34" s="52" t="s">
        <v>358</v>
      </c>
      <c r="E34" s="51" t="s">
        <v>307</v>
      </c>
      <c r="F34" s="51" t="s">
        <v>359</v>
      </c>
      <c r="G34" s="51" t="s">
        <v>179</v>
      </c>
      <c r="H34" s="51" t="s">
        <v>178</v>
      </c>
      <c r="I34" s="53">
        <v>6.8181800000000001E-2</v>
      </c>
      <c r="J34" s="53">
        <v>0.66163000000000005</v>
      </c>
      <c r="K34" s="53">
        <f t="shared" si="0"/>
        <v>-0.59344820000000009</v>
      </c>
      <c r="L34" s="53">
        <v>0.59344819999999998</v>
      </c>
      <c r="M34" s="53">
        <v>0.1222</v>
      </c>
    </row>
    <row r="35" spans="1:13" x14ac:dyDescent="0.25">
      <c r="A35" s="51" t="s">
        <v>360</v>
      </c>
      <c r="B35" s="51">
        <v>9</v>
      </c>
      <c r="C35" s="51">
        <v>8284965</v>
      </c>
      <c r="D35" s="52" t="s">
        <v>298</v>
      </c>
      <c r="E35" s="51" t="s">
        <v>299</v>
      </c>
      <c r="F35" s="51" t="s">
        <v>102</v>
      </c>
      <c r="G35" s="51" t="s">
        <v>183</v>
      </c>
      <c r="H35" s="51" t="s">
        <v>179</v>
      </c>
      <c r="I35" s="53">
        <v>0.75543499999999997</v>
      </c>
      <c r="J35" s="53">
        <v>0.17732300000000001</v>
      </c>
      <c r="K35" s="53">
        <f t="shared" si="0"/>
        <v>0.57811199999999996</v>
      </c>
      <c r="L35" s="53">
        <v>0.57811199999999996</v>
      </c>
      <c r="M35" s="53">
        <v>0.59</v>
      </c>
    </row>
    <row r="36" spans="1:13" x14ac:dyDescent="0.25">
      <c r="A36" s="51" t="s">
        <v>361</v>
      </c>
      <c r="B36" s="51">
        <v>10</v>
      </c>
      <c r="C36" s="51">
        <v>73744271</v>
      </c>
      <c r="D36" s="52" t="s">
        <v>362</v>
      </c>
      <c r="E36" s="51" t="s">
        <v>363</v>
      </c>
      <c r="F36" s="51" t="s">
        <v>102</v>
      </c>
      <c r="G36" s="51" t="s">
        <v>178</v>
      </c>
      <c r="H36" s="51" t="s">
        <v>183</v>
      </c>
      <c r="I36" s="53">
        <v>8.8932799999999999E-3</v>
      </c>
      <c r="J36" s="53">
        <v>0.58691099999999996</v>
      </c>
      <c r="K36" s="53">
        <f t="shared" si="0"/>
        <v>-0.57801771999999996</v>
      </c>
      <c r="L36" s="53">
        <v>0.57801771999999996</v>
      </c>
      <c r="M36" s="53">
        <v>0.01</v>
      </c>
    </row>
    <row r="37" spans="1:13" x14ac:dyDescent="0.25">
      <c r="A37" s="51" t="s">
        <v>364</v>
      </c>
      <c r="B37" s="51">
        <v>22</v>
      </c>
      <c r="C37" s="51">
        <v>43928850</v>
      </c>
      <c r="D37" s="52" t="s">
        <v>365</v>
      </c>
      <c r="E37" s="51" t="s">
        <v>366</v>
      </c>
      <c r="F37" s="57" t="s">
        <v>367</v>
      </c>
      <c r="G37" s="51" t="s">
        <v>183</v>
      </c>
      <c r="H37" s="51" t="s">
        <v>184</v>
      </c>
      <c r="I37" s="53">
        <v>0.79397200000000001</v>
      </c>
      <c r="J37" s="53">
        <v>0.216886</v>
      </c>
      <c r="K37" s="53">
        <f t="shared" si="0"/>
        <v>0.57708599999999999</v>
      </c>
      <c r="L37" s="53">
        <v>0.57708599999999999</v>
      </c>
      <c r="M37" s="53">
        <v>0.56000000000000005</v>
      </c>
    </row>
    <row r="38" spans="1:13" x14ac:dyDescent="0.25">
      <c r="A38" s="51" t="s">
        <v>368</v>
      </c>
      <c r="B38" s="51">
        <v>6</v>
      </c>
      <c r="C38" s="51">
        <v>34241504</v>
      </c>
      <c r="D38" s="52" t="s">
        <v>369</v>
      </c>
      <c r="E38" s="51" t="s">
        <v>307</v>
      </c>
      <c r="F38" s="51" t="s">
        <v>370</v>
      </c>
      <c r="G38" s="51" t="s">
        <v>183</v>
      </c>
      <c r="H38" s="51" t="s">
        <v>178</v>
      </c>
      <c r="I38" s="53">
        <v>0.40167999999999998</v>
      </c>
      <c r="J38" s="53">
        <v>0.97615019999999997</v>
      </c>
      <c r="K38" s="53">
        <f t="shared" si="0"/>
        <v>-0.57447019999999993</v>
      </c>
      <c r="L38" s="53">
        <v>0.57447020000000004</v>
      </c>
      <c r="M38" s="53">
        <v>0.28000000000000003</v>
      </c>
    </row>
    <row r="39" spans="1:13" x14ac:dyDescent="0.25">
      <c r="A39" s="51" t="s">
        <v>371</v>
      </c>
      <c r="B39" s="51">
        <v>2</v>
      </c>
      <c r="C39" s="51">
        <v>70112352</v>
      </c>
      <c r="D39" s="52" t="s">
        <v>372</v>
      </c>
      <c r="E39" s="51" t="s">
        <v>373</v>
      </c>
      <c r="F39" s="51" t="s">
        <v>102</v>
      </c>
      <c r="G39" s="51" t="s">
        <v>183</v>
      </c>
      <c r="H39" s="51" t="s">
        <v>184</v>
      </c>
      <c r="I39" s="53">
        <v>0.62895299999999998</v>
      </c>
      <c r="J39" s="53">
        <v>5.72258E-2</v>
      </c>
      <c r="K39" s="53">
        <f t="shared" si="0"/>
        <v>0.57172719999999999</v>
      </c>
      <c r="L39" s="53">
        <v>0.57172719999999999</v>
      </c>
      <c r="M39" s="53">
        <v>0.66</v>
      </c>
    </row>
    <row r="40" spans="1:13" x14ac:dyDescent="0.25">
      <c r="A40" s="51" t="s">
        <v>374</v>
      </c>
      <c r="B40" s="51">
        <v>6</v>
      </c>
      <c r="C40" s="51">
        <v>161273147</v>
      </c>
      <c r="D40" s="52" t="s">
        <v>375</v>
      </c>
      <c r="E40" s="51" t="s">
        <v>291</v>
      </c>
      <c r="F40" s="51" t="s">
        <v>102</v>
      </c>
      <c r="G40" s="51" t="s">
        <v>179</v>
      </c>
      <c r="H40" s="51" t="s">
        <v>183</v>
      </c>
      <c r="I40" s="53">
        <v>0.79891299999999998</v>
      </c>
      <c r="J40" s="53">
        <v>0.23222300000000001</v>
      </c>
      <c r="K40" s="53">
        <f t="shared" si="0"/>
        <v>0.56668999999999992</v>
      </c>
      <c r="L40" s="53">
        <v>0.56669000000000003</v>
      </c>
      <c r="M40" s="53">
        <v>0.72</v>
      </c>
    </row>
    <row r="41" spans="1:13" x14ac:dyDescent="0.25">
      <c r="A41" s="51" t="s">
        <v>376</v>
      </c>
      <c r="B41" s="51">
        <v>5</v>
      </c>
      <c r="C41" s="51">
        <v>154168646</v>
      </c>
      <c r="D41" s="52" t="s">
        <v>377</v>
      </c>
      <c r="E41" s="51" t="s">
        <v>373</v>
      </c>
      <c r="F41" s="51" t="s">
        <v>348</v>
      </c>
      <c r="G41" s="51" t="s">
        <v>183</v>
      </c>
      <c r="H41" s="51" t="s">
        <v>184</v>
      </c>
      <c r="I41" s="53">
        <v>0.98666010000000004</v>
      </c>
      <c r="J41" s="53">
        <v>0.42681999999999998</v>
      </c>
      <c r="K41" s="53">
        <f t="shared" si="0"/>
        <v>0.55984010000000006</v>
      </c>
      <c r="L41" s="53">
        <v>0.55984009999999995</v>
      </c>
      <c r="M41" s="53">
        <v>0.92</v>
      </c>
    </row>
    <row r="42" spans="1:13" x14ac:dyDescent="0.25">
      <c r="A42" s="58" t="s">
        <v>378</v>
      </c>
      <c r="B42" s="58">
        <v>16</v>
      </c>
      <c r="C42" s="58">
        <v>89720353</v>
      </c>
      <c r="D42" s="59" t="s">
        <v>379</v>
      </c>
      <c r="E42" s="58" t="s">
        <v>291</v>
      </c>
      <c r="F42" s="58" t="s">
        <v>380</v>
      </c>
      <c r="G42" s="58" t="s">
        <v>183</v>
      </c>
      <c r="H42" s="58" t="s">
        <v>184</v>
      </c>
      <c r="I42" s="60">
        <v>9.9802399999999999E-2</v>
      </c>
      <c r="J42" s="60">
        <v>0.65119800000000005</v>
      </c>
      <c r="K42" s="60">
        <f t="shared" si="0"/>
        <v>-0.5513956000000001</v>
      </c>
      <c r="L42" s="60">
        <v>0.55139559999999999</v>
      </c>
      <c r="M42" s="60">
        <v>0.18</v>
      </c>
    </row>
    <row r="43" spans="1:13" x14ac:dyDescent="0.25">
      <c r="A43" s="52" t="s">
        <v>381</v>
      </c>
    </row>
    <row r="44" spans="1:13" x14ac:dyDescent="0.25">
      <c r="A44" s="52"/>
    </row>
  </sheetData>
  <hyperlinks>
    <hyperlink ref="F37" r:id="rId1" xr:uid="{00000000-0004-0000-0700-000000000000}"/>
    <hyperlink ref="F3" r:id="rId2" xr:uid="{00000000-0004-0000-0700-000001000000}"/>
  </hyperlinks>
  <pageMargins left="0.7" right="0.7" top="0.75" bottom="0.75" header="0.3" footer="0.3"/>
  <pageSetup paperSize="9" orientation="portrait" horizontalDpi="4294967293" verticalDpi="4294967293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D837-BA09-4A82-85A2-02F4DDAE2975}">
  <dimension ref="A1:Y30"/>
  <sheetViews>
    <sheetView zoomScaleNormal="100" workbookViewId="0">
      <selection activeCell="D35" sqref="D35"/>
    </sheetView>
  </sheetViews>
  <sheetFormatPr defaultColWidth="8.85546875" defaultRowHeight="15.75" x14ac:dyDescent="0.25"/>
  <cols>
    <col min="1" max="1" width="28.140625" style="151" customWidth="1"/>
    <col min="2" max="2" width="11.7109375" style="23" customWidth="1"/>
    <col min="3" max="3" width="16.28515625" style="23" customWidth="1"/>
    <col min="4" max="4" width="12.7109375" style="23" customWidth="1"/>
    <col min="5" max="10" width="20.28515625" style="23" customWidth="1"/>
    <col min="11" max="11" width="12.140625" style="23" customWidth="1"/>
    <col min="12" max="12" width="10.85546875" style="23" customWidth="1"/>
    <col min="13" max="13" width="8.85546875" style="23"/>
    <col min="14" max="14" width="20.28515625" style="23" customWidth="1"/>
    <col min="15" max="17" width="12.85546875" style="23" customWidth="1"/>
    <col min="18" max="23" width="19.85546875" style="23" customWidth="1"/>
    <col min="24" max="25" width="12.85546875" style="23" customWidth="1"/>
    <col min="26" max="16384" width="8.85546875" style="23"/>
  </cols>
  <sheetData>
    <row r="1" spans="1:25" ht="20.25" x14ac:dyDescent="0.25">
      <c r="A1" s="101" t="s">
        <v>382</v>
      </c>
    </row>
    <row r="2" spans="1:25" x14ac:dyDescent="0.25">
      <c r="A2" s="182" t="s">
        <v>383</v>
      </c>
      <c r="B2" s="182"/>
      <c r="C2" s="182"/>
      <c r="D2" s="182"/>
      <c r="E2" s="182"/>
      <c r="F2" s="182"/>
      <c r="G2" s="23" t="s">
        <v>274</v>
      </c>
      <c r="H2" s="23" t="s">
        <v>274</v>
      </c>
      <c r="I2" s="23" t="s">
        <v>274</v>
      </c>
      <c r="J2" s="23" t="s">
        <v>274</v>
      </c>
      <c r="K2" s="23" t="s">
        <v>274</v>
      </c>
      <c r="L2" s="16" t="s">
        <v>274</v>
      </c>
      <c r="N2" s="151" t="s">
        <v>384</v>
      </c>
    </row>
    <row r="3" spans="1:25" ht="18.75" x14ac:dyDescent="0.25">
      <c r="A3" s="61" t="s">
        <v>274</v>
      </c>
      <c r="B3" s="61" t="s">
        <v>385</v>
      </c>
      <c r="C3" s="61" t="s">
        <v>386</v>
      </c>
      <c r="D3" s="61" t="s">
        <v>387</v>
      </c>
      <c r="E3" s="61" t="s">
        <v>268</v>
      </c>
      <c r="F3" s="61" t="s">
        <v>269</v>
      </c>
      <c r="G3" s="61" t="s">
        <v>270</v>
      </c>
      <c r="H3" s="61" t="s">
        <v>271</v>
      </c>
      <c r="I3" s="61" t="s">
        <v>272</v>
      </c>
      <c r="J3" s="61" t="s">
        <v>273</v>
      </c>
      <c r="K3" s="61" t="s">
        <v>388</v>
      </c>
      <c r="L3" s="61" t="s">
        <v>389</v>
      </c>
      <c r="N3" s="62" t="s">
        <v>274</v>
      </c>
      <c r="O3" s="62" t="s">
        <v>385</v>
      </c>
      <c r="P3" s="62" t="s">
        <v>386</v>
      </c>
      <c r="Q3" s="62" t="s">
        <v>387</v>
      </c>
      <c r="R3" s="62" t="s">
        <v>268</v>
      </c>
      <c r="S3" s="62" t="s">
        <v>269</v>
      </c>
      <c r="T3" s="62" t="s">
        <v>270</v>
      </c>
      <c r="U3" s="62" t="s">
        <v>271</v>
      </c>
      <c r="V3" s="62" t="s">
        <v>272</v>
      </c>
      <c r="W3" s="62" t="s">
        <v>273</v>
      </c>
      <c r="X3" s="62" t="s">
        <v>388</v>
      </c>
      <c r="Y3" s="62" t="s">
        <v>389</v>
      </c>
    </row>
    <row r="4" spans="1:25" x14ac:dyDescent="0.25">
      <c r="A4" s="16" t="s">
        <v>385</v>
      </c>
      <c r="B4" s="83">
        <v>3.1300000000000002E-4</v>
      </c>
      <c r="C4" s="83">
        <v>-1.9999999999999999E-6</v>
      </c>
      <c r="D4" s="83">
        <v>0</v>
      </c>
      <c r="E4" s="83">
        <v>-1.2999999999999999E-5</v>
      </c>
      <c r="F4" s="83">
        <v>-2.3599999999999999E-4</v>
      </c>
      <c r="G4" s="83">
        <v>-2.5999999999999998E-5</v>
      </c>
      <c r="H4" s="83">
        <v>-1.47E-3</v>
      </c>
      <c r="I4" s="83">
        <v>3.8000000000000002E-5</v>
      </c>
      <c r="J4" s="83">
        <v>-2.9399999999999999E-4</v>
      </c>
      <c r="K4" s="83">
        <v>-5.0000000000000004E-6</v>
      </c>
      <c r="L4" s="83">
        <v>-6.0000000000000002E-6</v>
      </c>
      <c r="N4" s="152" t="s">
        <v>385</v>
      </c>
      <c r="O4" s="153" t="s">
        <v>28</v>
      </c>
      <c r="P4" s="153"/>
      <c r="Q4" s="153"/>
      <c r="R4" s="153"/>
      <c r="S4" s="153"/>
      <c r="T4" s="153"/>
      <c r="U4" s="153"/>
      <c r="V4" s="153"/>
      <c r="W4" s="153"/>
      <c r="X4" s="154"/>
      <c r="Y4" s="154"/>
    </row>
    <row r="5" spans="1:25" x14ac:dyDescent="0.25">
      <c r="A5" s="16" t="s">
        <v>386</v>
      </c>
      <c r="B5" s="83">
        <v>-1.9999999999999999E-6</v>
      </c>
      <c r="C5" s="17">
        <v>0</v>
      </c>
      <c r="D5" s="17">
        <v>0</v>
      </c>
      <c r="E5" s="83">
        <v>0</v>
      </c>
      <c r="F5" s="83">
        <v>0</v>
      </c>
      <c r="G5" s="83">
        <v>0</v>
      </c>
      <c r="H5" s="83">
        <v>9.9999999999999995E-7</v>
      </c>
      <c r="I5" s="83">
        <v>-9.9999999999999995E-7</v>
      </c>
      <c r="J5" s="83">
        <v>9.9999999999999995E-7</v>
      </c>
      <c r="K5" s="17">
        <v>0</v>
      </c>
      <c r="L5" s="17">
        <v>0</v>
      </c>
      <c r="N5" s="23" t="s">
        <v>386</v>
      </c>
      <c r="O5" s="14" t="s">
        <v>390</v>
      </c>
      <c r="P5" s="14" t="s">
        <v>28</v>
      </c>
      <c r="Q5" s="14"/>
      <c r="R5" s="14"/>
      <c r="S5" s="14"/>
      <c r="T5" s="14"/>
      <c r="U5" s="14"/>
      <c r="V5" s="14"/>
      <c r="W5" s="14"/>
      <c r="X5" s="17"/>
      <c r="Y5" s="17"/>
    </row>
    <row r="6" spans="1:25" ht="18.75" x14ac:dyDescent="0.25">
      <c r="A6" s="16" t="s">
        <v>387</v>
      </c>
      <c r="B6" s="17">
        <v>0</v>
      </c>
      <c r="C6" s="17">
        <v>0</v>
      </c>
      <c r="D6" s="17">
        <v>0</v>
      </c>
      <c r="E6" s="83">
        <v>0</v>
      </c>
      <c r="F6" s="83">
        <v>0</v>
      </c>
      <c r="G6" s="83">
        <v>0</v>
      </c>
      <c r="H6" s="83">
        <v>0</v>
      </c>
      <c r="I6" s="83">
        <v>0</v>
      </c>
      <c r="J6" s="83">
        <v>0</v>
      </c>
      <c r="K6" s="17">
        <v>0</v>
      </c>
      <c r="L6" s="17">
        <v>0</v>
      </c>
      <c r="N6" s="23" t="s">
        <v>387</v>
      </c>
      <c r="O6" s="14" t="s">
        <v>390</v>
      </c>
      <c r="P6" s="14" t="s">
        <v>390</v>
      </c>
      <c r="Q6" s="14" t="s">
        <v>28</v>
      </c>
      <c r="R6" s="14"/>
      <c r="S6" s="14"/>
      <c r="T6" s="14"/>
      <c r="U6" s="14"/>
      <c r="V6" s="14"/>
      <c r="W6" s="14"/>
      <c r="X6" s="17"/>
      <c r="Y6" s="17"/>
    </row>
    <row r="7" spans="1:25" x14ac:dyDescent="0.25">
      <c r="A7" s="16" t="s">
        <v>268</v>
      </c>
      <c r="B7" s="83">
        <v>-1.2999999999999999E-5</v>
      </c>
      <c r="C7" s="17">
        <v>0</v>
      </c>
      <c r="D7" s="17">
        <v>0</v>
      </c>
      <c r="E7" s="83">
        <v>1.3899999999999999E-2</v>
      </c>
      <c r="F7" s="83">
        <v>-1.3899999999999999E-2</v>
      </c>
      <c r="G7" s="83">
        <v>1.3899999999999999E-2</v>
      </c>
      <c r="H7" s="83">
        <v>-1.3899999999999999E-2</v>
      </c>
      <c r="I7" s="83">
        <v>1.6400000000000001E-2</v>
      </c>
      <c r="J7" s="83">
        <v>-1.66E-2</v>
      </c>
      <c r="K7" s="17">
        <v>0</v>
      </c>
      <c r="L7" s="17">
        <v>0</v>
      </c>
      <c r="N7" s="23" t="s">
        <v>268</v>
      </c>
      <c r="O7" s="14">
        <f>B7/SQRT(B4*E7)</f>
        <v>-6.2325214722374483E-3</v>
      </c>
      <c r="P7" s="14" t="s">
        <v>390</v>
      </c>
      <c r="Q7" s="14" t="s">
        <v>390</v>
      </c>
      <c r="R7" s="14" t="s">
        <v>28</v>
      </c>
      <c r="S7" s="14"/>
      <c r="T7" s="14"/>
      <c r="U7" s="14"/>
      <c r="V7" s="14"/>
      <c r="W7" s="14"/>
      <c r="X7" s="17"/>
      <c r="Y7" s="17"/>
    </row>
    <row r="8" spans="1:25" x14ac:dyDescent="0.25">
      <c r="A8" s="16" t="s">
        <v>269</v>
      </c>
      <c r="B8" s="83">
        <v>-2.3599999999999999E-4</v>
      </c>
      <c r="C8" s="17">
        <v>0</v>
      </c>
      <c r="D8" s="17">
        <v>0</v>
      </c>
      <c r="E8" s="83">
        <v>-1.3899999999999999E-2</v>
      </c>
      <c r="F8" s="83">
        <v>1.4200000000000001E-2</v>
      </c>
      <c r="G8" s="83">
        <v>-1.3899999999999999E-2</v>
      </c>
      <c r="H8" s="83">
        <v>1.52E-2</v>
      </c>
      <c r="I8" s="83">
        <v>-1.6400000000000001E-2</v>
      </c>
      <c r="J8" s="83">
        <v>1.6799999999999999E-2</v>
      </c>
      <c r="K8" s="17">
        <v>0</v>
      </c>
      <c r="L8" s="83">
        <v>-5.0000000000000004E-6</v>
      </c>
      <c r="N8" s="23" t="s">
        <v>269</v>
      </c>
      <c r="O8" s="14">
        <f>B8/SQRT(B4*F8)</f>
        <v>-0.1119426701903732</v>
      </c>
      <c r="P8" s="14" t="s">
        <v>390</v>
      </c>
      <c r="Q8" s="14" t="s">
        <v>390</v>
      </c>
      <c r="R8" s="155">
        <f>E8/SQRT(E7*F8)</f>
        <v>-0.98938022996046349</v>
      </c>
      <c r="S8" s="14" t="s">
        <v>28</v>
      </c>
      <c r="T8" s="14"/>
      <c r="U8" s="14"/>
      <c r="V8" s="14"/>
      <c r="W8" s="14"/>
      <c r="X8" s="17"/>
      <c r="Y8" s="17"/>
    </row>
    <row r="9" spans="1:25" x14ac:dyDescent="0.25">
      <c r="A9" s="16" t="s">
        <v>270</v>
      </c>
      <c r="B9" s="83">
        <v>-2.5999999999999998E-5</v>
      </c>
      <c r="C9" s="17">
        <v>0</v>
      </c>
      <c r="D9" s="17">
        <v>0</v>
      </c>
      <c r="E9" s="83">
        <v>1.3899999999999999E-2</v>
      </c>
      <c r="F9" s="83">
        <v>-1.3899999999999999E-2</v>
      </c>
      <c r="G9" s="83">
        <v>0.13800000000000001</v>
      </c>
      <c r="H9" s="83">
        <v>-0.13800000000000001</v>
      </c>
      <c r="I9" s="83">
        <v>2.1600000000000001E-2</v>
      </c>
      <c r="J9" s="83">
        <v>-2.1600000000000001E-2</v>
      </c>
      <c r="K9" s="83">
        <v>5.0000000000000004E-6</v>
      </c>
      <c r="L9" s="83">
        <v>-3.9999999999999998E-6</v>
      </c>
      <c r="N9" s="23" t="s">
        <v>270</v>
      </c>
      <c r="O9" s="14">
        <f>B9/SQRT(B4*G9)</f>
        <v>-3.956048761574388E-3</v>
      </c>
      <c r="P9" s="14" t="s">
        <v>390</v>
      </c>
      <c r="Q9" s="14" t="s">
        <v>390</v>
      </c>
      <c r="R9" s="14">
        <f>E9/SQRT(E7*G9)</f>
        <v>0.31737145063971867</v>
      </c>
      <c r="S9" s="14">
        <f>F9/SQRT(F8*G9)</f>
        <v>-0.3140010388168108</v>
      </c>
      <c r="T9" s="14" t="s">
        <v>28</v>
      </c>
      <c r="U9" s="14"/>
      <c r="V9" s="14"/>
      <c r="W9" s="14"/>
      <c r="X9" s="17"/>
      <c r="Y9" s="17"/>
    </row>
    <row r="10" spans="1:25" x14ac:dyDescent="0.25">
      <c r="A10" s="16" t="s">
        <v>271</v>
      </c>
      <c r="B10" s="83">
        <v>-1.47E-3</v>
      </c>
      <c r="C10" s="83">
        <v>9.9999999999999995E-7</v>
      </c>
      <c r="D10" s="17">
        <v>0</v>
      </c>
      <c r="E10" s="83">
        <v>-1.3899999999999999E-2</v>
      </c>
      <c r="F10" s="83">
        <v>1.52E-2</v>
      </c>
      <c r="G10" s="83">
        <v>-0.13800000000000001</v>
      </c>
      <c r="H10" s="83">
        <v>0.152</v>
      </c>
      <c r="I10" s="83">
        <v>-2.1899999999999999E-2</v>
      </c>
      <c r="J10" s="83">
        <v>2.2100000000000002E-2</v>
      </c>
      <c r="K10" s="83">
        <v>-9.9999999999999995E-7</v>
      </c>
      <c r="L10" s="83">
        <v>6.9999999999999999E-6</v>
      </c>
      <c r="N10" s="23" t="s">
        <v>271</v>
      </c>
      <c r="O10" s="14">
        <f>B10/SQRT(B4*H10)</f>
        <v>-0.21311959000410483</v>
      </c>
      <c r="P10" s="14" t="s">
        <v>390</v>
      </c>
      <c r="Q10" s="14" t="s">
        <v>390</v>
      </c>
      <c r="R10" s="14">
        <f>E10/SQRT(E7*H10)</f>
        <v>-0.30240265941464972</v>
      </c>
      <c r="S10" s="14">
        <f>F10/SQRT(F8*H10)</f>
        <v>0.32717312469261101</v>
      </c>
      <c r="T10" s="14">
        <f>G10/SQRT(G9*H10)</f>
        <v>-0.95283510474903543</v>
      </c>
      <c r="U10" s="14" t="s">
        <v>28</v>
      </c>
      <c r="V10" s="14"/>
      <c r="W10" s="14"/>
      <c r="X10" s="17"/>
      <c r="Y10" s="17"/>
    </row>
    <row r="11" spans="1:25" x14ac:dyDescent="0.25">
      <c r="A11" s="16" t="s">
        <v>272</v>
      </c>
      <c r="B11" s="83">
        <v>3.8000000000000002E-5</v>
      </c>
      <c r="C11" s="83">
        <v>-9.9999999999999995E-7</v>
      </c>
      <c r="D11" s="17">
        <v>0</v>
      </c>
      <c r="E11" s="83">
        <v>1.6400000000000001E-2</v>
      </c>
      <c r="F11" s="83">
        <v>-1.6400000000000001E-2</v>
      </c>
      <c r="G11" s="83">
        <v>2.1600000000000001E-2</v>
      </c>
      <c r="H11" s="83">
        <v>-2.1899999999999999E-2</v>
      </c>
      <c r="I11" s="83">
        <v>0.153</v>
      </c>
      <c r="J11" s="83">
        <v>-0.151</v>
      </c>
      <c r="K11" s="83">
        <v>6.0000000000000002E-6</v>
      </c>
      <c r="L11" s="83">
        <v>1.0000000000000001E-5</v>
      </c>
      <c r="N11" s="23" t="s">
        <v>272</v>
      </c>
      <c r="O11" s="14">
        <f>B11/SQRT(B4*I11)</f>
        <v>5.4911804095184018E-3</v>
      </c>
      <c r="P11" s="14" t="s">
        <v>390</v>
      </c>
      <c r="Q11" s="14" t="s">
        <v>390</v>
      </c>
      <c r="R11" s="14">
        <f>E11/SQRT(E7*I11)</f>
        <v>0.35562372976921258</v>
      </c>
      <c r="S11" s="14">
        <f>F11/SQRT(F8*I11)</f>
        <v>-0.35184708753846122</v>
      </c>
      <c r="T11" s="14">
        <f>G11/SQRT(G9*I11)</f>
        <v>0.14865122502276013</v>
      </c>
      <c r="U11" s="14">
        <f>H11/SQRT(H10*I11)</f>
        <v>-0.14360732925404565</v>
      </c>
      <c r="V11" s="14" t="s">
        <v>28</v>
      </c>
      <c r="W11" s="14"/>
      <c r="X11" s="17"/>
      <c r="Y11" s="17"/>
    </row>
    <row r="12" spans="1:25" x14ac:dyDescent="0.25">
      <c r="A12" s="16" t="s">
        <v>273</v>
      </c>
      <c r="B12" s="83">
        <v>-2.9399999999999999E-4</v>
      </c>
      <c r="C12" s="83">
        <v>9.9999999999999995E-7</v>
      </c>
      <c r="D12" s="17">
        <v>0</v>
      </c>
      <c r="E12" s="83">
        <v>-1.66E-2</v>
      </c>
      <c r="F12" s="83">
        <v>1.6799999999999999E-2</v>
      </c>
      <c r="G12" s="83">
        <v>-2.1600000000000001E-2</v>
      </c>
      <c r="H12" s="83">
        <v>2.2100000000000002E-2</v>
      </c>
      <c r="I12" s="83">
        <v>-0.151</v>
      </c>
      <c r="J12" s="83">
        <v>0.17599999999999999</v>
      </c>
      <c r="K12" s="83">
        <v>-1.0000000000000001E-5</v>
      </c>
      <c r="L12" s="83">
        <v>-2.1999999999999999E-5</v>
      </c>
      <c r="N12" s="23" t="s">
        <v>273</v>
      </c>
      <c r="O12" s="14">
        <f>B12/SQRT(B4*J12)</f>
        <v>-3.9611275557870161E-2</v>
      </c>
      <c r="P12" s="14" t="s">
        <v>390</v>
      </c>
      <c r="Q12" s="14" t="s">
        <v>390</v>
      </c>
      <c r="R12" s="14">
        <f>E12/SQRT(E7*J12)</f>
        <v>-0.33561731142077678</v>
      </c>
      <c r="S12" s="14">
        <f>F12/SQRT(F8*J12)</f>
        <v>0.3360537729058416</v>
      </c>
      <c r="T12" s="14">
        <f>G12/SQRT(G9*J12)</f>
        <v>-0.13859829063162327</v>
      </c>
      <c r="U12" s="14">
        <f>H12/SQRT(H10*J12)</f>
        <v>0.13511829169729825</v>
      </c>
      <c r="V12" s="14">
        <f>I12/SQRT(I11*J12)</f>
        <v>-0.92018446702663947</v>
      </c>
      <c r="W12" s="14" t="s">
        <v>28</v>
      </c>
      <c r="X12" s="17"/>
      <c r="Y12" s="17"/>
    </row>
    <row r="13" spans="1:25" x14ac:dyDescent="0.25">
      <c r="A13" s="16" t="s">
        <v>388</v>
      </c>
      <c r="B13" s="83">
        <v>-5.0000000000000004E-6</v>
      </c>
      <c r="C13" s="17">
        <v>0</v>
      </c>
      <c r="D13" s="17">
        <v>0</v>
      </c>
      <c r="E13" s="83">
        <v>0</v>
      </c>
      <c r="F13" s="83">
        <v>0</v>
      </c>
      <c r="G13" s="83">
        <v>5.0000000000000004E-6</v>
      </c>
      <c r="H13" s="83">
        <v>-9.9999999999999995E-7</v>
      </c>
      <c r="I13" s="83">
        <v>6.0000000000000002E-6</v>
      </c>
      <c r="J13" s="83">
        <v>-1.0000000000000001E-5</v>
      </c>
      <c r="K13" s="83">
        <v>1.4E-5</v>
      </c>
      <c r="L13" s="83">
        <v>9.9999999999999995E-7</v>
      </c>
      <c r="N13" s="23" t="s">
        <v>388</v>
      </c>
      <c r="O13" s="14">
        <f>B13/SQRT(B4*K13)</f>
        <v>-7.553249275871915E-2</v>
      </c>
      <c r="P13" s="14" t="s">
        <v>390</v>
      </c>
      <c r="Q13" s="14" t="s">
        <v>390</v>
      </c>
      <c r="R13" s="14">
        <f>E13/SQRT(E7*K13)</f>
        <v>0</v>
      </c>
      <c r="S13" s="14">
        <f>F13/SQRT(F8*K13)</f>
        <v>0</v>
      </c>
      <c r="T13" s="14">
        <f>G13/SQRT(G9*K13)</f>
        <v>3.5972153941809639E-3</v>
      </c>
      <c r="U13" s="14">
        <f>H13/SQRT(H10*K13)</f>
        <v>-6.8551062138385221E-4</v>
      </c>
      <c r="V13" s="14">
        <f>I13/SQRT(I11*K13)</f>
        <v>4.0996003084539387E-3</v>
      </c>
      <c r="W13" s="14">
        <f>J13/SQRT(J12*K13)</f>
        <v>-6.3705898929703204E-3</v>
      </c>
      <c r="X13" s="14" t="s">
        <v>28</v>
      </c>
      <c r="Y13" s="17"/>
    </row>
    <row r="14" spans="1:25" x14ac:dyDescent="0.25">
      <c r="A14" s="84" t="s">
        <v>389</v>
      </c>
      <c r="B14" s="156">
        <v>-6.0000000000000002E-6</v>
      </c>
      <c r="C14" s="85">
        <v>0</v>
      </c>
      <c r="D14" s="85">
        <v>0</v>
      </c>
      <c r="E14" s="156">
        <v>0</v>
      </c>
      <c r="F14" s="156">
        <v>-5.0000000000000004E-6</v>
      </c>
      <c r="G14" s="156">
        <v>-3.9999999999999998E-6</v>
      </c>
      <c r="H14" s="156">
        <v>6.9999999999999999E-6</v>
      </c>
      <c r="I14" s="156">
        <v>1.0000000000000001E-5</v>
      </c>
      <c r="J14" s="156">
        <v>-2.1999999999999999E-5</v>
      </c>
      <c r="K14" s="156">
        <v>9.9999999999999995E-7</v>
      </c>
      <c r="L14" s="156">
        <v>1.7E-5</v>
      </c>
      <c r="N14" s="157" t="s">
        <v>389</v>
      </c>
      <c r="O14" s="115">
        <f>B14/SQRT(B4*L14)</f>
        <v>-8.2253544333036124E-2</v>
      </c>
      <c r="P14" s="115" t="s">
        <v>390</v>
      </c>
      <c r="Q14" s="115" t="s">
        <v>390</v>
      </c>
      <c r="R14" s="115">
        <f>E14/SQRT(E7*L14)</f>
        <v>0</v>
      </c>
      <c r="S14" s="115">
        <f>F14/SQRT(F8*L14)</f>
        <v>-1.0176568762666319E-2</v>
      </c>
      <c r="T14" s="115">
        <f>G14/SQRT(G9*L14)</f>
        <v>-2.6115358224785396E-3</v>
      </c>
      <c r="U14" s="115">
        <f>H14/SQRT(H10*L14)</f>
        <v>4.3546352656925955E-3</v>
      </c>
      <c r="V14" s="115">
        <f>I14/SQRT(I11*L14)</f>
        <v>6.2005444317027054E-3</v>
      </c>
      <c r="W14" s="115">
        <f>J14/SQRT(J12*L14)</f>
        <v>-1.2718675476729207E-2</v>
      </c>
      <c r="X14" s="115">
        <f>K14/SQRT(K13*L14)</f>
        <v>6.4820372355216441E-2</v>
      </c>
      <c r="Y14" s="115" t="s">
        <v>28</v>
      </c>
    </row>
    <row r="15" spans="1:25" x14ac:dyDescent="0.25">
      <c r="Q15" s="14"/>
      <c r="R15" s="14"/>
    </row>
    <row r="16" spans="1:25" x14ac:dyDescent="0.25">
      <c r="A16" s="151" t="s">
        <v>391</v>
      </c>
      <c r="N16" s="151" t="s">
        <v>392</v>
      </c>
    </row>
    <row r="17" spans="1:25" ht="18.75" x14ac:dyDescent="0.25">
      <c r="A17" s="63"/>
      <c r="B17" s="63" t="s">
        <v>393</v>
      </c>
      <c r="C17" s="158" t="s">
        <v>394</v>
      </c>
      <c r="D17" s="158" t="s">
        <v>387</v>
      </c>
      <c r="E17" s="63" t="s">
        <v>268</v>
      </c>
      <c r="F17" s="63" t="s">
        <v>269</v>
      </c>
      <c r="G17" s="63" t="s">
        <v>270</v>
      </c>
      <c r="H17" s="63" t="s">
        <v>271</v>
      </c>
      <c r="I17" s="63" t="s">
        <v>272</v>
      </c>
      <c r="J17" s="63" t="s">
        <v>273</v>
      </c>
      <c r="K17" s="63" t="s">
        <v>388</v>
      </c>
      <c r="L17" s="63" t="s">
        <v>389</v>
      </c>
      <c r="N17" s="63"/>
      <c r="O17" s="63" t="s">
        <v>393</v>
      </c>
      <c r="P17" s="158" t="s">
        <v>394</v>
      </c>
      <c r="Q17" s="158" t="s">
        <v>387</v>
      </c>
      <c r="R17" s="63" t="s">
        <v>268</v>
      </c>
      <c r="S17" s="63" t="s">
        <v>269</v>
      </c>
      <c r="T17" s="63" t="s">
        <v>270</v>
      </c>
      <c r="U17" s="63" t="s">
        <v>271</v>
      </c>
      <c r="V17" s="63" t="s">
        <v>272</v>
      </c>
      <c r="W17" s="63" t="s">
        <v>273</v>
      </c>
      <c r="X17" s="63" t="s">
        <v>388</v>
      </c>
      <c r="Y17" s="63" t="s">
        <v>389</v>
      </c>
    </row>
    <row r="18" spans="1:25" x14ac:dyDescent="0.25">
      <c r="A18" s="23" t="s">
        <v>393</v>
      </c>
      <c r="B18" s="133">
        <v>3.6555854399999997E-2</v>
      </c>
      <c r="C18" s="133">
        <v>-1.2853299999999999E-3</v>
      </c>
      <c r="D18" s="133">
        <v>1.046225E-4</v>
      </c>
      <c r="E18" s="133">
        <v>-1.0117599999999999E-2</v>
      </c>
      <c r="F18" s="133">
        <v>-2.5437659899999999E-2</v>
      </c>
      <c r="G18" s="133">
        <v>-4.8292210000000002E-2</v>
      </c>
      <c r="H18" s="133">
        <v>-0.1545802</v>
      </c>
      <c r="I18" s="133">
        <v>-1.541089E-2</v>
      </c>
      <c r="J18" s="133">
        <v>-1.706531E-2</v>
      </c>
      <c r="K18" s="133">
        <v>-7.4544800000000001E-4</v>
      </c>
      <c r="L18" s="133">
        <v>-1.3190369999999999E-3</v>
      </c>
      <c r="N18" s="23" t="s">
        <v>393</v>
      </c>
      <c r="O18" s="14" t="s">
        <v>28</v>
      </c>
      <c r="P18" s="14"/>
      <c r="Q18" s="14"/>
      <c r="R18" s="14"/>
      <c r="S18" s="14"/>
      <c r="T18" s="14"/>
      <c r="U18" s="14"/>
      <c r="V18" s="14"/>
      <c r="W18" s="14"/>
      <c r="X18" s="14"/>
    </row>
    <row r="19" spans="1:25" x14ac:dyDescent="0.25">
      <c r="A19" s="23" t="s">
        <v>394</v>
      </c>
      <c r="B19" s="133">
        <v>-1.2853299000000001E-3</v>
      </c>
      <c r="C19" s="133">
        <v>1.3696660000000001E-3</v>
      </c>
      <c r="D19" s="133">
        <v>-5.1138029999999997E-4</v>
      </c>
      <c r="E19" s="133">
        <v>2.123743E-3</v>
      </c>
      <c r="F19" s="133">
        <v>-1.2497844E-3</v>
      </c>
      <c r="G19" s="133">
        <v>-1.0749310000000001E-3</v>
      </c>
      <c r="H19" s="133">
        <v>2.9805959999999999E-3</v>
      </c>
      <c r="I19" s="133">
        <v>2.248613E-3</v>
      </c>
      <c r="J19" s="133">
        <v>-1.6256899999999999E-3</v>
      </c>
      <c r="K19" s="133">
        <v>-9.1149990000000006E-6</v>
      </c>
      <c r="L19" s="133">
        <v>6.7303200000000003E-5</v>
      </c>
      <c r="N19" s="23" t="s">
        <v>394</v>
      </c>
      <c r="O19" s="14">
        <v>-0.182</v>
      </c>
      <c r="P19" s="14" t="s">
        <v>28</v>
      </c>
      <c r="Q19" s="14"/>
      <c r="R19" s="14"/>
      <c r="S19" s="14"/>
      <c r="T19" s="14"/>
      <c r="U19" s="14"/>
      <c r="V19" s="14"/>
      <c r="W19" s="14"/>
      <c r="X19" s="14"/>
    </row>
    <row r="20" spans="1:25" ht="18.75" x14ac:dyDescent="0.25">
      <c r="A20" s="23" t="s">
        <v>387</v>
      </c>
      <c r="B20" s="133">
        <v>1.046225E-4</v>
      </c>
      <c r="C20" s="133">
        <v>-5.1138029999999997E-4</v>
      </c>
      <c r="D20" s="133">
        <v>3.5421980000000002E-4</v>
      </c>
      <c r="E20" s="133">
        <v>-7.0354680000000005E-4</v>
      </c>
      <c r="F20" s="133">
        <v>5.0776439999999999E-4</v>
      </c>
      <c r="G20" s="133">
        <v>7.7878210000000003E-4</v>
      </c>
      <c r="H20" s="133">
        <v>-8.9552580000000004E-4</v>
      </c>
      <c r="I20" s="133">
        <v>-6.188767E-4</v>
      </c>
      <c r="J20" s="133">
        <v>5.6249380000000001E-4</v>
      </c>
      <c r="K20" s="133">
        <v>-1.361478E-6</v>
      </c>
      <c r="L20" s="133">
        <v>-3.6403219999999999E-5</v>
      </c>
      <c r="N20" s="23" t="s">
        <v>387</v>
      </c>
      <c r="O20" s="14">
        <v>2.9000000000000001E-2</v>
      </c>
      <c r="P20" s="14">
        <v>-0.73399999999999999</v>
      </c>
      <c r="Q20" s="14" t="s">
        <v>28</v>
      </c>
      <c r="R20" s="14"/>
      <c r="S20" s="14"/>
      <c r="T20" s="14"/>
      <c r="U20" s="14"/>
      <c r="V20" s="14"/>
      <c r="W20" s="14"/>
      <c r="X20" s="14"/>
    </row>
    <row r="21" spans="1:25" x14ac:dyDescent="0.25">
      <c r="A21" s="23" t="s">
        <v>268</v>
      </c>
      <c r="B21" s="133">
        <v>-1.01176046E-2</v>
      </c>
      <c r="C21" s="133">
        <v>2.123743E-3</v>
      </c>
      <c r="D21" s="133">
        <v>-7.0354680000000005E-4</v>
      </c>
      <c r="E21" s="133">
        <v>1.8325739999999999</v>
      </c>
      <c r="F21" s="133">
        <v>-1.824665905</v>
      </c>
      <c r="G21" s="133">
        <v>1.9107400000000001</v>
      </c>
      <c r="H21" s="133">
        <v>-1.867402</v>
      </c>
      <c r="I21" s="133">
        <v>1.9930410000000001</v>
      </c>
      <c r="J21" s="133">
        <v>-2.0001000000000002</v>
      </c>
      <c r="K21" s="133">
        <v>4.014167E-4</v>
      </c>
      <c r="L21" s="133">
        <v>4.7007169999999997E-5</v>
      </c>
      <c r="N21" s="23" t="s">
        <v>268</v>
      </c>
      <c r="O21" s="14">
        <v>-3.9E-2</v>
      </c>
      <c r="P21" s="14">
        <v>4.2000000000000003E-2</v>
      </c>
      <c r="Q21" s="14">
        <v>-2.8000000000000001E-2</v>
      </c>
      <c r="R21" s="14" t="s">
        <v>28</v>
      </c>
      <c r="S21" s="14"/>
      <c r="T21" s="14"/>
      <c r="U21" s="14"/>
      <c r="V21" s="14"/>
      <c r="W21" s="14"/>
      <c r="X21" s="14"/>
    </row>
    <row r="22" spans="1:25" x14ac:dyDescent="0.25">
      <c r="A22" s="23" t="s">
        <v>269</v>
      </c>
      <c r="B22" s="133">
        <v>-2.5437659899999999E-2</v>
      </c>
      <c r="C22" s="133">
        <v>-1.2497840000000001E-3</v>
      </c>
      <c r="D22" s="133">
        <v>5.0776439999999999E-4</v>
      </c>
      <c r="E22" s="133">
        <v>-1.8246659999999999</v>
      </c>
      <c r="F22" s="133">
        <v>1.8561626661999999</v>
      </c>
      <c r="G22" s="133">
        <v>-1.8640140000000001</v>
      </c>
      <c r="H22" s="133">
        <v>2.0128249999999999</v>
      </c>
      <c r="I22" s="133">
        <v>-1.9830669999999999</v>
      </c>
      <c r="J22" s="133">
        <v>2.0193859999999999</v>
      </c>
      <c r="K22" s="133">
        <v>-3.4476050000000001E-4</v>
      </c>
      <c r="L22" s="133">
        <v>-5.2513539999999995E-4</v>
      </c>
      <c r="N22" s="23" t="s">
        <v>269</v>
      </c>
      <c r="O22" s="14">
        <v>-9.8000000000000004E-2</v>
      </c>
      <c r="P22" s="14">
        <v>-2.5000000000000001E-2</v>
      </c>
      <c r="Q22" s="14">
        <v>0.02</v>
      </c>
      <c r="R22" s="155">
        <v>-0.98899999999999999</v>
      </c>
      <c r="S22" s="14" t="s">
        <v>28</v>
      </c>
      <c r="T22" s="14"/>
      <c r="U22" s="14"/>
      <c r="V22" s="14"/>
      <c r="W22" s="14"/>
      <c r="X22" s="14"/>
    </row>
    <row r="23" spans="1:25" x14ac:dyDescent="0.25">
      <c r="A23" s="23" t="s">
        <v>270</v>
      </c>
      <c r="B23" s="133">
        <v>-4.82922145E-2</v>
      </c>
      <c r="C23" s="133">
        <v>-1.0749310000000001E-3</v>
      </c>
      <c r="D23" s="133">
        <v>7.7878210000000003E-4</v>
      </c>
      <c r="E23" s="133">
        <v>1.9107400000000001</v>
      </c>
      <c r="F23" s="133">
        <v>-1.8640141007</v>
      </c>
      <c r="G23" s="133">
        <v>18.533719999999999</v>
      </c>
      <c r="H23" s="133">
        <v>-18.032509999999998</v>
      </c>
      <c r="I23" s="133">
        <v>2.683932</v>
      </c>
      <c r="J23" s="133">
        <v>-2.7532299999999998</v>
      </c>
      <c r="K23" s="133">
        <v>1.753323E-3</v>
      </c>
      <c r="L23" s="133">
        <v>-7.0566620000000004E-4</v>
      </c>
      <c r="N23" s="23" t="s">
        <v>270</v>
      </c>
      <c r="O23" s="14">
        <v>-5.8999999999999997E-2</v>
      </c>
      <c r="P23" s="14">
        <v>-7.0000000000000001E-3</v>
      </c>
      <c r="Q23" s="14">
        <v>0.01</v>
      </c>
      <c r="R23" s="14">
        <v>0.32800000000000001</v>
      </c>
      <c r="S23" s="14">
        <v>-0.318</v>
      </c>
      <c r="T23" s="14" t="s">
        <v>28</v>
      </c>
      <c r="U23" s="14"/>
      <c r="V23" s="14"/>
      <c r="W23" s="14"/>
      <c r="X23" s="14"/>
    </row>
    <row r="24" spans="1:25" x14ac:dyDescent="0.25">
      <c r="A24" s="23" t="s">
        <v>271</v>
      </c>
      <c r="B24" s="133">
        <v>-0.15458024440000001</v>
      </c>
      <c r="C24" s="133">
        <v>2.9805959999999999E-3</v>
      </c>
      <c r="D24" s="133">
        <v>-8.9552580000000004E-4</v>
      </c>
      <c r="E24" s="133">
        <v>-1.867402</v>
      </c>
      <c r="F24" s="133">
        <v>2.0128251531000001</v>
      </c>
      <c r="G24" s="133">
        <v>-18.032509999999998</v>
      </c>
      <c r="H24" s="133">
        <v>19.435759999999998</v>
      </c>
      <c r="I24" s="133">
        <v>-2.6750780000000001</v>
      </c>
      <c r="J24" s="133">
        <v>2.7557200000000002</v>
      </c>
      <c r="K24" s="133">
        <v>-1.1313639999999999E-3</v>
      </c>
      <c r="L24" s="133">
        <v>1.5076829999999999E-3</v>
      </c>
      <c r="N24" s="23" t="s">
        <v>271</v>
      </c>
      <c r="O24" s="14">
        <v>-0.183</v>
      </c>
      <c r="P24" s="14">
        <v>1.7999999999999999E-2</v>
      </c>
      <c r="Q24" s="14">
        <v>-1.0999999999999999E-2</v>
      </c>
      <c r="R24" s="14">
        <v>-0.313</v>
      </c>
      <c r="S24" s="14">
        <v>0.33500000000000002</v>
      </c>
      <c r="T24" s="14">
        <v>-0.95</v>
      </c>
      <c r="U24" s="14" t="s">
        <v>28</v>
      </c>
      <c r="V24" s="14"/>
      <c r="W24" s="14"/>
      <c r="X24" s="14"/>
    </row>
    <row r="25" spans="1:25" x14ac:dyDescent="0.25">
      <c r="A25" s="23" t="s">
        <v>272</v>
      </c>
      <c r="B25" s="133">
        <v>-1.54108856E-2</v>
      </c>
      <c r="C25" s="133">
        <v>2.248613E-3</v>
      </c>
      <c r="D25" s="133">
        <v>-6.188767E-4</v>
      </c>
      <c r="E25" s="133">
        <v>1.9930410000000001</v>
      </c>
      <c r="F25" s="133">
        <v>-1.9830674634000001</v>
      </c>
      <c r="G25" s="133">
        <v>2.683932</v>
      </c>
      <c r="H25" s="133">
        <v>-2.6750780000000001</v>
      </c>
      <c r="I25" s="133">
        <v>17.41442</v>
      </c>
      <c r="J25" s="133">
        <v>-17.206060000000001</v>
      </c>
      <c r="K25" s="133">
        <v>1.9798799999999998E-3</v>
      </c>
      <c r="L25" s="133">
        <v>1.648902E-3</v>
      </c>
      <c r="N25" s="23" t="s">
        <v>272</v>
      </c>
      <c r="O25" s="14">
        <v>-1.9E-2</v>
      </c>
      <c r="P25" s="14">
        <v>1.4999999999999999E-2</v>
      </c>
      <c r="Q25" s="14">
        <v>-8.0000000000000002E-3</v>
      </c>
      <c r="R25" s="14">
        <v>0.35299999999999998</v>
      </c>
      <c r="S25" s="14">
        <v>-0.34899999999999998</v>
      </c>
      <c r="T25" s="14">
        <v>0.14899999999999999</v>
      </c>
      <c r="U25" s="14">
        <v>-0.14499999999999999</v>
      </c>
      <c r="V25" s="14" t="s">
        <v>28</v>
      </c>
      <c r="W25" s="14"/>
      <c r="X25" s="14"/>
    </row>
    <row r="26" spans="1:25" x14ac:dyDescent="0.25">
      <c r="A26" s="23" t="s">
        <v>273</v>
      </c>
      <c r="B26" s="133">
        <v>-1.7065314000000002E-2</v>
      </c>
      <c r="C26" s="133">
        <v>-1.6256899999999999E-3</v>
      </c>
      <c r="D26" s="133">
        <v>5.6249380000000001E-4</v>
      </c>
      <c r="E26" s="133">
        <v>-2.0001000000000002</v>
      </c>
      <c r="F26" s="133">
        <v>2.0193856541000001</v>
      </c>
      <c r="G26" s="133">
        <v>-2.7532299999999998</v>
      </c>
      <c r="H26" s="133">
        <v>2.7557200000000002</v>
      </c>
      <c r="I26" s="133">
        <v>-17.206060000000001</v>
      </c>
      <c r="J26" s="133">
        <v>20.537870000000002</v>
      </c>
      <c r="K26" s="133">
        <v>-2.510782E-3</v>
      </c>
      <c r="L26" s="133">
        <v>-2.6332479999999999E-3</v>
      </c>
      <c r="N26" s="23" t="s">
        <v>273</v>
      </c>
      <c r="O26" s="14">
        <v>-0.02</v>
      </c>
      <c r="P26" s="14">
        <v>-0.01</v>
      </c>
      <c r="Q26" s="14">
        <v>7.0000000000000001E-3</v>
      </c>
      <c r="R26" s="14">
        <v>-0.32600000000000001</v>
      </c>
      <c r="S26" s="14">
        <v>0.32700000000000001</v>
      </c>
      <c r="T26" s="14">
        <v>-0.14099999999999999</v>
      </c>
      <c r="U26" s="14">
        <v>0.13800000000000001</v>
      </c>
      <c r="V26" s="14">
        <v>-0.91</v>
      </c>
      <c r="W26" s="14" t="s">
        <v>28</v>
      </c>
      <c r="X26" s="14"/>
    </row>
    <row r="27" spans="1:25" x14ac:dyDescent="0.25">
      <c r="A27" s="23" t="s">
        <v>388</v>
      </c>
      <c r="B27" s="133">
        <v>-7.4544800000000001E-4</v>
      </c>
      <c r="C27" s="133">
        <v>-9.1149990000000006E-6</v>
      </c>
      <c r="D27" s="133">
        <v>-1.361478E-6</v>
      </c>
      <c r="E27" s="133">
        <v>4.014167E-4</v>
      </c>
      <c r="F27" s="133">
        <v>-3.4476050000000001E-4</v>
      </c>
      <c r="G27" s="133">
        <v>1.753323E-3</v>
      </c>
      <c r="H27" s="133">
        <v>-1.1313639999999999E-3</v>
      </c>
      <c r="I27" s="133">
        <v>1.9798799999999998E-3</v>
      </c>
      <c r="J27" s="133">
        <v>-2.510782E-3</v>
      </c>
      <c r="K27" s="133">
        <v>1.7532509999999999E-3</v>
      </c>
      <c r="L27" s="133">
        <v>6.5949869999999995E-5</v>
      </c>
      <c r="N27" s="23" t="s">
        <v>388</v>
      </c>
      <c r="O27" s="14">
        <v>-9.2999999999999999E-2</v>
      </c>
      <c r="P27" s="14">
        <v>-6.0000000000000001E-3</v>
      </c>
      <c r="Q27" s="14">
        <v>-2E-3</v>
      </c>
      <c r="R27" s="14">
        <v>7.0000000000000001E-3</v>
      </c>
      <c r="S27" s="14">
        <v>-6.0000000000000001E-3</v>
      </c>
      <c r="T27" s="14">
        <v>0.01</v>
      </c>
      <c r="U27" s="14">
        <v>-6.0000000000000001E-3</v>
      </c>
      <c r="V27" s="14">
        <v>1.0999999999999999E-2</v>
      </c>
      <c r="W27" s="14">
        <v>-1.2999999999999999E-2</v>
      </c>
      <c r="X27" s="14" t="s">
        <v>28</v>
      </c>
    </row>
    <row r="28" spans="1:25" x14ac:dyDescent="0.25">
      <c r="A28" s="36" t="s">
        <v>389</v>
      </c>
      <c r="B28" s="159">
        <v>-1.3190369000000001E-3</v>
      </c>
      <c r="C28" s="159">
        <v>6.7303200000000003E-5</v>
      </c>
      <c r="D28" s="159">
        <v>-3.6403219999999999E-5</v>
      </c>
      <c r="E28" s="159">
        <v>4.7007169999999997E-5</v>
      </c>
      <c r="F28" s="159">
        <v>-5.2513539999999995E-4</v>
      </c>
      <c r="G28" s="159">
        <v>-7.0566620000000004E-4</v>
      </c>
      <c r="H28" s="159">
        <v>1.5076829999999999E-3</v>
      </c>
      <c r="I28" s="159">
        <v>1.648902E-3</v>
      </c>
      <c r="J28" s="159">
        <v>-2.6332479999999999E-3</v>
      </c>
      <c r="K28" s="159">
        <v>6.5949869999999995E-5</v>
      </c>
      <c r="L28" s="159">
        <v>2.2691270000000001E-3</v>
      </c>
      <c r="N28" s="157" t="s">
        <v>389</v>
      </c>
      <c r="O28" s="115">
        <v>-0.14499999999999999</v>
      </c>
      <c r="P28" s="115">
        <v>3.7999999999999999E-2</v>
      </c>
      <c r="Q28" s="115">
        <v>-4.1000000000000002E-2</v>
      </c>
      <c r="R28" s="115">
        <v>1E-3</v>
      </c>
      <c r="S28" s="115">
        <v>-8.0000000000000002E-3</v>
      </c>
      <c r="T28" s="115">
        <v>-3.0000000000000001E-3</v>
      </c>
      <c r="U28" s="115">
        <v>7.0000000000000001E-3</v>
      </c>
      <c r="V28" s="115">
        <v>8.0000000000000002E-3</v>
      </c>
      <c r="W28" s="115">
        <v>-1.2E-2</v>
      </c>
      <c r="X28" s="115">
        <v>3.3000000000000002E-2</v>
      </c>
      <c r="Y28" s="157" t="s">
        <v>28</v>
      </c>
    </row>
    <row r="29" spans="1:25" x14ac:dyDescent="0.25">
      <c r="A29" s="160" t="s">
        <v>395</v>
      </c>
    </row>
    <row r="30" spans="1:25" ht="18.75" x14ac:dyDescent="0.25">
      <c r="A30" s="43" t="s">
        <v>396</v>
      </c>
    </row>
  </sheetData>
  <mergeCells count="1">
    <mergeCell ref="A2:F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C3DC-1683-46C5-8DB5-24614CB5E90D}">
  <dimension ref="A1:C17"/>
  <sheetViews>
    <sheetView workbookViewId="0"/>
  </sheetViews>
  <sheetFormatPr defaultColWidth="8.85546875" defaultRowHeight="15" x14ac:dyDescent="0.25"/>
  <cols>
    <col min="1" max="1" width="28.28515625" style="162" customWidth="1"/>
    <col min="2" max="2" width="6.28515625" style="162" customWidth="1"/>
    <col min="3" max="3" width="45.140625" style="162" customWidth="1"/>
    <col min="4" max="16384" width="8.85546875" style="162"/>
  </cols>
  <sheetData>
    <row r="1" spans="1:3" s="161" customFormat="1" ht="21" thickBot="1" x14ac:dyDescent="0.3">
      <c r="A1" s="100" t="s">
        <v>397</v>
      </c>
    </row>
    <row r="2" spans="1:3" ht="18.75" x14ac:dyDescent="0.25">
      <c r="A2" s="12" t="s">
        <v>398</v>
      </c>
      <c r="B2" s="12" t="s">
        <v>399</v>
      </c>
      <c r="C2" s="12" t="s">
        <v>400</v>
      </c>
    </row>
    <row r="3" spans="1:3" ht="15.75" x14ac:dyDescent="0.25">
      <c r="A3" s="16" t="s">
        <v>401</v>
      </c>
      <c r="B3" s="16" t="s">
        <v>402</v>
      </c>
      <c r="C3" s="16" t="s">
        <v>403</v>
      </c>
    </row>
    <row r="4" spans="1:3" ht="15.75" x14ac:dyDescent="0.25">
      <c r="A4" s="16"/>
      <c r="B4" s="16" t="s">
        <v>404</v>
      </c>
      <c r="C4" s="16" t="s">
        <v>405</v>
      </c>
    </row>
    <row r="5" spans="1:3" ht="15.75" x14ac:dyDescent="0.25">
      <c r="A5" s="16"/>
      <c r="B5" s="16" t="s">
        <v>406</v>
      </c>
      <c r="C5" s="16" t="s">
        <v>407</v>
      </c>
    </row>
    <row r="6" spans="1:3" ht="15.75" x14ac:dyDescent="0.25">
      <c r="A6" s="16" t="s">
        <v>408</v>
      </c>
      <c r="B6" s="16" t="s">
        <v>409</v>
      </c>
      <c r="C6" s="16" t="s">
        <v>410</v>
      </c>
    </row>
    <row r="7" spans="1:3" ht="15.75" x14ac:dyDescent="0.25">
      <c r="A7" s="16"/>
      <c r="B7" s="16" t="s">
        <v>411</v>
      </c>
      <c r="C7" s="16" t="s">
        <v>412</v>
      </c>
    </row>
    <row r="8" spans="1:3" ht="15.75" x14ac:dyDescent="0.25">
      <c r="A8" s="16"/>
      <c r="B8" s="16" t="s">
        <v>413</v>
      </c>
      <c r="C8" s="16" t="s">
        <v>414</v>
      </c>
    </row>
    <row r="9" spans="1:3" ht="15.75" x14ac:dyDescent="0.25">
      <c r="A9" s="16" t="s">
        <v>415</v>
      </c>
      <c r="B9" s="16" t="s">
        <v>416</v>
      </c>
      <c r="C9" s="16" t="s">
        <v>417</v>
      </c>
    </row>
    <row r="10" spans="1:3" ht="15.75" x14ac:dyDescent="0.25">
      <c r="A10" s="16"/>
      <c r="B10" s="16" t="s">
        <v>418</v>
      </c>
      <c r="C10" s="16" t="s">
        <v>419</v>
      </c>
    </row>
    <row r="11" spans="1:3" ht="15.75" x14ac:dyDescent="0.25">
      <c r="A11" s="16"/>
      <c r="B11" s="16" t="s">
        <v>420</v>
      </c>
      <c r="C11" s="16" t="s">
        <v>421</v>
      </c>
    </row>
    <row r="12" spans="1:3" ht="15.75" x14ac:dyDescent="0.25">
      <c r="A12" s="16" t="s">
        <v>422</v>
      </c>
      <c r="B12" s="16" t="s">
        <v>423</v>
      </c>
      <c r="C12" s="16" t="s">
        <v>424</v>
      </c>
    </row>
    <row r="13" spans="1:3" ht="15.75" x14ac:dyDescent="0.25">
      <c r="A13" s="16"/>
      <c r="B13" s="16" t="s">
        <v>425</v>
      </c>
      <c r="C13" s="16" t="s">
        <v>426</v>
      </c>
    </row>
    <row r="14" spans="1:3" ht="15.75" x14ac:dyDescent="0.25">
      <c r="A14" s="16"/>
      <c r="B14" s="16" t="s">
        <v>427</v>
      </c>
      <c r="C14" s="16" t="s">
        <v>428</v>
      </c>
    </row>
    <row r="15" spans="1:3" ht="15.75" x14ac:dyDescent="0.25">
      <c r="A15" s="16"/>
      <c r="B15" s="16" t="s">
        <v>429</v>
      </c>
      <c r="C15" s="16" t="s">
        <v>430</v>
      </c>
    </row>
    <row r="16" spans="1:3" ht="16.5" thickBot="1" x14ac:dyDescent="0.3">
      <c r="A16" s="64"/>
      <c r="B16" s="64" t="s">
        <v>431</v>
      </c>
      <c r="C16" s="64" t="s">
        <v>432</v>
      </c>
    </row>
    <row r="17" spans="1:3" ht="18" x14ac:dyDescent="0.25">
      <c r="A17" s="163" t="s">
        <v>433</v>
      </c>
      <c r="B17" s="164"/>
      <c r="C17" s="164"/>
    </row>
  </sheetData>
  <hyperlinks>
    <hyperlink ref="A17" r:id="rId1" display="#  Educational achievement vairiable abotain from the baseline questionnaire " xr:uid="{09285C73-25FA-4923-8CFD-BF13B0DB2B56}"/>
  </hyperlinks>
  <pageMargins left="0.7" right="0.7" top="0.75" bottom="0.75" header="0.3" footer="0.3"/>
  <pageSetup paperSize="9" orientation="portrait" horizontalDpi="4294967293" verticalDpi="4294967293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8"/>
  <sheetViews>
    <sheetView zoomScaleNormal="100" workbookViewId="0">
      <selection activeCell="D22" sqref="D22"/>
    </sheetView>
  </sheetViews>
  <sheetFormatPr defaultColWidth="8.85546875" defaultRowHeight="15.75" x14ac:dyDescent="0.25"/>
  <cols>
    <col min="1" max="1" width="26" style="16" customWidth="1"/>
    <col min="2" max="2" width="8.85546875" style="16" customWidth="1"/>
    <col min="3" max="16384" width="8.85546875" style="16"/>
  </cols>
  <sheetData>
    <row r="1" spans="1:16" ht="24" x14ac:dyDescent="0.3">
      <c r="A1" s="81" t="s">
        <v>434</v>
      </c>
    </row>
    <row r="2" spans="1:16" x14ac:dyDescent="0.25">
      <c r="A2" s="165"/>
      <c r="B2" s="165" t="s">
        <v>136</v>
      </c>
      <c r="C2" s="165" t="s">
        <v>109</v>
      </c>
      <c r="D2" s="165" t="s">
        <v>113</v>
      </c>
      <c r="E2" s="165" t="s">
        <v>114</v>
      </c>
      <c r="F2" s="165" t="s">
        <v>48</v>
      </c>
      <c r="G2" s="165" t="s">
        <v>115</v>
      </c>
      <c r="H2" s="165" t="s">
        <v>116</v>
      </c>
      <c r="I2" s="165" t="s">
        <v>117</v>
      </c>
      <c r="J2" s="165" t="s">
        <v>118</v>
      </c>
      <c r="K2" s="165" t="s">
        <v>119</v>
      </c>
      <c r="L2" s="165" t="s">
        <v>120</v>
      </c>
      <c r="M2" s="165" t="s">
        <v>121</v>
      </c>
      <c r="N2" s="165" t="s">
        <v>267</v>
      </c>
      <c r="O2" s="165" t="s">
        <v>111</v>
      </c>
      <c r="P2" s="165" t="s">
        <v>112</v>
      </c>
    </row>
    <row r="3" spans="1:16" x14ac:dyDescent="0.25">
      <c r="A3" s="16" t="s">
        <v>136</v>
      </c>
      <c r="B3" s="82">
        <v>1</v>
      </c>
      <c r="C3" s="82">
        <v>-5.5199999999999999E-2</v>
      </c>
      <c r="D3" s="82">
        <v>2.8999999999999998E-3</v>
      </c>
      <c r="E3" s="82">
        <v>4.1500000000000002E-2</v>
      </c>
      <c r="F3" s="82">
        <v>0.1482</v>
      </c>
      <c r="G3" s="82">
        <v>0.20630000000000001</v>
      </c>
      <c r="H3" s="82">
        <v>0.13969999999999999</v>
      </c>
      <c r="I3" s="82">
        <v>-4.7000000000000002E-3</v>
      </c>
      <c r="J3" s="82">
        <v>-1.9900000000000001E-2</v>
      </c>
      <c r="K3" s="82">
        <v>0.17910000000000001</v>
      </c>
      <c r="L3" s="82">
        <v>5.1900000000000002E-2</v>
      </c>
      <c r="M3" s="82">
        <v>4.4600000000000001E-2</v>
      </c>
      <c r="N3" s="82">
        <v>-0.14899999999999999</v>
      </c>
      <c r="O3" s="82">
        <v>0.7883</v>
      </c>
      <c r="P3" s="82">
        <v>-0.1628</v>
      </c>
    </row>
    <row r="4" spans="1:16" x14ac:dyDescent="0.25">
      <c r="A4" s="16" t="s">
        <v>109</v>
      </c>
      <c r="B4" s="82">
        <v>-5.5199999999999999E-2</v>
      </c>
      <c r="C4" s="82">
        <v>1</v>
      </c>
      <c r="D4" s="82">
        <v>0.47139999999999999</v>
      </c>
      <c r="E4" s="82">
        <v>-0.16020000000000001</v>
      </c>
      <c r="F4" s="82">
        <v>0.2361</v>
      </c>
      <c r="G4" s="82">
        <v>-6.0999999999999999E-2</v>
      </c>
      <c r="H4" s="82">
        <v>6.9999999999999999E-4</v>
      </c>
      <c r="I4" s="82">
        <v>-0.17030000000000001</v>
      </c>
      <c r="J4" s="82">
        <v>-1.2200000000000001E-2</v>
      </c>
      <c r="K4" s="82">
        <v>3.7199999999999997E-2</v>
      </c>
      <c r="L4" s="82">
        <v>-0.15509999999999999</v>
      </c>
      <c r="M4" s="82">
        <v>-1.12E-2</v>
      </c>
      <c r="N4" s="82">
        <v>0.36180000000000001</v>
      </c>
      <c r="O4" s="82">
        <v>-6.0299999999999999E-2</v>
      </c>
      <c r="P4" s="82">
        <v>3.4599999999999999E-2</v>
      </c>
    </row>
    <row r="5" spans="1:16" x14ac:dyDescent="0.25">
      <c r="A5" s="16" t="s">
        <v>113</v>
      </c>
      <c r="B5" s="82">
        <v>2.8999999999999998E-3</v>
      </c>
      <c r="C5" s="82">
        <v>0.47139999999999999</v>
      </c>
      <c r="D5" s="82">
        <v>1</v>
      </c>
      <c r="E5" s="82">
        <v>0.7893</v>
      </c>
      <c r="F5" s="82">
        <v>0.2823</v>
      </c>
      <c r="G5" s="82">
        <v>0.13270000000000001</v>
      </c>
      <c r="H5" s="82">
        <v>0.18770000000000001</v>
      </c>
      <c r="I5" s="82">
        <v>-0.17399999999999999</v>
      </c>
      <c r="J5" s="82">
        <v>-2.81E-2</v>
      </c>
      <c r="K5" s="82">
        <v>0.15290000000000001</v>
      </c>
      <c r="L5" s="82">
        <v>-9.6600000000000005E-2</v>
      </c>
      <c r="M5" s="82">
        <v>1.12E-2</v>
      </c>
      <c r="N5" s="82">
        <v>0.1216</v>
      </c>
      <c r="O5" s="82">
        <v>4.5999999999999999E-3</v>
      </c>
      <c r="P5" s="82">
        <v>2.87E-2</v>
      </c>
    </row>
    <row r="6" spans="1:16" x14ac:dyDescent="0.25">
      <c r="A6" s="16" t="s">
        <v>114</v>
      </c>
      <c r="B6" s="82">
        <v>4.1500000000000002E-2</v>
      </c>
      <c r="C6" s="82">
        <v>-0.16020000000000001</v>
      </c>
      <c r="D6" s="82">
        <v>0.7893</v>
      </c>
      <c r="E6" s="82">
        <v>1</v>
      </c>
      <c r="F6" s="82">
        <v>0.1431</v>
      </c>
      <c r="G6" s="82">
        <v>0.1885</v>
      </c>
      <c r="H6" s="82">
        <v>0.20930000000000001</v>
      </c>
      <c r="I6" s="82">
        <v>-7.7200000000000005E-2</v>
      </c>
      <c r="J6" s="82">
        <v>-2.06E-2</v>
      </c>
      <c r="K6" s="82">
        <v>0.1411</v>
      </c>
      <c r="L6" s="82">
        <v>-2.5999999999999999E-3</v>
      </c>
      <c r="M6" s="82">
        <v>2.1100000000000001E-2</v>
      </c>
      <c r="N6" s="82">
        <v>-0.1125</v>
      </c>
      <c r="O6" s="82">
        <v>4.7E-2</v>
      </c>
      <c r="P6" s="82">
        <v>1.12E-2</v>
      </c>
    </row>
    <row r="7" spans="1:16" x14ac:dyDescent="0.25">
      <c r="A7" s="16" t="s">
        <v>48</v>
      </c>
      <c r="B7" s="82">
        <v>0.1482</v>
      </c>
      <c r="C7" s="82">
        <v>0.2361</v>
      </c>
      <c r="D7" s="82">
        <v>0.2823</v>
      </c>
      <c r="E7" s="82">
        <v>0.1431</v>
      </c>
      <c r="F7" s="82">
        <v>1</v>
      </c>
      <c r="G7" s="82">
        <v>0.19500000000000001</v>
      </c>
      <c r="H7" s="82">
        <v>0.17019999999999999</v>
      </c>
      <c r="I7" s="82">
        <v>-0.19450000000000001</v>
      </c>
      <c r="J7" s="82">
        <v>-5.8099999999999999E-2</v>
      </c>
      <c r="K7" s="82">
        <v>0.1797</v>
      </c>
      <c r="L7" s="82">
        <v>-0.1239</v>
      </c>
      <c r="M7" s="82">
        <v>1.0699999999999999E-2</v>
      </c>
      <c r="N7" s="82">
        <v>-0.1089</v>
      </c>
      <c r="O7" s="82">
        <v>0.14610000000000001</v>
      </c>
      <c r="P7" s="82">
        <v>-0.16550000000000001</v>
      </c>
    </row>
    <row r="8" spans="1:16" x14ac:dyDescent="0.25">
      <c r="A8" s="16" t="s">
        <v>115</v>
      </c>
      <c r="B8" s="82">
        <v>0.20630000000000001</v>
      </c>
      <c r="C8" s="82">
        <v>-6.0999999999999999E-2</v>
      </c>
      <c r="D8" s="82">
        <v>0.13270000000000001</v>
      </c>
      <c r="E8" s="82">
        <v>0.1885</v>
      </c>
      <c r="F8" s="82">
        <v>0.19500000000000001</v>
      </c>
      <c r="G8" s="82">
        <v>1</v>
      </c>
      <c r="H8" s="82">
        <v>0.82969999999999999</v>
      </c>
      <c r="I8" s="82">
        <v>-1.04E-2</v>
      </c>
      <c r="J8" s="82">
        <v>1.46E-2</v>
      </c>
      <c r="K8" s="82">
        <v>0.1188</v>
      </c>
      <c r="L8" s="82">
        <v>3.6200000000000003E-2</v>
      </c>
      <c r="M8" s="82">
        <v>6.0900000000000003E-2</v>
      </c>
      <c r="N8" s="82">
        <v>-0.18790000000000001</v>
      </c>
      <c r="O8" s="82">
        <v>0.16539999999999999</v>
      </c>
      <c r="P8" s="82">
        <v>-0.30249999999999999</v>
      </c>
    </row>
    <row r="9" spans="1:16" x14ac:dyDescent="0.25">
      <c r="A9" s="16" t="s">
        <v>116</v>
      </c>
      <c r="B9" s="82">
        <v>0.13969999999999999</v>
      </c>
      <c r="C9" s="82">
        <v>6.9999999999999999E-4</v>
      </c>
      <c r="D9" s="82">
        <v>0.18770000000000001</v>
      </c>
      <c r="E9" s="82">
        <v>0.20930000000000001</v>
      </c>
      <c r="F9" s="82">
        <v>0.17019999999999999</v>
      </c>
      <c r="G9" s="82">
        <v>0.82969999999999999</v>
      </c>
      <c r="H9" s="82">
        <v>1</v>
      </c>
      <c r="I9" s="82">
        <v>-2.1299999999999999E-2</v>
      </c>
      <c r="J9" s="82">
        <v>2.6800000000000001E-2</v>
      </c>
      <c r="K9" s="82">
        <v>0.11799999999999999</v>
      </c>
      <c r="L9" s="82">
        <v>2.86E-2</v>
      </c>
      <c r="M9" s="82">
        <v>6.59E-2</v>
      </c>
      <c r="N9" s="82">
        <v>-0.1168</v>
      </c>
      <c r="O9" s="82">
        <v>0.1138</v>
      </c>
      <c r="P9" s="82">
        <v>-0.2084</v>
      </c>
    </row>
    <row r="10" spans="1:16" x14ac:dyDescent="0.25">
      <c r="A10" s="16" t="s">
        <v>117</v>
      </c>
      <c r="B10" s="82">
        <v>-4.7000000000000002E-3</v>
      </c>
      <c r="C10" s="82">
        <v>-0.17030000000000001</v>
      </c>
      <c r="D10" s="82">
        <v>-0.17399999999999999</v>
      </c>
      <c r="E10" s="82">
        <v>-7.7200000000000005E-2</v>
      </c>
      <c r="F10" s="82">
        <v>-0.19450000000000001</v>
      </c>
      <c r="G10" s="82">
        <v>-1.04E-2</v>
      </c>
      <c r="H10" s="82">
        <v>-2.1299999999999999E-2</v>
      </c>
      <c r="I10" s="82">
        <v>1</v>
      </c>
      <c r="J10" s="82">
        <v>0.33029999999999998</v>
      </c>
      <c r="K10" s="82">
        <v>-3.3E-3</v>
      </c>
      <c r="L10" s="82">
        <v>0.9143</v>
      </c>
      <c r="M10" s="82">
        <v>0.20069999999999999</v>
      </c>
      <c r="N10" s="82">
        <v>5.1000000000000004E-3</v>
      </c>
      <c r="O10" s="82">
        <v>1.2699999999999999E-2</v>
      </c>
      <c r="P10" s="82">
        <v>-3.4299999999999997E-2</v>
      </c>
    </row>
    <row r="11" spans="1:16" x14ac:dyDescent="0.25">
      <c r="A11" s="16" t="s">
        <v>118</v>
      </c>
      <c r="B11" s="82">
        <v>-1.9900000000000001E-2</v>
      </c>
      <c r="C11" s="82">
        <v>-1.2200000000000001E-2</v>
      </c>
      <c r="D11" s="82">
        <v>-2.81E-2</v>
      </c>
      <c r="E11" s="82">
        <v>-2.06E-2</v>
      </c>
      <c r="F11" s="82">
        <v>-5.8099999999999999E-2</v>
      </c>
      <c r="G11" s="82">
        <v>1.46E-2</v>
      </c>
      <c r="H11" s="82">
        <v>2.6800000000000001E-2</v>
      </c>
      <c r="I11" s="82">
        <v>0.33029999999999998</v>
      </c>
      <c r="J11" s="82">
        <v>1</v>
      </c>
      <c r="K11" s="82">
        <v>0.16569999999999999</v>
      </c>
      <c r="L11" s="82">
        <v>0.29160000000000003</v>
      </c>
      <c r="M11" s="82">
        <v>0.93579999999999997</v>
      </c>
      <c r="N11" s="82">
        <v>8.6300000000000002E-2</v>
      </c>
      <c r="O11" s="82">
        <v>2.4500000000000001E-2</v>
      </c>
      <c r="P11" s="82">
        <v>-0.12859999999999999</v>
      </c>
    </row>
    <row r="12" spans="1:16" x14ac:dyDescent="0.25">
      <c r="A12" s="16" t="s">
        <v>119</v>
      </c>
      <c r="B12" s="82">
        <v>0.17910000000000001</v>
      </c>
      <c r="C12" s="82">
        <v>3.7199999999999997E-2</v>
      </c>
      <c r="D12" s="82">
        <v>0.15290000000000001</v>
      </c>
      <c r="E12" s="82">
        <v>0.1411</v>
      </c>
      <c r="F12" s="82">
        <v>0.1797</v>
      </c>
      <c r="G12" s="82">
        <v>0.1188</v>
      </c>
      <c r="H12" s="82">
        <v>0.11799999999999999</v>
      </c>
      <c r="I12" s="82">
        <v>-3.3E-3</v>
      </c>
      <c r="J12" s="82">
        <v>0.16569999999999999</v>
      </c>
      <c r="K12" s="82">
        <v>1</v>
      </c>
      <c r="L12" s="82">
        <v>0.2918</v>
      </c>
      <c r="M12" s="82">
        <v>0.433</v>
      </c>
      <c r="N12" s="82">
        <v>-2.9000000000000001E-2</v>
      </c>
      <c r="O12" s="82">
        <v>0.21579999999999999</v>
      </c>
      <c r="P12" s="82">
        <v>-0.2248</v>
      </c>
    </row>
    <row r="13" spans="1:16" x14ac:dyDescent="0.25">
      <c r="A13" s="16" t="s">
        <v>120</v>
      </c>
      <c r="B13" s="82">
        <v>5.1900000000000002E-2</v>
      </c>
      <c r="C13" s="82">
        <v>-0.15509999999999999</v>
      </c>
      <c r="D13" s="82">
        <v>-9.6600000000000005E-2</v>
      </c>
      <c r="E13" s="82">
        <v>-2.5999999999999999E-3</v>
      </c>
      <c r="F13" s="82">
        <v>-0.1239</v>
      </c>
      <c r="G13" s="82">
        <v>3.6200000000000003E-2</v>
      </c>
      <c r="H13" s="82">
        <v>2.86E-2</v>
      </c>
      <c r="I13" s="82">
        <v>0.9143</v>
      </c>
      <c r="J13" s="82">
        <v>0.29160000000000003</v>
      </c>
      <c r="K13" s="82">
        <v>0.2918</v>
      </c>
      <c r="L13" s="82">
        <v>1</v>
      </c>
      <c r="M13" s="82">
        <v>0.24030000000000001</v>
      </c>
      <c r="N13" s="82">
        <v>-7.7000000000000002E-3</v>
      </c>
      <c r="O13" s="82">
        <v>7.8200000000000006E-2</v>
      </c>
      <c r="P13" s="82">
        <v>-0.1114</v>
      </c>
    </row>
    <row r="14" spans="1:16" x14ac:dyDescent="0.25">
      <c r="A14" s="16" t="s">
        <v>121</v>
      </c>
      <c r="B14" s="82">
        <v>4.4600000000000001E-2</v>
      </c>
      <c r="C14" s="82">
        <v>-1.12E-2</v>
      </c>
      <c r="D14" s="82">
        <v>1.12E-2</v>
      </c>
      <c r="E14" s="82">
        <v>2.1100000000000001E-2</v>
      </c>
      <c r="F14" s="82">
        <v>1.0699999999999999E-2</v>
      </c>
      <c r="G14" s="82">
        <v>6.0900000000000003E-2</v>
      </c>
      <c r="H14" s="82">
        <v>6.59E-2</v>
      </c>
      <c r="I14" s="82">
        <v>0.20069999999999999</v>
      </c>
      <c r="J14" s="82">
        <v>0.93579999999999997</v>
      </c>
      <c r="K14" s="82">
        <v>0.433</v>
      </c>
      <c r="L14" s="82">
        <v>0.24030000000000001</v>
      </c>
      <c r="M14" s="82">
        <v>1</v>
      </c>
      <c r="N14" s="82">
        <v>5.0299999999999997E-2</v>
      </c>
      <c r="O14" s="82">
        <v>9.2100000000000001E-2</v>
      </c>
      <c r="P14" s="82">
        <v>-0.21199999999999999</v>
      </c>
    </row>
    <row r="15" spans="1:16" x14ac:dyDescent="0.25">
      <c r="A15" s="16" t="s">
        <v>435</v>
      </c>
      <c r="B15" s="82">
        <v>-0.14899999999999999</v>
      </c>
      <c r="C15" s="82">
        <v>0.36180000000000001</v>
      </c>
      <c r="D15" s="82">
        <v>0.1216</v>
      </c>
      <c r="E15" s="82">
        <v>-0.1125</v>
      </c>
      <c r="F15" s="82">
        <v>-0.1089</v>
      </c>
      <c r="G15" s="82">
        <v>-0.18790000000000001</v>
      </c>
      <c r="H15" s="82">
        <v>-0.1168</v>
      </c>
      <c r="I15" s="82">
        <v>5.1000000000000004E-3</v>
      </c>
      <c r="J15" s="82">
        <v>8.6300000000000002E-2</v>
      </c>
      <c r="K15" s="82">
        <v>-2.9000000000000001E-2</v>
      </c>
      <c r="L15" s="82">
        <v>-7.7000000000000002E-3</v>
      </c>
      <c r="M15" s="82">
        <v>5.0299999999999997E-2</v>
      </c>
      <c r="N15" s="82">
        <v>1</v>
      </c>
      <c r="O15" s="82">
        <v>-0.16250000000000001</v>
      </c>
      <c r="P15" s="82">
        <v>0.1565</v>
      </c>
    </row>
    <row r="16" spans="1:16" x14ac:dyDescent="0.25">
      <c r="A16" s="16" t="s">
        <v>111</v>
      </c>
      <c r="B16" s="82">
        <v>0.7883</v>
      </c>
      <c r="C16" s="82">
        <v>-6.0299999999999999E-2</v>
      </c>
      <c r="D16" s="82">
        <v>4.5999999999999999E-3</v>
      </c>
      <c r="E16" s="82">
        <v>4.7E-2</v>
      </c>
      <c r="F16" s="82">
        <v>0.14610000000000001</v>
      </c>
      <c r="G16" s="82">
        <v>0.16539999999999999</v>
      </c>
      <c r="H16" s="82">
        <v>0.1138</v>
      </c>
      <c r="I16" s="82">
        <v>1.2699999999999999E-2</v>
      </c>
      <c r="J16" s="82">
        <v>2.4500000000000001E-2</v>
      </c>
      <c r="K16" s="82">
        <v>0.21579999999999999</v>
      </c>
      <c r="L16" s="82">
        <v>7.8200000000000006E-2</v>
      </c>
      <c r="M16" s="82">
        <v>9.2100000000000001E-2</v>
      </c>
      <c r="N16" s="82">
        <v>-0.16250000000000001</v>
      </c>
      <c r="O16" s="82">
        <v>1</v>
      </c>
      <c r="P16" s="82">
        <v>-0.11459999999999999</v>
      </c>
    </row>
    <row r="17" spans="1:16" x14ac:dyDescent="0.25">
      <c r="A17" s="135" t="s">
        <v>112</v>
      </c>
      <c r="B17" s="166">
        <v>-0.1628</v>
      </c>
      <c r="C17" s="166">
        <v>3.4599999999999999E-2</v>
      </c>
      <c r="D17" s="166">
        <v>2.87E-2</v>
      </c>
      <c r="E17" s="166">
        <v>1.12E-2</v>
      </c>
      <c r="F17" s="166">
        <v>-0.16550000000000001</v>
      </c>
      <c r="G17" s="166">
        <v>-0.30249999999999999</v>
      </c>
      <c r="H17" s="166">
        <v>-0.2084</v>
      </c>
      <c r="I17" s="166">
        <v>-3.4299999999999997E-2</v>
      </c>
      <c r="J17" s="166">
        <v>-0.12859999999999999</v>
      </c>
      <c r="K17" s="166">
        <v>-0.2248</v>
      </c>
      <c r="L17" s="166">
        <v>-0.1114</v>
      </c>
      <c r="M17" s="166">
        <v>-0.21199999999999999</v>
      </c>
      <c r="N17" s="166">
        <v>0.1565</v>
      </c>
      <c r="O17" s="166">
        <v>-0.11459999999999999</v>
      </c>
      <c r="P17" s="166">
        <v>1</v>
      </c>
    </row>
    <row r="18" spans="1:16" ht="18.75" x14ac:dyDescent="0.25">
      <c r="A18" s="150" t="s">
        <v>451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24"/>
  <sheetViews>
    <sheetView tabSelected="1" zoomScaleNormal="100" workbookViewId="0">
      <selection activeCell="Z204" sqref="Z204"/>
    </sheetView>
  </sheetViews>
  <sheetFormatPr defaultColWidth="8.85546875" defaultRowHeight="15.75" x14ac:dyDescent="0.25"/>
  <cols>
    <col min="1" max="1" width="23.85546875" style="23" customWidth="1"/>
    <col min="2" max="2" width="23.7109375" style="13" customWidth="1"/>
    <col min="3" max="3" width="15.140625" style="34" customWidth="1"/>
    <col min="4" max="4" width="11.5703125" style="34" customWidth="1"/>
    <col min="5" max="6" width="10.42578125" style="15" customWidth="1"/>
    <col min="7" max="7" width="13.140625" style="14" customWidth="1"/>
    <col min="8" max="8" width="12.85546875" style="34" customWidth="1"/>
    <col min="9" max="9" width="13.42578125" style="34" bestFit="1" customWidth="1"/>
    <col min="10" max="10" width="14.42578125" style="15" bestFit="1" customWidth="1"/>
    <col min="11" max="11" width="8.85546875" style="14"/>
    <col min="12" max="12" width="16.28515625" style="14" customWidth="1"/>
    <col min="13" max="13" width="10.42578125" style="34" customWidth="1"/>
    <col min="14" max="14" width="11.5703125" style="34" customWidth="1"/>
    <col min="15" max="15" width="11.7109375" style="15" customWidth="1"/>
    <col min="16" max="16" width="8.85546875" style="14"/>
    <col min="17" max="17" width="14.140625" style="14" customWidth="1"/>
    <col min="18" max="18" width="13.7109375" style="34" customWidth="1"/>
    <col min="19" max="19" width="13.42578125" style="34" bestFit="1" customWidth="1"/>
    <col min="20" max="20" width="13.5703125" style="15" customWidth="1"/>
    <col min="21" max="16384" width="8.85546875" style="23"/>
  </cols>
  <sheetData>
    <row r="1" spans="1:20" ht="20.25" x14ac:dyDescent="0.25">
      <c r="A1" s="18" t="s">
        <v>436</v>
      </c>
      <c r="B1" s="19"/>
      <c r="C1" s="20"/>
      <c r="D1" s="20"/>
      <c r="E1" s="21"/>
      <c r="F1" s="21"/>
      <c r="G1" s="22"/>
      <c r="H1" s="20"/>
      <c r="I1" s="20"/>
      <c r="J1" s="21"/>
      <c r="K1" s="22"/>
      <c r="L1" s="22"/>
      <c r="M1" s="20"/>
      <c r="N1" s="20"/>
      <c r="O1" s="21"/>
      <c r="P1" s="22"/>
      <c r="Q1" s="22"/>
      <c r="R1" s="20"/>
      <c r="S1" s="20"/>
      <c r="T1" s="21"/>
    </row>
    <row r="2" spans="1:20" ht="20.25" x14ac:dyDescent="0.25">
      <c r="A2" s="24"/>
      <c r="B2" s="25" t="s">
        <v>437</v>
      </c>
      <c r="C2" s="25"/>
      <c r="D2" s="25"/>
      <c r="E2" s="26"/>
      <c r="F2" s="26"/>
      <c r="G2" s="27" t="s">
        <v>438</v>
      </c>
      <c r="H2" s="25"/>
      <c r="I2" s="25"/>
      <c r="J2" s="26"/>
      <c r="K2" s="27"/>
      <c r="L2" s="27" t="s">
        <v>439</v>
      </c>
      <c r="M2" s="25"/>
      <c r="N2" s="25"/>
      <c r="O2" s="26"/>
      <c r="P2" s="27"/>
      <c r="Q2" s="27" t="s">
        <v>440</v>
      </c>
      <c r="R2" s="28"/>
      <c r="S2" s="28"/>
      <c r="T2" s="29"/>
    </row>
    <row r="3" spans="1:20" ht="16.5" thickBot="1" x14ac:dyDescent="0.3">
      <c r="A3" s="30" t="s">
        <v>107</v>
      </c>
      <c r="B3" s="31" t="s">
        <v>441</v>
      </c>
      <c r="C3" s="31" t="s">
        <v>5</v>
      </c>
      <c r="D3" s="31" t="s">
        <v>108</v>
      </c>
      <c r="E3" s="32" t="s">
        <v>6</v>
      </c>
      <c r="F3" s="32"/>
      <c r="G3" s="33" t="s">
        <v>441</v>
      </c>
      <c r="H3" s="31" t="s">
        <v>5</v>
      </c>
      <c r="I3" s="31" t="s">
        <v>108</v>
      </c>
      <c r="J3" s="32" t="s">
        <v>6</v>
      </c>
      <c r="K3" s="33"/>
      <c r="L3" s="33" t="s">
        <v>441</v>
      </c>
      <c r="M3" s="31" t="s">
        <v>5</v>
      </c>
      <c r="N3" s="31" t="s">
        <v>108</v>
      </c>
      <c r="O3" s="32" t="s">
        <v>6</v>
      </c>
      <c r="P3" s="33"/>
      <c r="Q3" s="33" t="s">
        <v>441</v>
      </c>
      <c r="R3" s="31" t="s">
        <v>5</v>
      </c>
      <c r="S3" s="31" t="s">
        <v>108</v>
      </c>
      <c r="T3" s="32" t="s">
        <v>6</v>
      </c>
    </row>
    <row r="4" spans="1:20" ht="16.5" thickTop="1" x14ac:dyDescent="0.25">
      <c r="A4" s="13" t="s">
        <v>109</v>
      </c>
      <c r="B4" s="23" t="s">
        <v>1</v>
      </c>
      <c r="C4" s="34">
        <v>-1.9841200000000001</v>
      </c>
      <c r="D4" s="34">
        <v>2.6794999999999999E-2</v>
      </c>
      <c r="E4" s="15" t="s">
        <v>8</v>
      </c>
      <c r="G4" s="14" t="s">
        <v>1</v>
      </c>
      <c r="H4" s="34">
        <v>-1.7955361999999999</v>
      </c>
      <c r="I4" s="34">
        <v>0.19098409999999999</v>
      </c>
      <c r="J4" s="15" t="s">
        <v>8</v>
      </c>
      <c r="L4" s="14" t="s">
        <v>1</v>
      </c>
      <c r="M4" s="34">
        <v>-2.0067699999999999</v>
      </c>
      <c r="N4" s="34">
        <v>2.6370000000000001E-2</v>
      </c>
      <c r="O4" s="15" t="s">
        <v>8</v>
      </c>
      <c r="Q4" s="14" t="s">
        <v>1</v>
      </c>
      <c r="R4" s="34">
        <v>-1.8288556</v>
      </c>
      <c r="S4" s="34">
        <v>0.19090979999999999</v>
      </c>
      <c r="T4" s="15" t="s">
        <v>8</v>
      </c>
    </row>
    <row r="5" spans="1:20" x14ac:dyDescent="0.25">
      <c r="A5" s="13" t="s">
        <v>109</v>
      </c>
      <c r="B5" s="23" t="s">
        <v>3</v>
      </c>
      <c r="C5" s="34">
        <v>0.33665099999999998</v>
      </c>
      <c r="D5" s="34">
        <v>0.148678</v>
      </c>
      <c r="E5" s="15">
        <v>2.3560000000000001E-2</v>
      </c>
      <c r="G5" s="14" t="s">
        <v>3</v>
      </c>
      <c r="H5" s="34">
        <v>-6.3792100000000004E-2</v>
      </c>
      <c r="I5" s="34">
        <v>0.40054079999999997</v>
      </c>
      <c r="J5" s="15">
        <v>0.87346000000000001</v>
      </c>
      <c r="L5" s="14" t="s">
        <v>3</v>
      </c>
      <c r="M5" s="34">
        <v>0.30286999999999997</v>
      </c>
      <c r="N5" s="34">
        <v>0.14854000000000001</v>
      </c>
      <c r="O5" s="15">
        <v>4.1459999999999997E-2</v>
      </c>
      <c r="Q5" s="14" t="s">
        <v>3</v>
      </c>
      <c r="R5" s="34">
        <v>-9.4297800000000001E-2</v>
      </c>
      <c r="S5" s="34">
        <v>0.40058490000000002</v>
      </c>
      <c r="T5" s="15">
        <v>0.81389999999999996</v>
      </c>
    </row>
    <row r="6" spans="1:20" x14ac:dyDescent="0.25">
      <c r="A6" s="13" t="s">
        <v>109</v>
      </c>
      <c r="B6" s="23" t="s">
        <v>4</v>
      </c>
      <c r="C6" s="34">
        <v>-0.59223599999999998</v>
      </c>
      <c r="D6" s="34">
        <v>0.18684000000000001</v>
      </c>
      <c r="E6" s="15">
        <v>1.5299999999999999E-3</v>
      </c>
      <c r="G6" s="14" t="s">
        <v>4</v>
      </c>
      <c r="H6" s="34">
        <v>-0.86146020000000001</v>
      </c>
      <c r="I6" s="34">
        <v>0.30820789999999998</v>
      </c>
      <c r="J6" s="15">
        <v>5.1900000000000002E-3</v>
      </c>
      <c r="L6" s="14" t="s">
        <v>4</v>
      </c>
      <c r="M6" s="34">
        <v>-0.59153</v>
      </c>
      <c r="N6" s="34">
        <v>0.18687999999999999</v>
      </c>
      <c r="O6" s="15">
        <v>1.5499999999999999E-3</v>
      </c>
      <c r="Q6" s="14" t="s">
        <v>4</v>
      </c>
      <c r="R6" s="34">
        <v>-0.86465860000000005</v>
      </c>
      <c r="S6" s="34">
        <v>0.30827739999999998</v>
      </c>
      <c r="T6" s="15">
        <v>5.0400000000000002E-3</v>
      </c>
    </row>
    <row r="7" spans="1:20" x14ac:dyDescent="0.25">
      <c r="A7" s="13" t="s">
        <v>109</v>
      </c>
      <c r="B7" s="23" t="s">
        <v>389</v>
      </c>
      <c r="C7" s="34">
        <v>-3.9919000000000003E-2</v>
      </c>
      <c r="D7" s="34">
        <v>8.4130000000000003E-3</v>
      </c>
      <c r="E7" s="15">
        <v>2.0899999999999999E-6</v>
      </c>
      <c r="G7" s="14" t="s">
        <v>7</v>
      </c>
      <c r="H7" s="34">
        <v>-5.3609E-3</v>
      </c>
      <c r="I7" s="34">
        <v>4.0644000000000001E-3</v>
      </c>
      <c r="J7" s="15">
        <v>0.18717</v>
      </c>
      <c r="Q7" s="14" t="s">
        <v>7</v>
      </c>
      <c r="R7" s="34">
        <v>-5.1374999999999997E-3</v>
      </c>
      <c r="S7" s="34">
        <v>4.065E-3</v>
      </c>
      <c r="T7" s="15">
        <v>0.20630000000000001</v>
      </c>
    </row>
    <row r="8" spans="1:20" x14ac:dyDescent="0.25">
      <c r="A8" s="13" t="s">
        <v>109</v>
      </c>
      <c r="B8" s="23"/>
      <c r="G8" s="14" t="s">
        <v>9</v>
      </c>
      <c r="H8" s="34">
        <v>5.5950000000000001E-3</v>
      </c>
      <c r="I8" s="34">
        <v>1.9543E-3</v>
      </c>
      <c r="J8" s="15">
        <v>4.1999999999999997E-3</v>
      </c>
      <c r="Q8" s="14" t="s">
        <v>9</v>
      </c>
      <c r="R8" s="34">
        <v>5.6122999999999998E-3</v>
      </c>
      <c r="S8" s="34">
        <v>1.9547000000000002E-3</v>
      </c>
      <c r="T8" s="15">
        <v>4.0899999999999999E-3</v>
      </c>
    </row>
    <row r="9" spans="1:20" x14ac:dyDescent="0.25">
      <c r="A9" s="13" t="s">
        <v>109</v>
      </c>
      <c r="B9" s="23"/>
      <c r="G9" s="14" t="s">
        <v>10</v>
      </c>
      <c r="H9" s="34">
        <v>-9.2013000000000008E-3</v>
      </c>
      <c r="I9" s="34">
        <v>3.7020999999999998E-3</v>
      </c>
      <c r="J9" s="15">
        <v>1.294E-2</v>
      </c>
      <c r="Q9" s="14" t="s">
        <v>10</v>
      </c>
      <c r="R9" s="34">
        <v>-9.1369999999999993E-3</v>
      </c>
      <c r="S9" s="34">
        <v>3.7030000000000001E-3</v>
      </c>
      <c r="T9" s="15">
        <v>1.3610000000000001E-2</v>
      </c>
    </row>
    <row r="10" spans="1:20" x14ac:dyDescent="0.25">
      <c r="A10" s="13" t="s">
        <v>109</v>
      </c>
      <c r="B10" s="23"/>
      <c r="G10" s="14" t="s">
        <v>11</v>
      </c>
      <c r="H10" s="34">
        <v>3.5198999999999999E-3</v>
      </c>
      <c r="I10" s="34">
        <v>2.1714E-3</v>
      </c>
      <c r="J10" s="15">
        <v>0.10501000000000001</v>
      </c>
      <c r="Q10" s="14" t="s">
        <v>11</v>
      </c>
      <c r="R10" s="34">
        <v>3.4462E-3</v>
      </c>
      <c r="S10" s="34">
        <v>2.1718000000000002E-3</v>
      </c>
      <c r="T10" s="15">
        <v>0.11257</v>
      </c>
    </row>
    <row r="11" spans="1:20" x14ac:dyDescent="0.25">
      <c r="A11" s="13" t="s">
        <v>109</v>
      </c>
      <c r="B11" s="23"/>
      <c r="G11" s="14" t="s">
        <v>12</v>
      </c>
      <c r="H11" s="34">
        <v>2.2159700000000001E-2</v>
      </c>
      <c r="I11" s="34">
        <v>2.3132000000000001E-3</v>
      </c>
      <c r="J11" s="15" t="s">
        <v>8</v>
      </c>
      <c r="Q11" s="14" t="s">
        <v>12</v>
      </c>
      <c r="R11" s="34">
        <v>2.1977799999999999E-2</v>
      </c>
      <c r="S11" s="34">
        <v>2.3135E-3</v>
      </c>
      <c r="T11" s="15" t="s">
        <v>8</v>
      </c>
    </row>
    <row r="12" spans="1:20" x14ac:dyDescent="0.25">
      <c r="A12" s="13" t="s">
        <v>109</v>
      </c>
      <c r="B12" s="23"/>
      <c r="G12" s="14" t="s">
        <v>13</v>
      </c>
      <c r="H12" s="34">
        <v>-1.8615000000000001E-3</v>
      </c>
      <c r="I12" s="34">
        <v>3.3080000000000002E-3</v>
      </c>
      <c r="J12" s="15">
        <v>0.57362999999999997</v>
      </c>
      <c r="Q12" s="14" t="s">
        <v>13</v>
      </c>
      <c r="R12" s="34">
        <v>-1.8921999999999999E-3</v>
      </c>
      <c r="S12" s="34">
        <v>3.3086999999999999E-3</v>
      </c>
      <c r="T12" s="15">
        <v>0.56740000000000002</v>
      </c>
    </row>
    <row r="13" spans="1:20" x14ac:dyDescent="0.25">
      <c r="A13" s="13" t="s">
        <v>109</v>
      </c>
      <c r="B13" s="23"/>
      <c r="G13" s="14" t="s">
        <v>14</v>
      </c>
      <c r="H13" s="34">
        <v>4.9890000000000004E-4</v>
      </c>
      <c r="I13" s="34">
        <v>2.4388000000000001E-3</v>
      </c>
      <c r="J13" s="15">
        <v>0.83791000000000004</v>
      </c>
      <c r="Q13" s="14" t="s">
        <v>14</v>
      </c>
      <c r="R13" s="34">
        <v>4.0240000000000002E-4</v>
      </c>
      <c r="S13" s="34">
        <v>2.4393000000000001E-3</v>
      </c>
      <c r="T13" s="15">
        <v>0.86897000000000002</v>
      </c>
    </row>
    <row r="14" spans="1:20" x14ac:dyDescent="0.25">
      <c r="A14" s="35" t="s">
        <v>109</v>
      </c>
      <c r="B14" s="36"/>
      <c r="C14" s="37"/>
      <c r="D14" s="37"/>
      <c r="E14" s="38"/>
      <c r="F14" s="38"/>
      <c r="G14" s="39" t="s">
        <v>389</v>
      </c>
      <c r="H14" s="37">
        <v>-4.1763399999999999E-2</v>
      </c>
      <c r="I14" s="37">
        <v>8.4040999999999994E-3</v>
      </c>
      <c r="J14" s="38">
        <v>6.7400000000000003E-7</v>
      </c>
      <c r="K14" s="39"/>
      <c r="L14" s="39"/>
      <c r="M14" s="37"/>
      <c r="N14" s="37"/>
      <c r="O14" s="38"/>
      <c r="P14" s="39"/>
      <c r="Q14" s="39"/>
      <c r="R14" s="37"/>
      <c r="S14" s="37"/>
      <c r="T14" s="38"/>
    </row>
    <row r="15" spans="1:20" x14ac:dyDescent="0.25">
      <c r="A15" s="13"/>
      <c r="B15" s="23"/>
    </row>
    <row r="16" spans="1:20" ht="16.5" thickBot="1" x14ac:dyDescent="0.3">
      <c r="A16" s="30" t="s">
        <v>107</v>
      </c>
      <c r="B16" s="31" t="s">
        <v>441</v>
      </c>
      <c r="C16" s="31" t="s">
        <v>5</v>
      </c>
      <c r="D16" s="31" t="s">
        <v>108</v>
      </c>
      <c r="E16" s="32" t="s">
        <v>6</v>
      </c>
      <c r="F16" s="32"/>
      <c r="G16" s="33" t="s">
        <v>441</v>
      </c>
      <c r="H16" s="31" t="s">
        <v>5</v>
      </c>
      <c r="I16" s="31" t="s">
        <v>108</v>
      </c>
      <c r="J16" s="32" t="s">
        <v>6</v>
      </c>
      <c r="K16" s="33"/>
      <c r="L16" s="33" t="s">
        <v>441</v>
      </c>
      <c r="M16" s="31" t="s">
        <v>5</v>
      </c>
      <c r="N16" s="31" t="s">
        <v>108</v>
      </c>
      <c r="O16" s="32" t="s">
        <v>6</v>
      </c>
      <c r="P16" s="33"/>
      <c r="Q16" s="33" t="s">
        <v>441</v>
      </c>
      <c r="R16" s="31" t="s">
        <v>5</v>
      </c>
      <c r="S16" s="31" t="s">
        <v>108</v>
      </c>
      <c r="T16" s="32" t="s">
        <v>6</v>
      </c>
    </row>
    <row r="17" spans="1:20" ht="16.5" thickTop="1" x14ac:dyDescent="0.25">
      <c r="A17" s="13" t="s">
        <v>111</v>
      </c>
      <c r="B17" s="34" t="s">
        <v>1</v>
      </c>
      <c r="C17" s="34">
        <v>0.72899999999999998</v>
      </c>
      <c r="D17" s="34">
        <v>2.9729999999999999E-2</v>
      </c>
      <c r="E17" s="15" t="s">
        <v>8</v>
      </c>
      <c r="G17" s="14" t="s">
        <v>1</v>
      </c>
      <c r="H17" s="34">
        <v>0.54928900000000003</v>
      </c>
      <c r="I17" s="34">
        <v>0.214085</v>
      </c>
      <c r="J17" s="15">
        <v>1.03E-2</v>
      </c>
      <c r="L17" s="14" t="s">
        <v>1</v>
      </c>
      <c r="M17" s="34">
        <v>1.0142899999999999</v>
      </c>
      <c r="N17" s="34">
        <v>3.014E-2</v>
      </c>
      <c r="O17" s="15" t="s">
        <v>8</v>
      </c>
      <c r="Q17" s="14" t="s">
        <v>1</v>
      </c>
      <c r="R17" s="34">
        <v>0.96391800000000005</v>
      </c>
      <c r="S17" s="34">
        <v>0.22058900000000001</v>
      </c>
      <c r="T17" s="15">
        <v>1.2500000000000001E-5</v>
      </c>
    </row>
    <row r="18" spans="1:20" x14ac:dyDescent="0.25">
      <c r="A18" s="13" t="s">
        <v>111</v>
      </c>
      <c r="B18" s="34" t="s">
        <v>3</v>
      </c>
      <c r="C18" s="34">
        <v>0.92215999999999998</v>
      </c>
      <c r="D18" s="34">
        <v>0.16347999999999999</v>
      </c>
      <c r="E18" s="15">
        <v>1.7E-8</v>
      </c>
      <c r="G18" s="14" t="s">
        <v>3</v>
      </c>
      <c r="H18" s="34">
        <v>0.98991700000000005</v>
      </c>
      <c r="I18" s="34">
        <v>0.44718599999999997</v>
      </c>
      <c r="J18" s="15">
        <v>2.69E-2</v>
      </c>
      <c r="L18" s="14" t="s">
        <v>3</v>
      </c>
      <c r="M18" s="34">
        <v>1.35344</v>
      </c>
      <c r="N18" s="34">
        <v>0.16835</v>
      </c>
      <c r="O18" s="15">
        <v>9.2500000000000004E-16</v>
      </c>
      <c r="Q18" s="14" t="s">
        <v>3</v>
      </c>
      <c r="R18" s="34">
        <v>1.4264589999999999</v>
      </c>
      <c r="S18" s="34">
        <v>0.46100600000000003</v>
      </c>
      <c r="T18" s="15">
        <v>1.97E-3</v>
      </c>
    </row>
    <row r="19" spans="1:20" x14ac:dyDescent="0.25">
      <c r="A19" s="13" t="s">
        <v>111</v>
      </c>
      <c r="B19" s="23" t="s">
        <v>4</v>
      </c>
      <c r="C19" s="34">
        <v>0.60328999999999999</v>
      </c>
      <c r="D19" s="34">
        <v>0.20985999999999999</v>
      </c>
      <c r="E19" s="15">
        <v>4.0499999999999998E-3</v>
      </c>
      <c r="G19" s="14" t="s">
        <v>4</v>
      </c>
      <c r="H19" s="34">
        <v>0.43025799999999997</v>
      </c>
      <c r="I19" s="34">
        <v>0.34583000000000003</v>
      </c>
      <c r="J19" s="15">
        <v>0.2135</v>
      </c>
      <c r="L19" s="14" t="s">
        <v>4</v>
      </c>
      <c r="M19" s="34">
        <v>0.55154999999999998</v>
      </c>
      <c r="N19" s="34">
        <v>0.21637000000000001</v>
      </c>
      <c r="O19" s="15">
        <v>1.0800000000000001E-2</v>
      </c>
      <c r="Q19" s="14" t="s">
        <v>4</v>
      </c>
      <c r="R19" s="34">
        <v>0.44103500000000001</v>
      </c>
      <c r="S19" s="34">
        <v>0.35658000000000001</v>
      </c>
      <c r="T19" s="15">
        <v>0.21615000000000001</v>
      </c>
    </row>
    <row r="20" spans="1:20" x14ac:dyDescent="0.25">
      <c r="A20" s="13" t="s">
        <v>111</v>
      </c>
      <c r="B20" s="23" t="s">
        <v>389</v>
      </c>
      <c r="C20" s="34">
        <v>0.49151</v>
      </c>
      <c r="D20" s="34">
        <v>9.4000000000000004E-3</v>
      </c>
      <c r="E20" s="15" t="s">
        <v>8</v>
      </c>
      <c r="G20" s="14" t="s">
        <v>7</v>
      </c>
      <c r="H20" s="34">
        <v>4.274E-3</v>
      </c>
      <c r="I20" s="34">
        <v>4.5580000000000004E-3</v>
      </c>
      <c r="J20" s="15">
        <v>0.34839999999999999</v>
      </c>
      <c r="Q20" s="14" t="s">
        <v>7</v>
      </c>
      <c r="R20" s="34">
        <v>1.415E-3</v>
      </c>
      <c r="S20" s="34">
        <v>4.7000000000000002E-3</v>
      </c>
      <c r="T20" s="15">
        <v>0.76334999999999997</v>
      </c>
    </row>
    <row r="21" spans="1:20" x14ac:dyDescent="0.25">
      <c r="A21" s="13" t="s">
        <v>111</v>
      </c>
      <c r="B21" s="23"/>
      <c r="G21" s="14" t="s">
        <v>9</v>
      </c>
      <c r="H21" s="34">
        <v>-4.5500000000000002E-3</v>
      </c>
      <c r="I21" s="34">
        <v>2.2039999999999998E-3</v>
      </c>
      <c r="J21" s="15">
        <v>3.9E-2</v>
      </c>
      <c r="Q21" s="14" t="s">
        <v>9</v>
      </c>
      <c r="R21" s="34">
        <v>-4.5909999999999996E-3</v>
      </c>
      <c r="S21" s="34">
        <v>2.2720000000000001E-3</v>
      </c>
      <c r="T21" s="15">
        <v>4.3369999999999999E-2</v>
      </c>
    </row>
    <row r="22" spans="1:20" x14ac:dyDescent="0.25">
      <c r="A22" s="13" t="s">
        <v>111</v>
      </c>
      <c r="B22" s="23"/>
      <c r="G22" s="14" t="s">
        <v>10</v>
      </c>
      <c r="H22" s="34">
        <v>3.5010000000000002E-3</v>
      </c>
      <c r="I22" s="34">
        <v>4.1479999999999998E-3</v>
      </c>
      <c r="J22" s="15">
        <v>0.3987</v>
      </c>
      <c r="Q22" s="14" t="s">
        <v>10</v>
      </c>
      <c r="R22" s="34">
        <v>3.385E-3</v>
      </c>
      <c r="S22" s="34">
        <v>4.2770000000000004E-3</v>
      </c>
      <c r="T22" s="15">
        <v>0.42870000000000003</v>
      </c>
    </row>
    <row r="23" spans="1:20" x14ac:dyDescent="0.25">
      <c r="A23" s="13" t="s">
        <v>111</v>
      </c>
      <c r="B23" s="23"/>
      <c r="G23" s="14" t="s">
        <v>11</v>
      </c>
      <c r="H23" s="34">
        <v>-3.9060000000000002E-3</v>
      </c>
      <c r="I23" s="34">
        <v>2.4239999999999999E-3</v>
      </c>
      <c r="J23" s="15">
        <v>0.1072</v>
      </c>
      <c r="Q23" s="14" t="s">
        <v>11</v>
      </c>
      <c r="R23" s="34">
        <v>-3.1220000000000002E-3</v>
      </c>
      <c r="S23" s="34">
        <v>2.5000000000000001E-3</v>
      </c>
      <c r="T23" s="15">
        <v>0.21176</v>
      </c>
    </row>
    <row r="24" spans="1:20" x14ac:dyDescent="0.25">
      <c r="A24" s="13" t="s">
        <v>111</v>
      </c>
      <c r="B24" s="23"/>
      <c r="G24" s="14" t="s">
        <v>12</v>
      </c>
      <c r="H24" s="34">
        <v>1.897E-3</v>
      </c>
      <c r="I24" s="34">
        <v>2.601E-3</v>
      </c>
      <c r="J24" s="15">
        <v>0.46579999999999999</v>
      </c>
      <c r="Q24" s="14" t="s">
        <v>12</v>
      </c>
      <c r="R24" s="34">
        <v>3.813E-3</v>
      </c>
      <c r="S24" s="34">
        <v>2.6819999999999999E-3</v>
      </c>
      <c r="T24" s="15">
        <v>0.15512999999999999</v>
      </c>
    </row>
    <row r="25" spans="1:20" x14ac:dyDescent="0.25">
      <c r="A25" s="13" t="s">
        <v>111</v>
      </c>
      <c r="B25" s="23"/>
      <c r="G25" s="14" t="s">
        <v>13</v>
      </c>
      <c r="H25" s="34">
        <v>-1.8129999999999999E-3</v>
      </c>
      <c r="I25" s="34">
        <v>3.7109999999999999E-3</v>
      </c>
      <c r="J25" s="15">
        <v>0.62509999999999999</v>
      </c>
      <c r="Q25" s="14" t="s">
        <v>13</v>
      </c>
      <c r="R25" s="34">
        <v>-1.65E-3</v>
      </c>
      <c r="S25" s="34">
        <v>3.826E-3</v>
      </c>
      <c r="T25" s="15">
        <v>0.66635999999999995</v>
      </c>
    </row>
    <row r="26" spans="1:20" x14ac:dyDescent="0.25">
      <c r="A26" s="13" t="s">
        <v>111</v>
      </c>
      <c r="B26" s="23"/>
      <c r="G26" s="14" t="s">
        <v>14</v>
      </c>
      <c r="H26" s="34">
        <v>2.96E-3</v>
      </c>
      <c r="I26" s="34">
        <v>2.764E-3</v>
      </c>
      <c r="J26" s="15">
        <v>0.28410000000000002</v>
      </c>
      <c r="Q26" s="14" t="s">
        <v>14</v>
      </c>
      <c r="R26" s="34">
        <v>3.9750000000000002E-3</v>
      </c>
      <c r="S26" s="34">
        <v>2.849E-3</v>
      </c>
      <c r="T26" s="15">
        <v>0.16300999999999999</v>
      </c>
    </row>
    <row r="27" spans="1:20" x14ac:dyDescent="0.25">
      <c r="A27" s="35" t="s">
        <v>111</v>
      </c>
      <c r="B27" s="36"/>
      <c r="C27" s="37"/>
      <c r="D27" s="37"/>
      <c r="E27" s="38"/>
      <c r="F27" s="38"/>
      <c r="G27" s="39" t="s">
        <v>389</v>
      </c>
      <c r="H27" s="37">
        <v>0.49162299999999998</v>
      </c>
      <c r="I27" s="37">
        <v>9.4009999999999996E-3</v>
      </c>
      <c r="J27" s="38" t="s">
        <v>8</v>
      </c>
      <c r="K27" s="39"/>
      <c r="L27" s="39"/>
      <c r="M27" s="37"/>
      <c r="N27" s="37"/>
      <c r="O27" s="38"/>
      <c r="P27" s="39"/>
      <c r="Q27" s="39"/>
      <c r="R27" s="37"/>
      <c r="S27" s="37"/>
      <c r="T27" s="38"/>
    </row>
    <row r="28" spans="1:20" x14ac:dyDescent="0.25">
      <c r="A28" s="13"/>
    </row>
    <row r="29" spans="1:20" x14ac:dyDescent="0.25">
      <c r="A29" s="13"/>
      <c r="B29" s="23"/>
    </row>
    <row r="30" spans="1:20" ht="16.5" thickBot="1" x14ac:dyDescent="0.3">
      <c r="A30" s="30" t="s">
        <v>107</v>
      </c>
      <c r="B30" s="31" t="s">
        <v>441</v>
      </c>
      <c r="C30" s="31" t="s">
        <v>5</v>
      </c>
      <c r="D30" s="31" t="s">
        <v>108</v>
      </c>
      <c r="E30" s="32" t="s">
        <v>6</v>
      </c>
      <c r="F30" s="32"/>
      <c r="G30" s="33" t="s">
        <v>441</v>
      </c>
      <c r="H30" s="31" t="s">
        <v>5</v>
      </c>
      <c r="I30" s="31" t="s">
        <v>108</v>
      </c>
      <c r="J30" s="32" t="s">
        <v>6</v>
      </c>
      <c r="K30" s="33"/>
      <c r="L30" s="33" t="s">
        <v>441</v>
      </c>
      <c r="M30" s="31" t="s">
        <v>5</v>
      </c>
      <c r="N30" s="31" t="s">
        <v>108</v>
      </c>
      <c r="O30" s="32" t="s">
        <v>6</v>
      </c>
      <c r="P30" s="33"/>
      <c r="Q30" s="33" t="s">
        <v>441</v>
      </c>
      <c r="R30" s="31" t="s">
        <v>5</v>
      </c>
      <c r="S30" s="31" t="s">
        <v>108</v>
      </c>
      <c r="T30" s="32" t="s">
        <v>6</v>
      </c>
    </row>
    <row r="31" spans="1:20" ht="16.5" thickTop="1" x14ac:dyDescent="0.25">
      <c r="A31" s="13" t="s">
        <v>112</v>
      </c>
      <c r="B31" s="34" t="s">
        <v>1</v>
      </c>
      <c r="C31" s="34">
        <v>0.73482099999999995</v>
      </c>
      <c r="D31" s="34">
        <v>3.0828000000000001E-2</v>
      </c>
      <c r="E31" s="15" t="s">
        <v>8</v>
      </c>
      <c r="G31" s="14" t="s">
        <v>1</v>
      </c>
      <c r="H31" s="34">
        <v>0.56295099999999998</v>
      </c>
      <c r="I31" s="34">
        <v>0.22214729999999999</v>
      </c>
      <c r="J31" s="15">
        <v>1.128E-2</v>
      </c>
      <c r="L31" s="14" t="s">
        <v>1</v>
      </c>
      <c r="M31" s="34">
        <v>0.69640999999999997</v>
      </c>
      <c r="N31" s="34">
        <v>3.0329999999999999E-2</v>
      </c>
      <c r="O31" s="15" t="s">
        <v>8</v>
      </c>
      <c r="Q31" s="14" t="s">
        <v>1</v>
      </c>
      <c r="R31" s="34">
        <v>0.506193</v>
      </c>
      <c r="S31" s="34">
        <v>0.2221127</v>
      </c>
      <c r="T31" s="15">
        <v>2.2669999999999999E-2</v>
      </c>
    </row>
    <row r="32" spans="1:20" x14ac:dyDescent="0.25">
      <c r="A32" s="13" t="s">
        <v>112</v>
      </c>
      <c r="B32" s="34" t="s">
        <v>3</v>
      </c>
      <c r="C32" s="34">
        <v>-0.19337799999999999</v>
      </c>
      <c r="D32" s="34">
        <v>0.168906</v>
      </c>
      <c r="E32" s="15">
        <v>0.252</v>
      </c>
      <c r="G32" s="14" t="s">
        <v>3</v>
      </c>
      <c r="H32" s="34">
        <v>0.35333779999999998</v>
      </c>
      <c r="I32" s="34">
        <v>0.46343699999999999</v>
      </c>
      <c r="J32" s="15">
        <v>0.44580999999999998</v>
      </c>
      <c r="L32" s="14" t="s">
        <v>3</v>
      </c>
      <c r="M32" s="34">
        <v>-0.25248999999999999</v>
      </c>
      <c r="N32" s="34">
        <v>0.16878000000000001</v>
      </c>
      <c r="O32" s="15">
        <v>0.13500000000000001</v>
      </c>
      <c r="Q32" s="14" t="s">
        <v>3</v>
      </c>
      <c r="R32" s="34">
        <v>0.29066500000000001</v>
      </c>
      <c r="S32" s="34">
        <v>0.4636016</v>
      </c>
      <c r="T32" s="15">
        <v>0.53068000000000004</v>
      </c>
    </row>
    <row r="33" spans="1:20" x14ac:dyDescent="0.25">
      <c r="A33" s="13" t="s">
        <v>112</v>
      </c>
      <c r="B33" s="34" t="s">
        <v>4</v>
      </c>
      <c r="C33" s="34">
        <v>0.134099</v>
      </c>
      <c r="D33" s="34">
        <v>0.213196</v>
      </c>
      <c r="E33" s="15">
        <v>0.52900000000000003</v>
      </c>
      <c r="G33" s="14" t="s">
        <v>4</v>
      </c>
      <c r="H33" s="34">
        <v>0.370083</v>
      </c>
      <c r="I33" s="34">
        <v>0.35626210000000003</v>
      </c>
      <c r="J33" s="15">
        <v>0.29891000000000001</v>
      </c>
      <c r="L33" s="14" t="s">
        <v>4</v>
      </c>
      <c r="M33" s="34">
        <v>0.14255000000000001</v>
      </c>
      <c r="N33" s="34">
        <v>0.21331</v>
      </c>
      <c r="O33" s="15">
        <v>0.504</v>
      </c>
      <c r="Q33" s="14" t="s">
        <v>4</v>
      </c>
      <c r="R33" s="34">
        <v>0.37249130000000003</v>
      </c>
      <c r="S33" s="34">
        <v>0.35645919999999998</v>
      </c>
      <c r="T33" s="15">
        <v>0.29604000000000003</v>
      </c>
    </row>
    <row r="34" spans="1:20" x14ac:dyDescent="0.25">
      <c r="A34" s="13" t="s">
        <v>112</v>
      </c>
      <c r="B34" s="23" t="s">
        <v>389</v>
      </c>
      <c r="C34" s="34">
        <v>-6.6485000000000002E-2</v>
      </c>
      <c r="D34" s="34">
        <v>9.7319999999999993E-3</v>
      </c>
      <c r="E34" s="15">
        <v>8.52E-12</v>
      </c>
      <c r="G34" s="14" t="s">
        <v>7</v>
      </c>
      <c r="H34" s="34">
        <v>4.9328000000000002E-3</v>
      </c>
      <c r="I34" s="34">
        <v>4.7307E-3</v>
      </c>
      <c r="J34" s="15">
        <v>0.29708000000000001</v>
      </c>
      <c r="Q34" s="14" t="s">
        <v>7</v>
      </c>
      <c r="R34" s="34">
        <v>5.3381000000000001E-3</v>
      </c>
      <c r="S34" s="34">
        <v>4.7329E-3</v>
      </c>
      <c r="T34" s="15">
        <v>0.25938</v>
      </c>
    </row>
    <row r="35" spans="1:20" x14ac:dyDescent="0.25">
      <c r="A35" s="13" t="s">
        <v>112</v>
      </c>
      <c r="B35" s="23"/>
      <c r="G35" s="14" t="s">
        <v>9</v>
      </c>
      <c r="H35" s="34">
        <v>6.4871E-3</v>
      </c>
      <c r="I35" s="34">
        <v>2.2869000000000001E-3</v>
      </c>
      <c r="J35" s="15">
        <v>4.5599999999999998E-3</v>
      </c>
      <c r="Q35" s="14" t="s">
        <v>9</v>
      </c>
      <c r="R35" s="34">
        <v>6.4925E-3</v>
      </c>
      <c r="S35" s="34">
        <v>2.2882000000000002E-3</v>
      </c>
      <c r="T35" s="15">
        <v>4.5500000000000002E-3</v>
      </c>
    </row>
    <row r="36" spans="1:20" x14ac:dyDescent="0.25">
      <c r="A36" s="13" t="s">
        <v>112</v>
      </c>
      <c r="B36" s="23"/>
      <c r="G36" s="14" t="s">
        <v>10</v>
      </c>
      <c r="H36" s="34">
        <v>4.5995999999999997E-3</v>
      </c>
      <c r="I36" s="34">
        <v>4.2950999999999996E-3</v>
      </c>
      <c r="J36" s="15">
        <v>0.28421999999999997</v>
      </c>
      <c r="Q36" s="14" t="s">
        <v>10</v>
      </c>
      <c r="R36" s="34">
        <v>4.5891999999999999E-3</v>
      </c>
      <c r="S36" s="34">
        <v>4.2975000000000001E-3</v>
      </c>
      <c r="T36" s="15">
        <v>0.28558</v>
      </c>
    </row>
    <row r="37" spans="1:20" x14ac:dyDescent="0.25">
      <c r="A37" s="13" t="s">
        <v>112</v>
      </c>
      <c r="B37" s="23"/>
      <c r="G37" s="14" t="s">
        <v>11</v>
      </c>
      <c r="H37" s="34">
        <v>-1.09154E-2</v>
      </c>
      <c r="I37" s="34">
        <v>2.5122E-3</v>
      </c>
      <c r="J37" s="15">
        <v>1.4E-5</v>
      </c>
      <c r="Q37" s="14" t="s">
        <v>11</v>
      </c>
      <c r="R37" s="34">
        <v>-1.1051200000000001E-2</v>
      </c>
      <c r="S37" s="34">
        <v>2.5135999999999999E-3</v>
      </c>
      <c r="T37" s="15">
        <v>1.1E-5</v>
      </c>
    </row>
    <row r="38" spans="1:20" x14ac:dyDescent="0.25">
      <c r="A38" s="13" t="s">
        <v>112</v>
      </c>
      <c r="B38" s="23"/>
      <c r="G38" s="14" t="s">
        <v>12</v>
      </c>
      <c r="H38" s="34">
        <v>9.7639999999999999E-4</v>
      </c>
      <c r="I38" s="34">
        <v>2.6936999999999998E-3</v>
      </c>
      <c r="J38" s="15">
        <v>0.71699999999999997</v>
      </c>
      <c r="Q38" s="14" t="s">
        <v>12</v>
      </c>
      <c r="R38" s="34">
        <v>7.0759999999999996E-4</v>
      </c>
      <c r="S38" s="34">
        <v>2.6949000000000001E-3</v>
      </c>
      <c r="T38" s="15">
        <v>0.79290000000000005</v>
      </c>
    </row>
    <row r="39" spans="1:20" x14ac:dyDescent="0.25">
      <c r="A39" s="13" t="s">
        <v>112</v>
      </c>
      <c r="B39" s="23"/>
      <c r="G39" s="14" t="s">
        <v>13</v>
      </c>
      <c r="H39" s="34">
        <v>1.7223E-3</v>
      </c>
      <c r="I39" s="34">
        <v>3.8505000000000002E-3</v>
      </c>
      <c r="J39" s="15">
        <v>0.65466000000000002</v>
      </c>
      <c r="Q39" s="14" t="s">
        <v>13</v>
      </c>
      <c r="R39" s="34">
        <v>1.7658999999999999E-3</v>
      </c>
      <c r="S39" s="34">
        <v>3.8525999999999999E-3</v>
      </c>
      <c r="T39" s="15">
        <v>0.64670000000000005</v>
      </c>
    </row>
    <row r="40" spans="1:20" x14ac:dyDescent="0.25">
      <c r="A40" s="13" t="s">
        <v>112</v>
      </c>
      <c r="B40" s="23"/>
      <c r="G40" s="14" t="s">
        <v>14</v>
      </c>
      <c r="H40" s="34">
        <v>2.5703000000000002E-3</v>
      </c>
      <c r="I40" s="34">
        <v>2.8652999999999999E-3</v>
      </c>
      <c r="J40" s="15">
        <v>0.36969999999999997</v>
      </c>
      <c r="Q40" s="14" t="s">
        <v>14</v>
      </c>
      <c r="R40" s="34">
        <v>2.4344000000000002E-3</v>
      </c>
      <c r="S40" s="34">
        <v>2.8668000000000001E-3</v>
      </c>
      <c r="T40" s="15">
        <v>0.39578999999999998</v>
      </c>
    </row>
    <row r="41" spans="1:20" x14ac:dyDescent="0.25">
      <c r="A41" s="35" t="s">
        <v>112</v>
      </c>
      <c r="B41" s="36"/>
      <c r="C41" s="37"/>
      <c r="D41" s="37"/>
      <c r="E41" s="38"/>
      <c r="F41" s="38"/>
      <c r="G41" s="39" t="s">
        <v>389</v>
      </c>
      <c r="H41" s="37">
        <v>-6.6027299999999997E-2</v>
      </c>
      <c r="I41" s="37">
        <v>9.7316E-3</v>
      </c>
      <c r="J41" s="38">
        <v>1.1800000000000001E-11</v>
      </c>
      <c r="K41" s="39"/>
      <c r="L41" s="39"/>
      <c r="M41" s="37"/>
      <c r="N41" s="37"/>
      <c r="O41" s="38"/>
      <c r="P41" s="39"/>
      <c r="Q41" s="39"/>
      <c r="R41" s="37"/>
      <c r="S41" s="37"/>
      <c r="T41" s="38"/>
    </row>
    <row r="43" spans="1:20" ht="16.5" thickBot="1" x14ac:dyDescent="0.3">
      <c r="A43" s="30" t="s">
        <v>107</v>
      </c>
      <c r="B43" s="31" t="s">
        <v>441</v>
      </c>
      <c r="C43" s="31" t="s">
        <v>5</v>
      </c>
      <c r="D43" s="31" t="s">
        <v>108</v>
      </c>
      <c r="E43" s="32" t="s">
        <v>6</v>
      </c>
      <c r="F43" s="32"/>
      <c r="G43" s="33" t="s">
        <v>441</v>
      </c>
      <c r="H43" s="31" t="s">
        <v>5</v>
      </c>
      <c r="I43" s="31" t="s">
        <v>108</v>
      </c>
      <c r="J43" s="32" t="s">
        <v>6</v>
      </c>
      <c r="K43" s="33"/>
      <c r="L43" s="33" t="s">
        <v>441</v>
      </c>
      <c r="M43" s="31" t="s">
        <v>5</v>
      </c>
      <c r="N43" s="31" t="s">
        <v>108</v>
      </c>
      <c r="O43" s="32" t="s">
        <v>6</v>
      </c>
      <c r="P43" s="33"/>
      <c r="Q43" s="33" t="s">
        <v>441</v>
      </c>
      <c r="R43" s="31" t="s">
        <v>5</v>
      </c>
      <c r="S43" s="31" t="s">
        <v>108</v>
      </c>
      <c r="T43" s="32" t="s">
        <v>6</v>
      </c>
    </row>
    <row r="44" spans="1:20" ht="16.5" thickTop="1" x14ac:dyDescent="0.25">
      <c r="A44" s="13" t="s">
        <v>113</v>
      </c>
      <c r="B44" s="34" t="s">
        <v>1</v>
      </c>
      <c r="C44" s="34">
        <v>-0.61554600000000004</v>
      </c>
      <c r="D44" s="34">
        <v>2.8051E-2</v>
      </c>
      <c r="E44" s="15" t="s">
        <v>8</v>
      </c>
      <c r="G44" s="14" t="s">
        <v>1</v>
      </c>
      <c r="H44" s="34">
        <v>3.8845999999999999E-2</v>
      </c>
      <c r="I44" s="34">
        <v>0.19997100000000001</v>
      </c>
      <c r="J44" s="15">
        <v>0.84597299999999997</v>
      </c>
      <c r="L44" s="14" t="s">
        <v>1</v>
      </c>
      <c r="M44" s="34">
        <v>-0.52380000000000004</v>
      </c>
      <c r="N44" s="34">
        <v>2.7689999999999999E-2</v>
      </c>
      <c r="O44" s="15" t="s">
        <v>8</v>
      </c>
      <c r="Q44" s="14" t="s">
        <v>1</v>
      </c>
      <c r="R44" s="34">
        <v>0.16722500000000001</v>
      </c>
      <c r="S44" s="34">
        <v>0.20048299999999999</v>
      </c>
      <c r="T44" s="15">
        <v>0.404223</v>
      </c>
    </row>
    <row r="45" spans="1:20" x14ac:dyDescent="0.25">
      <c r="A45" s="13" t="s">
        <v>113</v>
      </c>
      <c r="B45" s="34" t="s">
        <v>3</v>
      </c>
      <c r="C45" s="34">
        <v>0.88771100000000003</v>
      </c>
      <c r="D45" s="34">
        <v>0.155719</v>
      </c>
      <c r="E45" s="15">
        <v>1.2E-8</v>
      </c>
      <c r="G45" s="14" t="s">
        <v>3</v>
      </c>
      <c r="H45" s="34">
        <v>1.091262</v>
      </c>
      <c r="I45" s="34">
        <v>0.41933999999999999</v>
      </c>
      <c r="J45" s="15">
        <v>9.2619999999999994E-3</v>
      </c>
      <c r="L45" s="14" t="s">
        <v>3</v>
      </c>
      <c r="M45" s="34">
        <v>1.02443</v>
      </c>
      <c r="N45" s="34">
        <v>0.15604000000000001</v>
      </c>
      <c r="O45" s="15">
        <v>5.25E-11</v>
      </c>
      <c r="Q45" s="14" t="s">
        <v>3</v>
      </c>
      <c r="R45" s="34">
        <v>1.20766</v>
      </c>
      <c r="S45" s="34">
        <v>0.42062699999999997</v>
      </c>
      <c r="T45" s="15">
        <v>4.0920000000000002E-3</v>
      </c>
    </row>
    <row r="46" spans="1:20" x14ac:dyDescent="0.25">
      <c r="A46" s="13" t="s">
        <v>113</v>
      </c>
      <c r="B46" s="34" t="s">
        <v>4</v>
      </c>
      <c r="C46" s="34">
        <v>-0.98236400000000001</v>
      </c>
      <c r="D46" s="34">
        <v>0.195572</v>
      </c>
      <c r="E46" s="15">
        <v>5.0999999999999999E-7</v>
      </c>
      <c r="G46" s="14" t="s">
        <v>4</v>
      </c>
      <c r="H46" s="34">
        <v>-0.78378000000000003</v>
      </c>
      <c r="I46" s="34">
        <v>0.32274900000000001</v>
      </c>
      <c r="J46" s="15">
        <v>1.5167E-2</v>
      </c>
      <c r="L46" s="14" t="s">
        <v>4</v>
      </c>
      <c r="M46" s="34">
        <v>-0.98514999999999997</v>
      </c>
      <c r="N46" s="34">
        <v>0.19620000000000001</v>
      </c>
      <c r="O46" s="15">
        <v>5.1500000000000005E-7</v>
      </c>
      <c r="Q46" s="14" t="s">
        <v>4</v>
      </c>
      <c r="R46" s="34">
        <v>-0.77147100000000002</v>
      </c>
      <c r="S46" s="34">
        <v>0.32377600000000001</v>
      </c>
      <c r="T46" s="15">
        <v>1.7187999999999998E-2</v>
      </c>
    </row>
    <row r="47" spans="1:20" x14ac:dyDescent="0.25">
      <c r="A47" s="13" t="s">
        <v>113</v>
      </c>
      <c r="B47" s="23" t="s">
        <v>389</v>
      </c>
      <c r="C47" s="34">
        <v>0.16147</v>
      </c>
      <c r="D47" s="34">
        <v>8.8039999999999993E-3</v>
      </c>
      <c r="E47" s="15" t="s">
        <v>8</v>
      </c>
      <c r="G47" s="14" t="s">
        <v>7</v>
      </c>
      <c r="H47" s="34">
        <v>-1.4331E-2</v>
      </c>
      <c r="I47" s="34">
        <v>4.2560000000000002E-3</v>
      </c>
      <c r="J47" s="15">
        <v>7.5900000000000002E-4</v>
      </c>
      <c r="Q47" s="14" t="s">
        <v>7</v>
      </c>
      <c r="R47" s="34">
        <v>-1.5195999999999999E-2</v>
      </c>
      <c r="S47" s="34">
        <v>4.2690000000000002E-3</v>
      </c>
      <c r="T47" s="15">
        <v>3.7199999999999999E-4</v>
      </c>
    </row>
    <row r="48" spans="1:20" x14ac:dyDescent="0.25">
      <c r="A48" s="13" t="s">
        <v>113</v>
      </c>
      <c r="B48" s="23"/>
      <c r="G48" s="14" t="s">
        <v>9</v>
      </c>
      <c r="H48" s="34">
        <v>1.0833000000000001E-2</v>
      </c>
      <c r="I48" s="34">
        <v>2.0460000000000001E-3</v>
      </c>
      <c r="J48" s="15">
        <v>1.1999999999999999E-7</v>
      </c>
      <c r="Q48" s="14" t="s">
        <v>9</v>
      </c>
      <c r="R48" s="34">
        <v>1.0769000000000001E-2</v>
      </c>
      <c r="S48" s="34">
        <v>2.0530000000000001E-3</v>
      </c>
      <c r="T48" s="15">
        <v>1.55E-7</v>
      </c>
    </row>
    <row r="49" spans="1:20" x14ac:dyDescent="0.25">
      <c r="A49" s="13" t="s">
        <v>113</v>
      </c>
      <c r="B49" s="23"/>
      <c r="G49" s="14" t="s">
        <v>10</v>
      </c>
      <c r="H49" s="34">
        <v>-4.3270000000000001E-3</v>
      </c>
      <c r="I49" s="34">
        <v>3.8760000000000001E-3</v>
      </c>
      <c r="J49" s="15">
        <v>0.26423400000000002</v>
      </c>
      <c r="Q49" s="14" t="s">
        <v>10</v>
      </c>
      <c r="R49" s="34">
        <v>-4.5869999999999999E-3</v>
      </c>
      <c r="S49" s="34">
        <v>3.888E-3</v>
      </c>
      <c r="T49" s="15">
        <v>0.23812700000000001</v>
      </c>
    </row>
    <row r="50" spans="1:20" x14ac:dyDescent="0.25">
      <c r="A50" s="13" t="s">
        <v>113</v>
      </c>
      <c r="B50" s="23"/>
      <c r="G50" s="14" t="s">
        <v>11</v>
      </c>
      <c r="H50" s="34">
        <v>-3.0230000000000001E-3</v>
      </c>
      <c r="I50" s="34">
        <v>2.2729999999999998E-3</v>
      </c>
      <c r="J50" s="15">
        <v>0.183529</v>
      </c>
      <c r="Q50" s="14" t="s">
        <v>11</v>
      </c>
      <c r="R50" s="34">
        <v>-2.7409999999999999E-3</v>
      </c>
      <c r="S50" s="34">
        <v>2.2799999999999999E-3</v>
      </c>
      <c r="T50" s="15">
        <v>0.22922000000000001</v>
      </c>
    </row>
    <row r="51" spans="1:20" x14ac:dyDescent="0.25">
      <c r="A51" s="13" t="s">
        <v>113</v>
      </c>
      <c r="B51" s="23"/>
      <c r="G51" s="14" t="s">
        <v>12</v>
      </c>
      <c r="H51" s="34">
        <v>5.0169999999999998E-3</v>
      </c>
      <c r="I51" s="34">
        <v>2.421E-3</v>
      </c>
      <c r="J51" s="15">
        <v>3.8249999999999999E-2</v>
      </c>
      <c r="Q51" s="14" t="s">
        <v>12</v>
      </c>
      <c r="R51" s="34">
        <v>5.6959999999999997E-3</v>
      </c>
      <c r="S51" s="34">
        <v>2.4290000000000002E-3</v>
      </c>
      <c r="T51" s="15">
        <v>1.9019999999999999E-2</v>
      </c>
    </row>
    <row r="52" spans="1:20" x14ac:dyDescent="0.25">
      <c r="A52" s="13" t="s">
        <v>113</v>
      </c>
      <c r="B52" s="23"/>
      <c r="G52" s="14" t="s">
        <v>13</v>
      </c>
      <c r="H52" s="34">
        <v>-3.5469999999999998E-3</v>
      </c>
      <c r="I52" s="34">
        <v>3.4640000000000001E-3</v>
      </c>
      <c r="J52" s="15">
        <v>0.30575799999999997</v>
      </c>
      <c r="Q52" s="14" t="s">
        <v>13</v>
      </c>
      <c r="R52" s="34">
        <v>-3.4290000000000002E-3</v>
      </c>
      <c r="S52" s="34">
        <v>3.4749999999999998E-3</v>
      </c>
      <c r="T52" s="15">
        <v>0.32377499999999998</v>
      </c>
    </row>
    <row r="53" spans="1:20" x14ac:dyDescent="0.25">
      <c r="A53" s="13" t="s">
        <v>113</v>
      </c>
      <c r="B53" s="23"/>
      <c r="G53" s="14" t="s">
        <v>14</v>
      </c>
      <c r="H53" s="34">
        <v>5.888E-3</v>
      </c>
      <c r="I53" s="34">
        <v>2.5530000000000001E-3</v>
      </c>
      <c r="J53" s="15">
        <v>2.1075E-2</v>
      </c>
      <c r="Q53" s="14" t="s">
        <v>14</v>
      </c>
      <c r="R53" s="34">
        <v>6.2570000000000004E-3</v>
      </c>
      <c r="S53" s="34">
        <v>2.5609999999999999E-3</v>
      </c>
      <c r="T53" s="15">
        <v>1.4555999999999999E-2</v>
      </c>
    </row>
    <row r="54" spans="1:20" x14ac:dyDescent="0.25">
      <c r="A54" s="35" t="s">
        <v>113</v>
      </c>
      <c r="B54" s="36"/>
      <c r="C54" s="37"/>
      <c r="D54" s="37"/>
      <c r="E54" s="38"/>
      <c r="F54" s="38"/>
      <c r="G54" s="39" t="s">
        <v>389</v>
      </c>
      <c r="H54" s="37">
        <v>0.160575</v>
      </c>
      <c r="I54" s="37">
        <v>8.7989999999999995E-3</v>
      </c>
      <c r="J54" s="38" t="s">
        <v>8</v>
      </c>
      <c r="K54" s="39"/>
      <c r="L54" s="39"/>
      <c r="M54" s="37"/>
      <c r="N54" s="37"/>
      <c r="O54" s="38"/>
      <c r="P54" s="39"/>
      <c r="Q54" s="39"/>
      <c r="R54" s="37"/>
      <c r="S54" s="37"/>
      <c r="T54" s="38"/>
    </row>
    <row r="56" spans="1:20" ht="16.5" thickBot="1" x14ac:dyDescent="0.3">
      <c r="A56" s="30" t="s">
        <v>107</v>
      </c>
      <c r="B56" s="31" t="s">
        <v>441</v>
      </c>
      <c r="C56" s="31" t="s">
        <v>5</v>
      </c>
      <c r="D56" s="31" t="s">
        <v>108</v>
      </c>
      <c r="E56" s="32" t="s">
        <v>6</v>
      </c>
      <c r="F56" s="32"/>
      <c r="G56" s="33" t="s">
        <v>441</v>
      </c>
      <c r="H56" s="31" t="s">
        <v>5</v>
      </c>
      <c r="I56" s="31" t="s">
        <v>108</v>
      </c>
      <c r="J56" s="32" t="s">
        <v>6</v>
      </c>
      <c r="K56" s="33"/>
      <c r="L56" s="33" t="s">
        <v>441</v>
      </c>
      <c r="M56" s="31" t="s">
        <v>5</v>
      </c>
      <c r="N56" s="31" t="s">
        <v>108</v>
      </c>
      <c r="O56" s="32" t="s">
        <v>6</v>
      </c>
      <c r="P56" s="33"/>
      <c r="Q56" s="33" t="s">
        <v>441</v>
      </c>
      <c r="R56" s="31" t="s">
        <v>5</v>
      </c>
      <c r="S56" s="31" t="s">
        <v>108</v>
      </c>
      <c r="T56" s="32" t="s">
        <v>6</v>
      </c>
    </row>
    <row r="57" spans="1:20" ht="16.5" thickTop="1" x14ac:dyDescent="0.25">
      <c r="A57" s="13" t="s">
        <v>114</v>
      </c>
      <c r="B57" s="34" t="s">
        <v>1</v>
      </c>
      <c r="C57" s="34">
        <v>0.26658799999999999</v>
      </c>
      <c r="D57" s="34">
        <v>2.8160999999999999E-2</v>
      </c>
      <c r="E57" s="15" t="s">
        <v>8</v>
      </c>
      <c r="G57" s="14" t="s">
        <v>1</v>
      </c>
      <c r="H57" s="34">
        <v>0.84958400000000001</v>
      </c>
      <c r="I57" s="34">
        <v>0.20085700000000001</v>
      </c>
      <c r="J57" s="15">
        <v>2.34E-5</v>
      </c>
      <c r="L57" s="14" t="s">
        <v>1</v>
      </c>
      <c r="M57" s="34">
        <v>0.37462000000000001</v>
      </c>
      <c r="N57" s="34">
        <v>2.7830000000000001E-2</v>
      </c>
      <c r="O57" s="15" t="s">
        <v>8</v>
      </c>
      <c r="Q57" s="14" t="s">
        <v>1</v>
      </c>
      <c r="R57" s="34">
        <v>1.0009233</v>
      </c>
      <c r="S57" s="34">
        <v>0.20162479999999999</v>
      </c>
      <c r="T57" s="15">
        <v>6.92E-7</v>
      </c>
    </row>
    <row r="58" spans="1:20" x14ac:dyDescent="0.25">
      <c r="A58" s="13" t="s">
        <v>114</v>
      </c>
      <c r="B58" s="34" t="s">
        <v>3</v>
      </c>
      <c r="C58" s="34">
        <v>0.77272099999999999</v>
      </c>
      <c r="D58" s="34">
        <v>0.156335</v>
      </c>
      <c r="E58" s="15">
        <v>7.7300000000000005E-7</v>
      </c>
      <c r="G58" s="14" t="s">
        <v>3</v>
      </c>
      <c r="H58" s="34">
        <v>1.1668769999999999</v>
      </c>
      <c r="I58" s="34">
        <v>0.42121700000000001</v>
      </c>
      <c r="J58" s="15">
        <v>5.5999999999999999E-3</v>
      </c>
      <c r="L58" s="14" t="s">
        <v>3</v>
      </c>
      <c r="M58" s="34">
        <v>0.93342999999999998</v>
      </c>
      <c r="N58" s="34">
        <v>0.15684999999999999</v>
      </c>
      <c r="O58" s="15">
        <v>2.6799999999999998E-9</v>
      </c>
      <c r="Q58" s="14" t="s">
        <v>3</v>
      </c>
      <c r="R58" s="34">
        <v>1.3043940000000001</v>
      </c>
      <c r="S58" s="34">
        <v>0.42303669999999999</v>
      </c>
      <c r="T58" s="15">
        <v>2.0500000000000002E-3</v>
      </c>
    </row>
    <row r="59" spans="1:20" x14ac:dyDescent="0.25">
      <c r="A59" s="13" t="s">
        <v>114</v>
      </c>
      <c r="B59" s="34" t="s">
        <v>4</v>
      </c>
      <c r="C59" s="34">
        <v>-0.76122800000000002</v>
      </c>
      <c r="D59" s="34">
        <v>0.196322</v>
      </c>
      <c r="E59" s="15">
        <v>1.06E-4</v>
      </c>
      <c r="G59" s="14" t="s">
        <v>4</v>
      </c>
      <c r="H59" s="34">
        <v>-0.39096199999999998</v>
      </c>
      <c r="I59" s="34">
        <v>0.32417899999999999</v>
      </c>
      <c r="J59" s="15">
        <v>0.22781999999999999</v>
      </c>
      <c r="L59" s="14" t="s">
        <v>4</v>
      </c>
      <c r="M59" s="34">
        <v>-0.76466000000000001</v>
      </c>
      <c r="N59" s="34">
        <v>0.19719</v>
      </c>
      <c r="O59" s="15">
        <v>1.06E-4</v>
      </c>
      <c r="Q59" s="14" t="s">
        <v>4</v>
      </c>
      <c r="R59" s="34">
        <v>-0.37730229999999998</v>
      </c>
      <c r="S59" s="34">
        <v>0.32561620000000002</v>
      </c>
      <c r="T59" s="15">
        <v>0.24657000000000001</v>
      </c>
    </row>
    <row r="60" spans="1:20" x14ac:dyDescent="0.25">
      <c r="A60" s="13" t="s">
        <v>114</v>
      </c>
      <c r="B60" s="23" t="s">
        <v>389</v>
      </c>
      <c r="C60" s="34">
        <v>0.190333</v>
      </c>
      <c r="D60" s="34">
        <v>8.8419999999999992E-3</v>
      </c>
      <c r="E60" s="15" t="s">
        <v>8</v>
      </c>
      <c r="G60" s="14" t="s">
        <v>7</v>
      </c>
      <c r="H60" s="34">
        <v>-1.2193000000000001E-2</v>
      </c>
      <c r="I60" s="34">
        <v>4.274E-3</v>
      </c>
      <c r="J60" s="15">
        <v>4.3400000000000001E-3</v>
      </c>
      <c r="Q60" s="14" t="s">
        <v>7</v>
      </c>
      <c r="R60" s="34">
        <v>-1.3202200000000001E-2</v>
      </c>
      <c r="S60" s="34">
        <v>4.2929999999999999E-3</v>
      </c>
      <c r="T60" s="15">
        <v>2.0999999999999999E-3</v>
      </c>
    </row>
    <row r="61" spans="1:20" x14ac:dyDescent="0.25">
      <c r="A61" s="13" t="s">
        <v>114</v>
      </c>
      <c r="B61" s="23"/>
      <c r="G61" s="14" t="s">
        <v>9</v>
      </c>
      <c r="H61" s="34">
        <v>8.9160000000000003E-3</v>
      </c>
      <c r="I61" s="34">
        <v>2.055E-3</v>
      </c>
      <c r="J61" s="15">
        <v>1.4399999999999999E-5</v>
      </c>
      <c r="Q61" s="14" t="s">
        <v>9</v>
      </c>
      <c r="R61" s="34">
        <v>8.8372999999999993E-3</v>
      </c>
      <c r="S61" s="34">
        <v>2.0644999999999999E-3</v>
      </c>
      <c r="T61" s="15">
        <v>1.8700000000000001E-5</v>
      </c>
    </row>
    <row r="62" spans="1:20" x14ac:dyDescent="0.25">
      <c r="A62" s="13" t="s">
        <v>114</v>
      </c>
      <c r="B62" s="23"/>
      <c r="G62" s="14" t="s">
        <v>10</v>
      </c>
      <c r="H62" s="34">
        <v>-2.2699999999999999E-4</v>
      </c>
      <c r="I62" s="34">
        <v>3.8930000000000002E-3</v>
      </c>
      <c r="J62" s="15">
        <v>0.95350000000000001</v>
      </c>
      <c r="Q62" s="14" t="s">
        <v>10</v>
      </c>
      <c r="R62" s="34">
        <v>-5.3459999999999998E-4</v>
      </c>
      <c r="S62" s="34">
        <v>3.9106000000000002E-3</v>
      </c>
      <c r="T62" s="15">
        <v>0.89126000000000005</v>
      </c>
    </row>
    <row r="63" spans="1:20" x14ac:dyDescent="0.25">
      <c r="A63" s="13" t="s">
        <v>114</v>
      </c>
      <c r="B63" s="23"/>
      <c r="G63" s="14" t="s">
        <v>11</v>
      </c>
      <c r="H63" s="34">
        <v>-5.4819999999999999E-3</v>
      </c>
      <c r="I63" s="34">
        <v>2.284E-3</v>
      </c>
      <c r="J63" s="15">
        <v>1.6369999999999999E-2</v>
      </c>
      <c r="Q63" s="14" t="s">
        <v>11</v>
      </c>
      <c r="R63" s="34">
        <v>-5.1362999999999999E-3</v>
      </c>
      <c r="S63" s="34">
        <v>2.2937999999999999E-3</v>
      </c>
      <c r="T63" s="15">
        <v>2.5149999999999999E-2</v>
      </c>
    </row>
    <row r="64" spans="1:20" x14ac:dyDescent="0.25">
      <c r="A64" s="13" t="s">
        <v>114</v>
      </c>
      <c r="B64" s="23"/>
      <c r="G64" s="14" t="s">
        <v>12</v>
      </c>
      <c r="H64" s="34">
        <v>-5.2370000000000003E-3</v>
      </c>
      <c r="I64" s="34">
        <v>2.4329999999999998E-3</v>
      </c>
      <c r="J64" s="15">
        <v>3.1350000000000003E-2</v>
      </c>
      <c r="Q64" s="14" t="s">
        <v>12</v>
      </c>
      <c r="R64" s="34">
        <v>-4.4267999999999998E-3</v>
      </c>
      <c r="S64" s="34">
        <v>2.4432E-3</v>
      </c>
      <c r="T64" s="15">
        <v>7.0010000000000003E-2</v>
      </c>
    </row>
    <row r="65" spans="1:20" x14ac:dyDescent="0.25">
      <c r="A65" s="13" t="s">
        <v>114</v>
      </c>
      <c r="B65" s="23"/>
      <c r="G65" s="14" t="s">
        <v>13</v>
      </c>
      <c r="H65" s="34">
        <v>-2.1489999999999999E-3</v>
      </c>
      <c r="I65" s="34">
        <v>3.48E-3</v>
      </c>
      <c r="J65" s="15">
        <v>0.53696999999999995</v>
      </c>
      <c r="Q65" s="14" t="s">
        <v>13</v>
      </c>
      <c r="R65" s="34">
        <v>-2.0154999999999999E-3</v>
      </c>
      <c r="S65" s="34">
        <v>3.4954000000000001E-3</v>
      </c>
      <c r="T65" s="15">
        <v>0.56420000000000003</v>
      </c>
    </row>
    <row r="66" spans="1:20" x14ac:dyDescent="0.25">
      <c r="A66" s="13" t="s">
        <v>114</v>
      </c>
      <c r="B66" s="23"/>
      <c r="G66" s="14" t="s">
        <v>14</v>
      </c>
      <c r="H66" s="34">
        <v>6.1910000000000003E-3</v>
      </c>
      <c r="I66" s="34">
        <v>2.565E-3</v>
      </c>
      <c r="J66" s="15">
        <v>1.5800000000000002E-2</v>
      </c>
      <c r="Q66" s="14" t="s">
        <v>14</v>
      </c>
      <c r="R66" s="34">
        <v>6.6395999999999998E-3</v>
      </c>
      <c r="S66" s="34">
        <v>2.5763000000000001E-3</v>
      </c>
      <c r="T66" s="15">
        <v>9.9600000000000001E-3</v>
      </c>
    </row>
    <row r="67" spans="1:20" x14ac:dyDescent="0.25">
      <c r="A67" s="35" t="s">
        <v>114</v>
      </c>
      <c r="B67" s="36"/>
      <c r="C67" s="37"/>
      <c r="D67" s="37"/>
      <c r="E67" s="38"/>
      <c r="F67" s="38"/>
      <c r="G67" s="39" t="s">
        <v>389</v>
      </c>
      <c r="H67" s="37">
        <v>0.19028999999999999</v>
      </c>
      <c r="I67" s="37">
        <v>8.8400000000000006E-3</v>
      </c>
      <c r="J67" s="38" t="s">
        <v>8</v>
      </c>
      <c r="K67" s="39"/>
      <c r="L67" s="39"/>
      <c r="M67" s="37"/>
      <c r="N67" s="37"/>
      <c r="O67" s="38"/>
      <c r="P67" s="39"/>
      <c r="Q67" s="39"/>
      <c r="R67" s="37"/>
      <c r="S67" s="37"/>
      <c r="T67" s="38"/>
    </row>
    <row r="69" spans="1:20" ht="16.5" thickBot="1" x14ac:dyDescent="0.3">
      <c r="A69" s="30" t="s">
        <v>107</v>
      </c>
      <c r="B69" s="31" t="s">
        <v>441</v>
      </c>
      <c r="C69" s="31" t="s">
        <v>5</v>
      </c>
      <c r="D69" s="31" t="s">
        <v>108</v>
      </c>
      <c r="E69" s="32" t="s">
        <v>6</v>
      </c>
      <c r="F69" s="32"/>
      <c r="G69" s="33" t="s">
        <v>441</v>
      </c>
      <c r="H69" s="31" t="s">
        <v>5</v>
      </c>
      <c r="I69" s="31" t="s">
        <v>108</v>
      </c>
      <c r="J69" s="32" t="s">
        <v>6</v>
      </c>
      <c r="K69" s="33"/>
      <c r="L69" s="33" t="s">
        <v>441</v>
      </c>
      <c r="M69" s="31" t="s">
        <v>5</v>
      </c>
      <c r="N69" s="31" t="s">
        <v>108</v>
      </c>
      <c r="O69" s="32" t="s">
        <v>6</v>
      </c>
      <c r="P69" s="33"/>
      <c r="Q69" s="33" t="s">
        <v>441</v>
      </c>
      <c r="R69" s="31" t="s">
        <v>5</v>
      </c>
      <c r="S69" s="31" t="s">
        <v>108</v>
      </c>
      <c r="T69" s="32" t="s">
        <v>6</v>
      </c>
    </row>
    <row r="70" spans="1:20" ht="16.5" thickTop="1" x14ac:dyDescent="0.25">
      <c r="A70" s="13" t="s">
        <v>48</v>
      </c>
      <c r="B70" s="34" t="s">
        <v>1</v>
      </c>
      <c r="C70" s="34">
        <v>0.65107800000000005</v>
      </c>
      <c r="D70" s="34">
        <v>2.7217999999999999E-2</v>
      </c>
      <c r="E70" s="15" t="s">
        <v>8</v>
      </c>
      <c r="G70" s="14" t="s">
        <v>1</v>
      </c>
      <c r="H70" s="34">
        <v>0.62435620000000003</v>
      </c>
      <c r="I70" s="34">
        <v>0.1942142</v>
      </c>
      <c r="J70" s="15">
        <v>1.31E-3</v>
      </c>
      <c r="L70" s="14" t="s">
        <v>1</v>
      </c>
      <c r="M70" s="34">
        <v>0.73297999999999996</v>
      </c>
      <c r="N70" s="34">
        <v>2.6859999999999998E-2</v>
      </c>
      <c r="O70" s="15" t="s">
        <v>8</v>
      </c>
      <c r="Q70" s="14" t="s">
        <v>1</v>
      </c>
      <c r="R70" s="34">
        <v>0.73900189999999999</v>
      </c>
      <c r="S70" s="34">
        <v>0.19462550000000001</v>
      </c>
      <c r="T70" s="15">
        <v>1.47E-4</v>
      </c>
    </row>
    <row r="71" spans="1:20" x14ac:dyDescent="0.25">
      <c r="A71" s="13" t="s">
        <v>48</v>
      </c>
      <c r="B71" s="34" t="s">
        <v>3</v>
      </c>
      <c r="C71" s="34">
        <v>0.22628200000000001</v>
      </c>
      <c r="D71" s="34">
        <v>0.151061</v>
      </c>
      <c r="E71" s="15">
        <v>0.13400000000000001</v>
      </c>
      <c r="G71" s="14" t="s">
        <v>3</v>
      </c>
      <c r="H71" s="34">
        <v>0.32145790000000002</v>
      </c>
      <c r="I71" s="34">
        <v>0.40738000000000002</v>
      </c>
      <c r="J71" s="15">
        <v>0.43007000000000001</v>
      </c>
      <c r="L71" s="14" t="s">
        <v>3</v>
      </c>
      <c r="M71" s="34">
        <v>0.34884999999999999</v>
      </c>
      <c r="N71" s="34">
        <v>0.15129999999999999</v>
      </c>
      <c r="O71" s="15">
        <v>2.1100000000000001E-2</v>
      </c>
      <c r="Q71" s="14" t="s">
        <v>3</v>
      </c>
      <c r="R71" s="34">
        <v>0.42598920000000001</v>
      </c>
      <c r="S71" s="34">
        <v>0.40844560000000002</v>
      </c>
      <c r="T71" s="15">
        <v>0.29697499999999999</v>
      </c>
    </row>
    <row r="72" spans="1:20" x14ac:dyDescent="0.25">
      <c r="A72" s="13" t="s">
        <v>48</v>
      </c>
      <c r="B72" s="34" t="s">
        <v>4</v>
      </c>
      <c r="C72" s="34">
        <v>0.18171100000000001</v>
      </c>
      <c r="D72" s="34">
        <v>0.19045799999999999</v>
      </c>
      <c r="E72" s="15">
        <v>0.34</v>
      </c>
      <c r="G72" s="14" t="s">
        <v>4</v>
      </c>
      <c r="H72" s="34">
        <v>0.28098800000000002</v>
      </c>
      <c r="I72" s="34">
        <v>0.31380970000000002</v>
      </c>
      <c r="J72" s="15">
        <v>0.37057000000000001</v>
      </c>
      <c r="L72" s="14" t="s">
        <v>4</v>
      </c>
      <c r="M72" s="34">
        <v>0.17756</v>
      </c>
      <c r="N72" s="34">
        <v>0.19098000000000001</v>
      </c>
      <c r="O72" s="15">
        <v>0.35249999999999998</v>
      </c>
      <c r="Q72" s="14" t="s">
        <v>4</v>
      </c>
      <c r="R72" s="34">
        <v>0.2893965</v>
      </c>
      <c r="S72" s="34">
        <v>0.31466640000000001</v>
      </c>
      <c r="T72" s="15">
        <v>0.35773700000000003</v>
      </c>
    </row>
    <row r="73" spans="1:20" x14ac:dyDescent="0.25">
      <c r="A73" s="13" t="s">
        <v>48</v>
      </c>
      <c r="B73" s="23" t="s">
        <v>389</v>
      </c>
      <c r="C73" s="34">
        <v>0.144401</v>
      </c>
      <c r="D73" s="34">
        <v>8.5459999999999998E-3</v>
      </c>
      <c r="E73" s="15" t="s">
        <v>8</v>
      </c>
      <c r="G73" s="14" t="s">
        <v>7</v>
      </c>
      <c r="H73" s="34">
        <v>6.401E-4</v>
      </c>
      <c r="I73" s="34">
        <v>4.1329000000000001E-3</v>
      </c>
      <c r="J73" s="15">
        <v>0.87692000000000003</v>
      </c>
      <c r="Q73" s="14" t="s">
        <v>7</v>
      </c>
      <c r="R73" s="34">
        <v>-1.262E-4</v>
      </c>
      <c r="S73" s="34">
        <v>4.1438999999999998E-3</v>
      </c>
      <c r="T73" s="15">
        <v>0.97570999999999997</v>
      </c>
    </row>
    <row r="74" spans="1:20" x14ac:dyDescent="0.25">
      <c r="A74" s="13" t="s">
        <v>48</v>
      </c>
      <c r="B74" s="23"/>
      <c r="G74" s="14" t="s">
        <v>9</v>
      </c>
      <c r="H74" s="34">
        <v>8.1974000000000005E-3</v>
      </c>
      <c r="I74" s="34">
        <v>1.9875000000000001E-3</v>
      </c>
      <c r="J74" s="15">
        <v>3.7200000000000003E-5</v>
      </c>
      <c r="Q74" s="14" t="s">
        <v>9</v>
      </c>
      <c r="R74" s="34">
        <v>8.1381000000000005E-3</v>
      </c>
      <c r="S74" s="34">
        <v>1.9929000000000001E-3</v>
      </c>
      <c r="T74" s="15">
        <v>4.4400000000000002E-5</v>
      </c>
    </row>
    <row r="75" spans="1:20" x14ac:dyDescent="0.25">
      <c r="A75" s="13" t="s">
        <v>48</v>
      </c>
      <c r="B75" s="23"/>
      <c r="G75" s="14" t="s">
        <v>10</v>
      </c>
      <c r="H75" s="34">
        <v>-2.7227000000000002E-3</v>
      </c>
      <c r="I75" s="34">
        <v>3.7650000000000001E-3</v>
      </c>
      <c r="J75" s="15">
        <v>0.46959000000000001</v>
      </c>
      <c r="Q75" s="14" t="s">
        <v>10</v>
      </c>
      <c r="R75" s="34">
        <v>-2.9602000000000001E-3</v>
      </c>
      <c r="S75" s="34">
        <v>3.7753000000000001E-3</v>
      </c>
      <c r="T75" s="15">
        <v>0.43299399999999999</v>
      </c>
    </row>
    <row r="76" spans="1:20" x14ac:dyDescent="0.25">
      <c r="A76" s="13" t="s">
        <v>48</v>
      </c>
      <c r="B76" s="23"/>
      <c r="G76" s="14" t="s">
        <v>11</v>
      </c>
      <c r="H76" s="34">
        <v>-4.9332999999999998E-3</v>
      </c>
      <c r="I76" s="34">
        <v>2.2084000000000001E-3</v>
      </c>
      <c r="J76" s="15">
        <v>2.5489999999999999E-2</v>
      </c>
      <c r="Q76" s="14" t="s">
        <v>11</v>
      </c>
      <c r="R76" s="34">
        <v>-4.6782000000000004E-3</v>
      </c>
      <c r="S76" s="34">
        <v>2.2143000000000002E-3</v>
      </c>
      <c r="T76" s="15">
        <v>3.4633999999999998E-2</v>
      </c>
    </row>
    <row r="77" spans="1:20" x14ac:dyDescent="0.25">
      <c r="A77" s="13" t="s">
        <v>48</v>
      </c>
      <c r="B77" s="23"/>
      <c r="G77" s="14" t="s">
        <v>12</v>
      </c>
      <c r="H77" s="34">
        <v>2.1787999999999998E-3</v>
      </c>
      <c r="I77" s="34">
        <v>2.3517E-3</v>
      </c>
      <c r="J77" s="15">
        <v>0.35421000000000002</v>
      </c>
      <c r="Q77" s="14" t="s">
        <v>12</v>
      </c>
      <c r="R77" s="34">
        <v>2.8105000000000001E-3</v>
      </c>
      <c r="S77" s="34">
        <v>2.3578000000000002E-3</v>
      </c>
      <c r="T77" s="15">
        <v>0.23327999999999999</v>
      </c>
    </row>
    <row r="78" spans="1:20" x14ac:dyDescent="0.25">
      <c r="A78" s="13" t="s">
        <v>48</v>
      </c>
      <c r="B78" s="23"/>
      <c r="G78" s="14" t="s">
        <v>13</v>
      </c>
      <c r="H78" s="34">
        <v>5.7740000000000005E-4</v>
      </c>
      <c r="I78" s="34">
        <v>3.3638000000000001E-3</v>
      </c>
      <c r="J78" s="15">
        <v>0.86370999999999998</v>
      </c>
      <c r="Q78" s="14" t="s">
        <v>13</v>
      </c>
      <c r="R78" s="34">
        <v>6.7469999999999997E-4</v>
      </c>
      <c r="S78" s="34">
        <v>3.3730000000000001E-3</v>
      </c>
      <c r="T78" s="15">
        <v>0.84145199999999998</v>
      </c>
    </row>
    <row r="79" spans="1:20" x14ac:dyDescent="0.25">
      <c r="A79" s="13" t="s">
        <v>48</v>
      </c>
      <c r="B79" s="23"/>
      <c r="G79" s="14" t="s">
        <v>14</v>
      </c>
      <c r="H79" s="34">
        <v>5.1494000000000002E-3</v>
      </c>
      <c r="I79" s="34">
        <v>2.4789E-3</v>
      </c>
      <c r="J79" s="15">
        <v>3.7780000000000001E-2</v>
      </c>
      <c r="Q79" s="14" t="s">
        <v>14</v>
      </c>
      <c r="R79" s="34">
        <v>5.4872999999999996E-3</v>
      </c>
      <c r="S79" s="34">
        <v>2.4856000000000001E-3</v>
      </c>
      <c r="T79" s="15">
        <v>2.7272000000000001E-2</v>
      </c>
    </row>
    <row r="80" spans="1:20" x14ac:dyDescent="0.25">
      <c r="A80" s="35" t="s">
        <v>48</v>
      </c>
      <c r="B80" s="36"/>
      <c r="C80" s="37"/>
      <c r="D80" s="37"/>
      <c r="E80" s="38"/>
      <c r="F80" s="38"/>
      <c r="G80" s="39" t="s">
        <v>389</v>
      </c>
      <c r="H80" s="37">
        <v>0.1441991</v>
      </c>
      <c r="I80" s="37">
        <v>8.5447000000000006E-3</v>
      </c>
      <c r="J80" s="38" t="s">
        <v>8</v>
      </c>
      <c r="K80" s="39"/>
      <c r="L80" s="39"/>
      <c r="M80" s="37"/>
      <c r="N80" s="37"/>
      <c r="O80" s="38"/>
      <c r="P80" s="39"/>
      <c r="Q80" s="39"/>
      <c r="R80" s="37"/>
      <c r="S80" s="37"/>
      <c r="T80" s="38"/>
    </row>
    <row r="82" spans="1:20" ht="16.5" thickBot="1" x14ac:dyDescent="0.3">
      <c r="A82" s="30" t="s">
        <v>107</v>
      </c>
      <c r="B82" s="31" t="s">
        <v>441</v>
      </c>
      <c r="C82" s="31" t="s">
        <v>5</v>
      </c>
      <c r="D82" s="31" t="s">
        <v>108</v>
      </c>
      <c r="E82" s="32" t="s">
        <v>6</v>
      </c>
      <c r="F82" s="32"/>
      <c r="G82" s="33" t="s">
        <v>441</v>
      </c>
      <c r="H82" s="31" t="s">
        <v>5</v>
      </c>
      <c r="I82" s="31" t="s">
        <v>108</v>
      </c>
      <c r="J82" s="32" t="s">
        <v>6</v>
      </c>
      <c r="K82" s="33"/>
      <c r="L82" s="33" t="s">
        <v>441</v>
      </c>
      <c r="M82" s="31" t="s">
        <v>5</v>
      </c>
      <c r="N82" s="31" t="s">
        <v>108</v>
      </c>
      <c r="O82" s="32" t="s">
        <v>6</v>
      </c>
      <c r="P82" s="33"/>
      <c r="Q82" s="33" t="s">
        <v>441</v>
      </c>
      <c r="R82" s="31" t="s">
        <v>5</v>
      </c>
      <c r="S82" s="31" t="s">
        <v>108</v>
      </c>
      <c r="T82" s="32" t="s">
        <v>6</v>
      </c>
    </row>
    <row r="83" spans="1:20" ht="16.5" thickTop="1" x14ac:dyDescent="0.25">
      <c r="A83" s="13" t="s">
        <v>115</v>
      </c>
      <c r="B83" s="34" t="s">
        <v>1</v>
      </c>
      <c r="C83" s="34">
        <v>0.14524999999999999</v>
      </c>
      <c r="D83" s="34">
        <v>2.8528000000000001E-2</v>
      </c>
      <c r="E83" s="15">
        <v>3.5600000000000001E-7</v>
      </c>
      <c r="G83" s="14" t="s">
        <v>1</v>
      </c>
      <c r="H83" s="34">
        <v>2.3779999999999999E-2</v>
      </c>
      <c r="I83" s="34">
        <v>0.20349999999999999</v>
      </c>
      <c r="J83" s="15">
        <v>0.90695000000000003</v>
      </c>
      <c r="L83" s="14" t="s">
        <v>1</v>
      </c>
      <c r="M83" s="34">
        <v>8.4029999999999994E-2</v>
      </c>
      <c r="N83" s="34">
        <v>2.811E-2</v>
      </c>
      <c r="O83" s="15">
        <v>2.8E-3</v>
      </c>
      <c r="Q83" s="14" t="s">
        <v>1</v>
      </c>
      <c r="R83" s="34">
        <v>-6.2190000000000002E-2</v>
      </c>
      <c r="S83" s="34">
        <v>0.2036</v>
      </c>
      <c r="T83" s="15">
        <v>0.76005</v>
      </c>
    </row>
    <row r="84" spans="1:20" x14ac:dyDescent="0.25">
      <c r="A84" s="13" t="s">
        <v>115</v>
      </c>
      <c r="B84" s="34" t="s">
        <v>3</v>
      </c>
      <c r="C84" s="34">
        <v>0.90921700000000005</v>
      </c>
      <c r="D84" s="34">
        <v>0.15845899999999999</v>
      </c>
      <c r="E84" s="15">
        <v>9.6400000000000006E-9</v>
      </c>
      <c r="G84" s="14" t="s">
        <v>3</v>
      </c>
      <c r="H84" s="34">
        <v>1.349</v>
      </c>
      <c r="I84" s="34">
        <v>0.42670000000000002</v>
      </c>
      <c r="J84" s="15">
        <v>1.57E-3</v>
      </c>
      <c r="L84" s="14" t="s">
        <v>3</v>
      </c>
      <c r="M84" s="34">
        <v>0.81745000000000001</v>
      </c>
      <c r="N84" s="34">
        <v>0.1585</v>
      </c>
      <c r="O84" s="15">
        <v>2.5100000000000001E-7</v>
      </c>
      <c r="Q84" s="14" t="s">
        <v>3</v>
      </c>
      <c r="R84" s="34">
        <v>1.2709999999999999</v>
      </c>
      <c r="S84" s="34">
        <v>0.42720000000000002</v>
      </c>
      <c r="T84" s="15">
        <v>2.9399999999999999E-3</v>
      </c>
    </row>
    <row r="85" spans="1:20" x14ac:dyDescent="0.25">
      <c r="A85" s="13" t="s">
        <v>115</v>
      </c>
      <c r="B85" s="34" t="s">
        <v>4</v>
      </c>
      <c r="C85" s="34">
        <v>0.22595100000000001</v>
      </c>
      <c r="D85" s="34">
        <v>0.19845299999999999</v>
      </c>
      <c r="E85" s="15">
        <v>0.25489000000000001</v>
      </c>
      <c r="G85" s="14" t="s">
        <v>4</v>
      </c>
      <c r="H85" s="34">
        <v>0.33360000000000001</v>
      </c>
      <c r="I85" s="34">
        <v>0.32800000000000001</v>
      </c>
      <c r="J85" s="15">
        <v>0.30919000000000002</v>
      </c>
      <c r="L85" s="14" t="s">
        <v>4</v>
      </c>
      <c r="M85" s="34">
        <v>0.22935</v>
      </c>
      <c r="N85" s="34">
        <v>0.19872999999999999</v>
      </c>
      <c r="O85" s="15">
        <v>0.2485</v>
      </c>
      <c r="Q85" s="14" t="s">
        <v>4</v>
      </c>
      <c r="R85" s="34">
        <v>0.32729999999999998</v>
      </c>
      <c r="S85" s="34">
        <v>0.32850000000000001</v>
      </c>
      <c r="T85" s="15">
        <v>0.31902999999999998</v>
      </c>
    </row>
    <row r="86" spans="1:20" x14ac:dyDescent="0.25">
      <c r="A86" s="13" t="s">
        <v>115</v>
      </c>
      <c r="B86" s="23" t="s">
        <v>389</v>
      </c>
      <c r="C86" s="34">
        <v>-0.10821799999999999</v>
      </c>
      <c r="D86" s="34">
        <v>8.9569999999999997E-3</v>
      </c>
      <c r="E86" s="15" t="s">
        <v>8</v>
      </c>
      <c r="G86" s="14" t="s">
        <v>7</v>
      </c>
      <c r="H86" s="34">
        <v>3.2989999999999998E-3</v>
      </c>
      <c r="I86" s="34">
        <v>4.3299999999999996E-3</v>
      </c>
      <c r="J86" s="15">
        <v>0.44619999999999999</v>
      </c>
      <c r="Q86" s="14" t="s">
        <v>7</v>
      </c>
      <c r="R86" s="34">
        <v>3.8760000000000001E-3</v>
      </c>
      <c r="S86" s="34">
        <v>4.3359999999999996E-3</v>
      </c>
      <c r="T86" s="15">
        <v>0.37140000000000001</v>
      </c>
    </row>
    <row r="87" spans="1:20" x14ac:dyDescent="0.25">
      <c r="A87" s="13" t="s">
        <v>115</v>
      </c>
      <c r="B87" s="23"/>
      <c r="G87" s="14" t="s">
        <v>9</v>
      </c>
      <c r="H87" s="34">
        <v>9.8700000000000003E-3</v>
      </c>
      <c r="I87" s="34">
        <v>2.0820000000000001E-3</v>
      </c>
      <c r="J87" s="15">
        <v>2.1299999999999999E-6</v>
      </c>
      <c r="Q87" s="14" t="s">
        <v>9</v>
      </c>
      <c r="R87" s="34">
        <v>9.9170000000000005E-3</v>
      </c>
      <c r="S87" s="34">
        <v>2.085E-3</v>
      </c>
      <c r="T87" s="15">
        <v>1.9700000000000002E-6</v>
      </c>
    </row>
    <row r="88" spans="1:20" x14ac:dyDescent="0.25">
      <c r="A88" s="13" t="s">
        <v>115</v>
      </c>
      <c r="B88" s="23"/>
      <c r="G88" s="14" t="s">
        <v>10</v>
      </c>
      <c r="H88" s="34">
        <v>-1.6559999999999999E-4</v>
      </c>
      <c r="I88" s="34">
        <v>3.9439999999999996E-3</v>
      </c>
      <c r="J88" s="15">
        <v>0.96650000000000003</v>
      </c>
      <c r="Q88" s="14" t="s">
        <v>10</v>
      </c>
      <c r="R88" s="34">
        <v>9.9569999999999997E-6</v>
      </c>
      <c r="S88" s="34">
        <v>3.9490000000000003E-3</v>
      </c>
      <c r="T88" s="15">
        <v>0.99799000000000004</v>
      </c>
    </row>
    <row r="89" spans="1:20" x14ac:dyDescent="0.25">
      <c r="A89" s="13" t="s">
        <v>115</v>
      </c>
      <c r="B89" s="23"/>
      <c r="G89" s="14" t="s">
        <v>11</v>
      </c>
      <c r="H89" s="34">
        <v>5.5370000000000003E-3</v>
      </c>
      <c r="I89" s="34">
        <v>2.313E-3</v>
      </c>
      <c r="J89" s="15">
        <v>1.67E-2</v>
      </c>
      <c r="Q89" s="14" t="s">
        <v>11</v>
      </c>
      <c r="R89" s="34">
        <v>5.3550000000000004E-3</v>
      </c>
      <c r="S89" s="34">
        <v>2.3159999999999999E-3</v>
      </c>
      <c r="T89" s="15">
        <v>2.0789999999999999E-2</v>
      </c>
    </row>
    <row r="90" spans="1:20" x14ac:dyDescent="0.25">
      <c r="A90" s="13" t="s">
        <v>115</v>
      </c>
      <c r="B90" s="23"/>
      <c r="G90" s="14" t="s">
        <v>12</v>
      </c>
      <c r="H90" s="34">
        <v>-8.9460000000000001E-5</v>
      </c>
      <c r="I90" s="34">
        <v>2.4620000000000002E-3</v>
      </c>
      <c r="J90" s="15">
        <v>0.97101999999999999</v>
      </c>
      <c r="Q90" s="14" t="s">
        <v>12</v>
      </c>
      <c r="R90" s="34">
        <v>-5.4929999999999996E-4</v>
      </c>
      <c r="S90" s="34">
        <v>2.4650000000000002E-3</v>
      </c>
      <c r="T90" s="15">
        <v>0.82369999999999999</v>
      </c>
    </row>
    <row r="91" spans="1:20" x14ac:dyDescent="0.25">
      <c r="A91" s="13" t="s">
        <v>115</v>
      </c>
      <c r="B91" s="23"/>
      <c r="G91" s="14" t="s">
        <v>13</v>
      </c>
      <c r="H91" s="34">
        <v>7.2360000000000002E-4</v>
      </c>
      <c r="I91" s="34">
        <v>3.5239999999999998E-3</v>
      </c>
      <c r="J91" s="15">
        <v>0.83728999999999998</v>
      </c>
      <c r="Q91" s="14" t="s">
        <v>13</v>
      </c>
      <c r="R91" s="34">
        <v>6.4749999999999996E-4</v>
      </c>
      <c r="S91" s="34">
        <v>3.5279999999999999E-3</v>
      </c>
      <c r="T91" s="15">
        <v>0.85440000000000005</v>
      </c>
    </row>
    <row r="92" spans="1:20" x14ac:dyDescent="0.25">
      <c r="A92" s="13" t="s">
        <v>115</v>
      </c>
      <c r="B92" s="23"/>
      <c r="G92" s="14" t="s">
        <v>14</v>
      </c>
      <c r="H92" s="34">
        <v>-6.5259999999999997E-3</v>
      </c>
      <c r="I92" s="34">
        <v>2.5969999999999999E-3</v>
      </c>
      <c r="J92" s="15">
        <v>1.1979999999999999E-2</v>
      </c>
      <c r="Q92" s="14" t="s">
        <v>14</v>
      </c>
      <c r="R92" s="34">
        <v>-6.7580000000000001E-3</v>
      </c>
      <c r="S92" s="34">
        <v>2.601E-3</v>
      </c>
      <c r="T92" s="15">
        <v>9.3699999999999999E-3</v>
      </c>
    </row>
    <row r="93" spans="1:20" x14ac:dyDescent="0.25">
      <c r="A93" s="35" t="s">
        <v>115</v>
      </c>
      <c r="B93" s="36"/>
      <c r="C93" s="37"/>
      <c r="D93" s="37"/>
      <c r="E93" s="38"/>
      <c r="F93" s="38"/>
      <c r="G93" s="39" t="s">
        <v>389</v>
      </c>
      <c r="H93" s="37">
        <v>-0.1082</v>
      </c>
      <c r="I93" s="37">
        <v>8.9549999999999994E-3</v>
      </c>
      <c r="J93" s="38" t="s">
        <v>8</v>
      </c>
      <c r="K93" s="39"/>
      <c r="L93" s="39"/>
      <c r="M93" s="37"/>
      <c r="N93" s="37"/>
      <c r="O93" s="38"/>
      <c r="P93" s="39"/>
      <c r="Q93" s="39"/>
      <c r="R93" s="37"/>
      <c r="S93" s="37"/>
      <c r="T93" s="38"/>
    </row>
    <row r="94" spans="1:20" x14ac:dyDescent="0.25">
      <c r="A94" s="13"/>
    </row>
    <row r="95" spans="1:20" ht="16.5" thickBot="1" x14ac:dyDescent="0.3">
      <c r="A95" s="30" t="s">
        <v>107</v>
      </c>
      <c r="B95" s="31" t="s">
        <v>441</v>
      </c>
      <c r="C95" s="31" t="s">
        <v>5</v>
      </c>
      <c r="D95" s="31" t="s">
        <v>108</v>
      </c>
      <c r="E95" s="32" t="s">
        <v>6</v>
      </c>
      <c r="F95" s="32"/>
      <c r="G95" s="33" t="s">
        <v>441</v>
      </c>
      <c r="H95" s="31" t="s">
        <v>5</v>
      </c>
      <c r="I95" s="31" t="s">
        <v>108</v>
      </c>
      <c r="J95" s="32" t="s">
        <v>6</v>
      </c>
      <c r="K95" s="33"/>
      <c r="L95" s="33" t="s">
        <v>441</v>
      </c>
      <c r="M95" s="31" t="s">
        <v>5</v>
      </c>
      <c r="N95" s="31" t="s">
        <v>108</v>
      </c>
      <c r="O95" s="32" t="s">
        <v>6</v>
      </c>
      <c r="P95" s="33"/>
      <c r="Q95" s="33" t="s">
        <v>441</v>
      </c>
      <c r="R95" s="31" t="s">
        <v>5</v>
      </c>
      <c r="S95" s="31" t="s">
        <v>108</v>
      </c>
      <c r="T95" s="32" t="s">
        <v>6</v>
      </c>
    </row>
    <row r="96" spans="1:20" ht="16.5" thickTop="1" x14ac:dyDescent="0.25">
      <c r="A96" s="13" t="s">
        <v>116</v>
      </c>
      <c r="B96" s="34" t="s">
        <v>1</v>
      </c>
      <c r="C96" s="34">
        <v>5.9244999999999999E-2</v>
      </c>
      <c r="D96" s="34">
        <v>2.8483999999999999E-2</v>
      </c>
      <c r="E96" s="15">
        <v>3.7499999999999999E-2</v>
      </c>
      <c r="G96" s="14" t="s">
        <v>1</v>
      </c>
      <c r="H96" s="34">
        <v>-1.8638499999999999E-2</v>
      </c>
      <c r="I96" s="34">
        <v>0.20311989999999999</v>
      </c>
      <c r="J96" s="15">
        <v>0.92688800000000005</v>
      </c>
      <c r="L96" s="14" t="s">
        <v>1</v>
      </c>
      <c r="M96" s="34">
        <v>-3.7069999999999998E-3</v>
      </c>
      <c r="N96" s="34">
        <v>2.8073000000000001E-2</v>
      </c>
      <c r="O96" s="15">
        <v>0.89500000000000002</v>
      </c>
      <c r="Q96" s="14" t="s">
        <v>1</v>
      </c>
      <c r="R96" s="34">
        <v>-0.107003</v>
      </c>
      <c r="S96" s="34">
        <v>0.20329520000000001</v>
      </c>
      <c r="T96" s="15">
        <v>0.59865199999999996</v>
      </c>
    </row>
    <row r="97" spans="1:20" x14ac:dyDescent="0.25">
      <c r="A97" s="13" t="s">
        <v>116</v>
      </c>
      <c r="B97" s="34" t="s">
        <v>3</v>
      </c>
      <c r="C97" s="34">
        <v>0.91352500000000003</v>
      </c>
      <c r="D97" s="34">
        <v>0.15831000000000001</v>
      </c>
      <c r="E97" s="15">
        <v>7.9500000000000001E-9</v>
      </c>
      <c r="G97" s="14" t="s">
        <v>3</v>
      </c>
      <c r="H97" s="34">
        <v>1.1487987</v>
      </c>
      <c r="I97" s="34">
        <v>0.42613519999999999</v>
      </c>
      <c r="J97" s="15">
        <v>7.0229999999999997E-3</v>
      </c>
      <c r="L97" s="14" t="s">
        <v>3</v>
      </c>
      <c r="M97" s="34">
        <v>0.81937300000000002</v>
      </c>
      <c r="N97" s="34">
        <v>0.158362</v>
      </c>
      <c r="O97" s="15">
        <v>2.2999999999999999E-7</v>
      </c>
      <c r="Q97" s="14" t="s">
        <v>3</v>
      </c>
      <c r="R97" s="34">
        <v>1.0672991999999999</v>
      </c>
      <c r="S97" s="34">
        <v>0.42671229999999999</v>
      </c>
      <c r="T97" s="15">
        <v>1.238E-2</v>
      </c>
    </row>
    <row r="98" spans="1:20" x14ac:dyDescent="0.25">
      <c r="A98" s="13" t="s">
        <v>116</v>
      </c>
      <c r="B98" s="34" t="s">
        <v>4</v>
      </c>
      <c r="C98" s="34">
        <v>0.25213000000000002</v>
      </c>
      <c r="D98" s="34">
        <v>0.198153</v>
      </c>
      <c r="E98" s="15">
        <v>0.20319999999999999</v>
      </c>
      <c r="G98" s="14" t="s">
        <v>4</v>
      </c>
      <c r="H98" s="34">
        <v>0.32702490000000001</v>
      </c>
      <c r="I98" s="34">
        <v>0.32760309999999998</v>
      </c>
      <c r="J98" s="15">
        <v>0.31817000000000001</v>
      </c>
      <c r="L98" s="14" t="s">
        <v>4</v>
      </c>
      <c r="M98" s="34">
        <v>0.25587399999999999</v>
      </c>
      <c r="N98" s="34">
        <v>0.19844400000000001</v>
      </c>
      <c r="O98" s="15">
        <v>0.19700000000000001</v>
      </c>
      <c r="Q98" s="14" t="s">
        <v>4</v>
      </c>
      <c r="R98" s="34">
        <v>0.32006780000000001</v>
      </c>
      <c r="S98" s="34">
        <v>0.32808480000000001</v>
      </c>
      <c r="T98" s="15">
        <v>0.32928499999999999</v>
      </c>
    </row>
    <row r="99" spans="1:20" x14ac:dyDescent="0.25">
      <c r="A99" s="13" t="s">
        <v>116</v>
      </c>
      <c r="B99" s="23" t="s">
        <v>389</v>
      </c>
      <c r="C99" s="34">
        <v>-0.111384</v>
      </c>
      <c r="D99" s="34">
        <v>8.9420000000000003E-3</v>
      </c>
      <c r="E99" s="15" t="s">
        <v>8</v>
      </c>
      <c r="G99" s="14" t="s">
        <v>7</v>
      </c>
      <c r="H99" s="34">
        <v>1.9634000000000001E-3</v>
      </c>
      <c r="I99" s="34">
        <v>4.3226000000000002E-3</v>
      </c>
      <c r="J99" s="15">
        <v>0.649675</v>
      </c>
      <c r="Q99" s="14" t="s">
        <v>7</v>
      </c>
      <c r="R99" s="34">
        <v>2.5515999999999998E-3</v>
      </c>
      <c r="S99" s="34">
        <v>4.3287000000000004E-3</v>
      </c>
      <c r="T99" s="15">
        <v>0.55555200000000005</v>
      </c>
    </row>
    <row r="100" spans="1:20" x14ac:dyDescent="0.25">
      <c r="A100" s="13" t="s">
        <v>116</v>
      </c>
      <c r="B100" s="23"/>
      <c r="G100" s="14" t="s">
        <v>9</v>
      </c>
      <c r="H100" s="34">
        <v>7.7732000000000001E-3</v>
      </c>
      <c r="I100" s="34">
        <v>2.0791E-3</v>
      </c>
      <c r="J100" s="15">
        <v>1.85E-4</v>
      </c>
      <c r="Q100" s="14" t="s">
        <v>9</v>
      </c>
      <c r="R100" s="34">
        <v>7.8159000000000006E-3</v>
      </c>
      <c r="S100" s="34">
        <v>2.0820999999999999E-3</v>
      </c>
      <c r="T100" s="15">
        <v>1.74E-4</v>
      </c>
    </row>
    <row r="101" spans="1:20" x14ac:dyDescent="0.25">
      <c r="A101" s="13" t="s">
        <v>116</v>
      </c>
      <c r="B101" s="23"/>
      <c r="G101" s="14" t="s">
        <v>10</v>
      </c>
      <c r="H101" s="34">
        <v>-1.6516E-3</v>
      </c>
      <c r="I101" s="34">
        <v>3.9386999999999998E-3</v>
      </c>
      <c r="J101" s="15">
        <v>0.67498599999999997</v>
      </c>
      <c r="Q101" s="14" t="s">
        <v>10</v>
      </c>
      <c r="R101" s="34">
        <v>-1.4817999999999999E-3</v>
      </c>
      <c r="S101" s="34">
        <v>3.9445000000000001E-3</v>
      </c>
      <c r="T101" s="15">
        <v>0.70716400000000001</v>
      </c>
    </row>
    <row r="102" spans="1:20" x14ac:dyDescent="0.25">
      <c r="A102" s="13" t="s">
        <v>116</v>
      </c>
      <c r="B102" s="23"/>
      <c r="G102" s="14" t="s">
        <v>11</v>
      </c>
      <c r="H102" s="34">
        <v>6.4703E-3</v>
      </c>
      <c r="I102" s="34">
        <v>2.3092999999999998E-3</v>
      </c>
      <c r="J102" s="15">
        <v>5.0819999999999997E-3</v>
      </c>
      <c r="Q102" s="14" t="s">
        <v>11</v>
      </c>
      <c r="R102" s="34">
        <v>6.2814000000000004E-3</v>
      </c>
      <c r="S102" s="34">
        <v>2.3126000000000002E-3</v>
      </c>
      <c r="T102" s="15">
        <v>6.607E-3</v>
      </c>
    </row>
    <row r="103" spans="1:20" x14ac:dyDescent="0.25">
      <c r="A103" s="13" t="s">
        <v>116</v>
      </c>
      <c r="B103" s="23"/>
      <c r="G103" s="14" t="s">
        <v>12</v>
      </c>
      <c r="H103" s="34">
        <v>2.3139999999999999E-4</v>
      </c>
      <c r="I103" s="34">
        <v>2.4586999999999999E-3</v>
      </c>
      <c r="J103" s="15">
        <v>0.92501599999999995</v>
      </c>
      <c r="Q103" s="14" t="s">
        <v>12</v>
      </c>
      <c r="R103" s="34">
        <v>-2.4110000000000001E-4</v>
      </c>
      <c r="S103" s="34">
        <v>2.4620000000000002E-3</v>
      </c>
      <c r="T103" s="15">
        <v>0.92198100000000005</v>
      </c>
    </row>
    <row r="104" spans="1:20" x14ac:dyDescent="0.25">
      <c r="A104" s="13" t="s">
        <v>116</v>
      </c>
      <c r="B104" s="23"/>
      <c r="G104" s="14" t="s">
        <v>13</v>
      </c>
      <c r="H104" s="34">
        <v>7.9819999999999999E-4</v>
      </c>
      <c r="I104" s="34">
        <v>3.5184000000000001E-3</v>
      </c>
      <c r="J104" s="15">
        <v>0.82052400000000003</v>
      </c>
      <c r="Q104" s="14" t="s">
        <v>13</v>
      </c>
      <c r="R104" s="34">
        <v>7.115E-4</v>
      </c>
      <c r="S104" s="34">
        <v>3.5236E-3</v>
      </c>
      <c r="T104" s="15">
        <v>0.83997900000000003</v>
      </c>
    </row>
    <row r="105" spans="1:20" x14ac:dyDescent="0.25">
      <c r="A105" s="13" t="s">
        <v>116</v>
      </c>
      <c r="B105" s="23"/>
      <c r="G105" s="14" t="s">
        <v>14</v>
      </c>
      <c r="H105" s="34">
        <v>-3.3481000000000001E-3</v>
      </c>
      <c r="I105" s="34">
        <v>2.5933000000000002E-3</v>
      </c>
      <c r="J105" s="15">
        <v>0.19669200000000001</v>
      </c>
      <c r="Q105" s="14" t="s">
        <v>14</v>
      </c>
      <c r="R105" s="34">
        <v>-3.5904000000000001E-3</v>
      </c>
      <c r="S105" s="34">
        <v>2.5969999999999999E-3</v>
      </c>
      <c r="T105" s="15">
        <v>0.166824</v>
      </c>
    </row>
    <row r="106" spans="1:20" x14ac:dyDescent="0.25">
      <c r="A106" s="35" t="s">
        <v>116</v>
      </c>
      <c r="B106" s="36"/>
      <c r="C106" s="37"/>
      <c r="D106" s="37"/>
      <c r="E106" s="38"/>
      <c r="F106" s="38"/>
      <c r="G106" s="39" t="s">
        <v>389</v>
      </c>
      <c r="H106" s="37">
        <v>-0.1115613</v>
      </c>
      <c r="I106" s="37">
        <v>8.9422000000000008E-3</v>
      </c>
      <c r="J106" s="38" t="s">
        <v>8</v>
      </c>
      <c r="K106" s="39"/>
      <c r="L106" s="39"/>
      <c r="M106" s="37"/>
      <c r="N106" s="37"/>
      <c r="O106" s="38"/>
      <c r="P106" s="39"/>
      <c r="Q106" s="39"/>
      <c r="R106" s="37"/>
      <c r="S106" s="37"/>
      <c r="T106" s="38"/>
    </row>
    <row r="108" spans="1:20" ht="16.5" thickBot="1" x14ac:dyDescent="0.3">
      <c r="A108" s="30" t="s">
        <v>107</v>
      </c>
      <c r="B108" s="31" t="s">
        <v>441</v>
      </c>
      <c r="C108" s="31" t="s">
        <v>5</v>
      </c>
      <c r="D108" s="31" t="s">
        <v>108</v>
      </c>
      <c r="E108" s="32" t="s">
        <v>6</v>
      </c>
      <c r="F108" s="32"/>
      <c r="G108" s="33" t="s">
        <v>441</v>
      </c>
      <c r="H108" s="31" t="s">
        <v>5</v>
      </c>
      <c r="I108" s="31" t="s">
        <v>108</v>
      </c>
      <c r="J108" s="32" t="s">
        <v>6</v>
      </c>
      <c r="K108" s="33"/>
      <c r="L108" s="33" t="s">
        <v>441</v>
      </c>
      <c r="M108" s="31" t="s">
        <v>5</v>
      </c>
      <c r="N108" s="31" t="s">
        <v>108</v>
      </c>
      <c r="O108" s="32" t="s">
        <v>6</v>
      </c>
      <c r="P108" s="33"/>
      <c r="Q108" s="33" t="s">
        <v>441</v>
      </c>
      <c r="R108" s="31" t="s">
        <v>5</v>
      </c>
      <c r="S108" s="31" t="s">
        <v>108</v>
      </c>
      <c r="T108" s="32" t="s">
        <v>6</v>
      </c>
    </row>
    <row r="109" spans="1:20" ht="16.5" thickTop="1" x14ac:dyDescent="0.25">
      <c r="A109" s="13" t="s">
        <v>117</v>
      </c>
      <c r="B109" s="34" t="s">
        <v>1</v>
      </c>
      <c r="C109" s="34">
        <v>-0.143819</v>
      </c>
      <c r="D109" s="34">
        <v>2.8837999999999999E-2</v>
      </c>
      <c r="E109" s="15">
        <v>6.1500000000000004E-7</v>
      </c>
      <c r="G109" s="14" t="s">
        <v>1</v>
      </c>
      <c r="H109" s="34">
        <v>5.7381000000000001E-2</v>
      </c>
      <c r="I109" s="34">
        <v>0.20599100000000001</v>
      </c>
      <c r="J109" s="15">
        <v>0.78058300000000003</v>
      </c>
      <c r="L109" s="14" t="s">
        <v>1</v>
      </c>
      <c r="M109" s="34">
        <v>-0.22900000000000001</v>
      </c>
      <c r="N109" s="34">
        <v>2.845E-2</v>
      </c>
      <c r="O109" s="15">
        <v>8.5100000000000002E-16</v>
      </c>
      <c r="Q109" s="14" t="s">
        <v>1</v>
      </c>
      <c r="R109" s="34">
        <v>-5.7239999999999999E-2</v>
      </c>
      <c r="S109" s="34">
        <v>0.20643</v>
      </c>
      <c r="T109" s="15">
        <v>0.78156400000000004</v>
      </c>
    </row>
    <row r="110" spans="1:20" x14ac:dyDescent="0.25">
      <c r="A110" s="13" t="s">
        <v>117</v>
      </c>
      <c r="B110" s="34" t="s">
        <v>3</v>
      </c>
      <c r="C110" s="34">
        <v>0.115122</v>
      </c>
      <c r="D110" s="34">
        <v>0.16005</v>
      </c>
      <c r="E110" s="15">
        <v>0.47199999999999998</v>
      </c>
      <c r="G110" s="14" t="s">
        <v>3</v>
      </c>
      <c r="H110" s="34">
        <v>0.591669</v>
      </c>
      <c r="I110" s="34">
        <v>0.43184699999999998</v>
      </c>
      <c r="J110" s="15">
        <v>0.17066500000000001</v>
      </c>
      <c r="L110" s="14" t="s">
        <v>3</v>
      </c>
      <c r="M110" s="34">
        <v>-1.009E-2</v>
      </c>
      <c r="N110" s="34">
        <v>0.1603</v>
      </c>
      <c r="O110" s="15">
        <v>0.95</v>
      </c>
      <c r="Q110" s="14" t="s">
        <v>3</v>
      </c>
      <c r="R110" s="34">
        <v>0.49039700000000003</v>
      </c>
      <c r="S110" s="34">
        <v>0.43297000000000002</v>
      </c>
      <c r="T110" s="15">
        <v>0.25737199999999999</v>
      </c>
    </row>
    <row r="111" spans="1:20" x14ac:dyDescent="0.25">
      <c r="A111" s="13" t="s">
        <v>117</v>
      </c>
      <c r="B111" s="34" t="s">
        <v>4</v>
      </c>
      <c r="C111" s="34">
        <v>0.246529</v>
      </c>
      <c r="D111" s="34">
        <v>0.20463600000000001</v>
      </c>
      <c r="E111" s="15">
        <v>0.22800000000000001</v>
      </c>
      <c r="G111" s="14" t="s">
        <v>4</v>
      </c>
      <c r="H111" s="34">
        <v>9.6347000000000002E-2</v>
      </c>
      <c r="I111" s="34">
        <v>0.33425899999999997</v>
      </c>
      <c r="J111" s="15">
        <v>0.77316300000000004</v>
      </c>
      <c r="L111" s="14" t="s">
        <v>4</v>
      </c>
      <c r="M111" s="34">
        <v>0.25441999999999998</v>
      </c>
      <c r="N111" s="34">
        <v>0.20518</v>
      </c>
      <c r="O111" s="15">
        <v>0.215</v>
      </c>
      <c r="Q111" s="14" t="s">
        <v>4</v>
      </c>
      <c r="R111" s="34">
        <v>9.5500000000000002E-2</v>
      </c>
      <c r="S111" s="34">
        <v>0.33516099999999999</v>
      </c>
      <c r="T111" s="15">
        <v>0.77569299999999997</v>
      </c>
    </row>
    <row r="112" spans="1:20" x14ac:dyDescent="0.25">
      <c r="A112" s="13" t="s">
        <v>117</v>
      </c>
      <c r="B112" s="23" t="s">
        <v>389</v>
      </c>
      <c r="C112" s="34">
        <v>-0.14982400000000001</v>
      </c>
      <c r="D112" s="34">
        <v>9.0550000000000005E-3</v>
      </c>
      <c r="E112" s="15" t="s">
        <v>8</v>
      </c>
      <c r="G112" s="14" t="s">
        <v>7</v>
      </c>
      <c r="H112" s="34">
        <v>-3.4740000000000001E-3</v>
      </c>
      <c r="I112" s="34">
        <v>4.3839999999999999E-3</v>
      </c>
      <c r="J112" s="15">
        <v>0.42805700000000002</v>
      </c>
      <c r="Q112" s="14" t="s">
        <v>7</v>
      </c>
      <c r="R112" s="34">
        <v>-2.777E-3</v>
      </c>
      <c r="S112" s="34">
        <v>4.3949999999999996E-3</v>
      </c>
      <c r="T112" s="15">
        <v>0.52749500000000005</v>
      </c>
    </row>
    <row r="113" spans="1:20" x14ac:dyDescent="0.25">
      <c r="A113" s="13" t="s">
        <v>117</v>
      </c>
      <c r="B113" s="23"/>
      <c r="G113" s="14" t="s">
        <v>9</v>
      </c>
      <c r="H113" s="34">
        <v>-3.6849999999999999E-3</v>
      </c>
      <c r="I113" s="34">
        <v>2.1080000000000001E-3</v>
      </c>
      <c r="J113" s="15">
        <v>8.0427999999999999E-2</v>
      </c>
      <c r="Q113" s="14" t="s">
        <v>9</v>
      </c>
      <c r="R113" s="34">
        <v>-3.5750000000000001E-3</v>
      </c>
      <c r="S113" s="34">
        <v>2.1129999999999999E-3</v>
      </c>
      <c r="T113" s="15">
        <v>9.0702000000000005E-2</v>
      </c>
    </row>
    <row r="114" spans="1:20" x14ac:dyDescent="0.25">
      <c r="A114" s="13" t="s">
        <v>117</v>
      </c>
      <c r="B114" s="23"/>
      <c r="G114" s="14" t="s">
        <v>10</v>
      </c>
      <c r="H114" s="34">
        <v>5.96E-3</v>
      </c>
      <c r="I114" s="34">
        <v>3.9909999999999998E-3</v>
      </c>
      <c r="J114" s="15">
        <v>0.135296</v>
      </c>
      <c r="Q114" s="14" t="s">
        <v>10</v>
      </c>
      <c r="R114" s="34">
        <v>6.2440000000000004E-3</v>
      </c>
      <c r="S114" s="34">
        <v>4.0010000000000002E-3</v>
      </c>
      <c r="T114" s="15">
        <v>0.11863</v>
      </c>
    </row>
    <row r="115" spans="1:20" x14ac:dyDescent="0.25">
      <c r="A115" s="13" t="s">
        <v>117</v>
      </c>
      <c r="B115" s="23"/>
      <c r="G115" s="14" t="s">
        <v>11</v>
      </c>
      <c r="H115" s="34">
        <v>8.855E-3</v>
      </c>
      <c r="I115" s="34">
        <v>2.3389999999999999E-3</v>
      </c>
      <c r="J115" s="15">
        <v>1.54E-4</v>
      </c>
      <c r="Q115" s="14" t="s">
        <v>11</v>
      </c>
      <c r="R115" s="34">
        <v>8.6320000000000008E-3</v>
      </c>
      <c r="S115" s="34">
        <v>2.3449999999999999E-3</v>
      </c>
      <c r="T115" s="15">
        <v>2.33E-4</v>
      </c>
    </row>
    <row r="116" spans="1:20" x14ac:dyDescent="0.25">
      <c r="A116" s="13" t="s">
        <v>117</v>
      </c>
      <c r="B116" s="23"/>
      <c r="G116" s="14" t="s">
        <v>12</v>
      </c>
      <c r="H116" s="34">
        <v>5.2230000000000002E-3</v>
      </c>
      <c r="I116" s="34">
        <v>2.493E-3</v>
      </c>
      <c r="J116" s="15">
        <v>3.6201999999999998E-2</v>
      </c>
      <c r="Q116" s="14" t="s">
        <v>12</v>
      </c>
      <c r="R116" s="34">
        <v>4.5630000000000002E-3</v>
      </c>
      <c r="S116" s="34">
        <v>2.5000000000000001E-3</v>
      </c>
      <c r="T116" s="15">
        <v>6.7954000000000001E-2</v>
      </c>
    </row>
    <row r="117" spans="1:20" x14ac:dyDescent="0.25">
      <c r="A117" s="13" t="s">
        <v>117</v>
      </c>
      <c r="B117" s="23"/>
      <c r="G117" s="14" t="s">
        <v>13</v>
      </c>
      <c r="H117" s="34">
        <v>-5.2610000000000001E-3</v>
      </c>
      <c r="I117" s="34">
        <v>3.5690000000000001E-3</v>
      </c>
      <c r="J117" s="15">
        <v>0.14049600000000001</v>
      </c>
      <c r="Q117" s="14" t="s">
        <v>13</v>
      </c>
      <c r="R117" s="34">
        <v>-5.3660000000000001E-3</v>
      </c>
      <c r="S117" s="34">
        <v>3.5790000000000001E-3</v>
      </c>
      <c r="T117" s="15">
        <v>0.13381699999999999</v>
      </c>
    </row>
    <row r="118" spans="1:20" x14ac:dyDescent="0.25">
      <c r="A118" s="13" t="s">
        <v>117</v>
      </c>
      <c r="B118" s="23"/>
      <c r="G118" s="14" t="s">
        <v>14</v>
      </c>
      <c r="H118" s="34">
        <v>-2.8770000000000002E-3</v>
      </c>
      <c r="I118" s="34">
        <v>2.6310000000000001E-3</v>
      </c>
      <c r="J118" s="15">
        <v>0.27429700000000001</v>
      </c>
      <c r="Q118" s="14" t="s">
        <v>14</v>
      </c>
      <c r="R118" s="34">
        <v>-3.1670000000000001E-3</v>
      </c>
      <c r="S118" s="34">
        <v>2.6380000000000002E-3</v>
      </c>
      <c r="T118" s="15">
        <v>0.23003299999999999</v>
      </c>
    </row>
    <row r="119" spans="1:20" x14ac:dyDescent="0.25">
      <c r="A119" s="35" t="s">
        <v>117</v>
      </c>
      <c r="B119" s="36"/>
      <c r="C119" s="37"/>
      <c r="D119" s="37"/>
      <c r="E119" s="38"/>
      <c r="F119" s="38"/>
      <c r="G119" s="39" t="s">
        <v>389</v>
      </c>
      <c r="H119" s="37">
        <v>-0.15032400000000001</v>
      </c>
      <c r="I119" s="37">
        <v>9.0539999999999995E-3</v>
      </c>
      <c r="J119" s="38" t="s">
        <v>8</v>
      </c>
      <c r="K119" s="39"/>
      <c r="L119" s="39"/>
      <c r="M119" s="37"/>
      <c r="N119" s="37"/>
      <c r="O119" s="38"/>
      <c r="P119" s="39"/>
      <c r="Q119" s="39"/>
      <c r="R119" s="37"/>
      <c r="S119" s="37"/>
      <c r="T119" s="38"/>
    </row>
    <row r="120" spans="1:20" x14ac:dyDescent="0.25">
      <c r="A120" s="13"/>
    </row>
    <row r="121" spans="1:20" ht="16.5" thickBot="1" x14ac:dyDescent="0.3">
      <c r="A121" s="30" t="s">
        <v>107</v>
      </c>
      <c r="B121" s="31" t="s">
        <v>441</v>
      </c>
      <c r="C121" s="31" t="s">
        <v>5</v>
      </c>
      <c r="D121" s="31" t="s">
        <v>108</v>
      </c>
      <c r="E121" s="32" t="s">
        <v>6</v>
      </c>
      <c r="F121" s="32"/>
      <c r="G121" s="33" t="s">
        <v>441</v>
      </c>
      <c r="H121" s="31" t="s">
        <v>5</v>
      </c>
      <c r="I121" s="31" t="s">
        <v>108</v>
      </c>
      <c r="J121" s="32" t="s">
        <v>6</v>
      </c>
      <c r="K121" s="33"/>
      <c r="L121" s="33" t="s">
        <v>441</v>
      </c>
      <c r="M121" s="31" t="s">
        <v>5</v>
      </c>
      <c r="N121" s="31" t="s">
        <v>108</v>
      </c>
      <c r="O121" s="32" t="s">
        <v>6</v>
      </c>
      <c r="P121" s="33"/>
      <c r="Q121" s="33" t="s">
        <v>441</v>
      </c>
      <c r="R121" s="31" t="s">
        <v>5</v>
      </c>
      <c r="S121" s="31" t="s">
        <v>108</v>
      </c>
      <c r="T121" s="32" t="s">
        <v>6</v>
      </c>
    </row>
    <row r="122" spans="1:20" ht="16.5" thickTop="1" x14ac:dyDescent="0.25">
      <c r="A122" s="13" t="s">
        <v>118</v>
      </c>
      <c r="B122" s="34" t="s">
        <v>1</v>
      </c>
      <c r="C122" s="34">
        <v>-0.69024300000000005</v>
      </c>
      <c r="D122" s="34">
        <v>2.8830000000000001E-2</v>
      </c>
      <c r="E122" s="15" t="s">
        <v>8</v>
      </c>
      <c r="G122" s="14" t="s">
        <v>1</v>
      </c>
      <c r="H122" s="34">
        <v>-0.6742939</v>
      </c>
      <c r="I122" s="34">
        <v>0.20607690000000001</v>
      </c>
      <c r="J122" s="15">
        <v>1.0679999999999999E-3</v>
      </c>
      <c r="L122" s="14" t="s">
        <v>1</v>
      </c>
      <c r="M122" s="34">
        <v>-0.70867000000000002</v>
      </c>
      <c r="N122" s="34">
        <v>2.8369999999999999E-2</v>
      </c>
      <c r="O122" s="15" t="s">
        <v>8</v>
      </c>
      <c r="Q122" s="14" t="s">
        <v>1</v>
      </c>
      <c r="R122" s="34">
        <v>-0.69936039999999999</v>
      </c>
      <c r="S122" s="34">
        <v>0.2059848</v>
      </c>
      <c r="T122" s="15">
        <v>6.8599999999999998E-4</v>
      </c>
    </row>
    <row r="123" spans="1:20" x14ac:dyDescent="0.25">
      <c r="A123" s="13" t="s">
        <v>118</v>
      </c>
      <c r="B123" s="34" t="s">
        <v>3</v>
      </c>
      <c r="C123" s="34">
        <v>-0.69498800000000005</v>
      </c>
      <c r="D123" s="34">
        <v>0.15996099999999999</v>
      </c>
      <c r="E123" s="15">
        <v>1.4E-5</v>
      </c>
      <c r="G123" s="14" t="s">
        <v>3</v>
      </c>
      <c r="H123" s="34">
        <v>-0.86074569999999995</v>
      </c>
      <c r="I123" s="34">
        <v>0.431921</v>
      </c>
      <c r="J123" s="15">
        <v>4.6285E-2</v>
      </c>
      <c r="L123" s="14" t="s">
        <v>3</v>
      </c>
      <c r="M123" s="34">
        <v>-0.72199999999999998</v>
      </c>
      <c r="N123" s="34">
        <v>0.1598</v>
      </c>
      <c r="O123" s="15">
        <v>6.2500000000000003E-6</v>
      </c>
      <c r="Q123" s="14" t="s">
        <v>3</v>
      </c>
      <c r="R123" s="34">
        <v>-0.88284669999999998</v>
      </c>
      <c r="S123" s="34">
        <v>0.43192900000000001</v>
      </c>
      <c r="T123" s="15">
        <v>4.0961999999999998E-2</v>
      </c>
    </row>
    <row r="124" spans="1:20" x14ac:dyDescent="0.25">
      <c r="A124" s="13" t="s">
        <v>118</v>
      </c>
      <c r="B124" s="34" t="s">
        <v>4</v>
      </c>
      <c r="C124" s="34">
        <v>-0.443801</v>
      </c>
      <c r="D124" s="34">
        <v>0.20467199999999999</v>
      </c>
      <c r="E124" s="15">
        <v>3.0137000000000001E-2</v>
      </c>
      <c r="G124" s="14" t="s">
        <v>4</v>
      </c>
      <c r="H124" s="34">
        <v>-0.83416190000000001</v>
      </c>
      <c r="I124" s="34">
        <v>0.33438030000000002</v>
      </c>
      <c r="J124" s="15">
        <v>1.2611000000000001E-2</v>
      </c>
      <c r="L124" s="14" t="s">
        <v>4</v>
      </c>
      <c r="M124" s="34">
        <v>-0.44207999999999997</v>
      </c>
      <c r="N124" s="34">
        <v>0.20469999999999999</v>
      </c>
      <c r="O124" s="15">
        <v>3.0800000000000001E-2</v>
      </c>
      <c r="Q124" s="14" t="s">
        <v>4</v>
      </c>
      <c r="R124" s="34">
        <v>-0.83433199999999996</v>
      </c>
      <c r="S124" s="34">
        <v>0.33442</v>
      </c>
      <c r="T124" s="15">
        <v>1.2604000000000001E-2</v>
      </c>
    </row>
    <row r="125" spans="1:20" x14ac:dyDescent="0.25">
      <c r="A125" s="13" t="s">
        <v>118</v>
      </c>
      <c r="B125" s="23" t="s">
        <v>389</v>
      </c>
      <c r="C125" s="34">
        <v>-3.2458000000000001E-2</v>
      </c>
      <c r="D125" s="34">
        <v>9.0550000000000005E-3</v>
      </c>
      <c r="E125" s="15">
        <v>3.3799999999999998E-4</v>
      </c>
      <c r="G125" s="14" t="s">
        <v>7</v>
      </c>
      <c r="H125" s="34">
        <v>-6.5640000000000002E-4</v>
      </c>
      <c r="I125" s="34">
        <v>4.3855999999999999E-3</v>
      </c>
      <c r="J125" s="15">
        <v>0.88102400000000003</v>
      </c>
      <c r="Q125" s="14" t="s">
        <v>7</v>
      </c>
      <c r="R125" s="34">
        <v>-5.0230000000000001E-4</v>
      </c>
      <c r="S125" s="34">
        <v>4.3858999999999999E-3</v>
      </c>
      <c r="T125" s="15">
        <v>0.90882399999999997</v>
      </c>
    </row>
    <row r="126" spans="1:20" x14ac:dyDescent="0.25">
      <c r="A126" s="13" t="s">
        <v>118</v>
      </c>
      <c r="B126" s="23"/>
      <c r="G126" s="14" t="s">
        <v>9</v>
      </c>
      <c r="H126" s="34">
        <v>-4.8218999999999996E-3</v>
      </c>
      <c r="I126" s="34">
        <v>2.1083E-3</v>
      </c>
      <c r="J126" s="15">
        <v>2.2193999999999998E-2</v>
      </c>
      <c r="Q126" s="14" t="s">
        <v>9</v>
      </c>
      <c r="R126" s="34">
        <v>-4.7974000000000003E-3</v>
      </c>
      <c r="S126" s="34">
        <v>2.1086E-3</v>
      </c>
      <c r="T126" s="15">
        <v>2.2898999999999999E-2</v>
      </c>
    </row>
    <row r="127" spans="1:20" x14ac:dyDescent="0.25">
      <c r="A127" s="13" t="s">
        <v>118</v>
      </c>
      <c r="B127" s="23"/>
      <c r="G127" s="14" t="s">
        <v>10</v>
      </c>
      <c r="H127" s="34">
        <v>-2.3039999999999999E-4</v>
      </c>
      <c r="I127" s="34">
        <v>3.9918000000000002E-3</v>
      </c>
      <c r="J127" s="15">
        <v>0.95396999999999998</v>
      </c>
      <c r="Q127" s="14" t="s">
        <v>10</v>
      </c>
      <c r="R127" s="34">
        <v>-1.7019999999999999E-4</v>
      </c>
      <c r="S127" s="34">
        <v>3.9922999999999998E-3</v>
      </c>
      <c r="T127" s="15">
        <v>0.96598600000000001</v>
      </c>
    </row>
    <row r="128" spans="1:20" x14ac:dyDescent="0.25">
      <c r="A128" s="13" t="s">
        <v>118</v>
      </c>
      <c r="B128" s="23"/>
      <c r="G128" s="14" t="s">
        <v>11</v>
      </c>
      <c r="H128" s="34">
        <v>-2.0197000000000001E-3</v>
      </c>
      <c r="I128" s="34">
        <v>2.3387E-3</v>
      </c>
      <c r="J128" s="15">
        <v>0.38781300000000002</v>
      </c>
      <c r="Q128" s="14" t="s">
        <v>11</v>
      </c>
      <c r="R128" s="34">
        <v>-2.0703000000000002E-3</v>
      </c>
      <c r="S128" s="34">
        <v>2.3389999999999999E-3</v>
      </c>
      <c r="T128" s="15">
        <v>0.376079</v>
      </c>
    </row>
    <row r="129" spans="1:20" x14ac:dyDescent="0.25">
      <c r="A129" s="13" t="s">
        <v>118</v>
      </c>
      <c r="B129" s="23"/>
      <c r="G129" s="14" t="s">
        <v>12</v>
      </c>
      <c r="H129" s="34">
        <v>5.6588999999999997E-3</v>
      </c>
      <c r="I129" s="34">
        <v>2.4935000000000001E-3</v>
      </c>
      <c r="J129" s="15">
        <v>2.3243E-2</v>
      </c>
      <c r="Q129" s="14" t="s">
        <v>12</v>
      </c>
      <c r="R129" s="34">
        <v>5.5158999999999998E-3</v>
      </c>
      <c r="S129" s="34">
        <v>2.4933999999999998E-3</v>
      </c>
      <c r="T129" s="15">
        <v>2.6960999999999999E-2</v>
      </c>
    </row>
    <row r="130" spans="1:20" x14ac:dyDescent="0.25">
      <c r="A130" s="13" t="s">
        <v>118</v>
      </c>
      <c r="B130" s="23"/>
      <c r="G130" s="14" t="s">
        <v>13</v>
      </c>
      <c r="H130" s="34">
        <v>-5.1555000000000004E-3</v>
      </c>
      <c r="I130" s="34">
        <v>3.5703000000000002E-3</v>
      </c>
      <c r="J130" s="15">
        <v>0.14874699999999999</v>
      </c>
      <c r="Q130" s="14" t="s">
        <v>13</v>
      </c>
      <c r="R130" s="34">
        <v>-5.1770000000000002E-3</v>
      </c>
      <c r="S130" s="34">
        <v>3.5707E-3</v>
      </c>
      <c r="T130" s="15">
        <v>0.14711199999999999</v>
      </c>
    </row>
    <row r="131" spans="1:20" x14ac:dyDescent="0.25">
      <c r="A131" s="13" t="s">
        <v>118</v>
      </c>
      <c r="B131" s="23"/>
      <c r="G131" s="14" t="s">
        <v>14</v>
      </c>
      <c r="H131" s="34">
        <v>4.282E-4</v>
      </c>
      <c r="I131" s="34">
        <v>2.6308E-3</v>
      </c>
      <c r="J131" s="15">
        <v>0.87071500000000002</v>
      </c>
      <c r="Q131" s="14" t="s">
        <v>14</v>
      </c>
      <c r="R131" s="34">
        <v>3.6820000000000001E-4</v>
      </c>
      <c r="S131" s="34">
        <v>2.6310999999999999E-3</v>
      </c>
      <c r="T131" s="15">
        <v>0.88870000000000005</v>
      </c>
    </row>
    <row r="132" spans="1:20" x14ac:dyDescent="0.25">
      <c r="A132" s="35" t="s">
        <v>118</v>
      </c>
      <c r="B132" s="36"/>
      <c r="C132" s="37"/>
      <c r="D132" s="37"/>
      <c r="E132" s="38"/>
      <c r="F132" s="38"/>
      <c r="G132" s="39" t="s">
        <v>389</v>
      </c>
      <c r="H132" s="37">
        <v>-3.2754499999999999E-2</v>
      </c>
      <c r="I132" s="37">
        <v>9.0562999999999998E-3</v>
      </c>
      <c r="J132" s="38">
        <v>2.99E-4</v>
      </c>
      <c r="K132" s="39"/>
      <c r="L132" s="39"/>
      <c r="M132" s="37"/>
      <c r="N132" s="37"/>
      <c r="O132" s="38"/>
      <c r="P132" s="39"/>
      <c r="Q132" s="39"/>
      <c r="R132" s="37"/>
      <c r="S132" s="37"/>
      <c r="T132" s="38"/>
    </row>
    <row r="134" spans="1:20" ht="16.5" thickBot="1" x14ac:dyDescent="0.3">
      <c r="A134" s="30" t="s">
        <v>107</v>
      </c>
      <c r="B134" s="31" t="s">
        <v>441</v>
      </c>
      <c r="C134" s="31" t="s">
        <v>5</v>
      </c>
      <c r="D134" s="31" t="s">
        <v>108</v>
      </c>
      <c r="E134" s="32" t="s">
        <v>6</v>
      </c>
      <c r="F134" s="32"/>
      <c r="G134" s="33" t="s">
        <v>441</v>
      </c>
      <c r="H134" s="31" t="s">
        <v>5</v>
      </c>
      <c r="I134" s="31" t="s">
        <v>108</v>
      </c>
      <c r="J134" s="32" t="s">
        <v>6</v>
      </c>
      <c r="K134" s="33"/>
      <c r="L134" s="33" t="s">
        <v>441</v>
      </c>
      <c r="M134" s="31" t="s">
        <v>5</v>
      </c>
      <c r="N134" s="31" t="s">
        <v>108</v>
      </c>
      <c r="O134" s="32" t="s">
        <v>6</v>
      </c>
      <c r="P134" s="33"/>
      <c r="Q134" s="33" t="s">
        <v>441</v>
      </c>
      <c r="R134" s="31" t="s">
        <v>5</v>
      </c>
      <c r="S134" s="31" t="s">
        <v>108</v>
      </c>
      <c r="T134" s="32" t="s">
        <v>6</v>
      </c>
    </row>
    <row r="135" spans="1:20" ht="16.5" thickTop="1" x14ac:dyDescent="0.25">
      <c r="A135" s="13" t="s">
        <v>119</v>
      </c>
      <c r="B135" s="34" t="s">
        <v>1</v>
      </c>
      <c r="C135" s="34">
        <v>0.33543200000000001</v>
      </c>
      <c r="D135" s="34">
        <v>2.7548E-2</v>
      </c>
      <c r="E135" s="15" t="s">
        <v>8</v>
      </c>
      <c r="G135" s="14" t="s">
        <v>1</v>
      </c>
      <c r="H135" s="34">
        <v>0.37209639999999999</v>
      </c>
      <c r="I135" s="34">
        <v>0.1968297</v>
      </c>
      <c r="J135" s="15">
        <v>5.8700000000000002E-2</v>
      </c>
      <c r="L135" s="14" t="s">
        <v>1</v>
      </c>
      <c r="M135" s="34">
        <v>0.34168999999999999</v>
      </c>
      <c r="N135" s="34">
        <v>2.7109999999999999E-2</v>
      </c>
      <c r="O135" s="15" t="s">
        <v>8</v>
      </c>
      <c r="Q135" s="14" t="s">
        <v>1</v>
      </c>
      <c r="R135" s="34">
        <v>0.38044489999999997</v>
      </c>
      <c r="S135" s="34">
        <v>0.19672029999999999</v>
      </c>
      <c r="T135" s="15">
        <v>5.3129999999999997E-2</v>
      </c>
    </row>
    <row r="136" spans="1:20" x14ac:dyDescent="0.25">
      <c r="A136" s="13" t="s">
        <v>119</v>
      </c>
      <c r="B136" s="34" t="s">
        <v>3</v>
      </c>
      <c r="C136" s="34">
        <v>-0.69127400000000006</v>
      </c>
      <c r="D136" s="34">
        <v>0.15276999999999999</v>
      </c>
      <c r="E136" s="15">
        <v>6.0599999999999996E-6</v>
      </c>
      <c r="G136" s="14" t="s">
        <v>3</v>
      </c>
      <c r="H136" s="34">
        <v>0.14953830000000001</v>
      </c>
      <c r="I136" s="34">
        <v>0.41261029999999999</v>
      </c>
      <c r="J136" s="15">
        <v>0.71704000000000001</v>
      </c>
      <c r="L136" s="14" t="s">
        <v>3</v>
      </c>
      <c r="M136" s="34">
        <v>-0.68211999999999995</v>
      </c>
      <c r="N136" s="34">
        <v>0.15260000000000001</v>
      </c>
      <c r="O136" s="15">
        <v>7.8399999999999995E-6</v>
      </c>
      <c r="Q136" s="14" t="s">
        <v>3</v>
      </c>
      <c r="R136" s="34">
        <v>0.15678819999999999</v>
      </c>
      <c r="S136" s="34">
        <v>0.41257300000000002</v>
      </c>
      <c r="T136" s="15">
        <v>0.70392999999999994</v>
      </c>
    </row>
    <row r="137" spans="1:20" x14ac:dyDescent="0.25">
      <c r="A137" s="13" t="s">
        <v>119</v>
      </c>
      <c r="B137" s="23" t="s">
        <v>4</v>
      </c>
      <c r="C137" s="34">
        <v>0.17388700000000001</v>
      </c>
      <c r="D137" s="34">
        <v>0.19551099999999999</v>
      </c>
      <c r="E137" s="15">
        <v>0.374</v>
      </c>
      <c r="G137" s="14" t="s">
        <v>4</v>
      </c>
      <c r="H137" s="34">
        <v>0.46147690000000002</v>
      </c>
      <c r="I137" s="34">
        <v>0.3193994</v>
      </c>
      <c r="J137" s="15">
        <v>0.14851</v>
      </c>
      <c r="L137" s="14" t="s">
        <v>4</v>
      </c>
      <c r="M137" s="34">
        <v>0.17333999999999999</v>
      </c>
      <c r="N137" s="34">
        <v>0.19550999999999999</v>
      </c>
      <c r="O137" s="15">
        <v>0.375</v>
      </c>
      <c r="Q137" s="14" t="s">
        <v>4</v>
      </c>
      <c r="R137" s="34">
        <v>0.46155849999999998</v>
      </c>
      <c r="S137" s="34">
        <v>0.3194013</v>
      </c>
      <c r="T137" s="15">
        <v>0.14843999999999999</v>
      </c>
    </row>
    <row r="138" spans="1:20" x14ac:dyDescent="0.25">
      <c r="A138" s="13" t="s">
        <v>119</v>
      </c>
      <c r="B138" s="23" t="s">
        <v>389</v>
      </c>
      <c r="C138" s="34">
        <v>1.1011999999999999E-2</v>
      </c>
      <c r="D138" s="34">
        <v>8.6490000000000004E-3</v>
      </c>
      <c r="E138" s="15">
        <v>0.20300000000000001</v>
      </c>
      <c r="G138" s="14" t="s">
        <v>7</v>
      </c>
      <c r="H138" s="34">
        <v>1.0383E-3</v>
      </c>
      <c r="I138" s="34">
        <v>4.1887000000000001E-3</v>
      </c>
      <c r="J138" s="15">
        <v>0.80423</v>
      </c>
      <c r="Q138" s="14" t="s">
        <v>7</v>
      </c>
      <c r="R138" s="34">
        <v>9.8729999999999998E-4</v>
      </c>
      <c r="S138" s="34">
        <v>4.1885000000000004E-3</v>
      </c>
      <c r="T138" s="15">
        <v>0.81364999999999998</v>
      </c>
    </row>
    <row r="139" spans="1:20" x14ac:dyDescent="0.25">
      <c r="A139" s="13" t="s">
        <v>119</v>
      </c>
      <c r="B139" s="23"/>
      <c r="G139" s="14" t="s">
        <v>9</v>
      </c>
      <c r="H139" s="34">
        <v>9.2009999999999998E-4</v>
      </c>
      <c r="I139" s="34">
        <v>2.0141E-3</v>
      </c>
      <c r="J139" s="15">
        <v>0.64781</v>
      </c>
      <c r="Q139" s="14" t="s">
        <v>9</v>
      </c>
      <c r="R139" s="34">
        <v>9.1140000000000004E-4</v>
      </c>
      <c r="S139" s="34">
        <v>2.0141E-3</v>
      </c>
      <c r="T139" s="15">
        <v>0.65090000000000003</v>
      </c>
    </row>
    <row r="140" spans="1:20" x14ac:dyDescent="0.25">
      <c r="A140" s="13" t="s">
        <v>119</v>
      </c>
      <c r="B140" s="23"/>
      <c r="G140" s="14" t="s">
        <v>10</v>
      </c>
      <c r="H140" s="34">
        <v>9.5960999999999998E-3</v>
      </c>
      <c r="I140" s="34">
        <v>3.813E-3</v>
      </c>
      <c r="J140" s="15">
        <v>1.1849999999999999E-2</v>
      </c>
      <c r="Q140" s="14" t="s">
        <v>10</v>
      </c>
      <c r="R140" s="34">
        <v>9.5747999999999996E-3</v>
      </c>
      <c r="S140" s="34">
        <v>3.813E-3</v>
      </c>
      <c r="T140" s="15">
        <v>1.204E-2</v>
      </c>
    </row>
    <row r="141" spans="1:20" x14ac:dyDescent="0.25">
      <c r="A141" s="13" t="s">
        <v>119</v>
      </c>
      <c r="B141" s="23"/>
      <c r="G141" s="14" t="s">
        <v>11</v>
      </c>
      <c r="H141" s="34">
        <v>3.0233999999999999E-3</v>
      </c>
      <c r="I141" s="34">
        <v>2.2350999999999998E-3</v>
      </c>
      <c r="J141" s="15">
        <v>0.17616000000000001</v>
      </c>
      <c r="Q141" s="14" t="s">
        <v>11</v>
      </c>
      <c r="R141" s="34">
        <v>3.0403000000000001E-3</v>
      </c>
      <c r="S141" s="34">
        <v>2.2350999999999998E-3</v>
      </c>
      <c r="T141" s="15">
        <v>0.17376</v>
      </c>
    </row>
    <row r="142" spans="1:20" x14ac:dyDescent="0.25">
      <c r="A142" s="13" t="s">
        <v>119</v>
      </c>
      <c r="B142" s="23"/>
      <c r="G142" s="14" t="s">
        <v>12</v>
      </c>
      <c r="H142" s="34">
        <v>-7.7099999999999998E-4</v>
      </c>
      <c r="I142" s="34">
        <v>2.3819000000000002E-3</v>
      </c>
      <c r="J142" s="15">
        <v>0.74617999999999995</v>
      </c>
      <c r="Q142" s="14" t="s">
        <v>12</v>
      </c>
      <c r="R142" s="34">
        <v>-7.2289999999999995E-4</v>
      </c>
      <c r="S142" s="34">
        <v>2.3816000000000002E-3</v>
      </c>
      <c r="T142" s="15">
        <v>0.76146999999999998</v>
      </c>
    </row>
    <row r="143" spans="1:20" x14ac:dyDescent="0.25">
      <c r="A143" s="13" t="s">
        <v>119</v>
      </c>
      <c r="B143" s="23"/>
      <c r="G143" s="14" t="s">
        <v>13</v>
      </c>
      <c r="H143" s="34">
        <v>-4.1780000000000002E-4</v>
      </c>
      <c r="I143" s="34">
        <v>3.4098000000000002E-3</v>
      </c>
      <c r="J143" s="15">
        <v>0.90246999999999999</v>
      </c>
      <c r="Q143" s="14" t="s">
        <v>13</v>
      </c>
      <c r="R143" s="34">
        <v>-4.0999999999999999E-4</v>
      </c>
      <c r="S143" s="34">
        <v>3.4098000000000002E-3</v>
      </c>
      <c r="T143" s="15">
        <v>0.90429999999999999</v>
      </c>
    </row>
    <row r="144" spans="1:20" x14ac:dyDescent="0.25">
      <c r="A144" s="13" t="s">
        <v>119</v>
      </c>
      <c r="B144" s="23"/>
      <c r="G144" s="14" t="s">
        <v>14</v>
      </c>
      <c r="H144" s="34">
        <v>8.0494E-3</v>
      </c>
      <c r="I144" s="34">
        <v>2.5133999999999998E-3</v>
      </c>
      <c r="J144" s="15">
        <v>1.3600000000000001E-3</v>
      </c>
      <c r="Q144" s="14" t="s">
        <v>14</v>
      </c>
      <c r="R144" s="34">
        <v>8.0698000000000002E-3</v>
      </c>
      <c r="S144" s="34">
        <v>2.5133999999999998E-3</v>
      </c>
      <c r="T144" s="15">
        <v>1.32E-3</v>
      </c>
    </row>
    <row r="145" spans="1:20" x14ac:dyDescent="0.25">
      <c r="A145" s="35" t="s">
        <v>119</v>
      </c>
      <c r="B145" s="36"/>
      <c r="C145" s="37"/>
      <c r="D145" s="37"/>
      <c r="E145" s="38"/>
      <c r="F145" s="38"/>
      <c r="G145" s="39" t="s">
        <v>389</v>
      </c>
      <c r="H145" s="37">
        <v>1.0948299999999999E-2</v>
      </c>
      <c r="I145" s="37">
        <v>8.6504000000000008E-3</v>
      </c>
      <c r="J145" s="38">
        <v>0.20565</v>
      </c>
      <c r="K145" s="39"/>
      <c r="L145" s="39"/>
      <c r="M145" s="37"/>
      <c r="N145" s="37"/>
      <c r="O145" s="38"/>
      <c r="P145" s="39"/>
      <c r="Q145" s="39"/>
      <c r="R145" s="37"/>
      <c r="S145" s="37"/>
      <c r="T145" s="38"/>
    </row>
    <row r="147" spans="1:20" ht="16.5" thickBot="1" x14ac:dyDescent="0.3">
      <c r="A147" s="30" t="s">
        <v>107</v>
      </c>
      <c r="B147" s="31" t="s">
        <v>441</v>
      </c>
      <c r="C147" s="31" t="s">
        <v>5</v>
      </c>
      <c r="D147" s="31" t="s">
        <v>108</v>
      </c>
      <c r="E147" s="32" t="s">
        <v>6</v>
      </c>
      <c r="F147" s="32"/>
      <c r="G147" s="33" t="s">
        <v>441</v>
      </c>
      <c r="H147" s="31" t="s">
        <v>5</v>
      </c>
      <c r="I147" s="31" t="s">
        <v>108</v>
      </c>
      <c r="J147" s="32" t="s">
        <v>6</v>
      </c>
      <c r="K147" s="33"/>
      <c r="L147" s="33" t="s">
        <v>441</v>
      </c>
      <c r="M147" s="31" t="s">
        <v>5</v>
      </c>
      <c r="N147" s="31" t="s">
        <v>108</v>
      </c>
      <c r="O147" s="32" t="s">
        <v>6</v>
      </c>
      <c r="P147" s="33"/>
      <c r="Q147" s="33" t="s">
        <v>441</v>
      </c>
      <c r="R147" s="31" t="s">
        <v>5</v>
      </c>
      <c r="S147" s="31" t="s">
        <v>108</v>
      </c>
      <c r="T147" s="32" t="s">
        <v>6</v>
      </c>
    </row>
    <row r="148" spans="1:20" ht="16.5" thickTop="1" x14ac:dyDescent="0.25">
      <c r="A148" s="13" t="s">
        <v>120</v>
      </c>
      <c r="B148" s="34" t="s">
        <v>1</v>
      </c>
      <c r="C148" s="34">
        <v>-9.6391000000000004E-2</v>
      </c>
      <c r="D148" s="34">
        <v>2.8878000000000001E-2</v>
      </c>
      <c r="E148" s="15">
        <v>8.4500000000000005E-4</v>
      </c>
      <c r="G148" s="14" t="s">
        <v>1</v>
      </c>
      <c r="H148" s="34">
        <v>7.4036099999999994E-2</v>
      </c>
      <c r="I148" s="34">
        <v>0.2063305</v>
      </c>
      <c r="J148" s="15">
        <v>0.71970000000000001</v>
      </c>
      <c r="L148" s="14" t="s">
        <v>1</v>
      </c>
      <c r="M148" s="34">
        <v>-0.12814999999999999</v>
      </c>
      <c r="N148" s="34">
        <v>2.843E-2</v>
      </c>
      <c r="O148" s="15">
        <v>6.55E-6</v>
      </c>
      <c r="Q148" s="14" t="s">
        <v>1</v>
      </c>
      <c r="R148" s="34">
        <v>3.0853999999999999E-2</v>
      </c>
      <c r="S148" s="34">
        <v>0.20629069999999999</v>
      </c>
      <c r="T148" s="15">
        <v>0.88109999999999999</v>
      </c>
    </row>
    <row r="149" spans="1:20" x14ac:dyDescent="0.25">
      <c r="A149" s="13" t="s">
        <v>120</v>
      </c>
      <c r="B149" s="34" t="s">
        <v>3</v>
      </c>
      <c r="C149" s="34">
        <v>-0.148671</v>
      </c>
      <c r="D149" s="34">
        <v>0.160243</v>
      </c>
      <c r="E149" s="15">
        <v>0.35352299999999998</v>
      </c>
      <c r="G149" s="14" t="s">
        <v>3</v>
      </c>
      <c r="H149" s="34">
        <v>0.5447668</v>
      </c>
      <c r="I149" s="34">
        <v>0.4324944</v>
      </c>
      <c r="J149" s="15">
        <v>0.20780000000000001</v>
      </c>
      <c r="L149" s="14" t="s">
        <v>3</v>
      </c>
      <c r="M149" s="34">
        <v>-0.19519</v>
      </c>
      <c r="N149" s="34">
        <v>0.16012000000000001</v>
      </c>
      <c r="O149" s="15">
        <v>0.223</v>
      </c>
      <c r="Q149" s="14" t="s">
        <v>3</v>
      </c>
      <c r="R149" s="34">
        <v>0.50682360000000004</v>
      </c>
      <c r="S149" s="34">
        <v>0.43261240000000001</v>
      </c>
      <c r="T149" s="15">
        <v>0.2414</v>
      </c>
    </row>
    <row r="150" spans="1:20" x14ac:dyDescent="0.25">
      <c r="A150" s="13" t="s">
        <v>120</v>
      </c>
      <c r="B150" s="34" t="s">
        <v>4</v>
      </c>
      <c r="C150" s="34">
        <v>0.335476</v>
      </c>
      <c r="D150" s="34">
        <v>0.20504</v>
      </c>
      <c r="E150" s="15">
        <v>0.101815</v>
      </c>
      <c r="G150" s="14" t="s">
        <v>4</v>
      </c>
      <c r="H150" s="34">
        <v>0.23513590000000001</v>
      </c>
      <c r="I150" s="34">
        <v>0.3348274</v>
      </c>
      <c r="J150" s="15">
        <v>0.48249999999999998</v>
      </c>
      <c r="L150" s="14" t="s">
        <v>4</v>
      </c>
      <c r="M150" s="34">
        <v>0.33840999999999999</v>
      </c>
      <c r="N150" s="34">
        <v>0.20510999999999999</v>
      </c>
      <c r="O150" s="15">
        <v>9.9000000000000005E-2</v>
      </c>
      <c r="Q150" s="14" t="s">
        <v>4</v>
      </c>
      <c r="R150" s="34">
        <v>0.23479449999999999</v>
      </c>
      <c r="S150" s="34">
        <v>0.33495190000000002</v>
      </c>
      <c r="T150" s="15">
        <v>0.48330000000000001</v>
      </c>
    </row>
    <row r="151" spans="1:20" x14ac:dyDescent="0.25">
      <c r="A151" s="13" t="s">
        <v>120</v>
      </c>
      <c r="B151" s="23" t="s">
        <v>389</v>
      </c>
      <c r="C151" s="34">
        <v>-5.5909E-2</v>
      </c>
      <c r="D151" s="34">
        <v>9.0709999999999992E-3</v>
      </c>
      <c r="E151" s="15">
        <v>7.1700000000000001E-10</v>
      </c>
      <c r="G151" s="14" t="s">
        <v>7</v>
      </c>
      <c r="H151" s="34">
        <v>-2.2823000000000001E-3</v>
      </c>
      <c r="I151" s="34">
        <v>4.3909999999999999E-3</v>
      </c>
      <c r="J151" s="15">
        <v>0.60319999999999996</v>
      </c>
      <c r="Q151" s="14" t="s">
        <v>7</v>
      </c>
      <c r="R151" s="34">
        <v>-2.0175000000000002E-3</v>
      </c>
      <c r="S151" s="34">
        <v>4.3924999999999997E-3</v>
      </c>
      <c r="T151" s="15">
        <v>0.64600000000000002</v>
      </c>
    </row>
    <row r="152" spans="1:20" x14ac:dyDescent="0.25">
      <c r="A152" s="13" t="s">
        <v>120</v>
      </c>
      <c r="B152" s="23"/>
      <c r="G152" s="14" t="s">
        <v>9</v>
      </c>
      <c r="H152" s="34">
        <v>-4.8840000000000003E-3</v>
      </c>
      <c r="I152" s="34">
        <v>2.1110999999999999E-3</v>
      </c>
      <c r="J152" s="15">
        <v>2.07E-2</v>
      </c>
      <c r="Q152" s="14" t="s">
        <v>9</v>
      </c>
      <c r="R152" s="34">
        <v>-4.8405000000000002E-3</v>
      </c>
      <c r="S152" s="34">
        <v>2.1118999999999999E-3</v>
      </c>
      <c r="T152" s="15">
        <v>2.1899999999999999E-2</v>
      </c>
    </row>
    <row r="153" spans="1:20" x14ac:dyDescent="0.25">
      <c r="A153" s="13" t="s">
        <v>120</v>
      </c>
      <c r="B153" s="23"/>
      <c r="G153" s="14" t="s">
        <v>10</v>
      </c>
      <c r="H153" s="34">
        <v>9.1284000000000001E-3</v>
      </c>
      <c r="I153" s="34">
        <v>3.9972000000000002E-3</v>
      </c>
      <c r="J153" s="15">
        <v>2.24E-2</v>
      </c>
      <c r="Q153" s="14" t="s">
        <v>10</v>
      </c>
      <c r="R153" s="34">
        <v>9.2332000000000004E-3</v>
      </c>
      <c r="S153" s="34">
        <v>3.9987E-3</v>
      </c>
      <c r="T153" s="15">
        <v>2.0899999999999998E-2</v>
      </c>
    </row>
    <row r="154" spans="1:20" x14ac:dyDescent="0.25">
      <c r="A154" s="13" t="s">
        <v>120</v>
      </c>
      <c r="B154" s="23"/>
      <c r="G154" s="14" t="s">
        <v>11</v>
      </c>
      <c r="H154" s="34">
        <v>1.10522E-2</v>
      </c>
      <c r="I154" s="34">
        <v>2.3419999999999999E-3</v>
      </c>
      <c r="J154" s="15">
        <v>2.3800000000000001E-6</v>
      </c>
      <c r="Q154" s="14" t="s">
        <v>11</v>
      </c>
      <c r="R154" s="34">
        <v>1.09677E-2</v>
      </c>
      <c r="S154" s="34">
        <v>2.3429000000000002E-3</v>
      </c>
      <c r="T154" s="15">
        <v>2.8600000000000001E-6</v>
      </c>
    </row>
    <row r="155" spans="1:20" x14ac:dyDescent="0.25">
      <c r="A155" s="13" t="s">
        <v>120</v>
      </c>
      <c r="B155" s="23"/>
      <c r="G155" s="14" t="s">
        <v>12</v>
      </c>
      <c r="H155" s="34">
        <v>5.4419999999999998E-3</v>
      </c>
      <c r="I155" s="34">
        <v>2.4970000000000001E-3</v>
      </c>
      <c r="J155" s="15">
        <v>2.93E-2</v>
      </c>
      <c r="Q155" s="14" t="s">
        <v>12</v>
      </c>
      <c r="R155" s="34">
        <v>5.195E-3</v>
      </c>
      <c r="S155" s="34">
        <v>2.4976E-3</v>
      </c>
      <c r="T155" s="15">
        <v>3.7499999999999999E-2</v>
      </c>
    </row>
    <row r="156" spans="1:20" x14ac:dyDescent="0.25">
      <c r="A156" s="13" t="s">
        <v>120</v>
      </c>
      <c r="B156" s="23"/>
      <c r="G156" s="14" t="s">
        <v>13</v>
      </c>
      <c r="H156" s="34">
        <v>-5.3213999999999996E-3</v>
      </c>
      <c r="I156" s="34">
        <v>3.5750999999999999E-3</v>
      </c>
      <c r="J156" s="15">
        <v>0.1366</v>
      </c>
      <c r="Q156" s="14" t="s">
        <v>13</v>
      </c>
      <c r="R156" s="34">
        <v>-5.3598999999999999E-3</v>
      </c>
      <c r="S156" s="34">
        <v>3.5764E-3</v>
      </c>
      <c r="T156" s="15">
        <v>0.13400000000000001</v>
      </c>
    </row>
    <row r="157" spans="1:20" x14ac:dyDescent="0.25">
      <c r="A157" s="13" t="s">
        <v>120</v>
      </c>
      <c r="B157" s="23"/>
      <c r="G157" s="14" t="s">
        <v>14</v>
      </c>
      <c r="H157" s="34">
        <v>-2.2369999999999999E-4</v>
      </c>
      <c r="I157" s="34">
        <v>2.6351E-3</v>
      </c>
      <c r="J157" s="15">
        <v>0.93240000000000001</v>
      </c>
      <c r="Q157" s="14" t="s">
        <v>14</v>
      </c>
      <c r="R157" s="34">
        <v>-3.2719999999999998E-4</v>
      </c>
      <c r="S157" s="34">
        <v>2.6361000000000002E-3</v>
      </c>
      <c r="T157" s="15">
        <v>0.9012</v>
      </c>
    </row>
    <row r="158" spans="1:20" x14ac:dyDescent="0.25">
      <c r="A158" s="35" t="s">
        <v>120</v>
      </c>
      <c r="B158" s="36"/>
      <c r="C158" s="37"/>
      <c r="D158" s="37"/>
      <c r="E158" s="38"/>
      <c r="F158" s="38"/>
      <c r="G158" s="39" t="s">
        <v>389</v>
      </c>
      <c r="H158" s="37">
        <v>-5.6496400000000002E-2</v>
      </c>
      <c r="I158" s="37">
        <v>9.0684000000000008E-3</v>
      </c>
      <c r="J158" s="38">
        <v>4.7000000000000003E-10</v>
      </c>
      <c r="K158" s="39"/>
      <c r="L158" s="39"/>
      <c r="M158" s="37"/>
      <c r="N158" s="37"/>
      <c r="O158" s="38"/>
      <c r="P158" s="39"/>
      <c r="Q158" s="39"/>
      <c r="R158" s="37"/>
      <c r="S158" s="37"/>
      <c r="T158" s="38"/>
    </row>
    <row r="159" spans="1:20" x14ac:dyDescent="0.25">
      <c r="B159" s="23"/>
    </row>
    <row r="160" spans="1:20" ht="16.5" thickBot="1" x14ac:dyDescent="0.3">
      <c r="A160" s="30" t="s">
        <v>107</v>
      </c>
      <c r="B160" s="31" t="s">
        <v>441</v>
      </c>
      <c r="C160" s="31" t="s">
        <v>5</v>
      </c>
      <c r="D160" s="31" t="s">
        <v>108</v>
      </c>
      <c r="E160" s="32" t="s">
        <v>6</v>
      </c>
      <c r="F160" s="32"/>
      <c r="G160" s="33" t="s">
        <v>441</v>
      </c>
      <c r="H160" s="31" t="s">
        <v>5</v>
      </c>
      <c r="I160" s="31" t="s">
        <v>108</v>
      </c>
      <c r="J160" s="32" t="s">
        <v>6</v>
      </c>
      <c r="K160" s="33"/>
      <c r="L160" s="33" t="s">
        <v>441</v>
      </c>
      <c r="M160" s="31" t="s">
        <v>5</v>
      </c>
      <c r="N160" s="31" t="s">
        <v>108</v>
      </c>
      <c r="O160" s="32" t="s">
        <v>6</v>
      </c>
      <c r="P160" s="33"/>
      <c r="Q160" s="33" t="s">
        <v>441</v>
      </c>
      <c r="R160" s="31" t="s">
        <v>5</v>
      </c>
      <c r="S160" s="31" t="s">
        <v>108</v>
      </c>
      <c r="T160" s="32" t="s">
        <v>6</v>
      </c>
    </row>
    <row r="161" spans="1:20" ht="16.5" thickTop="1" x14ac:dyDescent="0.25">
      <c r="A161" s="13" t="s">
        <v>121</v>
      </c>
      <c r="B161" s="34" t="s">
        <v>1</v>
      </c>
      <c r="C161" s="34">
        <v>-0.43182300000000001</v>
      </c>
      <c r="D161" s="34">
        <v>2.8771000000000001E-2</v>
      </c>
      <c r="E161" s="15" t="s">
        <v>8</v>
      </c>
      <c r="G161" s="14" t="s">
        <v>1</v>
      </c>
      <c r="H161" s="34">
        <v>-0.46179999999999999</v>
      </c>
      <c r="I161" s="34">
        <v>0.2056</v>
      </c>
      <c r="J161" s="15">
        <v>2.4719999999999999E-2</v>
      </c>
      <c r="L161" s="14" t="s">
        <v>1</v>
      </c>
      <c r="M161" s="34">
        <v>-0.45701999999999998</v>
      </c>
      <c r="N161" s="34">
        <v>2.8320000000000001E-2</v>
      </c>
      <c r="O161" s="15" t="s">
        <v>8</v>
      </c>
      <c r="Q161" s="14" t="s">
        <v>1</v>
      </c>
      <c r="R161" s="34">
        <v>-0.496</v>
      </c>
      <c r="S161" s="34">
        <v>0.2056</v>
      </c>
      <c r="T161" s="15">
        <v>1.584E-2</v>
      </c>
    </row>
    <row r="162" spans="1:20" x14ac:dyDescent="0.25">
      <c r="A162" s="13" t="s">
        <v>121</v>
      </c>
      <c r="B162" s="34" t="s">
        <v>3</v>
      </c>
      <c r="C162" s="34">
        <v>-0.81510199999999999</v>
      </c>
      <c r="D162" s="34">
        <v>0.159611</v>
      </c>
      <c r="E162" s="15">
        <v>3.2899999999999999E-7</v>
      </c>
      <c r="G162" s="14" t="s">
        <v>3</v>
      </c>
      <c r="H162" s="34">
        <v>-0.94530000000000003</v>
      </c>
      <c r="I162" s="34">
        <v>0.43099999999999999</v>
      </c>
      <c r="J162" s="15">
        <v>2.8299999999999999E-2</v>
      </c>
      <c r="L162" s="14" t="s">
        <v>3</v>
      </c>
      <c r="M162" s="34">
        <v>-0.85206000000000004</v>
      </c>
      <c r="N162" s="34">
        <v>0.15947</v>
      </c>
      <c r="O162" s="15">
        <v>9.1800000000000001E-8</v>
      </c>
      <c r="Q162" s="14" t="s">
        <v>3</v>
      </c>
      <c r="R162" s="34">
        <v>-0.97550000000000003</v>
      </c>
      <c r="S162" s="34">
        <v>0.43109999999999998</v>
      </c>
      <c r="T162" s="15">
        <v>2.3640000000000001E-2</v>
      </c>
    </row>
    <row r="163" spans="1:20" x14ac:dyDescent="0.25">
      <c r="A163" s="13" t="s">
        <v>121</v>
      </c>
      <c r="B163" s="34" t="s">
        <v>4</v>
      </c>
      <c r="C163" s="34">
        <v>-0.47933799999999999</v>
      </c>
      <c r="D163" s="34">
        <v>0.204517</v>
      </c>
      <c r="E163" s="15">
        <v>1.9099999999999999E-2</v>
      </c>
      <c r="G163" s="14" t="s">
        <v>4</v>
      </c>
      <c r="H163" s="34">
        <v>-0.71299999999999997</v>
      </c>
      <c r="I163" s="34">
        <v>0.33389999999999997</v>
      </c>
      <c r="J163" s="15">
        <v>3.2719999999999999E-2</v>
      </c>
      <c r="L163" s="14" t="s">
        <v>4</v>
      </c>
      <c r="M163" s="34">
        <v>-0.47717999999999999</v>
      </c>
      <c r="N163" s="34">
        <v>0.20455999999999999</v>
      </c>
      <c r="O163" s="15">
        <v>1.9699999999999999E-2</v>
      </c>
      <c r="Q163" s="14" t="s">
        <v>4</v>
      </c>
      <c r="R163" s="34">
        <v>-0.71340000000000003</v>
      </c>
      <c r="S163" s="34">
        <v>0.33400000000000002</v>
      </c>
      <c r="T163" s="15">
        <v>3.2669999999999998E-2</v>
      </c>
    </row>
    <row r="164" spans="1:20" x14ac:dyDescent="0.25">
      <c r="A164" s="13" t="s">
        <v>121</v>
      </c>
      <c r="B164" s="23" t="s">
        <v>389</v>
      </c>
      <c r="C164" s="34">
        <v>-4.4351000000000002E-2</v>
      </c>
      <c r="D164" s="34">
        <v>9.0349999999999996E-3</v>
      </c>
      <c r="E164" s="15">
        <v>9.1900000000000001E-7</v>
      </c>
      <c r="G164" s="14" t="s">
        <v>7</v>
      </c>
      <c r="H164" s="34">
        <v>4.527E-4</v>
      </c>
      <c r="I164" s="34">
        <v>4.3759999999999997E-3</v>
      </c>
      <c r="J164" s="15">
        <v>0.91761000000000004</v>
      </c>
      <c r="Q164" s="14" t="s">
        <v>7</v>
      </c>
      <c r="R164" s="34">
        <v>6.6310000000000002E-4</v>
      </c>
      <c r="S164" s="34">
        <v>4.3769999999999998E-3</v>
      </c>
      <c r="T164" s="15">
        <v>0.87958999999999998</v>
      </c>
    </row>
    <row r="165" spans="1:20" x14ac:dyDescent="0.25">
      <c r="A165" s="13" t="s">
        <v>121</v>
      </c>
      <c r="B165" s="23"/>
      <c r="G165" s="14" t="s">
        <v>9</v>
      </c>
      <c r="H165" s="34">
        <v>-3.3210000000000002E-3</v>
      </c>
      <c r="I165" s="34">
        <v>2.104E-3</v>
      </c>
      <c r="J165" s="15">
        <v>0.11443</v>
      </c>
      <c r="Q165" s="14" t="s">
        <v>9</v>
      </c>
      <c r="R165" s="34">
        <v>-3.2880000000000001E-3</v>
      </c>
      <c r="S165" s="34">
        <v>2.104E-3</v>
      </c>
      <c r="T165" s="15">
        <v>0.11815000000000001</v>
      </c>
    </row>
    <row r="166" spans="1:20" x14ac:dyDescent="0.25">
      <c r="A166" s="13" t="s">
        <v>121</v>
      </c>
      <c r="B166" s="23"/>
      <c r="G166" s="14" t="s">
        <v>10</v>
      </c>
      <c r="H166" s="34">
        <v>-8.8170000000000005E-5</v>
      </c>
      <c r="I166" s="34">
        <v>3.9839999999999997E-3</v>
      </c>
      <c r="J166" s="15">
        <v>0.98233999999999999</v>
      </c>
      <c r="Q166" s="14" t="s">
        <v>10</v>
      </c>
      <c r="R166" s="34">
        <v>-6.5969999999999997E-6</v>
      </c>
      <c r="S166" s="34">
        <v>3.9839999999999997E-3</v>
      </c>
      <c r="T166" s="15">
        <v>0.99868000000000001</v>
      </c>
    </row>
    <row r="167" spans="1:20" x14ac:dyDescent="0.25">
      <c r="A167" s="13" t="s">
        <v>121</v>
      </c>
      <c r="B167" s="23"/>
      <c r="G167" s="14" t="s">
        <v>11</v>
      </c>
      <c r="H167" s="34">
        <v>-2.4120000000000001E-3</v>
      </c>
      <c r="I167" s="34">
        <v>2.3340000000000001E-3</v>
      </c>
      <c r="J167" s="15">
        <v>0.3014</v>
      </c>
      <c r="Q167" s="14" t="s">
        <v>11</v>
      </c>
      <c r="R167" s="34">
        <v>-2.4810000000000001E-3</v>
      </c>
      <c r="S167" s="34">
        <v>2.3340000000000001E-3</v>
      </c>
      <c r="T167" s="15">
        <v>0.28776000000000002</v>
      </c>
    </row>
    <row r="168" spans="1:20" x14ac:dyDescent="0.25">
      <c r="A168" s="13" t="s">
        <v>121</v>
      </c>
      <c r="B168" s="23"/>
      <c r="G168" s="14" t="s">
        <v>12</v>
      </c>
      <c r="H168" s="34">
        <v>3.3639999999999998E-3</v>
      </c>
      <c r="I168" s="34">
        <v>2.4880000000000002E-3</v>
      </c>
      <c r="J168" s="15">
        <v>0.17637</v>
      </c>
      <c r="Q168" s="14" t="s">
        <v>12</v>
      </c>
      <c r="R168" s="34">
        <v>3.1710000000000002E-3</v>
      </c>
      <c r="S168" s="34">
        <v>2.4880000000000002E-3</v>
      </c>
      <c r="T168" s="15">
        <v>0.20252000000000001</v>
      </c>
    </row>
    <row r="169" spans="1:20" x14ac:dyDescent="0.25">
      <c r="A169" s="13" t="s">
        <v>121</v>
      </c>
      <c r="B169" s="23"/>
      <c r="G169" s="14" t="s">
        <v>13</v>
      </c>
      <c r="H169" s="34">
        <v>-2.8089999999999999E-3</v>
      </c>
      <c r="I169" s="34">
        <v>3.5630000000000002E-3</v>
      </c>
      <c r="J169" s="15">
        <v>0.43047000000000002</v>
      </c>
      <c r="Q169" s="14" t="s">
        <v>13</v>
      </c>
      <c r="R169" s="34">
        <v>-2.836E-3</v>
      </c>
      <c r="S169" s="34">
        <v>3.5639999999999999E-3</v>
      </c>
      <c r="T169" s="15">
        <v>0.42616999999999999</v>
      </c>
    </row>
    <row r="170" spans="1:20" x14ac:dyDescent="0.25">
      <c r="A170" s="13" t="s">
        <v>121</v>
      </c>
      <c r="B170" s="23"/>
      <c r="G170" s="14" t="s">
        <v>14</v>
      </c>
      <c r="H170" s="34">
        <v>2.3640000000000002E-3</v>
      </c>
      <c r="I170" s="34">
        <v>2.6250000000000002E-3</v>
      </c>
      <c r="J170" s="15">
        <v>0.36785000000000001</v>
      </c>
      <c r="Q170" s="14" t="s">
        <v>14</v>
      </c>
      <c r="R170" s="34">
        <v>2.2820000000000002E-3</v>
      </c>
      <c r="S170" s="34">
        <v>2.6259999999999999E-3</v>
      </c>
      <c r="T170" s="15">
        <v>0.38480999999999999</v>
      </c>
    </row>
    <row r="171" spans="1:20" x14ac:dyDescent="0.25">
      <c r="A171" s="35" t="s">
        <v>121</v>
      </c>
      <c r="B171" s="36"/>
      <c r="C171" s="37"/>
      <c r="D171" s="37"/>
      <c r="E171" s="38"/>
      <c r="F171" s="38"/>
      <c r="G171" s="39" t="s">
        <v>389</v>
      </c>
      <c r="H171" s="37">
        <v>-4.4519999999999997E-2</v>
      </c>
      <c r="I171" s="37">
        <v>9.0369999999999999E-3</v>
      </c>
      <c r="J171" s="38">
        <v>8.4200000000000005E-7</v>
      </c>
      <c r="K171" s="39"/>
      <c r="L171" s="39"/>
      <c r="M171" s="37"/>
      <c r="N171" s="37"/>
      <c r="O171" s="38"/>
      <c r="P171" s="39"/>
      <c r="Q171" s="39"/>
      <c r="R171" s="37"/>
      <c r="S171" s="37"/>
      <c r="T171" s="38"/>
    </row>
    <row r="172" spans="1:20" x14ac:dyDescent="0.25">
      <c r="A172" s="13"/>
    </row>
    <row r="173" spans="1:20" ht="16.5" thickBot="1" x14ac:dyDescent="0.3">
      <c r="A173" s="30" t="s">
        <v>107</v>
      </c>
      <c r="B173" s="31" t="s">
        <v>441</v>
      </c>
      <c r="C173" s="31" t="s">
        <v>5</v>
      </c>
      <c r="D173" s="31" t="s">
        <v>108</v>
      </c>
      <c r="E173" s="32" t="s">
        <v>6</v>
      </c>
      <c r="F173" s="32"/>
      <c r="G173" s="33" t="s">
        <v>441</v>
      </c>
      <c r="H173" s="31" t="s">
        <v>5</v>
      </c>
      <c r="I173" s="31" t="s">
        <v>108</v>
      </c>
      <c r="J173" s="32" t="s">
        <v>6</v>
      </c>
      <c r="K173" s="33"/>
      <c r="L173" s="33" t="s">
        <v>441</v>
      </c>
      <c r="M173" s="31" t="s">
        <v>5</v>
      </c>
      <c r="N173" s="31" t="s">
        <v>108</v>
      </c>
      <c r="O173" s="32" t="s">
        <v>6</v>
      </c>
      <c r="P173" s="33"/>
      <c r="Q173" s="33" t="s">
        <v>441</v>
      </c>
      <c r="R173" s="31" t="s">
        <v>5</v>
      </c>
      <c r="S173" s="31" t="s">
        <v>108</v>
      </c>
      <c r="T173" s="32" t="s">
        <v>6</v>
      </c>
    </row>
    <row r="174" spans="1:20" ht="16.5" thickTop="1" x14ac:dyDescent="0.25">
      <c r="A174" s="13" t="s">
        <v>435</v>
      </c>
      <c r="B174" s="34" t="s">
        <v>1</v>
      </c>
      <c r="C174" s="34">
        <v>-2.0282</v>
      </c>
      <c r="D174" s="34">
        <v>2.7699999999999999E-2</v>
      </c>
      <c r="E174" s="15" t="s">
        <v>8</v>
      </c>
      <c r="G174" s="14" t="s">
        <v>1</v>
      </c>
      <c r="H174" s="34">
        <v>-1.8537558999999999</v>
      </c>
      <c r="I174" s="34">
        <v>0.1969882</v>
      </c>
      <c r="J174" s="15" t="s">
        <v>8</v>
      </c>
      <c r="L174" s="14" t="s">
        <v>1</v>
      </c>
      <c r="M174" s="34">
        <v>-2.1594799999999998</v>
      </c>
      <c r="N174" s="34">
        <v>2.7449999999999999E-2</v>
      </c>
      <c r="O174" s="15" t="s">
        <v>8</v>
      </c>
      <c r="Q174" s="14" t="s">
        <v>1</v>
      </c>
      <c r="R174" s="34">
        <v>-2.0361788000000001</v>
      </c>
      <c r="S174" s="34">
        <v>0.19820380000000001</v>
      </c>
      <c r="T174" s="15" t="s">
        <v>8</v>
      </c>
    </row>
    <row r="175" spans="1:20" x14ac:dyDescent="0.25">
      <c r="A175" s="13" t="s">
        <v>435</v>
      </c>
      <c r="B175" s="34" t="s">
        <v>3</v>
      </c>
      <c r="C175" s="34">
        <v>-3.2412999999999998</v>
      </c>
      <c r="D175" s="34">
        <v>0.15359999999999999</v>
      </c>
      <c r="E175" s="15" t="s">
        <v>8</v>
      </c>
      <c r="G175" s="14" t="s">
        <v>3</v>
      </c>
      <c r="H175" s="34">
        <v>-3.7712865</v>
      </c>
      <c r="I175" s="34">
        <v>0.41318159999999998</v>
      </c>
      <c r="J175" s="15" t="s">
        <v>8</v>
      </c>
      <c r="L175" s="14" t="s">
        <v>3</v>
      </c>
      <c r="M175" s="34">
        <v>-3.4370599999999998</v>
      </c>
      <c r="N175" s="34">
        <v>0.15451000000000001</v>
      </c>
      <c r="O175" s="15" t="s">
        <v>8</v>
      </c>
      <c r="Q175" s="14" t="s">
        <v>3</v>
      </c>
      <c r="R175" s="34">
        <v>-3.9353346</v>
      </c>
      <c r="S175" s="34">
        <v>0.4159349</v>
      </c>
      <c r="T175" s="15" t="s">
        <v>8</v>
      </c>
    </row>
    <row r="176" spans="1:20" x14ac:dyDescent="0.25">
      <c r="A176" s="13" t="s">
        <v>435</v>
      </c>
      <c r="B176" s="34" t="s">
        <v>4</v>
      </c>
      <c r="C176" s="34">
        <v>0.34379999999999999</v>
      </c>
      <c r="D176" s="34">
        <v>0.19289999999999999</v>
      </c>
      <c r="E176" s="15">
        <v>7.4700000000000003E-2</v>
      </c>
      <c r="G176" s="14" t="s">
        <v>4</v>
      </c>
      <c r="H176" s="34">
        <v>4.9762300000000002E-2</v>
      </c>
      <c r="I176" s="34">
        <v>0.3177431</v>
      </c>
      <c r="J176" s="15">
        <v>0.87560000000000004</v>
      </c>
      <c r="L176" s="14" t="s">
        <v>4</v>
      </c>
      <c r="M176" s="34">
        <v>0.35109000000000001</v>
      </c>
      <c r="N176" s="34">
        <v>0.19417000000000001</v>
      </c>
      <c r="O176" s="15">
        <v>7.0599999999999996E-2</v>
      </c>
      <c r="Q176" s="14" t="s">
        <v>4</v>
      </c>
      <c r="R176" s="34">
        <v>3.6095500000000003E-2</v>
      </c>
      <c r="S176" s="34">
        <v>0.31989519999999999</v>
      </c>
      <c r="T176" s="15">
        <v>0.91020000000000001</v>
      </c>
    </row>
    <row r="177" spans="1:20" x14ac:dyDescent="0.25">
      <c r="A177" s="13" t="s">
        <v>435</v>
      </c>
      <c r="B177" s="23" t="s">
        <v>389</v>
      </c>
      <c r="C177" s="34">
        <v>-0.23230000000000001</v>
      </c>
      <c r="D177" s="34">
        <v>8.6999999999999994E-3</v>
      </c>
      <c r="E177" s="15" t="s">
        <v>8</v>
      </c>
      <c r="G177" s="14" t="s">
        <v>7</v>
      </c>
      <c r="H177" s="34">
        <v>-4.5059999999999996E-3</v>
      </c>
      <c r="I177" s="34">
        <v>4.1919000000000001E-3</v>
      </c>
      <c r="J177" s="15">
        <v>0.28239999999999998</v>
      </c>
      <c r="Q177" s="14" t="s">
        <v>7</v>
      </c>
      <c r="R177" s="34">
        <v>-3.3024999999999999E-3</v>
      </c>
      <c r="S177" s="34">
        <v>4.2201000000000001E-3</v>
      </c>
      <c r="T177" s="15">
        <v>0.43390000000000001</v>
      </c>
    </row>
    <row r="178" spans="1:20" x14ac:dyDescent="0.25">
      <c r="A178" s="13" t="s">
        <v>435</v>
      </c>
      <c r="B178" s="23"/>
      <c r="G178" s="14" t="s">
        <v>9</v>
      </c>
      <c r="H178" s="34">
        <v>-2.4843500000000001E-2</v>
      </c>
      <c r="I178" s="34">
        <v>2.0163999999999998E-3</v>
      </c>
      <c r="J178" s="15" t="s">
        <v>8</v>
      </c>
      <c r="Q178" s="14" t="s">
        <v>9</v>
      </c>
      <c r="R178" s="34">
        <v>-2.47326E-2</v>
      </c>
      <c r="S178" s="34">
        <v>2.0301E-3</v>
      </c>
      <c r="T178" s="15" t="s">
        <v>8</v>
      </c>
    </row>
    <row r="179" spans="1:20" x14ac:dyDescent="0.25">
      <c r="A179" s="13" t="s">
        <v>435</v>
      </c>
      <c r="B179" s="23"/>
      <c r="G179" s="14" t="s">
        <v>10</v>
      </c>
      <c r="H179" s="34">
        <v>6.0694E-3</v>
      </c>
      <c r="I179" s="34">
        <v>3.8205000000000001E-3</v>
      </c>
      <c r="J179" s="15">
        <v>0.11210000000000001</v>
      </c>
      <c r="Q179" s="14" t="s">
        <v>10</v>
      </c>
      <c r="R179" s="34">
        <v>6.4649E-3</v>
      </c>
      <c r="S179" s="34">
        <v>3.8463999999999998E-3</v>
      </c>
      <c r="T179" s="15">
        <v>9.2799999999999994E-2</v>
      </c>
    </row>
    <row r="180" spans="1:20" x14ac:dyDescent="0.25">
      <c r="A180" s="13" t="s">
        <v>435</v>
      </c>
      <c r="B180" s="23"/>
      <c r="G180" s="14" t="s">
        <v>11</v>
      </c>
      <c r="H180" s="34">
        <v>4.1618999999999996E-3</v>
      </c>
      <c r="I180" s="34">
        <v>2.2396999999999999E-3</v>
      </c>
      <c r="J180" s="15">
        <v>6.3100000000000003E-2</v>
      </c>
      <c r="Q180" s="14" t="s">
        <v>11</v>
      </c>
      <c r="R180" s="34">
        <v>3.7829999999999999E-3</v>
      </c>
      <c r="S180" s="34">
        <v>2.2548999999999998E-3</v>
      </c>
      <c r="T180" s="15">
        <v>9.3399999999999997E-2</v>
      </c>
    </row>
    <row r="181" spans="1:20" x14ac:dyDescent="0.25">
      <c r="A181" s="13" t="s">
        <v>435</v>
      </c>
      <c r="B181" s="23"/>
      <c r="G181" s="14" t="s">
        <v>12</v>
      </c>
      <c r="H181" s="34">
        <v>1.3695000000000001E-3</v>
      </c>
      <c r="I181" s="34">
        <v>2.3844000000000001E-3</v>
      </c>
      <c r="J181" s="15">
        <v>0.56569999999999998</v>
      </c>
      <c r="Q181" s="14" t="s">
        <v>12</v>
      </c>
      <c r="R181" s="34">
        <v>3.8699999999999997E-4</v>
      </c>
      <c r="S181" s="34">
        <v>2.4001999999999999E-3</v>
      </c>
      <c r="T181" s="15">
        <v>0.87190000000000001</v>
      </c>
    </row>
    <row r="182" spans="1:20" x14ac:dyDescent="0.25">
      <c r="A182" s="13" t="s">
        <v>435</v>
      </c>
      <c r="B182" s="23"/>
      <c r="G182" s="14" t="s">
        <v>13</v>
      </c>
      <c r="H182" s="34">
        <v>-3.7859999999999999E-4</v>
      </c>
      <c r="I182" s="34">
        <v>3.4123999999999999E-3</v>
      </c>
      <c r="J182" s="15">
        <v>0.91169999999999995</v>
      </c>
      <c r="Q182" s="14" t="s">
        <v>13</v>
      </c>
      <c r="R182" s="34">
        <v>-5.7379999999999996E-4</v>
      </c>
      <c r="S182" s="34">
        <v>3.4355000000000002E-3</v>
      </c>
      <c r="T182" s="15">
        <v>0.86729999999999996</v>
      </c>
    </row>
    <row r="183" spans="1:20" x14ac:dyDescent="0.25">
      <c r="A183" s="13" t="s">
        <v>435</v>
      </c>
      <c r="B183" s="23"/>
      <c r="G183" s="14" t="s">
        <v>14</v>
      </c>
      <c r="H183" s="34">
        <v>-1.8058999999999999E-2</v>
      </c>
      <c r="I183" s="34">
        <v>2.5146999999999999E-3</v>
      </c>
      <c r="J183" s="15">
        <v>6.9899999999999995E-13</v>
      </c>
      <c r="Q183" s="14" t="s">
        <v>14</v>
      </c>
      <c r="R183" s="34">
        <v>-1.8554000000000001E-2</v>
      </c>
      <c r="S183" s="34">
        <v>2.5317E-3</v>
      </c>
      <c r="T183" s="15">
        <v>2.36E-13</v>
      </c>
    </row>
    <row r="184" spans="1:20" x14ac:dyDescent="0.25">
      <c r="A184" s="35" t="s">
        <v>435</v>
      </c>
      <c r="B184" s="36"/>
      <c r="C184" s="37"/>
      <c r="D184" s="37"/>
      <c r="E184" s="38"/>
      <c r="F184" s="38"/>
      <c r="G184" s="39" t="s">
        <v>389</v>
      </c>
      <c r="H184" s="37">
        <v>-0.23193720000000001</v>
      </c>
      <c r="I184" s="37">
        <v>8.6716999999999992E-3</v>
      </c>
      <c r="J184" s="38" t="s">
        <v>8</v>
      </c>
      <c r="K184" s="39"/>
      <c r="L184" s="39"/>
      <c r="M184" s="37"/>
      <c r="N184" s="37"/>
      <c r="O184" s="38"/>
      <c r="P184" s="39"/>
      <c r="Q184" s="39"/>
      <c r="R184" s="37"/>
      <c r="S184" s="37"/>
      <c r="T184" s="38"/>
    </row>
    <row r="185" spans="1:20" x14ac:dyDescent="0.25">
      <c r="A185" s="35"/>
      <c r="G185" s="39"/>
      <c r="H185" s="37"/>
      <c r="I185" s="37"/>
      <c r="J185" s="38"/>
      <c r="K185" s="39"/>
      <c r="L185" s="39"/>
      <c r="M185" s="37"/>
      <c r="N185" s="37"/>
      <c r="O185" s="38"/>
      <c r="P185" s="39"/>
      <c r="Q185" s="39"/>
      <c r="R185" s="37"/>
      <c r="S185" s="37"/>
      <c r="T185" s="38"/>
    </row>
    <row r="186" spans="1:20" ht="16.5" thickBot="1" x14ac:dyDescent="0.3">
      <c r="A186" s="30" t="s">
        <v>107</v>
      </c>
      <c r="B186" s="33" t="s">
        <v>441</v>
      </c>
      <c r="C186" s="33" t="s">
        <v>5</v>
      </c>
      <c r="D186" s="33" t="s">
        <v>108</v>
      </c>
      <c r="E186" s="40" t="s">
        <v>6</v>
      </c>
      <c r="F186" s="40"/>
      <c r="G186" s="33" t="s">
        <v>441</v>
      </c>
      <c r="H186" s="31" t="s">
        <v>5</v>
      </c>
      <c r="I186" s="31" t="s">
        <v>108</v>
      </c>
      <c r="J186" s="32" t="s">
        <v>6</v>
      </c>
      <c r="K186" s="33"/>
      <c r="L186" s="33" t="s">
        <v>441</v>
      </c>
      <c r="M186" s="31" t="s">
        <v>5</v>
      </c>
      <c r="N186" s="31" t="s">
        <v>108</v>
      </c>
      <c r="O186" s="32" t="s">
        <v>6</v>
      </c>
      <c r="P186" s="33"/>
      <c r="Q186" s="33" t="s">
        <v>441</v>
      </c>
      <c r="R186" s="31" t="s">
        <v>5</v>
      </c>
      <c r="S186" s="31" t="s">
        <v>108</v>
      </c>
      <c r="T186" s="32" t="s">
        <v>6</v>
      </c>
    </row>
    <row r="187" spans="1:20" ht="16.5" thickTop="1" x14ac:dyDescent="0.25">
      <c r="A187" s="13" t="s">
        <v>442</v>
      </c>
      <c r="B187" s="14" t="s">
        <v>443</v>
      </c>
      <c r="C187" s="14">
        <v>-0.42780000000000001</v>
      </c>
      <c r="D187" s="14">
        <v>1.1220000000000001E-2</v>
      </c>
      <c r="E187" s="14" t="s">
        <v>8</v>
      </c>
      <c r="F187" s="41"/>
      <c r="G187" s="14" t="s">
        <v>443</v>
      </c>
      <c r="H187" s="34">
        <v>-0.44579999999999997</v>
      </c>
      <c r="I187" s="34">
        <v>4.9399999999999999E-2</v>
      </c>
      <c r="J187" s="15" t="s">
        <v>8</v>
      </c>
      <c r="L187" s="14" t="s">
        <v>443</v>
      </c>
      <c r="M187" s="34">
        <v>-0.42120000000000002</v>
      </c>
      <c r="N187" s="34">
        <v>1.1220000000000001E-2</v>
      </c>
      <c r="O187" s="15" t="s">
        <v>8</v>
      </c>
      <c r="Q187" s="34" t="s">
        <v>443</v>
      </c>
      <c r="R187" s="34">
        <v>-0.44429999999999997</v>
      </c>
      <c r="S187" s="15">
        <v>4.947E-2</v>
      </c>
      <c r="T187" s="23" t="s">
        <v>8</v>
      </c>
    </row>
    <row r="188" spans="1:20" x14ac:dyDescent="0.25">
      <c r="A188" s="14" t="s">
        <v>442</v>
      </c>
      <c r="B188" s="14" t="s">
        <v>386</v>
      </c>
      <c r="C188" s="34">
        <v>8.8330000000000006E-3</v>
      </c>
      <c r="D188" s="34">
        <v>1.5239999999999999E-4</v>
      </c>
      <c r="E188" s="15" t="s">
        <v>8</v>
      </c>
      <c r="G188" s="14" t="s">
        <v>386</v>
      </c>
      <c r="H188" s="34">
        <v>8.8199999999999997E-3</v>
      </c>
      <c r="I188" s="34">
        <v>1.5239999999999999E-4</v>
      </c>
      <c r="J188" s="15" t="s">
        <v>8</v>
      </c>
      <c r="L188" s="14" t="s">
        <v>386</v>
      </c>
      <c r="M188" s="34">
        <v>8.7989999999999995E-3</v>
      </c>
      <c r="N188" s="34">
        <v>1.5249999999999999E-4</v>
      </c>
      <c r="O188" s="15" t="s">
        <v>8</v>
      </c>
      <c r="Q188" s="14" t="s">
        <v>386</v>
      </c>
      <c r="R188" s="34">
        <v>8.7860000000000004E-3</v>
      </c>
      <c r="S188" s="15">
        <v>1.5249999999999999E-4</v>
      </c>
      <c r="T188" s="23" t="s">
        <v>8</v>
      </c>
    </row>
    <row r="189" spans="1:20" ht="18.75" x14ac:dyDescent="0.25">
      <c r="A189" s="14" t="s">
        <v>442</v>
      </c>
      <c r="B189" s="14" t="s">
        <v>387</v>
      </c>
      <c r="C189" s="34">
        <v>-2.0599999999999999E-4</v>
      </c>
      <c r="D189" s="34">
        <v>8.4679999999999992E-6</v>
      </c>
      <c r="E189" s="15" t="s">
        <v>8</v>
      </c>
      <c r="G189" s="14" t="s">
        <v>387</v>
      </c>
      <c r="H189" s="34">
        <v>-2.063E-4</v>
      </c>
      <c r="I189" s="34">
        <v>8.4659999999999999E-6</v>
      </c>
      <c r="J189" s="15" t="s">
        <v>8</v>
      </c>
      <c r="L189" s="14" t="s">
        <v>387</v>
      </c>
      <c r="M189" s="34">
        <v>-1.997E-4</v>
      </c>
      <c r="N189" s="34">
        <v>8.4600000000000003E-6</v>
      </c>
      <c r="O189" s="15" t="s">
        <v>8</v>
      </c>
      <c r="Q189" s="14" t="s">
        <v>387</v>
      </c>
      <c r="R189" s="34">
        <v>-2.0000000000000001E-4</v>
      </c>
      <c r="S189" s="15">
        <v>8.4570000000000005E-6</v>
      </c>
      <c r="T189" s="23" t="s">
        <v>8</v>
      </c>
    </row>
    <row r="190" spans="1:20" x14ac:dyDescent="0.25">
      <c r="A190" s="14" t="s">
        <v>442</v>
      </c>
      <c r="B190" s="14" t="s">
        <v>1</v>
      </c>
      <c r="C190" s="34">
        <v>0.18959999999999999</v>
      </c>
      <c r="D190" s="34">
        <v>1.0030000000000001E-2</v>
      </c>
      <c r="E190" s="15" t="s">
        <v>8</v>
      </c>
      <c r="G190" s="14" t="s">
        <v>1</v>
      </c>
      <c r="H190" s="34">
        <v>0.20599999999999999</v>
      </c>
      <c r="I190" s="34">
        <v>7.1440000000000003E-2</v>
      </c>
      <c r="J190" s="15">
        <v>3.9399999999999999E-3</v>
      </c>
      <c r="L190" s="14" t="s">
        <v>1</v>
      </c>
      <c r="M190" s="34">
        <v>0.20930000000000001</v>
      </c>
      <c r="N190" s="34">
        <v>9.8840000000000004E-3</v>
      </c>
      <c r="O190" s="15" t="s">
        <v>8</v>
      </c>
      <c r="Q190" s="14" t="s">
        <v>1</v>
      </c>
      <c r="R190" s="34">
        <v>0.23419999999999999</v>
      </c>
      <c r="S190" s="15">
        <v>7.1480000000000002E-2</v>
      </c>
      <c r="T190" s="15">
        <v>1.0499999999999999E-3</v>
      </c>
    </row>
    <row r="191" spans="1:20" x14ac:dyDescent="0.25">
      <c r="A191" s="14" t="s">
        <v>442</v>
      </c>
      <c r="B191" s="14" t="s">
        <v>3</v>
      </c>
      <c r="C191" s="34">
        <v>7.1150000000000005E-2</v>
      </c>
      <c r="D191" s="34">
        <v>5.5640000000000002E-2</v>
      </c>
      <c r="E191" s="15">
        <v>0.20100000000000001</v>
      </c>
      <c r="G191" s="14" t="s">
        <v>3</v>
      </c>
      <c r="H191" s="34">
        <v>0.24129999999999999</v>
      </c>
      <c r="I191" s="34">
        <v>0.1497</v>
      </c>
      <c r="J191" s="15">
        <v>0.10709</v>
      </c>
      <c r="L191" s="14" t="s">
        <v>3</v>
      </c>
      <c r="M191" s="34">
        <v>0.1004</v>
      </c>
      <c r="N191" s="34">
        <v>5.5649999999999998E-2</v>
      </c>
      <c r="O191" s="15">
        <v>7.1199999999999999E-2</v>
      </c>
      <c r="Q191" s="14" t="s">
        <v>3</v>
      </c>
      <c r="R191" s="34">
        <v>0.26129999999999998</v>
      </c>
      <c r="S191" s="15">
        <v>0.14990000000000001</v>
      </c>
      <c r="T191" s="15">
        <v>8.1309999999999993E-2</v>
      </c>
    </row>
    <row r="192" spans="1:20" x14ac:dyDescent="0.25">
      <c r="A192" s="14" t="s">
        <v>442</v>
      </c>
      <c r="B192" s="14" t="s">
        <v>4</v>
      </c>
      <c r="C192" s="34">
        <v>0.15010000000000001</v>
      </c>
      <c r="D192" s="34">
        <v>7.1730000000000002E-2</v>
      </c>
      <c r="E192" s="15">
        <v>3.6400000000000002E-2</v>
      </c>
      <c r="G192" s="14" t="s">
        <v>4</v>
      </c>
      <c r="H192" s="34">
        <v>0.20580000000000001</v>
      </c>
      <c r="I192" s="34">
        <v>0.1163</v>
      </c>
      <c r="J192" s="15">
        <v>7.6740000000000003E-2</v>
      </c>
      <c r="K192" s="14" t="s">
        <v>444</v>
      </c>
      <c r="L192" s="14" t="s">
        <v>4</v>
      </c>
      <c r="M192" s="34">
        <v>0.14979999999999999</v>
      </c>
      <c r="N192" s="34">
        <v>7.1830000000000005E-2</v>
      </c>
      <c r="O192" s="15">
        <v>3.6999999999999998E-2</v>
      </c>
      <c r="Q192" s="14" t="s">
        <v>4</v>
      </c>
      <c r="R192" s="34">
        <v>0.20860000000000001</v>
      </c>
      <c r="S192" s="15">
        <v>0.1164</v>
      </c>
      <c r="T192" s="15">
        <v>7.3150000000000007E-2</v>
      </c>
    </row>
    <row r="193" spans="1:20" x14ac:dyDescent="0.25">
      <c r="A193" s="14" t="s">
        <v>442</v>
      </c>
      <c r="B193" s="14" t="s">
        <v>388</v>
      </c>
      <c r="C193" s="34">
        <v>-4.0109999999999998E-3</v>
      </c>
      <c r="D193" s="34">
        <v>3.3040000000000001E-3</v>
      </c>
      <c r="E193" s="15">
        <v>0.2248</v>
      </c>
      <c r="G193" s="14" t="s">
        <v>7</v>
      </c>
      <c r="H193" s="34">
        <v>-8.6089999999999997E-5</v>
      </c>
      <c r="I193" s="34">
        <v>1.519E-3</v>
      </c>
      <c r="J193" s="15">
        <v>0.95481000000000005</v>
      </c>
      <c r="L193" s="14" t="s">
        <v>388</v>
      </c>
      <c r="M193" s="34">
        <v>-5.5199999999999997E-3</v>
      </c>
      <c r="N193" s="34">
        <v>3.3050000000000002E-3</v>
      </c>
      <c r="O193" s="15">
        <v>9.4899999999999998E-2</v>
      </c>
      <c r="Q193" s="34" t="s">
        <v>7</v>
      </c>
      <c r="R193" s="34">
        <v>-2.9250000000000001E-4</v>
      </c>
      <c r="S193" s="15">
        <v>1.521E-3</v>
      </c>
      <c r="T193" s="15">
        <v>0.84753999999999996</v>
      </c>
    </row>
    <row r="194" spans="1:20" x14ac:dyDescent="0.25">
      <c r="A194" s="14" t="s">
        <v>442</v>
      </c>
      <c r="B194" s="14" t="s">
        <v>389</v>
      </c>
      <c r="C194" s="34">
        <v>3.456E-2</v>
      </c>
      <c r="D194" s="34">
        <v>3.1440000000000001E-3</v>
      </c>
      <c r="E194" s="15" t="s">
        <v>8</v>
      </c>
      <c r="G194" s="14" t="s">
        <v>9</v>
      </c>
      <c r="H194" s="34">
        <v>3.3119999999999998E-3</v>
      </c>
      <c r="I194" s="34">
        <v>7.339E-4</v>
      </c>
      <c r="J194" s="15">
        <v>6.4200000000000004E-6</v>
      </c>
      <c r="Q194" s="34" t="s">
        <v>9</v>
      </c>
      <c r="R194" s="34">
        <v>3.2650000000000001E-3</v>
      </c>
      <c r="S194" s="15">
        <v>7.3479999999999997E-4</v>
      </c>
      <c r="T194" s="15">
        <v>8.85E-6</v>
      </c>
    </row>
    <row r="195" spans="1:20" x14ac:dyDescent="0.25">
      <c r="A195" s="14" t="s">
        <v>442</v>
      </c>
      <c r="B195" s="14"/>
      <c r="G195" s="41" t="s">
        <v>10</v>
      </c>
      <c r="H195" s="34">
        <v>3.2709999999999998E-4</v>
      </c>
      <c r="I195" s="34">
        <v>1.384E-3</v>
      </c>
      <c r="J195" s="15">
        <v>0.81318000000000001</v>
      </c>
      <c r="Q195" s="34" t="s">
        <v>10</v>
      </c>
      <c r="R195" s="34">
        <v>2.3149999999999999E-4</v>
      </c>
      <c r="S195" s="15">
        <v>1.3860000000000001E-3</v>
      </c>
      <c r="T195" s="15">
        <v>0.86731000000000003</v>
      </c>
    </row>
    <row r="196" spans="1:20" x14ac:dyDescent="0.25">
      <c r="A196" s="14" t="s">
        <v>442</v>
      </c>
      <c r="B196" s="14"/>
      <c r="G196" s="14" t="s">
        <v>11</v>
      </c>
      <c r="H196" s="34">
        <v>-8.6070000000000005E-4</v>
      </c>
      <c r="I196" s="34">
        <v>8.1470000000000002E-4</v>
      </c>
      <c r="J196" s="15">
        <v>0.29076999999999997</v>
      </c>
      <c r="Q196" s="34" t="s">
        <v>11</v>
      </c>
      <c r="R196" s="34">
        <v>-8.1059999999999997E-4</v>
      </c>
      <c r="S196" s="15">
        <v>8.1570000000000004E-4</v>
      </c>
      <c r="T196" s="15">
        <v>0.32035000000000002</v>
      </c>
    </row>
    <row r="197" spans="1:20" x14ac:dyDescent="0.25">
      <c r="A197" s="14" t="s">
        <v>442</v>
      </c>
      <c r="B197" s="14"/>
      <c r="G197" s="14" t="s">
        <v>12</v>
      </c>
      <c r="H197" s="34">
        <v>1.3979999999999999E-3</v>
      </c>
      <c r="I197" s="34">
        <v>8.6700000000000004E-4</v>
      </c>
      <c r="J197" s="15">
        <v>0.10673000000000001</v>
      </c>
      <c r="O197" s="42"/>
      <c r="Q197" s="34" t="s">
        <v>12</v>
      </c>
      <c r="R197" s="34">
        <v>1.5479999999999999E-3</v>
      </c>
      <c r="S197" s="15">
        <v>8.6799999999999996E-4</v>
      </c>
      <c r="T197" s="15">
        <v>7.4569999999999997E-2</v>
      </c>
    </row>
    <row r="198" spans="1:20" x14ac:dyDescent="0.25">
      <c r="A198" s="14" t="s">
        <v>442</v>
      </c>
      <c r="B198" s="14"/>
      <c r="G198" s="14" t="s">
        <v>13</v>
      </c>
      <c r="H198" s="34">
        <v>-2.297E-4</v>
      </c>
      <c r="I198" s="34">
        <v>1.237E-3</v>
      </c>
      <c r="J198" s="15">
        <v>0.85263</v>
      </c>
      <c r="O198" s="42"/>
      <c r="Q198" s="34" t="s">
        <v>13</v>
      </c>
      <c r="R198" s="34">
        <v>-1.8239999999999999E-4</v>
      </c>
      <c r="S198" s="15">
        <v>1.238E-3</v>
      </c>
      <c r="T198" s="15">
        <v>0.88288</v>
      </c>
    </row>
    <row r="199" spans="1:20" x14ac:dyDescent="0.25">
      <c r="A199" s="14" t="s">
        <v>442</v>
      </c>
      <c r="B199" s="14"/>
      <c r="G199" s="14" t="s">
        <v>14</v>
      </c>
      <c r="H199" s="34">
        <v>1.1180000000000001E-3</v>
      </c>
      <c r="I199" s="34">
        <v>9.1589999999999998E-4</v>
      </c>
      <c r="J199" s="15">
        <v>0.22216</v>
      </c>
      <c r="O199" s="42"/>
      <c r="Q199" s="34" t="s">
        <v>14</v>
      </c>
      <c r="R199" s="34">
        <v>1.193E-3</v>
      </c>
      <c r="S199" s="15">
        <v>9.1699999999999995E-4</v>
      </c>
      <c r="T199" s="15">
        <v>0.19342000000000001</v>
      </c>
    </row>
    <row r="200" spans="1:20" x14ac:dyDescent="0.25">
      <c r="A200" s="14" t="s">
        <v>442</v>
      </c>
      <c r="B200" s="14"/>
      <c r="G200" s="14" t="s">
        <v>388</v>
      </c>
      <c r="H200" s="34">
        <v>-3.676E-3</v>
      </c>
      <c r="I200" s="34">
        <v>3.3029999999999999E-3</v>
      </c>
      <c r="J200" s="15">
        <v>0.26573999999999998</v>
      </c>
      <c r="O200" s="42"/>
      <c r="Q200" s="34" t="s">
        <v>388</v>
      </c>
      <c r="R200" s="34">
        <v>-5.189E-3</v>
      </c>
      <c r="S200" s="15">
        <v>3.3050000000000002E-3</v>
      </c>
      <c r="T200" s="15">
        <v>0.11637</v>
      </c>
    </row>
    <row r="201" spans="1:20" x14ac:dyDescent="0.25">
      <c r="A201" s="39" t="s">
        <v>442</v>
      </c>
      <c r="B201" s="39"/>
      <c r="C201" s="37"/>
      <c r="D201" s="37"/>
      <c r="E201" s="38"/>
      <c r="F201" s="38"/>
      <c r="G201" s="39" t="s">
        <v>389</v>
      </c>
      <c r="H201" s="37">
        <v>3.4509999999999999E-2</v>
      </c>
      <c r="I201" s="37">
        <v>3.1440000000000001E-3</v>
      </c>
      <c r="J201" s="38" t="s">
        <v>8</v>
      </c>
      <c r="K201" s="39"/>
      <c r="L201" s="39"/>
      <c r="M201" s="37"/>
      <c r="N201" s="37"/>
      <c r="O201" s="38"/>
      <c r="P201" s="39"/>
      <c r="Q201" s="39"/>
      <c r="R201" s="37"/>
      <c r="S201" s="37"/>
      <c r="T201" s="38"/>
    </row>
    <row r="202" spans="1:20" x14ac:dyDescent="0.25">
      <c r="A202" s="35"/>
      <c r="G202" s="39"/>
      <c r="H202" s="37"/>
      <c r="I202" s="37"/>
      <c r="J202" s="38"/>
      <c r="K202" s="39"/>
      <c r="L202" s="39"/>
      <c r="M202" s="37"/>
      <c r="N202" s="37"/>
      <c r="O202" s="38"/>
      <c r="P202" s="39"/>
      <c r="Q202" s="39"/>
      <c r="R202" s="37"/>
      <c r="S202" s="37"/>
      <c r="T202" s="38"/>
    </row>
    <row r="203" spans="1:20" ht="16.5" thickBot="1" x14ac:dyDescent="0.3">
      <c r="A203" s="30" t="s">
        <v>107</v>
      </c>
      <c r="B203" s="33" t="s">
        <v>441</v>
      </c>
      <c r="C203" s="33" t="s">
        <v>5</v>
      </c>
      <c r="D203" s="33" t="s">
        <v>108</v>
      </c>
      <c r="E203" s="40" t="s">
        <v>6</v>
      </c>
      <c r="F203" s="40"/>
      <c r="G203" s="33" t="s">
        <v>441</v>
      </c>
      <c r="H203" s="31" t="s">
        <v>5</v>
      </c>
      <c r="I203" s="31" t="s">
        <v>108</v>
      </c>
      <c r="J203" s="32" t="s">
        <v>6</v>
      </c>
      <c r="K203" s="33"/>
      <c r="L203" s="33" t="s">
        <v>441</v>
      </c>
      <c r="M203" s="31" t="s">
        <v>5</v>
      </c>
      <c r="N203" s="31" t="s">
        <v>108</v>
      </c>
      <c r="O203" s="32" t="s">
        <v>6</v>
      </c>
      <c r="P203" s="33"/>
      <c r="Q203" s="33" t="s">
        <v>441</v>
      </c>
      <c r="R203" s="31" t="s">
        <v>5</v>
      </c>
      <c r="S203" s="31" t="s">
        <v>108</v>
      </c>
      <c r="T203" s="32" t="s">
        <v>6</v>
      </c>
    </row>
    <row r="204" spans="1:20" ht="16.5" thickTop="1" x14ac:dyDescent="0.25">
      <c r="A204" s="13" t="s">
        <v>445</v>
      </c>
      <c r="B204" s="14" t="s">
        <v>443</v>
      </c>
      <c r="C204" s="14">
        <v>-8.0410000000000004</v>
      </c>
      <c r="D204" s="14">
        <v>0.13250000000000001</v>
      </c>
      <c r="E204" s="14" t="s">
        <v>8</v>
      </c>
      <c r="F204" s="41"/>
      <c r="G204" s="14" t="s">
        <v>443</v>
      </c>
      <c r="H204" s="34">
        <v>-8.3140000000000001</v>
      </c>
      <c r="I204" s="34">
        <v>0.46339999999999998</v>
      </c>
      <c r="J204" s="15" t="s">
        <v>8</v>
      </c>
      <c r="L204" s="14" t="s">
        <v>443</v>
      </c>
      <c r="M204" s="34">
        <v>-7.96</v>
      </c>
      <c r="N204" s="34">
        <v>0.1318</v>
      </c>
      <c r="O204" s="15" t="s">
        <v>8</v>
      </c>
      <c r="Q204" s="14" t="s">
        <v>443</v>
      </c>
      <c r="R204" s="34">
        <v>-8.2627416</v>
      </c>
      <c r="S204" s="34">
        <v>0.46236820000000001</v>
      </c>
      <c r="T204" s="15" t="s">
        <v>8</v>
      </c>
    </row>
    <row r="205" spans="1:20" x14ac:dyDescent="0.25">
      <c r="A205" s="14" t="s">
        <v>445</v>
      </c>
      <c r="B205" s="14" t="s">
        <v>386</v>
      </c>
      <c r="C205" s="34">
        <v>9.7030000000000005E-2</v>
      </c>
      <c r="D205" s="34">
        <v>1.918E-3</v>
      </c>
      <c r="E205" s="15" t="s">
        <v>8</v>
      </c>
      <c r="G205" s="14" t="s">
        <v>386</v>
      </c>
      <c r="H205" s="34">
        <v>9.69E-2</v>
      </c>
      <c r="I205" s="34">
        <v>1.918E-3</v>
      </c>
      <c r="J205" s="15" t="s">
        <v>8</v>
      </c>
      <c r="L205" s="14" t="s">
        <v>386</v>
      </c>
      <c r="M205" s="34">
        <v>9.6759999999999999E-2</v>
      </c>
      <c r="N205" s="34">
        <v>1.918E-3</v>
      </c>
      <c r="O205" s="15" t="s">
        <v>8</v>
      </c>
      <c r="Q205" s="14" t="s">
        <v>386</v>
      </c>
      <c r="R205" s="34">
        <v>9.6623899999999999E-2</v>
      </c>
      <c r="S205" s="34">
        <v>1.9188E-3</v>
      </c>
      <c r="T205" s="15" t="s">
        <v>8</v>
      </c>
    </row>
    <row r="206" spans="1:20" ht="18.75" x14ac:dyDescent="0.25">
      <c r="A206" s="14" t="s">
        <v>445</v>
      </c>
      <c r="B206" s="14" t="s">
        <v>387</v>
      </c>
      <c r="C206" s="34">
        <v>-2.725E-3</v>
      </c>
      <c r="D206" s="34">
        <v>8.9419999999999994E-5</v>
      </c>
      <c r="E206" s="15" t="s">
        <v>8</v>
      </c>
      <c r="G206" s="14" t="s">
        <v>387</v>
      </c>
      <c r="H206" s="34">
        <v>-2.7269999999999998E-3</v>
      </c>
      <c r="I206" s="34">
        <v>8.9450000000000006E-5</v>
      </c>
      <c r="J206" s="15" t="s">
        <v>8</v>
      </c>
      <c r="L206" s="14" t="s">
        <v>387</v>
      </c>
      <c r="M206" s="34">
        <v>-2.673E-3</v>
      </c>
      <c r="N206" s="34">
        <v>8.9069999999999999E-5</v>
      </c>
      <c r="O206" s="15" t="s">
        <v>8</v>
      </c>
      <c r="Q206" s="14" t="s">
        <v>387</v>
      </c>
      <c r="R206" s="34">
        <v>-2.6749999999999999E-3</v>
      </c>
      <c r="S206" s="34">
        <v>8.9099999999999997E-5</v>
      </c>
      <c r="T206" s="15" t="s">
        <v>8</v>
      </c>
    </row>
    <row r="207" spans="1:20" x14ac:dyDescent="0.25">
      <c r="A207" s="14" t="s">
        <v>445</v>
      </c>
      <c r="B207" s="14" t="s">
        <v>1</v>
      </c>
      <c r="C207" s="34">
        <v>1.7270000000000001</v>
      </c>
      <c r="D207" s="34">
        <v>9.6329999999999999E-2</v>
      </c>
      <c r="E207" s="15" t="s">
        <v>8</v>
      </c>
      <c r="G207" s="14" t="s">
        <v>1</v>
      </c>
      <c r="H207" s="34">
        <v>2.036</v>
      </c>
      <c r="I207" s="34">
        <v>0.65939999999999999</v>
      </c>
      <c r="J207" s="15">
        <v>2.0100000000000001E-3</v>
      </c>
      <c r="L207" s="14" t="s">
        <v>1</v>
      </c>
      <c r="M207" s="34">
        <v>1.883</v>
      </c>
      <c r="N207" s="34">
        <v>9.4799999999999995E-2</v>
      </c>
      <c r="O207" s="15" t="s">
        <v>8</v>
      </c>
      <c r="Q207" s="14" t="s">
        <v>1</v>
      </c>
      <c r="R207" s="34">
        <v>2.2483694999999999</v>
      </c>
      <c r="S207" s="34">
        <v>0.65777050000000004</v>
      </c>
      <c r="T207" s="15">
        <v>6.3000000000000003E-4</v>
      </c>
    </row>
    <row r="208" spans="1:20" x14ac:dyDescent="0.25">
      <c r="A208" s="14" t="s">
        <v>445</v>
      </c>
      <c r="B208" s="14" t="s">
        <v>3</v>
      </c>
      <c r="C208" s="34">
        <v>0.79110000000000003</v>
      </c>
      <c r="D208" s="34">
        <v>0.54649999999999999</v>
      </c>
      <c r="E208" s="15">
        <v>0.1477</v>
      </c>
      <c r="G208" s="14" t="s">
        <v>3</v>
      </c>
      <c r="H208" s="34">
        <v>2.3860000000000001</v>
      </c>
      <c r="I208" s="34">
        <v>1.395</v>
      </c>
      <c r="J208" s="15">
        <v>8.7220000000000006E-2</v>
      </c>
      <c r="L208" s="14" t="s">
        <v>3</v>
      </c>
      <c r="M208" s="34">
        <v>1.0389999999999999</v>
      </c>
      <c r="N208" s="34">
        <v>0.54239999999999999</v>
      </c>
      <c r="O208" s="15">
        <v>5.5399999999999998E-2</v>
      </c>
      <c r="Q208" s="14" t="s">
        <v>3</v>
      </c>
      <c r="R208" s="34">
        <v>2.5083395999999998</v>
      </c>
      <c r="S208" s="34">
        <v>1.3910307</v>
      </c>
      <c r="T208" s="15">
        <v>7.1349999999999997E-2</v>
      </c>
    </row>
    <row r="209" spans="1:20" x14ac:dyDescent="0.25">
      <c r="A209" s="14" t="s">
        <v>445</v>
      </c>
      <c r="B209" s="14" t="s">
        <v>4</v>
      </c>
      <c r="C209" s="34">
        <v>1.25</v>
      </c>
      <c r="D209" s="34">
        <v>0.61409999999999998</v>
      </c>
      <c r="E209" s="15">
        <v>4.1799999999999997E-2</v>
      </c>
      <c r="G209" s="14" t="s">
        <v>4</v>
      </c>
      <c r="H209" s="34">
        <v>1.85</v>
      </c>
      <c r="I209" s="34">
        <v>1.042</v>
      </c>
      <c r="J209" s="15">
        <v>7.5810000000000002E-2</v>
      </c>
      <c r="L209" s="14" t="s">
        <v>4</v>
      </c>
      <c r="M209" s="34">
        <v>1.256</v>
      </c>
      <c r="N209" s="34">
        <v>0.61180000000000001</v>
      </c>
      <c r="O209" s="15">
        <v>4.0099999999999997E-2</v>
      </c>
      <c r="Q209" s="14" t="s">
        <v>4</v>
      </c>
      <c r="R209" s="34">
        <v>1.8503453999999999</v>
      </c>
      <c r="S209" s="34">
        <v>1.0391219</v>
      </c>
      <c r="T209" s="15">
        <v>7.4959999999999999E-2</v>
      </c>
    </row>
    <row r="210" spans="1:20" x14ac:dyDescent="0.25">
      <c r="A210" s="14" t="s">
        <v>445</v>
      </c>
      <c r="B210" s="14" t="s">
        <v>388</v>
      </c>
      <c r="C210" s="34">
        <v>-4.3270000000000003E-2</v>
      </c>
      <c r="D210" s="34">
        <v>2.9929999999999998E-2</v>
      </c>
      <c r="E210" s="15">
        <v>0.1482</v>
      </c>
      <c r="G210" s="41" t="s">
        <v>7</v>
      </c>
      <c r="H210" s="34">
        <v>-3.9789999999999999E-3</v>
      </c>
      <c r="I210" s="34">
        <v>1.397E-2</v>
      </c>
      <c r="J210" s="15">
        <v>0.77583000000000002</v>
      </c>
      <c r="L210" s="14" t="s">
        <v>388</v>
      </c>
      <c r="M210" s="34">
        <v>-5.4059999999999997E-2</v>
      </c>
      <c r="N210" s="34">
        <v>2.9860000000000001E-2</v>
      </c>
      <c r="O210" s="15">
        <v>7.0199999999999999E-2</v>
      </c>
      <c r="Q210" s="14" t="s">
        <v>7</v>
      </c>
      <c r="R210" s="34">
        <v>-5.4894999999999996E-3</v>
      </c>
      <c r="S210" s="34">
        <v>1.39463E-2</v>
      </c>
      <c r="T210" s="15">
        <v>0.69386000000000003</v>
      </c>
    </row>
    <row r="211" spans="1:20" x14ac:dyDescent="0.25">
      <c r="A211" s="14" t="s">
        <v>445</v>
      </c>
      <c r="B211" s="14" t="s">
        <v>389</v>
      </c>
      <c r="C211" s="34">
        <v>0.31319999999999998</v>
      </c>
      <c r="D211" s="34">
        <v>2.9149999999999999E-2</v>
      </c>
      <c r="E211" s="15" t="s">
        <v>8</v>
      </c>
      <c r="G211" s="14" t="s">
        <v>9</v>
      </c>
      <c r="H211" s="34">
        <v>2.8369999999999999E-2</v>
      </c>
      <c r="I211" s="34">
        <v>6.6249999999999998E-3</v>
      </c>
      <c r="J211" s="15">
        <v>1.8499999999999999E-5</v>
      </c>
      <c r="Q211" s="14" t="s">
        <v>9</v>
      </c>
      <c r="R211" s="34">
        <v>2.7313400000000002E-2</v>
      </c>
      <c r="S211" s="34">
        <v>6.6097999999999999E-3</v>
      </c>
      <c r="T211" s="15">
        <v>3.5899999999999998E-5</v>
      </c>
    </row>
    <row r="212" spans="1:20" x14ac:dyDescent="0.25">
      <c r="A212" s="14" t="s">
        <v>445</v>
      </c>
      <c r="B212" s="14"/>
      <c r="G212" s="41" t="s">
        <v>10</v>
      </c>
      <c r="H212" s="34">
        <v>4.5490000000000001E-3</v>
      </c>
      <c r="I212" s="34">
        <v>1.272E-2</v>
      </c>
      <c r="J212" s="15">
        <v>0.72058</v>
      </c>
      <c r="Q212" s="41" t="s">
        <v>10</v>
      </c>
      <c r="R212" s="34">
        <v>3.4962999999999999E-3</v>
      </c>
      <c r="S212" s="34">
        <v>1.26964E-2</v>
      </c>
      <c r="T212" s="15">
        <v>0.78303</v>
      </c>
    </row>
    <row r="213" spans="1:20" x14ac:dyDescent="0.25">
      <c r="A213" s="14" t="s">
        <v>445</v>
      </c>
      <c r="B213" s="14"/>
      <c r="G213" s="14" t="s">
        <v>11</v>
      </c>
      <c r="H213" s="34">
        <v>-7.9000000000000008E-3</v>
      </c>
      <c r="I213" s="34">
        <v>7.5129999999999997E-3</v>
      </c>
      <c r="J213" s="15">
        <v>0.29303000000000001</v>
      </c>
      <c r="Q213" s="14" t="s">
        <v>11</v>
      </c>
      <c r="R213" s="34">
        <v>-7.2481999999999998E-3</v>
      </c>
      <c r="S213" s="34">
        <v>7.4983000000000003E-3</v>
      </c>
      <c r="T213" s="15">
        <v>0.33372000000000002</v>
      </c>
    </row>
    <row r="214" spans="1:20" x14ac:dyDescent="0.25">
      <c r="A214" s="14" t="s">
        <v>445</v>
      </c>
      <c r="B214" s="14"/>
      <c r="G214" s="14" t="s">
        <v>12</v>
      </c>
      <c r="H214" s="34">
        <v>1.242E-2</v>
      </c>
      <c r="I214" s="34">
        <v>7.8169999999999993E-3</v>
      </c>
      <c r="J214" s="15">
        <v>0.11210000000000001</v>
      </c>
      <c r="O214" s="42"/>
      <c r="Q214" s="14" t="s">
        <v>12</v>
      </c>
      <c r="R214" s="34">
        <v>1.40035E-2</v>
      </c>
      <c r="S214" s="34">
        <v>7.7999000000000002E-3</v>
      </c>
      <c r="T214" s="15">
        <v>7.2599999999999998E-2</v>
      </c>
    </row>
    <row r="215" spans="1:20" x14ac:dyDescent="0.25">
      <c r="A215" s="14" t="s">
        <v>445</v>
      </c>
      <c r="B215" s="14"/>
      <c r="G215" s="14" t="s">
        <v>13</v>
      </c>
      <c r="H215" s="34">
        <v>-2.3349999999999998E-3</v>
      </c>
      <c r="I215" s="34">
        <v>1.136E-2</v>
      </c>
      <c r="J215" s="15">
        <v>0.83711000000000002</v>
      </c>
      <c r="O215" s="42"/>
      <c r="Q215" s="14" t="s">
        <v>13</v>
      </c>
      <c r="R215" s="34">
        <v>-1.9562E-3</v>
      </c>
      <c r="S215" s="34">
        <v>1.1339800000000001E-2</v>
      </c>
      <c r="T215" s="15">
        <v>0.86304000000000003</v>
      </c>
    </row>
    <row r="216" spans="1:20" x14ac:dyDescent="0.25">
      <c r="A216" s="14" t="s">
        <v>445</v>
      </c>
      <c r="B216" s="14"/>
      <c r="G216" s="14" t="s">
        <v>14</v>
      </c>
      <c r="H216" s="34">
        <v>1.1469999999999999E-2</v>
      </c>
      <c r="I216" s="34">
        <v>8.0750000000000006E-3</v>
      </c>
      <c r="J216" s="15">
        <v>0.15548999999999999</v>
      </c>
      <c r="O216" s="42"/>
      <c r="Q216" s="14" t="s">
        <v>14</v>
      </c>
      <c r="R216" s="34">
        <v>1.17815E-2</v>
      </c>
      <c r="S216" s="34">
        <v>8.0695000000000003E-3</v>
      </c>
      <c r="T216" s="15">
        <v>0.14429</v>
      </c>
    </row>
    <row r="217" spans="1:20" x14ac:dyDescent="0.25">
      <c r="A217" s="14" t="s">
        <v>445</v>
      </c>
      <c r="B217" s="14"/>
      <c r="G217" s="14" t="s">
        <v>388</v>
      </c>
      <c r="H217" s="34">
        <v>-3.9690000000000003E-2</v>
      </c>
      <c r="I217" s="34">
        <v>2.9950000000000001E-2</v>
      </c>
      <c r="J217" s="15">
        <v>0.18512999999999999</v>
      </c>
      <c r="O217" s="42"/>
      <c r="Q217" s="14" t="s">
        <v>388</v>
      </c>
      <c r="R217" s="34">
        <v>-5.0739800000000002E-2</v>
      </c>
      <c r="S217" s="34">
        <v>2.9881499999999998E-2</v>
      </c>
      <c r="T217" s="15">
        <v>8.9499999999999996E-2</v>
      </c>
    </row>
    <row r="218" spans="1:20" x14ac:dyDescent="0.25">
      <c r="A218" s="39" t="s">
        <v>445</v>
      </c>
      <c r="B218" s="39"/>
      <c r="C218" s="37"/>
      <c r="D218" s="37"/>
      <c r="E218" s="38"/>
      <c r="F218" s="38"/>
      <c r="G218" s="39" t="s">
        <v>389</v>
      </c>
      <c r="H218" s="37">
        <v>0.3145</v>
      </c>
      <c r="I218" s="37">
        <v>2.9170000000000001E-2</v>
      </c>
      <c r="J218" s="38" t="s">
        <v>8</v>
      </c>
      <c r="K218" s="39"/>
      <c r="L218" s="39"/>
      <c r="M218" s="37"/>
      <c r="N218" s="37"/>
      <c r="O218" s="38"/>
      <c r="P218" s="39"/>
      <c r="Q218" s="39"/>
      <c r="R218" s="37"/>
      <c r="S218" s="37"/>
      <c r="T218" s="38"/>
    </row>
    <row r="219" spans="1:20" x14ac:dyDescent="0.25">
      <c r="A219" s="43" t="s">
        <v>128</v>
      </c>
      <c r="B219" s="14"/>
    </row>
    <row r="220" spans="1:20" x14ac:dyDescent="0.25">
      <c r="A220" s="43" t="s">
        <v>446</v>
      </c>
      <c r="B220" s="14"/>
    </row>
    <row r="221" spans="1:20" x14ac:dyDescent="0.25">
      <c r="B221" s="14"/>
    </row>
    <row r="222" spans="1:20" x14ac:dyDescent="0.25">
      <c r="B222" s="14"/>
    </row>
    <row r="223" spans="1:20" x14ac:dyDescent="0.25">
      <c r="B223" s="14"/>
    </row>
    <row r="224" spans="1:20" x14ac:dyDescent="0.25">
      <c r="B224" s="1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580DDD6E32D24793B52EBDA382135E" ma:contentTypeVersion="24" ma:contentTypeDescription="Create a new document." ma:contentTypeScope="" ma:versionID="420b5df69e2a8ef095a347c37071042d">
  <xsd:schema xmlns:xsd="http://www.w3.org/2001/XMLSchema" xmlns:xs="http://www.w3.org/2001/XMLSchema" xmlns:p="http://schemas.microsoft.com/office/2006/metadata/properties" xmlns:ns2="03670651-1d3f-4393-a695-0ad38e7dc27c" xmlns:ns3="98cfd510-5244-40a7-ac81-0d7d1b58424e" targetNamespace="http://schemas.microsoft.com/office/2006/metadata/properties" ma:root="true" ma:fieldsID="43051459d3b7bcd6c9644565fa79aaf6" ns2:_="" ns3:_="">
    <xsd:import namespace="03670651-1d3f-4393-a695-0ad38e7dc27c"/>
    <xsd:import namespace="98cfd510-5244-40a7-ac81-0d7d1b58424e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  <xsd:element ref="ns3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70651-1d3f-4393-a695-0ad38e7dc27c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fe026092-a6d1-42a7-a35d-9d1bdd270ae7}" ma:internalName="TaxCatchAll" ma:showField="CatchAllData" ma:web="03670651-1d3f-4393-a695-0ad38e7dc2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fd510-5244-40a7-ac81-0d7d1b5842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670651-1d3f-4393-a695-0ad38e7dc27c" xsi:nil="true"/>
    <lcf76f155ced4ddcb4097134ff3c332f xmlns="98cfd510-5244-40a7-ac81-0d7d1b58424e">
      <Terms xmlns="http://schemas.microsoft.com/office/infopath/2007/PartnerControls"/>
    </lcf76f155ced4ddcb4097134ff3c332f>
    <ArchiverLinkFileType xmlns="98cfd510-5244-40a7-ac81-0d7d1b58424e" xsi:nil="true"/>
  </documentManagement>
</p:properties>
</file>

<file path=customXml/itemProps1.xml><?xml version="1.0" encoding="utf-8"?>
<ds:datastoreItem xmlns:ds="http://schemas.openxmlformats.org/officeDocument/2006/customXml" ds:itemID="{6078232A-2031-4668-894E-77499BA64D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5F4829-CCD0-4148-A9A6-484E25013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70651-1d3f-4393-a695-0ad38e7dc27c"/>
    <ds:schemaRef ds:uri="98cfd510-5244-40a7-ac81-0d7d1b5842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E6718B-1DA6-4A6A-9D53-D2BB3B9BF7BD}">
  <ds:schemaRefs>
    <ds:schemaRef ds:uri="http://schemas.microsoft.com/office/2006/metadata/properties"/>
    <ds:schemaRef ds:uri="http://schemas.microsoft.com/office/infopath/2007/PartnerControls"/>
    <ds:schemaRef ds:uri="03670651-1d3f-4393-a695-0ad38e7dc27c"/>
    <ds:schemaRef ds:uri="98cfd510-5244-40a7-ac81-0d7d1b58424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ST1</vt:lpstr>
      <vt:lpstr>ST2</vt:lpstr>
      <vt:lpstr>ST3</vt:lpstr>
      <vt:lpstr>ST4</vt:lpstr>
      <vt:lpstr>ST5</vt:lpstr>
      <vt:lpstr>ST6</vt:lpstr>
      <vt:lpstr>ST7</vt:lpstr>
      <vt:lpstr>ST8</vt:lpstr>
      <vt:lpstr>ST9</vt:lpstr>
      <vt:lpstr>ST10</vt:lpstr>
      <vt:lpstr>ST11</vt:lpstr>
      <vt:lpstr>ST12</vt:lpstr>
      <vt:lpstr>ST13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2026-08-14T11:18:42Z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0x0101002A580DDD6E32D24793B52EBDA382135E</vt:lpwstr>
  </property>
  <property fmtid="{D5CDD505-2E9C-101B-9397-08002B2CF9AE}" pid="3" name="Order">
    <vt:r8>103486700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